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178" documentId="1_{FE5F1AE4-7C93-4E58-A79B-869E6BF4526E}" xr6:coauthVersionLast="47" xr6:coauthVersionMax="47" xr10:uidLastSave="{240BC912-F439-45F7-AC14-64C131A47650}"/>
  <bookViews>
    <workbookView xWindow="57480" yWindow="-120" windowWidth="29040" windowHeight="15720" tabRatio="1000" xr2:uid="{00000000-000D-0000-FFFF-FFFF00000000}"/>
  </bookViews>
  <sheets>
    <sheet name="Assumptions" sheetId="1" r:id="rId1"/>
    <sheet name="Rent Roll" sheetId="2" r:id="rId2"/>
    <sheet name="Rent Roll Calc" sheetId="3" r:id="rId3"/>
    <sheet name="IC Summary" sheetId="12" r:id="rId4"/>
    <sheet name="LOI" sheetId="13" r:id="rId5"/>
    <sheet name="Property Cash Flow" sheetId="4" r:id="rId6"/>
    <sheet name="CapEx Schedule" sheetId="11" r:id="rId7"/>
    <sheet name="Waterfall" sheetId="10" r:id="rId8"/>
    <sheet name="Leverage Options" sheetId="7" r:id="rId9"/>
    <sheet name="Exit Analysis" sheetId="5" r:id="rId10"/>
    <sheet name="Sales Comp Analysis" sheetId="8" r:id="rId11"/>
    <sheet name="Rental Comp Analysis" sheetId="9" r:id="rId12"/>
    <sheet name="Pure Reference---&gt;" sheetId="14" r:id="rId13"/>
    <sheet name="T-12 Operating Statement" sheetId="16" r:id="rId14"/>
    <sheet name="Vendor Contracts" sheetId="17" r:id="rId15"/>
    <sheet name="SouthPark Submarket" sheetId="15" r:id="rId16"/>
  </sheets>
  <definedNames>
    <definedName name="AntennaGrowth">Assumptions!$B$24</definedName>
    <definedName name="BldgSF">Assumptions!$B$5</definedName>
    <definedName name="CatchupGP">Assumptions!$B$71</definedName>
    <definedName name="CloseDate">Assumptions!$B$12</definedName>
    <definedName name="DispCost">Assumptions!$B$17</definedName>
    <definedName name="ExitCap">Assumptions!$B$16</definedName>
    <definedName name="ExpGrowth">Assumptions!$B$21</definedName>
    <definedName name="GPShare">Assumptions!$B$67</definedName>
    <definedName name="GPTarget">Assumptions!$B$72</definedName>
    <definedName name="HoldMonths">Assumptions!$B$15</definedName>
    <definedName name="LeaseTable">Assumptions!$A$56:$J$59</definedName>
    <definedName name="LPShare">Assumptions!$B$68</definedName>
    <definedName name="MgmtFeePct">Assumptions!$B$41</definedName>
    <definedName name="ParkGrowth">Assumptions!$B$23</definedName>
    <definedName name="PrefMo">Assumptions!$B$70</definedName>
    <definedName name="PurchasePrice">Assumptions!$B$6</definedName>
    <definedName name="ReimbPool">Assumptions!$B$40</definedName>
    <definedName name="RenewDiscount">Assumptions!$B$62</definedName>
    <definedName name="RenoBudget">Assumptions!$B$50</definedName>
    <definedName name="RenoDuration">Assumptions!$B$51</definedName>
    <definedName name="RentGrowth">Assumptions!$B$20</definedName>
    <definedName name="ReservesGrowth">Assumptions!$B$25</definedName>
    <definedName name="ReservesPSF">Assumptions!$B$42</definedName>
    <definedName name="ResidGP">Assumptions!$B$73</definedName>
    <definedName name="ResidLP">Assumptions!$B$74</definedName>
    <definedName name="SpecBuildout">Assumptions!$B$64</definedName>
    <definedName name="SpecTI">Assumptions!$B$63</definedName>
  </definedName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7" l="1"/>
  <c r="B51" i="4" s="1"/>
  <c r="T32" i="11"/>
  <c r="R30" i="11"/>
  <c r="S30" i="11"/>
  <c r="R31" i="11"/>
  <c r="S31" i="11"/>
  <c r="P28" i="11"/>
  <c r="Q28" i="11"/>
  <c r="P29" i="11"/>
  <c r="Q29" i="11"/>
  <c r="D34" i="12"/>
  <c r="B50" i="1"/>
  <c r="D56" i="12" s="1"/>
  <c r="G36" i="11"/>
  <c r="F36" i="11"/>
  <c r="E36" i="11"/>
  <c r="V36" i="11"/>
  <c r="U36" i="11"/>
  <c r="T36" i="11"/>
  <c r="S36" i="11"/>
  <c r="R36" i="11"/>
  <c r="Q36" i="11"/>
  <c r="P36" i="11"/>
  <c r="O36" i="11"/>
  <c r="N36" i="11"/>
  <c r="M36" i="11"/>
  <c r="L36" i="11"/>
  <c r="K36" i="11"/>
  <c r="J36" i="11"/>
  <c r="I36" i="11"/>
  <c r="H36" i="11"/>
  <c r="V35" i="11"/>
  <c r="U35" i="11"/>
  <c r="T35" i="11"/>
  <c r="S35" i="11"/>
  <c r="R35" i="11"/>
  <c r="Q35" i="11"/>
  <c r="P35" i="11"/>
  <c r="O35" i="11"/>
  <c r="N35" i="11"/>
  <c r="M35" i="11"/>
  <c r="L35" i="11"/>
  <c r="K35" i="11"/>
  <c r="J35" i="11"/>
  <c r="I35" i="11"/>
  <c r="H35" i="11"/>
  <c r="G35" i="11"/>
  <c r="F35" i="11"/>
  <c r="E35" i="11"/>
  <c r="C28" i="16"/>
  <c r="B28" i="16"/>
  <c r="C26" i="16"/>
  <c r="B26" i="16"/>
  <c r="M24" i="16"/>
  <c r="M26" i="16" s="1"/>
  <c r="L24" i="16"/>
  <c r="L26" i="16" s="1"/>
  <c r="L28" i="16" s="1"/>
  <c r="C24" i="16"/>
  <c r="B24" i="16"/>
  <c r="N23" i="16"/>
  <c r="N22" i="16"/>
  <c r="N21" i="16"/>
  <c r="N20" i="16"/>
  <c r="N19" i="16"/>
  <c r="N18" i="16"/>
  <c r="N17" i="16"/>
  <c r="N16" i="16"/>
  <c r="N15" i="16"/>
  <c r="N14" i="16"/>
  <c r="N13" i="16"/>
  <c r="M10" i="16"/>
  <c r="L10" i="16"/>
  <c r="K10" i="16"/>
  <c r="J10" i="16"/>
  <c r="I10" i="16"/>
  <c r="H10" i="16"/>
  <c r="H24" i="16" s="1"/>
  <c r="H26" i="16" s="1"/>
  <c r="G10" i="16"/>
  <c r="G24" i="16" s="1"/>
  <c r="G26" i="16" s="1"/>
  <c r="F10" i="16"/>
  <c r="F24" i="16" s="1"/>
  <c r="F26" i="16" s="1"/>
  <c r="E10" i="16"/>
  <c r="E24" i="16" s="1"/>
  <c r="E26" i="16" s="1"/>
  <c r="D10" i="16"/>
  <c r="D24" i="16" s="1"/>
  <c r="C10" i="16"/>
  <c r="B10" i="16"/>
  <c r="N10" i="16" s="1"/>
  <c r="N8" i="16"/>
  <c r="N7" i="16"/>
  <c r="N6" i="16"/>
  <c r="N5" i="16"/>
  <c r="N4" i="16"/>
  <c r="N3" i="16"/>
  <c r="B12" i="13"/>
  <c r="B13" i="13" s="1"/>
  <c r="B11" i="13"/>
  <c r="B8" i="13"/>
  <c r="B7" i="13"/>
  <c r="B6" i="13"/>
  <c r="B16" i="13"/>
  <c r="D63" i="12"/>
  <c r="D62" i="12"/>
  <c r="D61" i="12"/>
  <c r="B22" i="7"/>
  <c r="D50" i="12"/>
  <c r="D31" i="12"/>
  <c r="G34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5" i="2"/>
  <c r="D24" i="12"/>
  <c r="D23" i="12"/>
  <c r="D22" i="12"/>
  <c r="D21" i="12"/>
  <c r="D20" i="12"/>
  <c r="D17" i="12"/>
  <c r="D29" i="12" s="1"/>
  <c r="D16" i="12"/>
  <c r="D14" i="12"/>
  <c r="D10" i="12"/>
  <c r="D7" i="12"/>
  <c r="D28" i="12" s="1"/>
  <c r="D6" i="12"/>
  <c r="D5" i="12"/>
  <c r="D4" i="12"/>
  <c r="K102" i="1"/>
  <c r="J102" i="1"/>
  <c r="I102" i="1"/>
  <c r="H102" i="1"/>
  <c r="E102" i="1"/>
  <c r="D102" i="1"/>
  <c r="C102" i="1"/>
  <c r="F102" i="1"/>
  <c r="E101" i="1"/>
  <c r="D101" i="1"/>
  <c r="C101" i="1"/>
  <c r="F101" i="1"/>
  <c r="I101" i="1"/>
  <c r="J101" i="1" s="1"/>
  <c r="K101" i="1" s="1"/>
  <c r="H101" i="1"/>
  <c r="E57" i="1"/>
  <c r="S20" i="2" s="1"/>
  <c r="E58" i="1"/>
  <c r="E59" i="1"/>
  <c r="E56" i="1"/>
  <c r="D92" i="1"/>
  <c r="E92" i="1" s="1"/>
  <c r="F92" i="1" s="1"/>
  <c r="G92" i="1" s="1"/>
  <c r="B106" i="1"/>
  <c r="B105" i="1" s="1"/>
  <c r="B104" i="1" s="1"/>
  <c r="B103" i="1" s="1"/>
  <c r="G82" i="1"/>
  <c r="F82" i="1"/>
  <c r="C82" i="1"/>
  <c r="D82" i="1"/>
  <c r="B86" i="1"/>
  <c r="B85" i="1" s="1"/>
  <c r="B84" i="1" s="1"/>
  <c r="B83" i="1" s="1"/>
  <c r="B38" i="11"/>
  <c r="V32" i="11"/>
  <c r="U32" i="11"/>
  <c r="S32" i="11"/>
  <c r="R32" i="11"/>
  <c r="Q32" i="11"/>
  <c r="P32" i="11"/>
  <c r="O32" i="11"/>
  <c r="N32" i="11"/>
  <c r="M32" i="11"/>
  <c r="L32" i="11"/>
  <c r="K32" i="11"/>
  <c r="J32" i="11"/>
  <c r="I32" i="11"/>
  <c r="H32" i="11"/>
  <c r="G32" i="11"/>
  <c r="F32" i="11"/>
  <c r="E32" i="11"/>
  <c r="V31" i="11"/>
  <c r="U31" i="11"/>
  <c r="T31" i="11"/>
  <c r="Q31" i="11"/>
  <c r="P31" i="11"/>
  <c r="O31" i="11"/>
  <c r="N31" i="11"/>
  <c r="M31" i="11"/>
  <c r="L31" i="11"/>
  <c r="K31" i="11"/>
  <c r="J31" i="11"/>
  <c r="I31" i="11"/>
  <c r="H31" i="11"/>
  <c r="G31" i="11"/>
  <c r="F31" i="11"/>
  <c r="E31" i="11"/>
  <c r="V30" i="11"/>
  <c r="U30" i="11"/>
  <c r="T30" i="11"/>
  <c r="Q30" i="11"/>
  <c r="P30" i="11"/>
  <c r="O30" i="11"/>
  <c r="N30" i="11"/>
  <c r="M30" i="11"/>
  <c r="L30" i="11"/>
  <c r="K30" i="11"/>
  <c r="J30" i="11"/>
  <c r="I30" i="11"/>
  <c r="H30" i="11"/>
  <c r="G30" i="11"/>
  <c r="F30" i="11"/>
  <c r="E30" i="11"/>
  <c r="V29" i="11"/>
  <c r="U29" i="11"/>
  <c r="T29" i="11"/>
  <c r="S29" i="11"/>
  <c r="R29" i="11"/>
  <c r="O29" i="11"/>
  <c r="N29" i="11"/>
  <c r="M29" i="11"/>
  <c r="L29" i="11"/>
  <c r="K29" i="11"/>
  <c r="J29" i="11"/>
  <c r="I29" i="11"/>
  <c r="H29" i="11"/>
  <c r="G29" i="11"/>
  <c r="F29" i="11"/>
  <c r="E29" i="11"/>
  <c r="V28" i="11"/>
  <c r="U28" i="11"/>
  <c r="T28" i="11"/>
  <c r="S28" i="11"/>
  <c r="R28" i="11"/>
  <c r="O28" i="11"/>
  <c r="N28" i="11"/>
  <c r="M28" i="11"/>
  <c r="L28" i="11"/>
  <c r="K28" i="11"/>
  <c r="J28" i="11"/>
  <c r="I28" i="11"/>
  <c r="H28" i="11"/>
  <c r="G28" i="11"/>
  <c r="F28" i="11"/>
  <c r="E28" i="11"/>
  <c r="V27" i="11"/>
  <c r="U27" i="11"/>
  <c r="T27" i="11"/>
  <c r="S27" i="11"/>
  <c r="R27" i="11"/>
  <c r="Q27" i="11"/>
  <c r="P27" i="11"/>
  <c r="O27" i="11"/>
  <c r="N27" i="11"/>
  <c r="M27" i="11"/>
  <c r="L27" i="11"/>
  <c r="K27" i="11"/>
  <c r="J27" i="11"/>
  <c r="I27" i="11"/>
  <c r="H27" i="11"/>
  <c r="G27" i="11"/>
  <c r="F27" i="11"/>
  <c r="E27" i="11"/>
  <c r="V26" i="11"/>
  <c r="U26" i="11"/>
  <c r="T26" i="11"/>
  <c r="S26" i="11"/>
  <c r="R26" i="11"/>
  <c r="Q26" i="11"/>
  <c r="P26" i="11"/>
  <c r="O26" i="11"/>
  <c r="N26" i="11"/>
  <c r="M26" i="11"/>
  <c r="L26" i="11"/>
  <c r="K26" i="11"/>
  <c r="J26" i="11"/>
  <c r="I26" i="11"/>
  <c r="H26" i="11"/>
  <c r="G26" i="11"/>
  <c r="F26" i="11"/>
  <c r="E26" i="11"/>
  <c r="V23" i="11"/>
  <c r="U23" i="11"/>
  <c r="T23" i="11"/>
  <c r="S23" i="11"/>
  <c r="R23" i="11"/>
  <c r="Q23" i="11"/>
  <c r="P23" i="11"/>
  <c r="O23" i="11"/>
  <c r="N23" i="11"/>
  <c r="M23" i="11"/>
  <c r="L23" i="11"/>
  <c r="K23" i="11"/>
  <c r="J23" i="11"/>
  <c r="I23" i="11"/>
  <c r="H23" i="11"/>
  <c r="G23" i="11"/>
  <c r="F23" i="11"/>
  <c r="E23" i="11"/>
  <c r="V22" i="11"/>
  <c r="U22" i="11"/>
  <c r="T22" i="11"/>
  <c r="S22" i="11"/>
  <c r="R22" i="11"/>
  <c r="Q22" i="11"/>
  <c r="P22" i="11"/>
  <c r="O22" i="11"/>
  <c r="N22" i="11"/>
  <c r="M22" i="11"/>
  <c r="L22" i="11"/>
  <c r="K22" i="11"/>
  <c r="J22" i="11"/>
  <c r="I22" i="11"/>
  <c r="H22" i="11"/>
  <c r="G22" i="11"/>
  <c r="F22" i="11"/>
  <c r="E22" i="11"/>
  <c r="V21" i="11"/>
  <c r="U21" i="11"/>
  <c r="T21" i="11"/>
  <c r="S21" i="11"/>
  <c r="R21" i="11"/>
  <c r="Q21" i="11"/>
  <c r="P21" i="11"/>
  <c r="O21" i="11"/>
  <c r="N21" i="11"/>
  <c r="M21" i="11"/>
  <c r="L21" i="11"/>
  <c r="K21" i="11"/>
  <c r="J21" i="11"/>
  <c r="I21" i="11"/>
  <c r="H21" i="11"/>
  <c r="G21" i="11"/>
  <c r="F21" i="11"/>
  <c r="E21" i="11"/>
  <c r="V20" i="11"/>
  <c r="U20" i="11"/>
  <c r="T20" i="11"/>
  <c r="S20" i="11"/>
  <c r="R20" i="11"/>
  <c r="Q20" i="11"/>
  <c r="P20" i="11"/>
  <c r="O20" i="11"/>
  <c r="N20" i="11"/>
  <c r="M20" i="11"/>
  <c r="L20" i="11"/>
  <c r="K20" i="11"/>
  <c r="J20" i="11"/>
  <c r="I20" i="11"/>
  <c r="H20" i="11"/>
  <c r="G20" i="11"/>
  <c r="F20" i="11"/>
  <c r="E20" i="11"/>
  <c r="V19" i="11"/>
  <c r="U19" i="11"/>
  <c r="T19" i="11"/>
  <c r="S19" i="11"/>
  <c r="R19" i="11"/>
  <c r="Q19" i="11"/>
  <c r="P19" i="11"/>
  <c r="O19" i="11"/>
  <c r="N19" i="11"/>
  <c r="M19" i="11"/>
  <c r="L19" i="11"/>
  <c r="K19" i="11"/>
  <c r="J19" i="11"/>
  <c r="I19" i="11"/>
  <c r="H19" i="11"/>
  <c r="G19" i="11"/>
  <c r="F19" i="11"/>
  <c r="E19" i="11"/>
  <c r="V18" i="11"/>
  <c r="U18" i="11"/>
  <c r="T18" i="11"/>
  <c r="S18" i="11"/>
  <c r="R18" i="11"/>
  <c r="Q18" i="11"/>
  <c r="P18" i="11"/>
  <c r="O18" i="11"/>
  <c r="N18" i="11"/>
  <c r="M18" i="11"/>
  <c r="L18" i="11"/>
  <c r="K18" i="11"/>
  <c r="J18" i="11"/>
  <c r="I18" i="11"/>
  <c r="H18" i="11"/>
  <c r="G18" i="11"/>
  <c r="F18" i="11"/>
  <c r="E18" i="11"/>
  <c r="V17" i="11"/>
  <c r="U17" i="11"/>
  <c r="T17" i="11"/>
  <c r="S17" i="11"/>
  <c r="R17" i="11"/>
  <c r="Q17" i="11"/>
  <c r="P17" i="11"/>
  <c r="O17" i="11"/>
  <c r="N17" i="11"/>
  <c r="M17" i="11"/>
  <c r="L17" i="11"/>
  <c r="K17" i="11"/>
  <c r="J17" i="11"/>
  <c r="I17" i="11"/>
  <c r="H17" i="11"/>
  <c r="G17" i="11"/>
  <c r="F17" i="11"/>
  <c r="E17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G16" i="11"/>
  <c r="F16" i="11"/>
  <c r="E16" i="11"/>
  <c r="V15" i="11"/>
  <c r="U15" i="11"/>
  <c r="T15" i="11"/>
  <c r="S15" i="11"/>
  <c r="R15" i="11"/>
  <c r="Q15" i="11"/>
  <c r="P15" i="11"/>
  <c r="O15" i="11"/>
  <c r="N15" i="11"/>
  <c r="M15" i="11"/>
  <c r="L15" i="11"/>
  <c r="K15" i="11"/>
  <c r="J15" i="11"/>
  <c r="I15" i="11"/>
  <c r="H15" i="11"/>
  <c r="G15" i="11"/>
  <c r="F15" i="11"/>
  <c r="E15" i="11"/>
  <c r="V14" i="11"/>
  <c r="U14" i="11"/>
  <c r="T14" i="11"/>
  <c r="S14" i="11"/>
  <c r="R14" i="11"/>
  <c r="Q14" i="11"/>
  <c r="P14" i="11"/>
  <c r="O14" i="11"/>
  <c r="N14" i="11"/>
  <c r="M14" i="11"/>
  <c r="L14" i="11"/>
  <c r="K14" i="11"/>
  <c r="J14" i="11"/>
  <c r="I14" i="11"/>
  <c r="H14" i="11"/>
  <c r="G14" i="11"/>
  <c r="F14" i="11"/>
  <c r="E14" i="11"/>
  <c r="V13" i="11"/>
  <c r="U13" i="11"/>
  <c r="T13" i="11"/>
  <c r="S13" i="11"/>
  <c r="R13" i="11"/>
  <c r="Q13" i="11"/>
  <c r="P13" i="11"/>
  <c r="O13" i="11"/>
  <c r="N13" i="11"/>
  <c r="M13" i="11"/>
  <c r="L13" i="11"/>
  <c r="K13" i="11"/>
  <c r="J13" i="11"/>
  <c r="I13" i="11"/>
  <c r="H13" i="11"/>
  <c r="G13" i="11"/>
  <c r="F13" i="11"/>
  <c r="E13" i="11"/>
  <c r="V12" i="11"/>
  <c r="U12" i="11"/>
  <c r="T12" i="11"/>
  <c r="S12" i="11"/>
  <c r="R12" i="11"/>
  <c r="Q12" i="11"/>
  <c r="P12" i="11"/>
  <c r="O12" i="11"/>
  <c r="N12" i="11"/>
  <c r="M12" i="11"/>
  <c r="L12" i="11"/>
  <c r="K12" i="11"/>
  <c r="J12" i="11"/>
  <c r="I12" i="11"/>
  <c r="H12" i="11"/>
  <c r="G12" i="11"/>
  <c r="F12" i="11"/>
  <c r="E12" i="11"/>
  <c r="V11" i="11"/>
  <c r="U11" i="11"/>
  <c r="T11" i="11"/>
  <c r="S11" i="11"/>
  <c r="R11" i="11"/>
  <c r="Q11" i="11"/>
  <c r="P11" i="11"/>
  <c r="O11" i="11"/>
  <c r="N11" i="11"/>
  <c r="M11" i="11"/>
  <c r="L11" i="11"/>
  <c r="K11" i="11"/>
  <c r="J11" i="11"/>
  <c r="I11" i="11"/>
  <c r="H11" i="11"/>
  <c r="G11" i="11"/>
  <c r="F11" i="11"/>
  <c r="E11" i="11"/>
  <c r="V10" i="11"/>
  <c r="U10" i="11"/>
  <c r="T10" i="11"/>
  <c r="S10" i="11"/>
  <c r="R10" i="11"/>
  <c r="Q10" i="11"/>
  <c r="P10" i="11"/>
  <c r="O10" i="11"/>
  <c r="N10" i="11"/>
  <c r="M10" i="11"/>
  <c r="L10" i="11"/>
  <c r="K10" i="11"/>
  <c r="J10" i="11"/>
  <c r="I10" i="11"/>
  <c r="H10" i="11"/>
  <c r="G10" i="11"/>
  <c r="F10" i="11"/>
  <c r="E10" i="11"/>
  <c r="V9" i="11"/>
  <c r="U9" i="11"/>
  <c r="T9" i="11"/>
  <c r="S9" i="11"/>
  <c r="R9" i="11"/>
  <c r="Q9" i="11"/>
  <c r="P9" i="11"/>
  <c r="O9" i="11"/>
  <c r="N9" i="11"/>
  <c r="M9" i="11"/>
  <c r="L9" i="11"/>
  <c r="K9" i="11"/>
  <c r="J9" i="11"/>
  <c r="I9" i="11"/>
  <c r="H9" i="11"/>
  <c r="G9" i="11"/>
  <c r="F9" i="11"/>
  <c r="E9" i="11"/>
  <c r="V8" i="11"/>
  <c r="U8" i="11"/>
  <c r="T8" i="11"/>
  <c r="S8" i="11"/>
  <c r="R8" i="11"/>
  <c r="Q8" i="11"/>
  <c r="P8" i="11"/>
  <c r="O8" i="11"/>
  <c r="N8" i="11"/>
  <c r="M8" i="11"/>
  <c r="L8" i="11"/>
  <c r="K8" i="11"/>
  <c r="J8" i="11"/>
  <c r="I8" i="11"/>
  <c r="H8" i="11"/>
  <c r="G8" i="11"/>
  <c r="F8" i="11"/>
  <c r="E8" i="11"/>
  <c r="D34" i="10"/>
  <c r="D30" i="10"/>
  <c r="D24" i="10"/>
  <c r="D20" i="10"/>
  <c r="D4" i="10"/>
  <c r="B74" i="1"/>
  <c r="B70" i="1"/>
  <c r="D35" i="10" s="1"/>
  <c r="B68" i="1"/>
  <c r="H36" i="7" a="1"/>
  <c r="H36" i="7" s="1"/>
  <c r="H35" i="7" a="1"/>
  <c r="H35" i="7" s="1"/>
  <c r="E33" i="7"/>
  <c r="F33" i="7"/>
  <c r="D33" i="7"/>
  <c r="E34" i="7"/>
  <c r="F34" i="7"/>
  <c r="D34" i="7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28" i="8" s="1"/>
  <c r="H13" i="8"/>
  <c r="H12" i="8"/>
  <c r="H11" i="8"/>
  <c r="H10" i="8"/>
  <c r="H9" i="8"/>
  <c r="H8" i="8"/>
  <c r="H7" i="8"/>
  <c r="H6" i="8"/>
  <c r="H5" i="8"/>
  <c r="H4" i="8"/>
  <c r="H3" i="8"/>
  <c r="H2" i="8"/>
  <c r="K53" i="9"/>
  <c r="K52" i="9"/>
  <c r="J53" i="9"/>
  <c r="I53" i="9"/>
  <c r="H53" i="9"/>
  <c r="E53" i="9"/>
  <c r="J52" i="9"/>
  <c r="I52" i="9"/>
  <c r="H52" i="9"/>
  <c r="G52" i="9"/>
  <c r="E52" i="9"/>
  <c r="I30" i="8"/>
  <c r="E29" i="8"/>
  <c r="E30" i="8" s="1"/>
  <c r="J28" i="8"/>
  <c r="I28" i="8"/>
  <c r="J27" i="8"/>
  <c r="I27" i="8"/>
  <c r="G28" i="8"/>
  <c r="G27" i="8"/>
  <c r="E28" i="8"/>
  <c r="E27" i="8"/>
  <c r="B61" i="4"/>
  <c r="B13" i="7"/>
  <c r="B47" i="4" s="1"/>
  <c r="B4" i="7"/>
  <c r="D42" i="12" s="1"/>
  <c r="B21" i="7"/>
  <c r="B20" i="7"/>
  <c r="B52" i="4" s="1"/>
  <c r="B19" i="7"/>
  <c r="B18" i="7"/>
  <c r="B17" i="7"/>
  <c r="D51" i="12" s="1"/>
  <c r="B15" i="7"/>
  <c r="B12" i="7"/>
  <c r="D48" i="12" s="1"/>
  <c r="B11" i="7"/>
  <c r="D47" i="12" s="1"/>
  <c r="B10" i="7"/>
  <c r="B44" i="4" s="1"/>
  <c r="B9" i="7"/>
  <c r="D44" i="12" s="1"/>
  <c r="B8" i="7"/>
  <c r="B7" i="7"/>
  <c r="B6" i="7"/>
  <c r="B5" i="7"/>
  <c r="D43" i="12" s="1"/>
  <c r="B13" i="5"/>
  <c r="E4" i="4"/>
  <c r="F4" i="4" s="1"/>
  <c r="G4" i="4" s="1"/>
  <c r="H4" i="4" s="1"/>
  <c r="I4" i="4" s="1"/>
  <c r="J4" i="4" s="1"/>
  <c r="E3" i="4"/>
  <c r="D5" i="4"/>
  <c r="E5" i="4" s="1"/>
  <c r="F5" i="4" s="1"/>
  <c r="G5" i="4" s="1"/>
  <c r="H5" i="4" s="1"/>
  <c r="I5" i="4" s="1"/>
  <c r="J5" i="4" s="1"/>
  <c r="BL12" i="3"/>
  <c r="BM12" i="3"/>
  <c r="BN12" i="3"/>
  <c r="BO12" i="3"/>
  <c r="BP12" i="3"/>
  <c r="BQ12" i="3"/>
  <c r="BR12" i="3"/>
  <c r="BS12" i="3"/>
  <c r="BT12" i="3"/>
  <c r="BU12" i="3"/>
  <c r="BV12" i="3"/>
  <c r="BW12" i="3"/>
  <c r="BX12" i="3"/>
  <c r="BL13" i="3"/>
  <c r="BM13" i="3"/>
  <c r="BN13" i="3"/>
  <c r="BO13" i="3"/>
  <c r="BP13" i="3"/>
  <c r="BQ13" i="3"/>
  <c r="BR13" i="3"/>
  <c r="BS13" i="3"/>
  <c r="BT13" i="3"/>
  <c r="BU13" i="3"/>
  <c r="BV13" i="3"/>
  <c r="BW13" i="3"/>
  <c r="BX13" i="3"/>
  <c r="BL14" i="3"/>
  <c r="BM14" i="3"/>
  <c r="BN14" i="3"/>
  <c r="BO14" i="3"/>
  <c r="BP14" i="3"/>
  <c r="BQ14" i="3"/>
  <c r="BR14" i="3"/>
  <c r="BS14" i="3"/>
  <c r="BT14" i="3"/>
  <c r="BU14" i="3"/>
  <c r="BV14" i="3"/>
  <c r="BW14" i="3"/>
  <c r="BX14" i="3"/>
  <c r="BL17" i="3"/>
  <c r="BM17" i="3"/>
  <c r="BN17" i="3"/>
  <c r="BO17" i="3"/>
  <c r="BP17" i="3"/>
  <c r="BQ17" i="3"/>
  <c r="BR17" i="3"/>
  <c r="BS17" i="3"/>
  <c r="BT17" i="3"/>
  <c r="BU17" i="3"/>
  <c r="BV17" i="3"/>
  <c r="BW17" i="3"/>
  <c r="BX17" i="3"/>
  <c r="BL18" i="3"/>
  <c r="BM18" i="3"/>
  <c r="BN18" i="3"/>
  <c r="BO18" i="3"/>
  <c r="BP18" i="3"/>
  <c r="BQ18" i="3"/>
  <c r="BR18" i="3"/>
  <c r="BS18" i="3"/>
  <c r="BT18" i="3"/>
  <c r="BU18" i="3"/>
  <c r="BV18" i="3"/>
  <c r="BW18" i="3"/>
  <c r="BX18" i="3"/>
  <c r="BL200" i="3"/>
  <c r="BM200" i="3"/>
  <c r="BN200" i="3"/>
  <c r="BO200" i="3"/>
  <c r="BP200" i="3"/>
  <c r="BQ200" i="3"/>
  <c r="BR200" i="3"/>
  <c r="BS200" i="3"/>
  <c r="BT200" i="3"/>
  <c r="BU200" i="3"/>
  <c r="BV200" i="3"/>
  <c r="BW200" i="3"/>
  <c r="BX200" i="3"/>
  <c r="BL201" i="3"/>
  <c r="BM201" i="3"/>
  <c r="BN201" i="3"/>
  <c r="BO201" i="3"/>
  <c r="BP201" i="3"/>
  <c r="BQ201" i="3"/>
  <c r="BR201" i="3"/>
  <c r="BS201" i="3"/>
  <c r="BT201" i="3"/>
  <c r="BU201" i="3"/>
  <c r="BV201" i="3"/>
  <c r="BW201" i="3"/>
  <c r="BX201" i="3"/>
  <c r="BL202" i="3"/>
  <c r="BM202" i="3"/>
  <c r="BN202" i="3"/>
  <c r="BO202" i="3"/>
  <c r="BP202" i="3"/>
  <c r="BQ202" i="3"/>
  <c r="BR202" i="3"/>
  <c r="BS202" i="3"/>
  <c r="BT202" i="3"/>
  <c r="BU202" i="3"/>
  <c r="BV202" i="3"/>
  <c r="BW202" i="3"/>
  <c r="BX202" i="3"/>
  <c r="BL203" i="3"/>
  <c r="BM203" i="3"/>
  <c r="BN203" i="3"/>
  <c r="BO203" i="3"/>
  <c r="BP203" i="3"/>
  <c r="BQ203" i="3"/>
  <c r="BR203" i="3"/>
  <c r="BS203" i="3"/>
  <c r="BT203" i="3"/>
  <c r="BU203" i="3"/>
  <c r="BV203" i="3"/>
  <c r="BW203" i="3"/>
  <c r="BX203" i="3"/>
  <c r="BL204" i="3"/>
  <c r="BM204" i="3"/>
  <c r="BN204" i="3"/>
  <c r="BO204" i="3"/>
  <c r="BP204" i="3"/>
  <c r="BQ204" i="3"/>
  <c r="BR204" i="3"/>
  <c r="BS204" i="3"/>
  <c r="BT204" i="3"/>
  <c r="BU204" i="3"/>
  <c r="BV204" i="3"/>
  <c r="BW204" i="3"/>
  <c r="BX204" i="3"/>
  <c r="BL205" i="3"/>
  <c r="BM205" i="3"/>
  <c r="BN205" i="3"/>
  <c r="BO205" i="3"/>
  <c r="BP205" i="3"/>
  <c r="BQ205" i="3"/>
  <c r="BR205" i="3"/>
  <c r="BS205" i="3"/>
  <c r="BT205" i="3"/>
  <c r="BU205" i="3"/>
  <c r="BV205" i="3"/>
  <c r="BW205" i="3"/>
  <c r="BX205" i="3"/>
  <c r="BL206" i="3"/>
  <c r="BM206" i="3"/>
  <c r="BN206" i="3"/>
  <c r="BO206" i="3"/>
  <c r="BP206" i="3"/>
  <c r="BQ206" i="3"/>
  <c r="BR206" i="3"/>
  <c r="BS206" i="3"/>
  <c r="BT206" i="3"/>
  <c r="BU206" i="3"/>
  <c r="BV206" i="3"/>
  <c r="BW206" i="3"/>
  <c r="BX206" i="3"/>
  <c r="BL207" i="3"/>
  <c r="BM207" i="3"/>
  <c r="BN207" i="3"/>
  <c r="BO207" i="3"/>
  <c r="BP207" i="3"/>
  <c r="BQ207" i="3"/>
  <c r="BR207" i="3"/>
  <c r="BS207" i="3"/>
  <c r="BT207" i="3"/>
  <c r="BU207" i="3"/>
  <c r="BV207" i="3"/>
  <c r="BW207" i="3"/>
  <c r="BX207" i="3"/>
  <c r="BL208" i="3"/>
  <c r="BM208" i="3"/>
  <c r="BN208" i="3"/>
  <c r="BO208" i="3"/>
  <c r="BP208" i="3"/>
  <c r="BQ208" i="3"/>
  <c r="BR208" i="3"/>
  <c r="BS208" i="3"/>
  <c r="BT208" i="3"/>
  <c r="BU208" i="3"/>
  <c r="BV208" i="3"/>
  <c r="BW208" i="3"/>
  <c r="BX208" i="3"/>
  <c r="BL210" i="3"/>
  <c r="BM210" i="3"/>
  <c r="BN210" i="3"/>
  <c r="BO210" i="3"/>
  <c r="BP210" i="3"/>
  <c r="BQ210" i="3"/>
  <c r="BR210" i="3"/>
  <c r="BS210" i="3"/>
  <c r="BT210" i="3"/>
  <c r="BU210" i="3"/>
  <c r="BV210" i="3"/>
  <c r="BW210" i="3"/>
  <c r="BX210" i="3"/>
  <c r="BL211" i="3"/>
  <c r="BM211" i="3"/>
  <c r="BN211" i="3"/>
  <c r="BO211" i="3"/>
  <c r="BP211" i="3"/>
  <c r="BQ211" i="3"/>
  <c r="BR211" i="3"/>
  <c r="BS211" i="3"/>
  <c r="BT211" i="3"/>
  <c r="BU211" i="3"/>
  <c r="BV211" i="3"/>
  <c r="BW211" i="3"/>
  <c r="BX211" i="3"/>
  <c r="BL220" i="3"/>
  <c r="BM220" i="3"/>
  <c r="BN220" i="3"/>
  <c r="BO220" i="3"/>
  <c r="BP220" i="3"/>
  <c r="BQ220" i="3"/>
  <c r="BR220" i="3"/>
  <c r="BS220" i="3"/>
  <c r="BT220" i="3"/>
  <c r="BU220" i="3"/>
  <c r="BV220" i="3"/>
  <c r="BW220" i="3"/>
  <c r="BX220" i="3"/>
  <c r="BL221" i="3"/>
  <c r="BM221" i="3"/>
  <c r="BN221" i="3"/>
  <c r="BO221" i="3"/>
  <c r="BP221" i="3"/>
  <c r="BQ221" i="3"/>
  <c r="BR221" i="3"/>
  <c r="BS221" i="3"/>
  <c r="BT221" i="3"/>
  <c r="BU221" i="3"/>
  <c r="BV221" i="3"/>
  <c r="BW221" i="3"/>
  <c r="BX221" i="3"/>
  <c r="BL230" i="3"/>
  <c r="BM230" i="3"/>
  <c r="BN230" i="3"/>
  <c r="BO230" i="3"/>
  <c r="BP230" i="3"/>
  <c r="BQ230" i="3"/>
  <c r="BR230" i="3"/>
  <c r="BS230" i="3"/>
  <c r="BT230" i="3"/>
  <c r="BU230" i="3"/>
  <c r="BV230" i="3"/>
  <c r="BW230" i="3"/>
  <c r="BX230" i="3"/>
  <c r="BL231" i="3"/>
  <c r="BM231" i="3"/>
  <c r="BN231" i="3"/>
  <c r="BO231" i="3"/>
  <c r="BP231" i="3"/>
  <c r="BQ231" i="3"/>
  <c r="BR231" i="3"/>
  <c r="BS231" i="3"/>
  <c r="BT231" i="3"/>
  <c r="BU231" i="3"/>
  <c r="BV231" i="3"/>
  <c r="BW231" i="3"/>
  <c r="BX231" i="3"/>
  <c r="BL240" i="3"/>
  <c r="BM240" i="3"/>
  <c r="BN240" i="3"/>
  <c r="BO240" i="3"/>
  <c r="BP240" i="3"/>
  <c r="BQ240" i="3"/>
  <c r="BR240" i="3"/>
  <c r="BS240" i="3"/>
  <c r="BT240" i="3"/>
  <c r="BU240" i="3"/>
  <c r="BV240" i="3"/>
  <c r="BW240" i="3"/>
  <c r="BX240" i="3"/>
  <c r="BL241" i="3"/>
  <c r="BM241" i="3"/>
  <c r="BN241" i="3"/>
  <c r="BO241" i="3"/>
  <c r="BP241" i="3"/>
  <c r="BQ241" i="3"/>
  <c r="BR241" i="3"/>
  <c r="BS241" i="3"/>
  <c r="BT241" i="3"/>
  <c r="BU241" i="3"/>
  <c r="BV241" i="3"/>
  <c r="BW241" i="3"/>
  <c r="BX241" i="3"/>
  <c r="BL250" i="3"/>
  <c r="BM250" i="3"/>
  <c r="BN250" i="3"/>
  <c r="BO250" i="3"/>
  <c r="BP250" i="3"/>
  <c r="BQ250" i="3"/>
  <c r="BR250" i="3"/>
  <c r="BS250" i="3"/>
  <c r="BT250" i="3"/>
  <c r="BU250" i="3"/>
  <c r="BV250" i="3"/>
  <c r="BW250" i="3"/>
  <c r="BX250" i="3"/>
  <c r="BL251" i="3"/>
  <c r="BM251" i="3"/>
  <c r="BN251" i="3"/>
  <c r="BO251" i="3"/>
  <c r="BP251" i="3"/>
  <c r="BQ251" i="3"/>
  <c r="BR251" i="3"/>
  <c r="BS251" i="3"/>
  <c r="BT251" i="3"/>
  <c r="BU251" i="3"/>
  <c r="BV251" i="3"/>
  <c r="BW251" i="3"/>
  <c r="BX251" i="3"/>
  <c r="BL260" i="3"/>
  <c r="BM260" i="3"/>
  <c r="BN260" i="3"/>
  <c r="BO260" i="3"/>
  <c r="BP260" i="3"/>
  <c r="BQ260" i="3"/>
  <c r="BR260" i="3"/>
  <c r="BS260" i="3"/>
  <c r="BT260" i="3"/>
  <c r="BU260" i="3"/>
  <c r="BV260" i="3"/>
  <c r="BW260" i="3"/>
  <c r="BX260" i="3"/>
  <c r="BL261" i="3"/>
  <c r="BM261" i="3"/>
  <c r="BN261" i="3"/>
  <c r="BO261" i="3"/>
  <c r="BP261" i="3"/>
  <c r="BQ261" i="3"/>
  <c r="BR261" i="3"/>
  <c r="BS261" i="3"/>
  <c r="BT261" i="3"/>
  <c r="BU261" i="3"/>
  <c r="BV261" i="3"/>
  <c r="BW261" i="3"/>
  <c r="BX261" i="3"/>
  <c r="BL270" i="3"/>
  <c r="BM270" i="3"/>
  <c r="BN270" i="3"/>
  <c r="BO270" i="3"/>
  <c r="BP270" i="3"/>
  <c r="BQ270" i="3"/>
  <c r="BR270" i="3"/>
  <c r="BS270" i="3"/>
  <c r="BT270" i="3"/>
  <c r="BU270" i="3"/>
  <c r="BV270" i="3"/>
  <c r="BW270" i="3"/>
  <c r="BX270" i="3"/>
  <c r="BL271" i="3"/>
  <c r="BM271" i="3"/>
  <c r="BN271" i="3"/>
  <c r="BO271" i="3"/>
  <c r="BP271" i="3"/>
  <c r="BQ271" i="3"/>
  <c r="BR271" i="3"/>
  <c r="BS271" i="3"/>
  <c r="BT271" i="3"/>
  <c r="BU271" i="3"/>
  <c r="BV271" i="3"/>
  <c r="BW271" i="3"/>
  <c r="BX271" i="3"/>
  <c r="BL280" i="3"/>
  <c r="BM280" i="3"/>
  <c r="BN280" i="3"/>
  <c r="BO280" i="3"/>
  <c r="BP280" i="3"/>
  <c r="BQ280" i="3"/>
  <c r="BR280" i="3"/>
  <c r="BS280" i="3"/>
  <c r="BT280" i="3"/>
  <c r="BU280" i="3"/>
  <c r="BV280" i="3"/>
  <c r="BW280" i="3"/>
  <c r="BX280" i="3"/>
  <c r="BL281" i="3"/>
  <c r="BM281" i="3"/>
  <c r="BN281" i="3"/>
  <c r="BO281" i="3"/>
  <c r="BP281" i="3"/>
  <c r="BQ281" i="3"/>
  <c r="BR281" i="3"/>
  <c r="BS281" i="3"/>
  <c r="BT281" i="3"/>
  <c r="BU281" i="3"/>
  <c r="BV281" i="3"/>
  <c r="BW281" i="3"/>
  <c r="BX281" i="3"/>
  <c r="BL291" i="3"/>
  <c r="BM291" i="3"/>
  <c r="BN291" i="3"/>
  <c r="BO291" i="3"/>
  <c r="BP291" i="3"/>
  <c r="BQ291" i="3"/>
  <c r="BR291" i="3"/>
  <c r="BS291" i="3"/>
  <c r="BT291" i="3"/>
  <c r="BU291" i="3"/>
  <c r="BV291" i="3"/>
  <c r="BW291" i="3"/>
  <c r="BX291" i="3"/>
  <c r="BL301" i="3"/>
  <c r="BM301" i="3"/>
  <c r="BN301" i="3"/>
  <c r="BO301" i="3"/>
  <c r="BP301" i="3"/>
  <c r="BQ301" i="3"/>
  <c r="BR301" i="3"/>
  <c r="BS301" i="3"/>
  <c r="BT301" i="3"/>
  <c r="BU301" i="3"/>
  <c r="BV301" i="3"/>
  <c r="BW301" i="3"/>
  <c r="BX301" i="3"/>
  <c r="BL311" i="3"/>
  <c r="BM311" i="3"/>
  <c r="BN311" i="3"/>
  <c r="BO311" i="3"/>
  <c r="BP311" i="3"/>
  <c r="BQ311" i="3"/>
  <c r="BR311" i="3"/>
  <c r="BS311" i="3"/>
  <c r="BT311" i="3"/>
  <c r="BU311" i="3"/>
  <c r="BV311" i="3"/>
  <c r="BW311" i="3"/>
  <c r="BX311" i="3"/>
  <c r="BL321" i="3"/>
  <c r="BM321" i="3"/>
  <c r="BN321" i="3"/>
  <c r="BO321" i="3"/>
  <c r="BP321" i="3"/>
  <c r="BQ321" i="3"/>
  <c r="BR321" i="3"/>
  <c r="BS321" i="3"/>
  <c r="BT321" i="3"/>
  <c r="BU321" i="3"/>
  <c r="BV321" i="3"/>
  <c r="BW321" i="3"/>
  <c r="BX321" i="3"/>
  <c r="BL331" i="3"/>
  <c r="BM331" i="3"/>
  <c r="BN331" i="3"/>
  <c r="BO331" i="3"/>
  <c r="BP331" i="3"/>
  <c r="BQ331" i="3"/>
  <c r="BR331" i="3"/>
  <c r="BS331" i="3"/>
  <c r="BT331" i="3"/>
  <c r="BU331" i="3"/>
  <c r="BV331" i="3"/>
  <c r="BW331" i="3"/>
  <c r="BX331" i="3"/>
  <c r="BL341" i="3"/>
  <c r="BM341" i="3"/>
  <c r="BN341" i="3"/>
  <c r="BO341" i="3"/>
  <c r="BP341" i="3"/>
  <c r="BQ341" i="3"/>
  <c r="BR341" i="3"/>
  <c r="BS341" i="3"/>
  <c r="BT341" i="3"/>
  <c r="BU341" i="3"/>
  <c r="BV341" i="3"/>
  <c r="BW341" i="3"/>
  <c r="BX341" i="3"/>
  <c r="L29" i="4"/>
  <c r="L30" i="4" s="1"/>
  <c r="BK12" i="3"/>
  <c r="BK13" i="3"/>
  <c r="BK14" i="3"/>
  <c r="BK17" i="3"/>
  <c r="BK18" i="3"/>
  <c r="BK200" i="3"/>
  <c r="BK201" i="3"/>
  <c r="BK202" i="3"/>
  <c r="BK203" i="3"/>
  <c r="BK204" i="3"/>
  <c r="BK205" i="3"/>
  <c r="BK206" i="3"/>
  <c r="BK207" i="3"/>
  <c r="BK208" i="3"/>
  <c r="BK210" i="3"/>
  <c r="BK211" i="3"/>
  <c r="BK220" i="3"/>
  <c r="BK221" i="3"/>
  <c r="BK230" i="3"/>
  <c r="BK231" i="3"/>
  <c r="BK240" i="3"/>
  <c r="BK241" i="3"/>
  <c r="BK250" i="3"/>
  <c r="BK251" i="3"/>
  <c r="BK260" i="3"/>
  <c r="BK261" i="3"/>
  <c r="BK270" i="3"/>
  <c r="BK271" i="3"/>
  <c r="BK280" i="3"/>
  <c r="BK281" i="3"/>
  <c r="BK291" i="3"/>
  <c r="BK301" i="3"/>
  <c r="BK311" i="3"/>
  <c r="BK321" i="3"/>
  <c r="BK331" i="3"/>
  <c r="BK341" i="3"/>
  <c r="E3" i="3"/>
  <c r="E300" i="3" s="1"/>
  <c r="D4" i="3"/>
  <c r="E208" i="3"/>
  <c r="F208" i="3"/>
  <c r="G208" i="3"/>
  <c r="H208" i="3"/>
  <c r="I208" i="3"/>
  <c r="J208" i="3"/>
  <c r="K208" i="3"/>
  <c r="L208" i="3"/>
  <c r="M208" i="3"/>
  <c r="N208" i="3"/>
  <c r="O208" i="3"/>
  <c r="P208" i="3"/>
  <c r="Q208" i="3"/>
  <c r="R208" i="3"/>
  <c r="S208" i="3"/>
  <c r="T208" i="3"/>
  <c r="U208" i="3"/>
  <c r="V208" i="3"/>
  <c r="W208" i="3"/>
  <c r="X208" i="3"/>
  <c r="Y208" i="3"/>
  <c r="Z208" i="3"/>
  <c r="AA208" i="3"/>
  <c r="AB208" i="3"/>
  <c r="AC208" i="3"/>
  <c r="AD208" i="3"/>
  <c r="AE208" i="3"/>
  <c r="AF208" i="3"/>
  <c r="AG208" i="3"/>
  <c r="AH208" i="3"/>
  <c r="AI208" i="3"/>
  <c r="AJ208" i="3"/>
  <c r="AK208" i="3"/>
  <c r="AL208" i="3"/>
  <c r="AM208" i="3"/>
  <c r="AN208" i="3"/>
  <c r="AO208" i="3"/>
  <c r="AP208" i="3"/>
  <c r="AQ208" i="3"/>
  <c r="AR208" i="3"/>
  <c r="AS208" i="3"/>
  <c r="AT208" i="3"/>
  <c r="AU208" i="3"/>
  <c r="AV208" i="3"/>
  <c r="AW208" i="3"/>
  <c r="AX208" i="3"/>
  <c r="AY208" i="3"/>
  <c r="AZ208" i="3"/>
  <c r="BA208" i="3"/>
  <c r="BB208" i="3"/>
  <c r="BC208" i="3"/>
  <c r="BD208" i="3"/>
  <c r="BE208" i="3"/>
  <c r="BF208" i="3"/>
  <c r="BG208" i="3"/>
  <c r="BH208" i="3"/>
  <c r="BI208" i="3"/>
  <c r="BJ208" i="3"/>
  <c r="D208" i="3"/>
  <c r="E207" i="3"/>
  <c r="F207" i="3"/>
  <c r="G207" i="3"/>
  <c r="H207" i="3"/>
  <c r="I207" i="3"/>
  <c r="J207" i="3"/>
  <c r="K207" i="3"/>
  <c r="L207" i="3"/>
  <c r="M207" i="3"/>
  <c r="N207" i="3"/>
  <c r="O207" i="3"/>
  <c r="P207" i="3"/>
  <c r="Q207" i="3"/>
  <c r="R207" i="3"/>
  <c r="S207" i="3"/>
  <c r="T207" i="3"/>
  <c r="U207" i="3"/>
  <c r="V207" i="3"/>
  <c r="W207" i="3"/>
  <c r="X207" i="3"/>
  <c r="Y207" i="3"/>
  <c r="Z207" i="3"/>
  <c r="AA207" i="3"/>
  <c r="AB207" i="3"/>
  <c r="AC207" i="3"/>
  <c r="AD207" i="3"/>
  <c r="AE207" i="3"/>
  <c r="AF207" i="3"/>
  <c r="AG207" i="3"/>
  <c r="AH207" i="3"/>
  <c r="AI207" i="3"/>
  <c r="AJ207" i="3"/>
  <c r="AK207" i="3"/>
  <c r="AL207" i="3"/>
  <c r="AM207" i="3"/>
  <c r="AN207" i="3"/>
  <c r="AO207" i="3"/>
  <c r="AP207" i="3"/>
  <c r="AQ207" i="3"/>
  <c r="AR207" i="3"/>
  <c r="AS207" i="3"/>
  <c r="AT207" i="3"/>
  <c r="AU207" i="3"/>
  <c r="AV207" i="3"/>
  <c r="AW207" i="3"/>
  <c r="AX207" i="3"/>
  <c r="AY207" i="3"/>
  <c r="AZ207" i="3"/>
  <c r="BA207" i="3"/>
  <c r="BB207" i="3"/>
  <c r="BC207" i="3"/>
  <c r="BD207" i="3"/>
  <c r="BE207" i="3"/>
  <c r="BF207" i="3"/>
  <c r="BG207" i="3"/>
  <c r="BH207" i="3"/>
  <c r="BI207" i="3"/>
  <c r="BJ207" i="3"/>
  <c r="D207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AF18" i="3"/>
  <c r="AG18" i="3"/>
  <c r="AH18" i="3"/>
  <c r="AI18" i="3"/>
  <c r="AJ18" i="3"/>
  <c r="AK18" i="3"/>
  <c r="AL18" i="3"/>
  <c r="AM18" i="3"/>
  <c r="AN18" i="3"/>
  <c r="AO18" i="3"/>
  <c r="AP18" i="3"/>
  <c r="AQ18" i="3"/>
  <c r="AR18" i="3"/>
  <c r="AS18" i="3"/>
  <c r="AT18" i="3"/>
  <c r="AU18" i="3"/>
  <c r="AV18" i="3"/>
  <c r="AW18" i="3"/>
  <c r="AX18" i="3"/>
  <c r="AY18" i="3"/>
  <c r="AZ18" i="3"/>
  <c r="BA18" i="3"/>
  <c r="BB18" i="3"/>
  <c r="BC18" i="3"/>
  <c r="BD18" i="3"/>
  <c r="BE18" i="3"/>
  <c r="BF18" i="3"/>
  <c r="BG18" i="3"/>
  <c r="BH18" i="3"/>
  <c r="BI18" i="3"/>
  <c r="BJ18" i="3"/>
  <c r="D18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AF17" i="3"/>
  <c r="AG17" i="3"/>
  <c r="AH17" i="3"/>
  <c r="AI17" i="3"/>
  <c r="AJ17" i="3"/>
  <c r="AK17" i="3"/>
  <c r="AL17" i="3"/>
  <c r="AM17" i="3"/>
  <c r="AN17" i="3"/>
  <c r="AO17" i="3"/>
  <c r="AP17" i="3"/>
  <c r="AQ17" i="3"/>
  <c r="AR17" i="3"/>
  <c r="AS17" i="3"/>
  <c r="AT17" i="3"/>
  <c r="AU17" i="3"/>
  <c r="AV17" i="3"/>
  <c r="AW17" i="3"/>
  <c r="AX17" i="3"/>
  <c r="AY17" i="3"/>
  <c r="AZ17" i="3"/>
  <c r="BA17" i="3"/>
  <c r="BB17" i="3"/>
  <c r="BC17" i="3"/>
  <c r="BD17" i="3"/>
  <c r="BE17" i="3"/>
  <c r="BF17" i="3"/>
  <c r="BG17" i="3"/>
  <c r="BH17" i="3"/>
  <c r="BI17" i="3"/>
  <c r="BJ17" i="3"/>
  <c r="D17" i="3"/>
  <c r="B6" i="5"/>
  <c r="B4" i="5"/>
  <c r="M4" i="4"/>
  <c r="M3" i="4" s="1"/>
  <c r="E3" i="10" s="1"/>
  <c r="L4" i="4"/>
  <c r="L27" i="4" s="1"/>
  <c r="E341" i="3"/>
  <c r="F341" i="3"/>
  <c r="G341" i="3"/>
  <c r="H341" i="3"/>
  <c r="I341" i="3"/>
  <c r="J341" i="3"/>
  <c r="K341" i="3"/>
  <c r="L341" i="3"/>
  <c r="M341" i="3"/>
  <c r="N341" i="3"/>
  <c r="O341" i="3"/>
  <c r="P341" i="3"/>
  <c r="Q341" i="3"/>
  <c r="R341" i="3"/>
  <c r="S341" i="3"/>
  <c r="T341" i="3"/>
  <c r="U341" i="3"/>
  <c r="V341" i="3"/>
  <c r="W341" i="3"/>
  <c r="X341" i="3"/>
  <c r="Y341" i="3"/>
  <c r="Z341" i="3"/>
  <c r="AA341" i="3"/>
  <c r="AB341" i="3"/>
  <c r="AC341" i="3"/>
  <c r="AD341" i="3"/>
  <c r="AE341" i="3"/>
  <c r="AF341" i="3"/>
  <c r="AG341" i="3"/>
  <c r="AH341" i="3"/>
  <c r="AI341" i="3"/>
  <c r="AJ341" i="3"/>
  <c r="AK341" i="3"/>
  <c r="AL341" i="3"/>
  <c r="AM341" i="3"/>
  <c r="AN341" i="3"/>
  <c r="AO341" i="3"/>
  <c r="AP341" i="3"/>
  <c r="AQ341" i="3"/>
  <c r="AR341" i="3"/>
  <c r="AS341" i="3"/>
  <c r="AT341" i="3"/>
  <c r="AU341" i="3"/>
  <c r="AV341" i="3"/>
  <c r="AW341" i="3"/>
  <c r="AX341" i="3"/>
  <c r="AY341" i="3"/>
  <c r="AZ341" i="3"/>
  <c r="BA341" i="3"/>
  <c r="BB341" i="3"/>
  <c r="BC341" i="3"/>
  <c r="BD341" i="3"/>
  <c r="BE341" i="3"/>
  <c r="BF341" i="3"/>
  <c r="BG341" i="3"/>
  <c r="BH341" i="3"/>
  <c r="BI341" i="3"/>
  <c r="BJ341" i="3"/>
  <c r="D341" i="3"/>
  <c r="D340" i="3"/>
  <c r="A339" i="3"/>
  <c r="B339" i="3" s="1"/>
  <c r="E331" i="3"/>
  <c r="F331" i="3"/>
  <c r="G331" i="3"/>
  <c r="H331" i="3"/>
  <c r="I331" i="3"/>
  <c r="J331" i="3"/>
  <c r="K331" i="3"/>
  <c r="L331" i="3"/>
  <c r="M331" i="3"/>
  <c r="N331" i="3"/>
  <c r="O331" i="3"/>
  <c r="P331" i="3"/>
  <c r="Q331" i="3"/>
  <c r="R331" i="3"/>
  <c r="S331" i="3"/>
  <c r="T331" i="3"/>
  <c r="U331" i="3"/>
  <c r="V331" i="3"/>
  <c r="W331" i="3"/>
  <c r="X331" i="3"/>
  <c r="Y331" i="3"/>
  <c r="Z331" i="3"/>
  <c r="AA331" i="3"/>
  <c r="AB331" i="3"/>
  <c r="AC331" i="3"/>
  <c r="AD331" i="3"/>
  <c r="AE331" i="3"/>
  <c r="AF331" i="3"/>
  <c r="AG331" i="3"/>
  <c r="AH331" i="3"/>
  <c r="AI331" i="3"/>
  <c r="AJ331" i="3"/>
  <c r="AK331" i="3"/>
  <c r="AL331" i="3"/>
  <c r="AM331" i="3"/>
  <c r="AN331" i="3"/>
  <c r="AO331" i="3"/>
  <c r="AP331" i="3"/>
  <c r="AQ331" i="3"/>
  <c r="AR331" i="3"/>
  <c r="AS331" i="3"/>
  <c r="AT331" i="3"/>
  <c r="AU331" i="3"/>
  <c r="AV331" i="3"/>
  <c r="AW331" i="3"/>
  <c r="AX331" i="3"/>
  <c r="AY331" i="3"/>
  <c r="AZ331" i="3"/>
  <c r="BA331" i="3"/>
  <c r="BB331" i="3"/>
  <c r="BC331" i="3"/>
  <c r="BD331" i="3"/>
  <c r="BE331" i="3"/>
  <c r="BF331" i="3"/>
  <c r="BG331" i="3"/>
  <c r="BH331" i="3"/>
  <c r="BI331" i="3"/>
  <c r="BJ331" i="3"/>
  <c r="D331" i="3"/>
  <c r="D330" i="3"/>
  <c r="A329" i="3"/>
  <c r="B329" i="3" s="1"/>
  <c r="E321" i="3"/>
  <c r="F321" i="3"/>
  <c r="G321" i="3"/>
  <c r="H321" i="3"/>
  <c r="I321" i="3"/>
  <c r="J321" i="3"/>
  <c r="K321" i="3"/>
  <c r="L321" i="3"/>
  <c r="M321" i="3"/>
  <c r="N321" i="3"/>
  <c r="O321" i="3"/>
  <c r="P321" i="3"/>
  <c r="Q321" i="3"/>
  <c r="R321" i="3"/>
  <c r="S321" i="3"/>
  <c r="T321" i="3"/>
  <c r="U321" i="3"/>
  <c r="V321" i="3"/>
  <c r="W321" i="3"/>
  <c r="X321" i="3"/>
  <c r="Y321" i="3"/>
  <c r="Z321" i="3"/>
  <c r="AA321" i="3"/>
  <c r="AB321" i="3"/>
  <c r="AC321" i="3"/>
  <c r="AD321" i="3"/>
  <c r="AE321" i="3"/>
  <c r="AF321" i="3"/>
  <c r="AG321" i="3"/>
  <c r="AH321" i="3"/>
  <c r="AI321" i="3"/>
  <c r="AJ321" i="3"/>
  <c r="AK321" i="3"/>
  <c r="AL321" i="3"/>
  <c r="AM321" i="3"/>
  <c r="AN321" i="3"/>
  <c r="AO321" i="3"/>
  <c r="AP321" i="3"/>
  <c r="AQ321" i="3"/>
  <c r="AR321" i="3"/>
  <c r="AS321" i="3"/>
  <c r="AT321" i="3"/>
  <c r="AU321" i="3"/>
  <c r="AV321" i="3"/>
  <c r="AW321" i="3"/>
  <c r="AX321" i="3"/>
  <c r="AY321" i="3"/>
  <c r="AZ321" i="3"/>
  <c r="BA321" i="3"/>
  <c r="BB321" i="3"/>
  <c r="BC321" i="3"/>
  <c r="BD321" i="3"/>
  <c r="BE321" i="3"/>
  <c r="BF321" i="3"/>
  <c r="BG321" i="3"/>
  <c r="BH321" i="3"/>
  <c r="BI321" i="3"/>
  <c r="BJ321" i="3"/>
  <c r="D321" i="3"/>
  <c r="D320" i="3"/>
  <c r="A319" i="3"/>
  <c r="B319" i="3" s="1"/>
  <c r="E311" i="3"/>
  <c r="F311" i="3"/>
  <c r="G311" i="3"/>
  <c r="H311" i="3"/>
  <c r="I311" i="3"/>
  <c r="J311" i="3"/>
  <c r="K311" i="3"/>
  <c r="L311" i="3"/>
  <c r="M311" i="3"/>
  <c r="N311" i="3"/>
  <c r="O311" i="3"/>
  <c r="P311" i="3"/>
  <c r="Q311" i="3"/>
  <c r="R311" i="3"/>
  <c r="S311" i="3"/>
  <c r="T311" i="3"/>
  <c r="U311" i="3"/>
  <c r="V311" i="3"/>
  <c r="W311" i="3"/>
  <c r="X311" i="3"/>
  <c r="Y311" i="3"/>
  <c r="Z311" i="3"/>
  <c r="AA311" i="3"/>
  <c r="AB311" i="3"/>
  <c r="AC311" i="3"/>
  <c r="AD311" i="3"/>
  <c r="AE311" i="3"/>
  <c r="AF311" i="3"/>
  <c r="AG311" i="3"/>
  <c r="AH311" i="3"/>
  <c r="AI311" i="3"/>
  <c r="AJ311" i="3"/>
  <c r="AK311" i="3"/>
  <c r="AL311" i="3"/>
  <c r="AM311" i="3"/>
  <c r="AN311" i="3"/>
  <c r="AO311" i="3"/>
  <c r="AP311" i="3"/>
  <c r="AQ311" i="3"/>
  <c r="AR311" i="3"/>
  <c r="AS311" i="3"/>
  <c r="AT311" i="3"/>
  <c r="AU311" i="3"/>
  <c r="AV311" i="3"/>
  <c r="AW311" i="3"/>
  <c r="AX311" i="3"/>
  <c r="AY311" i="3"/>
  <c r="AZ311" i="3"/>
  <c r="BA311" i="3"/>
  <c r="BB311" i="3"/>
  <c r="BC311" i="3"/>
  <c r="BD311" i="3"/>
  <c r="BE311" i="3"/>
  <c r="BF311" i="3"/>
  <c r="BG311" i="3"/>
  <c r="BH311" i="3"/>
  <c r="BI311" i="3"/>
  <c r="BJ311" i="3"/>
  <c r="D311" i="3"/>
  <c r="D310" i="3"/>
  <c r="A309" i="3"/>
  <c r="B309" i="3" s="1"/>
  <c r="E301" i="3"/>
  <c r="F301" i="3"/>
  <c r="G301" i="3"/>
  <c r="H301" i="3"/>
  <c r="I301" i="3"/>
  <c r="J301" i="3"/>
  <c r="K301" i="3"/>
  <c r="L301" i="3"/>
  <c r="M301" i="3"/>
  <c r="N301" i="3"/>
  <c r="O301" i="3"/>
  <c r="P301" i="3"/>
  <c r="Q301" i="3"/>
  <c r="R301" i="3"/>
  <c r="S301" i="3"/>
  <c r="T301" i="3"/>
  <c r="U301" i="3"/>
  <c r="V301" i="3"/>
  <c r="W301" i="3"/>
  <c r="X301" i="3"/>
  <c r="Y301" i="3"/>
  <c r="Z301" i="3"/>
  <c r="AA301" i="3"/>
  <c r="AB301" i="3"/>
  <c r="AC301" i="3"/>
  <c r="AD301" i="3"/>
  <c r="AE301" i="3"/>
  <c r="AF301" i="3"/>
  <c r="AG301" i="3"/>
  <c r="AH301" i="3"/>
  <c r="AI301" i="3"/>
  <c r="AJ301" i="3"/>
  <c r="AK301" i="3"/>
  <c r="AL301" i="3"/>
  <c r="AM301" i="3"/>
  <c r="AN301" i="3"/>
  <c r="AO301" i="3"/>
  <c r="AP301" i="3"/>
  <c r="AQ301" i="3"/>
  <c r="AR301" i="3"/>
  <c r="AS301" i="3"/>
  <c r="AT301" i="3"/>
  <c r="AU301" i="3"/>
  <c r="AV301" i="3"/>
  <c r="AW301" i="3"/>
  <c r="AX301" i="3"/>
  <c r="AY301" i="3"/>
  <c r="AZ301" i="3"/>
  <c r="BA301" i="3"/>
  <c r="BB301" i="3"/>
  <c r="BC301" i="3"/>
  <c r="BD301" i="3"/>
  <c r="BE301" i="3"/>
  <c r="BF301" i="3"/>
  <c r="BG301" i="3"/>
  <c r="BH301" i="3"/>
  <c r="BI301" i="3"/>
  <c r="BJ301" i="3"/>
  <c r="D301" i="3"/>
  <c r="D300" i="3"/>
  <c r="A299" i="3"/>
  <c r="B299" i="3" s="1"/>
  <c r="E291" i="3"/>
  <c r="F291" i="3"/>
  <c r="G291" i="3"/>
  <c r="H291" i="3"/>
  <c r="I291" i="3"/>
  <c r="J291" i="3"/>
  <c r="K291" i="3"/>
  <c r="L291" i="3"/>
  <c r="M291" i="3"/>
  <c r="N291" i="3"/>
  <c r="O291" i="3"/>
  <c r="P291" i="3"/>
  <c r="Q291" i="3"/>
  <c r="R291" i="3"/>
  <c r="S291" i="3"/>
  <c r="T291" i="3"/>
  <c r="U291" i="3"/>
  <c r="V291" i="3"/>
  <c r="W291" i="3"/>
  <c r="X291" i="3"/>
  <c r="Y291" i="3"/>
  <c r="Z291" i="3"/>
  <c r="AA291" i="3"/>
  <c r="AB291" i="3"/>
  <c r="AC291" i="3"/>
  <c r="AD291" i="3"/>
  <c r="AE291" i="3"/>
  <c r="AF291" i="3"/>
  <c r="AG291" i="3"/>
  <c r="AH291" i="3"/>
  <c r="AI291" i="3"/>
  <c r="AJ291" i="3"/>
  <c r="AK291" i="3"/>
  <c r="AL291" i="3"/>
  <c r="AM291" i="3"/>
  <c r="AN291" i="3"/>
  <c r="AO291" i="3"/>
  <c r="AP291" i="3"/>
  <c r="AQ291" i="3"/>
  <c r="AR291" i="3"/>
  <c r="AS291" i="3"/>
  <c r="AT291" i="3"/>
  <c r="AU291" i="3"/>
  <c r="AV291" i="3"/>
  <c r="AW291" i="3"/>
  <c r="AX291" i="3"/>
  <c r="AY291" i="3"/>
  <c r="AZ291" i="3"/>
  <c r="BA291" i="3"/>
  <c r="BB291" i="3"/>
  <c r="BC291" i="3"/>
  <c r="BD291" i="3"/>
  <c r="BE291" i="3"/>
  <c r="BF291" i="3"/>
  <c r="BG291" i="3"/>
  <c r="BH291" i="3"/>
  <c r="BI291" i="3"/>
  <c r="BJ291" i="3"/>
  <c r="D291" i="3"/>
  <c r="D290" i="3"/>
  <c r="A289" i="3"/>
  <c r="B289" i="3" s="1"/>
  <c r="F47" i="2"/>
  <c r="T46" i="2"/>
  <c r="T45" i="2"/>
  <c r="T44" i="2"/>
  <c r="T43" i="2"/>
  <c r="T42" i="2"/>
  <c r="T41" i="2"/>
  <c r="E281" i="3"/>
  <c r="F281" i="3"/>
  <c r="G281" i="3"/>
  <c r="H281" i="3"/>
  <c r="I281" i="3"/>
  <c r="J281" i="3"/>
  <c r="K281" i="3"/>
  <c r="L281" i="3"/>
  <c r="M281" i="3"/>
  <c r="N281" i="3"/>
  <c r="O281" i="3"/>
  <c r="P281" i="3"/>
  <c r="Q281" i="3"/>
  <c r="R281" i="3"/>
  <c r="S281" i="3"/>
  <c r="T281" i="3"/>
  <c r="U281" i="3"/>
  <c r="V281" i="3"/>
  <c r="W281" i="3"/>
  <c r="X281" i="3"/>
  <c r="Y281" i="3"/>
  <c r="Z281" i="3"/>
  <c r="AA281" i="3"/>
  <c r="AB281" i="3"/>
  <c r="AC281" i="3"/>
  <c r="AD281" i="3"/>
  <c r="AE281" i="3"/>
  <c r="AF281" i="3"/>
  <c r="AG281" i="3"/>
  <c r="AH281" i="3"/>
  <c r="AI281" i="3"/>
  <c r="AJ281" i="3"/>
  <c r="AK281" i="3"/>
  <c r="AL281" i="3"/>
  <c r="AM281" i="3"/>
  <c r="AN281" i="3"/>
  <c r="AO281" i="3"/>
  <c r="AP281" i="3"/>
  <c r="AQ281" i="3"/>
  <c r="AR281" i="3"/>
  <c r="AS281" i="3"/>
  <c r="AT281" i="3"/>
  <c r="AU281" i="3"/>
  <c r="AV281" i="3"/>
  <c r="AW281" i="3"/>
  <c r="AX281" i="3"/>
  <c r="AY281" i="3"/>
  <c r="AZ281" i="3"/>
  <c r="BA281" i="3"/>
  <c r="BB281" i="3"/>
  <c r="BC281" i="3"/>
  <c r="BD281" i="3"/>
  <c r="BE281" i="3"/>
  <c r="BF281" i="3"/>
  <c r="BG281" i="3"/>
  <c r="BH281" i="3"/>
  <c r="BI281" i="3"/>
  <c r="BJ281" i="3"/>
  <c r="D281" i="3"/>
  <c r="E280" i="3"/>
  <c r="F280" i="3"/>
  <c r="G280" i="3"/>
  <c r="H280" i="3"/>
  <c r="I280" i="3"/>
  <c r="J280" i="3"/>
  <c r="K280" i="3"/>
  <c r="L280" i="3"/>
  <c r="M280" i="3"/>
  <c r="N280" i="3"/>
  <c r="O280" i="3"/>
  <c r="P280" i="3"/>
  <c r="Q280" i="3"/>
  <c r="R280" i="3"/>
  <c r="S280" i="3"/>
  <c r="T280" i="3"/>
  <c r="U280" i="3"/>
  <c r="V280" i="3"/>
  <c r="W280" i="3"/>
  <c r="X280" i="3"/>
  <c r="Y280" i="3"/>
  <c r="Z280" i="3"/>
  <c r="AA280" i="3"/>
  <c r="AB280" i="3"/>
  <c r="AC280" i="3"/>
  <c r="AD280" i="3"/>
  <c r="AE280" i="3"/>
  <c r="AF280" i="3"/>
  <c r="AG280" i="3"/>
  <c r="AH280" i="3"/>
  <c r="AI280" i="3"/>
  <c r="AJ280" i="3"/>
  <c r="AK280" i="3"/>
  <c r="AL280" i="3"/>
  <c r="AM280" i="3"/>
  <c r="AN280" i="3"/>
  <c r="AO280" i="3"/>
  <c r="AP280" i="3"/>
  <c r="AQ280" i="3"/>
  <c r="AR280" i="3"/>
  <c r="AS280" i="3"/>
  <c r="AT280" i="3"/>
  <c r="AU280" i="3"/>
  <c r="AV280" i="3"/>
  <c r="AW280" i="3"/>
  <c r="AX280" i="3"/>
  <c r="AY280" i="3"/>
  <c r="AZ280" i="3"/>
  <c r="BA280" i="3"/>
  <c r="BB280" i="3"/>
  <c r="BC280" i="3"/>
  <c r="BD280" i="3"/>
  <c r="BE280" i="3"/>
  <c r="BF280" i="3"/>
  <c r="BG280" i="3"/>
  <c r="BH280" i="3"/>
  <c r="BI280" i="3"/>
  <c r="BJ280" i="3"/>
  <c r="D280" i="3"/>
  <c r="A279" i="3"/>
  <c r="B279" i="3" s="1"/>
  <c r="E271" i="3"/>
  <c r="F271" i="3"/>
  <c r="G271" i="3"/>
  <c r="H271" i="3"/>
  <c r="I271" i="3"/>
  <c r="J271" i="3"/>
  <c r="K271" i="3"/>
  <c r="L271" i="3"/>
  <c r="M271" i="3"/>
  <c r="N271" i="3"/>
  <c r="O271" i="3"/>
  <c r="P271" i="3"/>
  <c r="Q271" i="3"/>
  <c r="R271" i="3"/>
  <c r="S271" i="3"/>
  <c r="T271" i="3"/>
  <c r="U271" i="3"/>
  <c r="V271" i="3"/>
  <c r="W271" i="3"/>
  <c r="X271" i="3"/>
  <c r="Y271" i="3"/>
  <c r="Z271" i="3"/>
  <c r="AA271" i="3"/>
  <c r="AB271" i="3"/>
  <c r="AC271" i="3"/>
  <c r="AD271" i="3"/>
  <c r="AE271" i="3"/>
  <c r="AF271" i="3"/>
  <c r="AG271" i="3"/>
  <c r="AH271" i="3"/>
  <c r="AI271" i="3"/>
  <c r="AJ271" i="3"/>
  <c r="AK271" i="3"/>
  <c r="AL271" i="3"/>
  <c r="AM271" i="3"/>
  <c r="AN271" i="3"/>
  <c r="AO271" i="3"/>
  <c r="AP271" i="3"/>
  <c r="AQ271" i="3"/>
  <c r="AR271" i="3"/>
  <c r="AS271" i="3"/>
  <c r="AT271" i="3"/>
  <c r="AU271" i="3"/>
  <c r="AV271" i="3"/>
  <c r="AW271" i="3"/>
  <c r="AX271" i="3"/>
  <c r="AY271" i="3"/>
  <c r="AZ271" i="3"/>
  <c r="BA271" i="3"/>
  <c r="BB271" i="3"/>
  <c r="BC271" i="3"/>
  <c r="BD271" i="3"/>
  <c r="BE271" i="3"/>
  <c r="BF271" i="3"/>
  <c r="BG271" i="3"/>
  <c r="BH271" i="3"/>
  <c r="BI271" i="3"/>
  <c r="BJ271" i="3"/>
  <c r="D271" i="3"/>
  <c r="E270" i="3"/>
  <c r="F270" i="3"/>
  <c r="G270" i="3"/>
  <c r="H270" i="3"/>
  <c r="I270" i="3"/>
  <c r="J270" i="3"/>
  <c r="K270" i="3"/>
  <c r="L270" i="3"/>
  <c r="M270" i="3"/>
  <c r="N270" i="3"/>
  <c r="O270" i="3"/>
  <c r="P270" i="3"/>
  <c r="Q270" i="3"/>
  <c r="R270" i="3"/>
  <c r="S270" i="3"/>
  <c r="T270" i="3"/>
  <c r="U270" i="3"/>
  <c r="V270" i="3"/>
  <c r="W270" i="3"/>
  <c r="X270" i="3"/>
  <c r="Y270" i="3"/>
  <c r="Z270" i="3"/>
  <c r="AA270" i="3"/>
  <c r="AB270" i="3"/>
  <c r="AC270" i="3"/>
  <c r="AD270" i="3"/>
  <c r="AE270" i="3"/>
  <c r="AF270" i="3"/>
  <c r="AG270" i="3"/>
  <c r="AH270" i="3"/>
  <c r="AI270" i="3"/>
  <c r="AJ270" i="3"/>
  <c r="AK270" i="3"/>
  <c r="AL270" i="3"/>
  <c r="AM270" i="3"/>
  <c r="AN270" i="3"/>
  <c r="AO270" i="3"/>
  <c r="AP270" i="3"/>
  <c r="AQ270" i="3"/>
  <c r="AR270" i="3"/>
  <c r="AS270" i="3"/>
  <c r="AT270" i="3"/>
  <c r="AU270" i="3"/>
  <c r="AV270" i="3"/>
  <c r="AW270" i="3"/>
  <c r="AX270" i="3"/>
  <c r="AY270" i="3"/>
  <c r="AZ270" i="3"/>
  <c r="BA270" i="3"/>
  <c r="BB270" i="3"/>
  <c r="BC270" i="3"/>
  <c r="BD270" i="3"/>
  <c r="BE270" i="3"/>
  <c r="BF270" i="3"/>
  <c r="BG270" i="3"/>
  <c r="BH270" i="3"/>
  <c r="BI270" i="3"/>
  <c r="BJ270" i="3"/>
  <c r="D270" i="3"/>
  <c r="A269" i="3"/>
  <c r="B269" i="3" s="1"/>
  <c r="E261" i="3"/>
  <c r="F261" i="3"/>
  <c r="G261" i="3"/>
  <c r="H261" i="3"/>
  <c r="I261" i="3"/>
  <c r="J261" i="3"/>
  <c r="K261" i="3"/>
  <c r="L261" i="3"/>
  <c r="M261" i="3"/>
  <c r="N261" i="3"/>
  <c r="O261" i="3"/>
  <c r="P261" i="3"/>
  <c r="Q261" i="3"/>
  <c r="R261" i="3"/>
  <c r="S261" i="3"/>
  <c r="T261" i="3"/>
  <c r="U261" i="3"/>
  <c r="V261" i="3"/>
  <c r="W261" i="3"/>
  <c r="X261" i="3"/>
  <c r="Y261" i="3"/>
  <c r="Z261" i="3"/>
  <c r="AA261" i="3"/>
  <c r="AB261" i="3"/>
  <c r="AC261" i="3"/>
  <c r="AD261" i="3"/>
  <c r="AE261" i="3"/>
  <c r="AF261" i="3"/>
  <c r="AG261" i="3"/>
  <c r="AH261" i="3"/>
  <c r="AI261" i="3"/>
  <c r="AJ261" i="3"/>
  <c r="AK261" i="3"/>
  <c r="AL261" i="3"/>
  <c r="AM261" i="3"/>
  <c r="AN261" i="3"/>
  <c r="AO261" i="3"/>
  <c r="AP261" i="3"/>
  <c r="AQ261" i="3"/>
  <c r="AR261" i="3"/>
  <c r="AS261" i="3"/>
  <c r="AT261" i="3"/>
  <c r="AU261" i="3"/>
  <c r="AV261" i="3"/>
  <c r="AW261" i="3"/>
  <c r="AX261" i="3"/>
  <c r="AY261" i="3"/>
  <c r="AZ261" i="3"/>
  <c r="BA261" i="3"/>
  <c r="BB261" i="3"/>
  <c r="BC261" i="3"/>
  <c r="BD261" i="3"/>
  <c r="BE261" i="3"/>
  <c r="BF261" i="3"/>
  <c r="BG261" i="3"/>
  <c r="BH261" i="3"/>
  <c r="BI261" i="3"/>
  <c r="BJ261" i="3"/>
  <c r="D261" i="3"/>
  <c r="E260" i="3"/>
  <c r="F260" i="3"/>
  <c r="G260" i="3"/>
  <c r="H260" i="3"/>
  <c r="I260" i="3"/>
  <c r="J260" i="3"/>
  <c r="K260" i="3"/>
  <c r="L260" i="3"/>
  <c r="M260" i="3"/>
  <c r="N260" i="3"/>
  <c r="O260" i="3"/>
  <c r="P260" i="3"/>
  <c r="Q260" i="3"/>
  <c r="R260" i="3"/>
  <c r="S260" i="3"/>
  <c r="T260" i="3"/>
  <c r="U260" i="3"/>
  <c r="V260" i="3"/>
  <c r="W260" i="3"/>
  <c r="X260" i="3"/>
  <c r="Y260" i="3"/>
  <c r="Z260" i="3"/>
  <c r="AA260" i="3"/>
  <c r="AB260" i="3"/>
  <c r="AC260" i="3"/>
  <c r="AD260" i="3"/>
  <c r="AE260" i="3"/>
  <c r="AF260" i="3"/>
  <c r="AG260" i="3"/>
  <c r="AH260" i="3"/>
  <c r="AI260" i="3"/>
  <c r="AJ260" i="3"/>
  <c r="AK260" i="3"/>
  <c r="AL260" i="3"/>
  <c r="AM260" i="3"/>
  <c r="AN260" i="3"/>
  <c r="AO260" i="3"/>
  <c r="AP260" i="3"/>
  <c r="AQ260" i="3"/>
  <c r="AR260" i="3"/>
  <c r="AS260" i="3"/>
  <c r="AT260" i="3"/>
  <c r="AU260" i="3"/>
  <c r="AV260" i="3"/>
  <c r="AW260" i="3"/>
  <c r="AX260" i="3"/>
  <c r="AY260" i="3"/>
  <c r="AZ260" i="3"/>
  <c r="BA260" i="3"/>
  <c r="BB260" i="3"/>
  <c r="BC260" i="3"/>
  <c r="BD260" i="3"/>
  <c r="BE260" i="3"/>
  <c r="BF260" i="3"/>
  <c r="BG260" i="3"/>
  <c r="BH260" i="3"/>
  <c r="BI260" i="3"/>
  <c r="BJ260" i="3"/>
  <c r="D260" i="3"/>
  <c r="A259" i="3"/>
  <c r="B259" i="3" s="1"/>
  <c r="E251" i="3"/>
  <c r="F251" i="3"/>
  <c r="G251" i="3"/>
  <c r="H251" i="3"/>
  <c r="I251" i="3"/>
  <c r="J251" i="3"/>
  <c r="K251" i="3"/>
  <c r="L251" i="3"/>
  <c r="M251" i="3"/>
  <c r="N251" i="3"/>
  <c r="O251" i="3"/>
  <c r="P251" i="3"/>
  <c r="Q251" i="3"/>
  <c r="R251" i="3"/>
  <c r="S251" i="3"/>
  <c r="T251" i="3"/>
  <c r="U251" i="3"/>
  <c r="V251" i="3"/>
  <c r="W251" i="3"/>
  <c r="X251" i="3"/>
  <c r="Y251" i="3"/>
  <c r="Z251" i="3"/>
  <c r="AA251" i="3"/>
  <c r="AB251" i="3"/>
  <c r="AC251" i="3"/>
  <c r="AD251" i="3"/>
  <c r="AE251" i="3"/>
  <c r="AF251" i="3"/>
  <c r="AG251" i="3"/>
  <c r="AH251" i="3"/>
  <c r="AI251" i="3"/>
  <c r="AJ251" i="3"/>
  <c r="AK251" i="3"/>
  <c r="AL251" i="3"/>
  <c r="AM251" i="3"/>
  <c r="AN251" i="3"/>
  <c r="AO251" i="3"/>
  <c r="AP251" i="3"/>
  <c r="AQ251" i="3"/>
  <c r="AR251" i="3"/>
  <c r="AS251" i="3"/>
  <c r="AT251" i="3"/>
  <c r="AU251" i="3"/>
  <c r="AV251" i="3"/>
  <c r="AW251" i="3"/>
  <c r="AX251" i="3"/>
  <c r="AY251" i="3"/>
  <c r="AZ251" i="3"/>
  <c r="BA251" i="3"/>
  <c r="BB251" i="3"/>
  <c r="BC251" i="3"/>
  <c r="BD251" i="3"/>
  <c r="BE251" i="3"/>
  <c r="BF251" i="3"/>
  <c r="BG251" i="3"/>
  <c r="BH251" i="3"/>
  <c r="BI251" i="3"/>
  <c r="BJ251" i="3"/>
  <c r="D251" i="3"/>
  <c r="E250" i="3"/>
  <c r="F250" i="3"/>
  <c r="G250" i="3"/>
  <c r="H250" i="3"/>
  <c r="I250" i="3"/>
  <c r="J250" i="3"/>
  <c r="K250" i="3"/>
  <c r="L250" i="3"/>
  <c r="M250" i="3"/>
  <c r="N250" i="3"/>
  <c r="O250" i="3"/>
  <c r="P250" i="3"/>
  <c r="Q250" i="3"/>
  <c r="R250" i="3"/>
  <c r="S250" i="3"/>
  <c r="T250" i="3"/>
  <c r="U250" i="3"/>
  <c r="V250" i="3"/>
  <c r="W250" i="3"/>
  <c r="X250" i="3"/>
  <c r="Y250" i="3"/>
  <c r="Z250" i="3"/>
  <c r="AA250" i="3"/>
  <c r="AB250" i="3"/>
  <c r="AC250" i="3"/>
  <c r="AD250" i="3"/>
  <c r="AE250" i="3"/>
  <c r="AF250" i="3"/>
  <c r="AG250" i="3"/>
  <c r="AH250" i="3"/>
  <c r="AI250" i="3"/>
  <c r="AJ250" i="3"/>
  <c r="AK250" i="3"/>
  <c r="AL250" i="3"/>
  <c r="AM250" i="3"/>
  <c r="AN250" i="3"/>
  <c r="AO250" i="3"/>
  <c r="AP250" i="3"/>
  <c r="AQ250" i="3"/>
  <c r="AR250" i="3"/>
  <c r="AS250" i="3"/>
  <c r="AT250" i="3"/>
  <c r="AU250" i="3"/>
  <c r="AV250" i="3"/>
  <c r="AW250" i="3"/>
  <c r="AX250" i="3"/>
  <c r="AY250" i="3"/>
  <c r="AZ250" i="3"/>
  <c r="BA250" i="3"/>
  <c r="BB250" i="3"/>
  <c r="BC250" i="3"/>
  <c r="BD250" i="3"/>
  <c r="BE250" i="3"/>
  <c r="BF250" i="3"/>
  <c r="BG250" i="3"/>
  <c r="BH250" i="3"/>
  <c r="BI250" i="3"/>
  <c r="BJ250" i="3"/>
  <c r="D250" i="3"/>
  <c r="A249" i="3"/>
  <c r="B249" i="3" s="1"/>
  <c r="E241" i="3"/>
  <c r="F241" i="3"/>
  <c r="G241" i="3"/>
  <c r="H241" i="3"/>
  <c r="I241" i="3"/>
  <c r="J241" i="3"/>
  <c r="K241" i="3"/>
  <c r="L241" i="3"/>
  <c r="M241" i="3"/>
  <c r="N241" i="3"/>
  <c r="O241" i="3"/>
  <c r="P241" i="3"/>
  <c r="Q241" i="3"/>
  <c r="R241" i="3"/>
  <c r="S241" i="3"/>
  <c r="T241" i="3"/>
  <c r="U241" i="3"/>
  <c r="V241" i="3"/>
  <c r="W241" i="3"/>
  <c r="X241" i="3"/>
  <c r="Y241" i="3"/>
  <c r="Z241" i="3"/>
  <c r="AA241" i="3"/>
  <c r="AB241" i="3"/>
  <c r="AC241" i="3"/>
  <c r="AD241" i="3"/>
  <c r="AE241" i="3"/>
  <c r="AF241" i="3"/>
  <c r="AG241" i="3"/>
  <c r="AH241" i="3"/>
  <c r="AI241" i="3"/>
  <c r="AJ241" i="3"/>
  <c r="AK241" i="3"/>
  <c r="AL241" i="3"/>
  <c r="AM241" i="3"/>
  <c r="AN241" i="3"/>
  <c r="AO241" i="3"/>
  <c r="AP241" i="3"/>
  <c r="AQ241" i="3"/>
  <c r="AR241" i="3"/>
  <c r="AS241" i="3"/>
  <c r="AT241" i="3"/>
  <c r="AU241" i="3"/>
  <c r="AV241" i="3"/>
  <c r="AW241" i="3"/>
  <c r="AX241" i="3"/>
  <c r="AY241" i="3"/>
  <c r="AZ241" i="3"/>
  <c r="BA241" i="3"/>
  <c r="BB241" i="3"/>
  <c r="BC241" i="3"/>
  <c r="BD241" i="3"/>
  <c r="BE241" i="3"/>
  <c r="BF241" i="3"/>
  <c r="BG241" i="3"/>
  <c r="BH241" i="3"/>
  <c r="BI241" i="3"/>
  <c r="BJ241" i="3"/>
  <c r="D241" i="3"/>
  <c r="E240" i="3"/>
  <c r="F240" i="3"/>
  <c r="G240" i="3"/>
  <c r="H240" i="3"/>
  <c r="I240" i="3"/>
  <c r="J240" i="3"/>
  <c r="K240" i="3"/>
  <c r="L240" i="3"/>
  <c r="M240" i="3"/>
  <c r="N240" i="3"/>
  <c r="O240" i="3"/>
  <c r="P240" i="3"/>
  <c r="Q240" i="3"/>
  <c r="R240" i="3"/>
  <c r="S240" i="3"/>
  <c r="T240" i="3"/>
  <c r="U240" i="3"/>
  <c r="V240" i="3"/>
  <c r="W240" i="3"/>
  <c r="X240" i="3"/>
  <c r="Y240" i="3"/>
  <c r="Z240" i="3"/>
  <c r="AA240" i="3"/>
  <c r="AB240" i="3"/>
  <c r="AC240" i="3"/>
  <c r="AD240" i="3"/>
  <c r="AE240" i="3"/>
  <c r="AF240" i="3"/>
  <c r="AG240" i="3"/>
  <c r="AH240" i="3"/>
  <c r="AI240" i="3"/>
  <c r="AJ240" i="3"/>
  <c r="AK240" i="3"/>
  <c r="AL240" i="3"/>
  <c r="AM240" i="3"/>
  <c r="AN240" i="3"/>
  <c r="AO240" i="3"/>
  <c r="AP240" i="3"/>
  <c r="AQ240" i="3"/>
  <c r="AR240" i="3"/>
  <c r="AS240" i="3"/>
  <c r="AT240" i="3"/>
  <c r="AU240" i="3"/>
  <c r="AV240" i="3"/>
  <c r="AW240" i="3"/>
  <c r="AX240" i="3"/>
  <c r="AY240" i="3"/>
  <c r="AZ240" i="3"/>
  <c r="BA240" i="3"/>
  <c r="BB240" i="3"/>
  <c r="BC240" i="3"/>
  <c r="BD240" i="3"/>
  <c r="BE240" i="3"/>
  <c r="BF240" i="3"/>
  <c r="BG240" i="3"/>
  <c r="BH240" i="3"/>
  <c r="BI240" i="3"/>
  <c r="BJ240" i="3"/>
  <c r="D240" i="3"/>
  <c r="A239" i="3"/>
  <c r="B239" i="3" s="1"/>
  <c r="E231" i="3"/>
  <c r="F231" i="3"/>
  <c r="G231" i="3"/>
  <c r="H231" i="3"/>
  <c r="I231" i="3"/>
  <c r="J231" i="3"/>
  <c r="K231" i="3"/>
  <c r="L231" i="3"/>
  <c r="M231" i="3"/>
  <c r="N231" i="3"/>
  <c r="O231" i="3"/>
  <c r="P231" i="3"/>
  <c r="Q231" i="3"/>
  <c r="R231" i="3"/>
  <c r="S231" i="3"/>
  <c r="T231" i="3"/>
  <c r="U231" i="3"/>
  <c r="V231" i="3"/>
  <c r="W231" i="3"/>
  <c r="X231" i="3"/>
  <c r="Y231" i="3"/>
  <c r="Z231" i="3"/>
  <c r="AA231" i="3"/>
  <c r="AB231" i="3"/>
  <c r="AC231" i="3"/>
  <c r="AD231" i="3"/>
  <c r="AE231" i="3"/>
  <c r="AF231" i="3"/>
  <c r="AG231" i="3"/>
  <c r="AH231" i="3"/>
  <c r="AI231" i="3"/>
  <c r="AJ231" i="3"/>
  <c r="AK231" i="3"/>
  <c r="AL231" i="3"/>
  <c r="AM231" i="3"/>
  <c r="AN231" i="3"/>
  <c r="AO231" i="3"/>
  <c r="AP231" i="3"/>
  <c r="AQ231" i="3"/>
  <c r="AR231" i="3"/>
  <c r="AS231" i="3"/>
  <c r="AT231" i="3"/>
  <c r="AU231" i="3"/>
  <c r="AV231" i="3"/>
  <c r="AW231" i="3"/>
  <c r="AX231" i="3"/>
  <c r="AY231" i="3"/>
  <c r="AZ231" i="3"/>
  <c r="BA231" i="3"/>
  <c r="BB231" i="3"/>
  <c r="BC231" i="3"/>
  <c r="BD231" i="3"/>
  <c r="BE231" i="3"/>
  <c r="BF231" i="3"/>
  <c r="BG231" i="3"/>
  <c r="BH231" i="3"/>
  <c r="BI231" i="3"/>
  <c r="BJ231" i="3"/>
  <c r="D231" i="3"/>
  <c r="E230" i="3"/>
  <c r="F230" i="3"/>
  <c r="G230" i="3"/>
  <c r="H230" i="3"/>
  <c r="I230" i="3"/>
  <c r="J230" i="3"/>
  <c r="K230" i="3"/>
  <c r="L230" i="3"/>
  <c r="M230" i="3"/>
  <c r="N230" i="3"/>
  <c r="O230" i="3"/>
  <c r="P230" i="3"/>
  <c r="Q230" i="3"/>
  <c r="R230" i="3"/>
  <c r="S230" i="3"/>
  <c r="T230" i="3"/>
  <c r="U230" i="3"/>
  <c r="V230" i="3"/>
  <c r="W230" i="3"/>
  <c r="X230" i="3"/>
  <c r="Y230" i="3"/>
  <c r="Z230" i="3"/>
  <c r="AA230" i="3"/>
  <c r="AB230" i="3"/>
  <c r="AC230" i="3"/>
  <c r="AD230" i="3"/>
  <c r="AE230" i="3"/>
  <c r="AF230" i="3"/>
  <c r="AG230" i="3"/>
  <c r="AH230" i="3"/>
  <c r="AI230" i="3"/>
  <c r="AJ230" i="3"/>
  <c r="AK230" i="3"/>
  <c r="AL230" i="3"/>
  <c r="AM230" i="3"/>
  <c r="AN230" i="3"/>
  <c r="AO230" i="3"/>
  <c r="AP230" i="3"/>
  <c r="AQ230" i="3"/>
  <c r="AR230" i="3"/>
  <c r="AS230" i="3"/>
  <c r="AT230" i="3"/>
  <c r="AU230" i="3"/>
  <c r="AV230" i="3"/>
  <c r="AW230" i="3"/>
  <c r="AX230" i="3"/>
  <c r="AY230" i="3"/>
  <c r="AZ230" i="3"/>
  <c r="BA230" i="3"/>
  <c r="BB230" i="3"/>
  <c r="BC230" i="3"/>
  <c r="BD230" i="3"/>
  <c r="BE230" i="3"/>
  <c r="BF230" i="3"/>
  <c r="BG230" i="3"/>
  <c r="BH230" i="3"/>
  <c r="BI230" i="3"/>
  <c r="BJ230" i="3"/>
  <c r="D230" i="3"/>
  <c r="A229" i="3"/>
  <c r="B229" i="3" s="1"/>
  <c r="E221" i="3"/>
  <c r="F221" i="3"/>
  <c r="G221" i="3"/>
  <c r="H221" i="3"/>
  <c r="I221" i="3"/>
  <c r="J221" i="3"/>
  <c r="K221" i="3"/>
  <c r="L221" i="3"/>
  <c r="M221" i="3"/>
  <c r="N221" i="3"/>
  <c r="O221" i="3"/>
  <c r="P221" i="3"/>
  <c r="Q221" i="3"/>
  <c r="R221" i="3"/>
  <c r="S221" i="3"/>
  <c r="T221" i="3"/>
  <c r="U221" i="3"/>
  <c r="V221" i="3"/>
  <c r="W221" i="3"/>
  <c r="X221" i="3"/>
  <c r="Y221" i="3"/>
  <c r="Z221" i="3"/>
  <c r="AA221" i="3"/>
  <c r="AB221" i="3"/>
  <c r="AC221" i="3"/>
  <c r="AD221" i="3"/>
  <c r="AE221" i="3"/>
  <c r="AF221" i="3"/>
  <c r="AG221" i="3"/>
  <c r="AH221" i="3"/>
  <c r="AI221" i="3"/>
  <c r="AJ221" i="3"/>
  <c r="AK221" i="3"/>
  <c r="AL221" i="3"/>
  <c r="AM221" i="3"/>
  <c r="AN221" i="3"/>
  <c r="AO221" i="3"/>
  <c r="AP221" i="3"/>
  <c r="AQ221" i="3"/>
  <c r="AR221" i="3"/>
  <c r="AS221" i="3"/>
  <c r="AT221" i="3"/>
  <c r="AU221" i="3"/>
  <c r="AV221" i="3"/>
  <c r="AW221" i="3"/>
  <c r="AX221" i="3"/>
  <c r="AY221" i="3"/>
  <c r="AZ221" i="3"/>
  <c r="BA221" i="3"/>
  <c r="BB221" i="3"/>
  <c r="BC221" i="3"/>
  <c r="BD221" i="3"/>
  <c r="BE221" i="3"/>
  <c r="BF221" i="3"/>
  <c r="BG221" i="3"/>
  <c r="BH221" i="3"/>
  <c r="BI221" i="3"/>
  <c r="BJ221" i="3"/>
  <c r="D221" i="3"/>
  <c r="E220" i="3"/>
  <c r="F220" i="3"/>
  <c r="G220" i="3"/>
  <c r="H220" i="3"/>
  <c r="I220" i="3"/>
  <c r="J220" i="3"/>
  <c r="K220" i="3"/>
  <c r="L220" i="3"/>
  <c r="M220" i="3"/>
  <c r="N220" i="3"/>
  <c r="O220" i="3"/>
  <c r="P220" i="3"/>
  <c r="Q220" i="3"/>
  <c r="R220" i="3"/>
  <c r="S220" i="3"/>
  <c r="T220" i="3"/>
  <c r="U220" i="3"/>
  <c r="V220" i="3"/>
  <c r="W220" i="3"/>
  <c r="X220" i="3"/>
  <c r="Y220" i="3"/>
  <c r="Z220" i="3"/>
  <c r="AA220" i="3"/>
  <c r="AB220" i="3"/>
  <c r="AC220" i="3"/>
  <c r="AD220" i="3"/>
  <c r="AE220" i="3"/>
  <c r="AF220" i="3"/>
  <c r="AG220" i="3"/>
  <c r="AH220" i="3"/>
  <c r="AI220" i="3"/>
  <c r="AJ220" i="3"/>
  <c r="AK220" i="3"/>
  <c r="AL220" i="3"/>
  <c r="AM220" i="3"/>
  <c r="AN220" i="3"/>
  <c r="AO220" i="3"/>
  <c r="AP220" i="3"/>
  <c r="AQ220" i="3"/>
  <c r="AR220" i="3"/>
  <c r="AS220" i="3"/>
  <c r="AT220" i="3"/>
  <c r="AU220" i="3"/>
  <c r="AV220" i="3"/>
  <c r="AW220" i="3"/>
  <c r="AX220" i="3"/>
  <c r="AY220" i="3"/>
  <c r="AZ220" i="3"/>
  <c r="BA220" i="3"/>
  <c r="BB220" i="3"/>
  <c r="BC220" i="3"/>
  <c r="BD220" i="3"/>
  <c r="BE220" i="3"/>
  <c r="BF220" i="3"/>
  <c r="BG220" i="3"/>
  <c r="BH220" i="3"/>
  <c r="BI220" i="3"/>
  <c r="BJ220" i="3"/>
  <c r="D220" i="3"/>
  <c r="A219" i="3"/>
  <c r="B219" i="3" s="1"/>
  <c r="E211" i="3"/>
  <c r="F211" i="3"/>
  <c r="G211" i="3"/>
  <c r="H211" i="3"/>
  <c r="I211" i="3"/>
  <c r="J211" i="3"/>
  <c r="K211" i="3"/>
  <c r="L211" i="3"/>
  <c r="M211" i="3"/>
  <c r="N211" i="3"/>
  <c r="O211" i="3"/>
  <c r="P211" i="3"/>
  <c r="Q211" i="3"/>
  <c r="R211" i="3"/>
  <c r="S211" i="3"/>
  <c r="T211" i="3"/>
  <c r="U211" i="3"/>
  <c r="V211" i="3"/>
  <c r="W211" i="3"/>
  <c r="X211" i="3"/>
  <c r="Y211" i="3"/>
  <c r="Z211" i="3"/>
  <c r="AA211" i="3"/>
  <c r="AB211" i="3"/>
  <c r="AC211" i="3"/>
  <c r="AD211" i="3"/>
  <c r="AE211" i="3"/>
  <c r="AF211" i="3"/>
  <c r="AG211" i="3"/>
  <c r="AH211" i="3"/>
  <c r="AI211" i="3"/>
  <c r="AJ211" i="3"/>
  <c r="AK211" i="3"/>
  <c r="AL211" i="3"/>
  <c r="AM211" i="3"/>
  <c r="AN211" i="3"/>
  <c r="AO211" i="3"/>
  <c r="AP211" i="3"/>
  <c r="AQ211" i="3"/>
  <c r="AR211" i="3"/>
  <c r="AS211" i="3"/>
  <c r="AT211" i="3"/>
  <c r="AU211" i="3"/>
  <c r="AV211" i="3"/>
  <c r="AW211" i="3"/>
  <c r="AX211" i="3"/>
  <c r="AY211" i="3"/>
  <c r="AZ211" i="3"/>
  <c r="BA211" i="3"/>
  <c r="BB211" i="3"/>
  <c r="BC211" i="3"/>
  <c r="BD211" i="3"/>
  <c r="BE211" i="3"/>
  <c r="BF211" i="3"/>
  <c r="BG211" i="3"/>
  <c r="BH211" i="3"/>
  <c r="BI211" i="3"/>
  <c r="BJ211" i="3"/>
  <c r="D211" i="3"/>
  <c r="E210" i="3"/>
  <c r="F210" i="3"/>
  <c r="G210" i="3"/>
  <c r="H210" i="3"/>
  <c r="I210" i="3"/>
  <c r="J210" i="3"/>
  <c r="K210" i="3"/>
  <c r="L210" i="3"/>
  <c r="M210" i="3"/>
  <c r="N210" i="3"/>
  <c r="O210" i="3"/>
  <c r="P210" i="3"/>
  <c r="Q210" i="3"/>
  <c r="R210" i="3"/>
  <c r="S210" i="3"/>
  <c r="T210" i="3"/>
  <c r="U210" i="3"/>
  <c r="V210" i="3"/>
  <c r="W210" i="3"/>
  <c r="X210" i="3"/>
  <c r="Y210" i="3"/>
  <c r="Z210" i="3"/>
  <c r="AA210" i="3"/>
  <c r="AB210" i="3"/>
  <c r="AC210" i="3"/>
  <c r="AD210" i="3"/>
  <c r="AE210" i="3"/>
  <c r="AF210" i="3"/>
  <c r="AG210" i="3"/>
  <c r="AH210" i="3"/>
  <c r="AI210" i="3"/>
  <c r="AJ210" i="3"/>
  <c r="AK210" i="3"/>
  <c r="AL210" i="3"/>
  <c r="AM210" i="3"/>
  <c r="AN210" i="3"/>
  <c r="AO210" i="3"/>
  <c r="AP210" i="3"/>
  <c r="AQ210" i="3"/>
  <c r="AR210" i="3"/>
  <c r="AS210" i="3"/>
  <c r="AT210" i="3"/>
  <c r="AU210" i="3"/>
  <c r="AV210" i="3"/>
  <c r="AW210" i="3"/>
  <c r="AX210" i="3"/>
  <c r="AY210" i="3"/>
  <c r="AZ210" i="3"/>
  <c r="BA210" i="3"/>
  <c r="BB210" i="3"/>
  <c r="BC210" i="3"/>
  <c r="BD210" i="3"/>
  <c r="BE210" i="3"/>
  <c r="BF210" i="3"/>
  <c r="BG210" i="3"/>
  <c r="BH210" i="3"/>
  <c r="BI210" i="3"/>
  <c r="BJ210" i="3"/>
  <c r="D210" i="3"/>
  <c r="A209" i="3"/>
  <c r="B209" i="3" s="1"/>
  <c r="E206" i="3"/>
  <c r="F206" i="3"/>
  <c r="G206" i="3"/>
  <c r="H206" i="3"/>
  <c r="I206" i="3"/>
  <c r="J206" i="3"/>
  <c r="K206" i="3"/>
  <c r="L206" i="3"/>
  <c r="M206" i="3"/>
  <c r="N206" i="3"/>
  <c r="O206" i="3"/>
  <c r="P206" i="3"/>
  <c r="Q206" i="3"/>
  <c r="R206" i="3"/>
  <c r="S206" i="3"/>
  <c r="T206" i="3"/>
  <c r="U206" i="3"/>
  <c r="V206" i="3"/>
  <c r="W206" i="3"/>
  <c r="X206" i="3"/>
  <c r="Y206" i="3"/>
  <c r="Z206" i="3"/>
  <c r="AA206" i="3"/>
  <c r="AB206" i="3"/>
  <c r="AC206" i="3"/>
  <c r="AD206" i="3"/>
  <c r="AE206" i="3"/>
  <c r="AF206" i="3"/>
  <c r="AG206" i="3"/>
  <c r="AH206" i="3"/>
  <c r="AI206" i="3"/>
  <c r="AJ206" i="3"/>
  <c r="AK206" i="3"/>
  <c r="AL206" i="3"/>
  <c r="AM206" i="3"/>
  <c r="AN206" i="3"/>
  <c r="AO206" i="3"/>
  <c r="AP206" i="3"/>
  <c r="AQ206" i="3"/>
  <c r="AR206" i="3"/>
  <c r="AS206" i="3"/>
  <c r="AT206" i="3"/>
  <c r="AU206" i="3"/>
  <c r="AV206" i="3"/>
  <c r="AW206" i="3"/>
  <c r="AX206" i="3"/>
  <c r="AY206" i="3"/>
  <c r="AZ206" i="3"/>
  <c r="BA206" i="3"/>
  <c r="BB206" i="3"/>
  <c r="BC206" i="3"/>
  <c r="BD206" i="3"/>
  <c r="BE206" i="3"/>
  <c r="BF206" i="3"/>
  <c r="BG206" i="3"/>
  <c r="BH206" i="3"/>
  <c r="BI206" i="3"/>
  <c r="BJ206" i="3"/>
  <c r="D206" i="3"/>
  <c r="E205" i="3"/>
  <c r="F205" i="3"/>
  <c r="G205" i="3"/>
  <c r="H205" i="3"/>
  <c r="I205" i="3"/>
  <c r="J205" i="3"/>
  <c r="K205" i="3"/>
  <c r="L205" i="3"/>
  <c r="M205" i="3"/>
  <c r="N205" i="3"/>
  <c r="O205" i="3"/>
  <c r="P205" i="3"/>
  <c r="Q205" i="3"/>
  <c r="R205" i="3"/>
  <c r="S205" i="3"/>
  <c r="T205" i="3"/>
  <c r="U205" i="3"/>
  <c r="V205" i="3"/>
  <c r="W205" i="3"/>
  <c r="X205" i="3"/>
  <c r="Y205" i="3"/>
  <c r="Z205" i="3"/>
  <c r="AA205" i="3"/>
  <c r="AB205" i="3"/>
  <c r="AC205" i="3"/>
  <c r="AD205" i="3"/>
  <c r="AE205" i="3"/>
  <c r="AF205" i="3"/>
  <c r="AG205" i="3"/>
  <c r="AH205" i="3"/>
  <c r="AI205" i="3"/>
  <c r="AJ205" i="3"/>
  <c r="AK205" i="3"/>
  <c r="AL205" i="3"/>
  <c r="AM205" i="3"/>
  <c r="AN205" i="3"/>
  <c r="AO205" i="3"/>
  <c r="AP205" i="3"/>
  <c r="AQ205" i="3"/>
  <c r="AR205" i="3"/>
  <c r="AS205" i="3"/>
  <c r="AT205" i="3"/>
  <c r="AU205" i="3"/>
  <c r="AV205" i="3"/>
  <c r="AW205" i="3"/>
  <c r="AX205" i="3"/>
  <c r="AY205" i="3"/>
  <c r="AZ205" i="3"/>
  <c r="BA205" i="3"/>
  <c r="BB205" i="3"/>
  <c r="BC205" i="3"/>
  <c r="BD205" i="3"/>
  <c r="BE205" i="3"/>
  <c r="BF205" i="3"/>
  <c r="BG205" i="3"/>
  <c r="BH205" i="3"/>
  <c r="BI205" i="3"/>
  <c r="BJ205" i="3"/>
  <c r="D205" i="3"/>
  <c r="E204" i="3"/>
  <c r="F204" i="3"/>
  <c r="G204" i="3"/>
  <c r="H204" i="3"/>
  <c r="I204" i="3"/>
  <c r="J204" i="3"/>
  <c r="K204" i="3"/>
  <c r="L204" i="3"/>
  <c r="M204" i="3"/>
  <c r="N204" i="3"/>
  <c r="O204" i="3"/>
  <c r="P204" i="3"/>
  <c r="Q204" i="3"/>
  <c r="R204" i="3"/>
  <c r="S204" i="3"/>
  <c r="T204" i="3"/>
  <c r="U204" i="3"/>
  <c r="V204" i="3"/>
  <c r="W204" i="3"/>
  <c r="X204" i="3"/>
  <c r="Y204" i="3"/>
  <c r="Z204" i="3"/>
  <c r="AA204" i="3"/>
  <c r="AB204" i="3"/>
  <c r="AC204" i="3"/>
  <c r="AD204" i="3"/>
  <c r="AE204" i="3"/>
  <c r="AF204" i="3"/>
  <c r="AG204" i="3"/>
  <c r="AH204" i="3"/>
  <c r="AI204" i="3"/>
  <c r="AJ204" i="3"/>
  <c r="AK204" i="3"/>
  <c r="AL204" i="3"/>
  <c r="AM204" i="3"/>
  <c r="AN204" i="3"/>
  <c r="AO204" i="3"/>
  <c r="AP204" i="3"/>
  <c r="AQ204" i="3"/>
  <c r="AR204" i="3"/>
  <c r="AS204" i="3"/>
  <c r="AT204" i="3"/>
  <c r="AU204" i="3"/>
  <c r="AV204" i="3"/>
  <c r="AW204" i="3"/>
  <c r="AX204" i="3"/>
  <c r="AY204" i="3"/>
  <c r="AZ204" i="3"/>
  <c r="BA204" i="3"/>
  <c r="BB204" i="3"/>
  <c r="BC204" i="3"/>
  <c r="BD204" i="3"/>
  <c r="BE204" i="3"/>
  <c r="BF204" i="3"/>
  <c r="BG204" i="3"/>
  <c r="BH204" i="3"/>
  <c r="BI204" i="3"/>
  <c r="BJ204" i="3"/>
  <c r="D204" i="3"/>
  <c r="E203" i="3"/>
  <c r="F203" i="3"/>
  <c r="G203" i="3"/>
  <c r="H203" i="3"/>
  <c r="I203" i="3"/>
  <c r="J203" i="3"/>
  <c r="K203" i="3"/>
  <c r="L203" i="3"/>
  <c r="M203" i="3"/>
  <c r="N203" i="3"/>
  <c r="O203" i="3"/>
  <c r="P203" i="3"/>
  <c r="Q203" i="3"/>
  <c r="R203" i="3"/>
  <c r="S203" i="3"/>
  <c r="T203" i="3"/>
  <c r="U203" i="3"/>
  <c r="V203" i="3"/>
  <c r="W203" i="3"/>
  <c r="X203" i="3"/>
  <c r="Y203" i="3"/>
  <c r="Z203" i="3"/>
  <c r="AA203" i="3"/>
  <c r="AB203" i="3"/>
  <c r="AC203" i="3"/>
  <c r="AD203" i="3"/>
  <c r="AE203" i="3"/>
  <c r="AF203" i="3"/>
  <c r="AG203" i="3"/>
  <c r="AH203" i="3"/>
  <c r="AI203" i="3"/>
  <c r="AJ203" i="3"/>
  <c r="AK203" i="3"/>
  <c r="AL203" i="3"/>
  <c r="AM203" i="3"/>
  <c r="AN203" i="3"/>
  <c r="AO203" i="3"/>
  <c r="AP203" i="3"/>
  <c r="AQ203" i="3"/>
  <c r="AR203" i="3"/>
  <c r="AS203" i="3"/>
  <c r="AT203" i="3"/>
  <c r="AU203" i="3"/>
  <c r="AV203" i="3"/>
  <c r="AW203" i="3"/>
  <c r="AX203" i="3"/>
  <c r="AY203" i="3"/>
  <c r="AZ203" i="3"/>
  <c r="BA203" i="3"/>
  <c r="BB203" i="3"/>
  <c r="BC203" i="3"/>
  <c r="BD203" i="3"/>
  <c r="BE203" i="3"/>
  <c r="BF203" i="3"/>
  <c r="BG203" i="3"/>
  <c r="BH203" i="3"/>
  <c r="BI203" i="3"/>
  <c r="BJ203" i="3"/>
  <c r="D203" i="3"/>
  <c r="E202" i="3"/>
  <c r="F202" i="3"/>
  <c r="G202" i="3"/>
  <c r="H202" i="3"/>
  <c r="I202" i="3"/>
  <c r="J202" i="3"/>
  <c r="K202" i="3"/>
  <c r="L202" i="3"/>
  <c r="M202" i="3"/>
  <c r="N202" i="3"/>
  <c r="O202" i="3"/>
  <c r="P202" i="3"/>
  <c r="Q202" i="3"/>
  <c r="R202" i="3"/>
  <c r="S202" i="3"/>
  <c r="T202" i="3"/>
  <c r="U202" i="3"/>
  <c r="V202" i="3"/>
  <c r="W202" i="3"/>
  <c r="X202" i="3"/>
  <c r="Y202" i="3"/>
  <c r="Z202" i="3"/>
  <c r="AA202" i="3"/>
  <c r="AB202" i="3"/>
  <c r="AC202" i="3"/>
  <c r="AD202" i="3"/>
  <c r="AE202" i="3"/>
  <c r="AF202" i="3"/>
  <c r="AG202" i="3"/>
  <c r="AH202" i="3"/>
  <c r="AI202" i="3"/>
  <c r="AJ202" i="3"/>
  <c r="AK202" i="3"/>
  <c r="AL202" i="3"/>
  <c r="AM202" i="3"/>
  <c r="AN202" i="3"/>
  <c r="AO202" i="3"/>
  <c r="AP202" i="3"/>
  <c r="AQ202" i="3"/>
  <c r="AR202" i="3"/>
  <c r="AS202" i="3"/>
  <c r="AT202" i="3"/>
  <c r="AU202" i="3"/>
  <c r="AV202" i="3"/>
  <c r="AW202" i="3"/>
  <c r="AX202" i="3"/>
  <c r="AY202" i="3"/>
  <c r="AZ202" i="3"/>
  <c r="BA202" i="3"/>
  <c r="BB202" i="3"/>
  <c r="BC202" i="3"/>
  <c r="BD202" i="3"/>
  <c r="BE202" i="3"/>
  <c r="BF202" i="3"/>
  <c r="BG202" i="3"/>
  <c r="BH202" i="3"/>
  <c r="BI202" i="3"/>
  <c r="BJ202" i="3"/>
  <c r="D202" i="3"/>
  <c r="E201" i="3"/>
  <c r="F201" i="3"/>
  <c r="G201" i="3"/>
  <c r="H201" i="3"/>
  <c r="I201" i="3"/>
  <c r="J201" i="3"/>
  <c r="K201" i="3"/>
  <c r="L201" i="3"/>
  <c r="M201" i="3"/>
  <c r="N201" i="3"/>
  <c r="O201" i="3"/>
  <c r="P201" i="3"/>
  <c r="Q201" i="3"/>
  <c r="R201" i="3"/>
  <c r="S201" i="3"/>
  <c r="T201" i="3"/>
  <c r="U201" i="3"/>
  <c r="V201" i="3"/>
  <c r="W201" i="3"/>
  <c r="X201" i="3"/>
  <c r="Y201" i="3"/>
  <c r="Z201" i="3"/>
  <c r="AA201" i="3"/>
  <c r="AB201" i="3"/>
  <c r="AC201" i="3"/>
  <c r="AD201" i="3"/>
  <c r="AE201" i="3"/>
  <c r="AF201" i="3"/>
  <c r="AG201" i="3"/>
  <c r="AH201" i="3"/>
  <c r="AI201" i="3"/>
  <c r="AJ201" i="3"/>
  <c r="AK201" i="3"/>
  <c r="AL201" i="3"/>
  <c r="AM201" i="3"/>
  <c r="AN201" i="3"/>
  <c r="AO201" i="3"/>
  <c r="AP201" i="3"/>
  <c r="AQ201" i="3"/>
  <c r="AR201" i="3"/>
  <c r="AS201" i="3"/>
  <c r="AT201" i="3"/>
  <c r="AU201" i="3"/>
  <c r="AV201" i="3"/>
  <c r="AW201" i="3"/>
  <c r="AX201" i="3"/>
  <c r="AY201" i="3"/>
  <c r="AZ201" i="3"/>
  <c r="BA201" i="3"/>
  <c r="BB201" i="3"/>
  <c r="BC201" i="3"/>
  <c r="BD201" i="3"/>
  <c r="BE201" i="3"/>
  <c r="BF201" i="3"/>
  <c r="BG201" i="3"/>
  <c r="BH201" i="3"/>
  <c r="BI201" i="3"/>
  <c r="BJ201" i="3"/>
  <c r="D201" i="3"/>
  <c r="E200" i="3"/>
  <c r="F200" i="3"/>
  <c r="G200" i="3"/>
  <c r="H200" i="3"/>
  <c r="I200" i="3"/>
  <c r="J200" i="3"/>
  <c r="K200" i="3"/>
  <c r="L200" i="3"/>
  <c r="M200" i="3"/>
  <c r="N200" i="3"/>
  <c r="O200" i="3"/>
  <c r="P200" i="3"/>
  <c r="Q200" i="3"/>
  <c r="R200" i="3"/>
  <c r="S200" i="3"/>
  <c r="T200" i="3"/>
  <c r="U200" i="3"/>
  <c r="V200" i="3"/>
  <c r="W200" i="3"/>
  <c r="X200" i="3"/>
  <c r="Y200" i="3"/>
  <c r="Z200" i="3"/>
  <c r="AA200" i="3"/>
  <c r="AB200" i="3"/>
  <c r="AC200" i="3"/>
  <c r="AD200" i="3"/>
  <c r="AE200" i="3"/>
  <c r="AF200" i="3"/>
  <c r="AG200" i="3"/>
  <c r="AH200" i="3"/>
  <c r="AI200" i="3"/>
  <c r="AJ200" i="3"/>
  <c r="AK200" i="3"/>
  <c r="AL200" i="3"/>
  <c r="AM200" i="3"/>
  <c r="AN200" i="3"/>
  <c r="AO200" i="3"/>
  <c r="AP200" i="3"/>
  <c r="AQ200" i="3"/>
  <c r="AR200" i="3"/>
  <c r="AS200" i="3"/>
  <c r="AT200" i="3"/>
  <c r="AU200" i="3"/>
  <c r="AV200" i="3"/>
  <c r="AW200" i="3"/>
  <c r="AX200" i="3"/>
  <c r="AY200" i="3"/>
  <c r="AZ200" i="3"/>
  <c r="BA200" i="3"/>
  <c r="BB200" i="3"/>
  <c r="BC200" i="3"/>
  <c r="BD200" i="3"/>
  <c r="BE200" i="3"/>
  <c r="BF200" i="3"/>
  <c r="BG200" i="3"/>
  <c r="BH200" i="3"/>
  <c r="BI200" i="3"/>
  <c r="BJ200" i="3"/>
  <c r="D200" i="3"/>
  <c r="A199" i="3"/>
  <c r="B199" i="3" s="1"/>
  <c r="A189" i="3"/>
  <c r="B189" i="3" s="1"/>
  <c r="A179" i="3"/>
  <c r="B179" i="3" s="1"/>
  <c r="A169" i="3"/>
  <c r="B169" i="3" s="1"/>
  <c r="A159" i="3"/>
  <c r="B159" i="3" s="1"/>
  <c r="A149" i="3"/>
  <c r="B149" i="3" s="1"/>
  <c r="A139" i="3"/>
  <c r="B139" i="3" s="1"/>
  <c r="A129" i="3"/>
  <c r="B129" i="3" s="1"/>
  <c r="A119" i="3"/>
  <c r="B119" i="3" s="1"/>
  <c r="A109" i="3"/>
  <c r="B109" i="3" s="1"/>
  <c r="A99" i="3"/>
  <c r="B99" i="3" s="1"/>
  <c r="A89" i="3"/>
  <c r="B89" i="3" s="1"/>
  <c r="A79" i="3"/>
  <c r="B79" i="3" s="1"/>
  <c r="A69" i="3"/>
  <c r="B69" i="3" s="1"/>
  <c r="A59" i="3"/>
  <c r="B59" i="3" s="1"/>
  <c r="A49" i="3"/>
  <c r="B49" i="3" s="1"/>
  <c r="A39" i="3"/>
  <c r="B39" i="3" s="1"/>
  <c r="A29" i="3"/>
  <c r="B29" i="3" s="1"/>
  <c r="A19" i="3"/>
  <c r="B19" i="3" s="1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AF14" i="3"/>
  <c r="AG14" i="3"/>
  <c r="AH14" i="3"/>
  <c r="AI14" i="3"/>
  <c r="AJ14" i="3"/>
  <c r="AK14" i="3"/>
  <c r="AL14" i="3"/>
  <c r="AM14" i="3"/>
  <c r="AN14" i="3"/>
  <c r="AO14" i="3"/>
  <c r="AP14" i="3"/>
  <c r="AQ14" i="3"/>
  <c r="AR14" i="3"/>
  <c r="AS14" i="3"/>
  <c r="AT14" i="3"/>
  <c r="AU14" i="3"/>
  <c r="AV14" i="3"/>
  <c r="AW14" i="3"/>
  <c r="AX14" i="3"/>
  <c r="AY14" i="3"/>
  <c r="AZ14" i="3"/>
  <c r="BA14" i="3"/>
  <c r="BB14" i="3"/>
  <c r="BC14" i="3"/>
  <c r="BD14" i="3"/>
  <c r="BE14" i="3"/>
  <c r="BF14" i="3"/>
  <c r="BG14" i="3"/>
  <c r="BH14" i="3"/>
  <c r="BI14" i="3"/>
  <c r="BJ14" i="3"/>
  <c r="D14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AF13" i="3"/>
  <c r="AG13" i="3"/>
  <c r="AH13" i="3"/>
  <c r="AI13" i="3"/>
  <c r="AJ13" i="3"/>
  <c r="AK13" i="3"/>
  <c r="AL13" i="3"/>
  <c r="AM13" i="3"/>
  <c r="AN13" i="3"/>
  <c r="AO13" i="3"/>
  <c r="AP13" i="3"/>
  <c r="AQ13" i="3"/>
  <c r="AR13" i="3"/>
  <c r="AS13" i="3"/>
  <c r="AT13" i="3"/>
  <c r="AU13" i="3"/>
  <c r="AV13" i="3"/>
  <c r="AW13" i="3"/>
  <c r="AX13" i="3"/>
  <c r="AY13" i="3"/>
  <c r="AZ13" i="3"/>
  <c r="BA13" i="3"/>
  <c r="BB13" i="3"/>
  <c r="BC13" i="3"/>
  <c r="BD13" i="3"/>
  <c r="BE13" i="3"/>
  <c r="BF13" i="3"/>
  <c r="BG13" i="3"/>
  <c r="BH13" i="3"/>
  <c r="BI13" i="3"/>
  <c r="BJ13" i="3"/>
  <c r="D13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AB12" i="3"/>
  <c r="AC12" i="3"/>
  <c r="AD12" i="3"/>
  <c r="AE12" i="3"/>
  <c r="AF12" i="3"/>
  <c r="AG12" i="3"/>
  <c r="AH12" i="3"/>
  <c r="AI12" i="3"/>
  <c r="AJ12" i="3"/>
  <c r="AK12" i="3"/>
  <c r="AL12" i="3"/>
  <c r="AM12" i="3"/>
  <c r="AN12" i="3"/>
  <c r="AO12" i="3"/>
  <c r="AP12" i="3"/>
  <c r="AQ12" i="3"/>
  <c r="AR12" i="3"/>
  <c r="AS12" i="3"/>
  <c r="AT12" i="3"/>
  <c r="AU12" i="3"/>
  <c r="AV12" i="3"/>
  <c r="AW12" i="3"/>
  <c r="AX12" i="3"/>
  <c r="AY12" i="3"/>
  <c r="AZ12" i="3"/>
  <c r="BA12" i="3"/>
  <c r="BB12" i="3"/>
  <c r="BC12" i="3"/>
  <c r="BD12" i="3"/>
  <c r="BE12" i="3"/>
  <c r="BF12" i="3"/>
  <c r="BG12" i="3"/>
  <c r="BH12" i="3"/>
  <c r="BI12" i="3"/>
  <c r="BJ12" i="3"/>
  <c r="D12" i="3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5" i="2"/>
  <c r="A9" i="3"/>
  <c r="B9" i="3" s="1"/>
  <c r="W6" i="2"/>
  <c r="W8" i="2"/>
  <c r="W9" i="2"/>
  <c r="W10" i="2"/>
  <c r="W11" i="2"/>
  <c r="W15" i="2"/>
  <c r="W19" i="2"/>
  <c r="W20" i="2"/>
  <c r="W23" i="2"/>
  <c r="W24" i="2"/>
  <c r="W26" i="2"/>
  <c r="W27" i="2"/>
  <c r="W30" i="2"/>
  <c r="W31" i="2"/>
  <c r="D5" i="3"/>
  <c r="F34" i="2"/>
  <c r="F36" i="2" s="1"/>
  <c r="G36" i="2" s="1"/>
  <c r="P32" i="2"/>
  <c r="V32" i="2" s="1"/>
  <c r="P31" i="2"/>
  <c r="R31" i="2" s="1"/>
  <c r="P30" i="2"/>
  <c r="T30" i="2" s="1"/>
  <c r="P29" i="2"/>
  <c r="U29" i="2" s="1"/>
  <c r="P28" i="2"/>
  <c r="W28" i="2" s="1"/>
  <c r="P27" i="2"/>
  <c r="V27" i="2" s="1"/>
  <c r="P26" i="2"/>
  <c r="V26" i="2" s="1"/>
  <c r="P25" i="2"/>
  <c r="V25" i="2" s="1"/>
  <c r="O24" i="2"/>
  <c r="P24" i="2"/>
  <c r="V24" i="2" s="1"/>
  <c r="P23" i="2"/>
  <c r="O23" i="2"/>
  <c r="P22" i="2"/>
  <c r="V22" i="2" s="1"/>
  <c r="O22" i="2"/>
  <c r="P21" i="2"/>
  <c r="T21" i="2" s="1"/>
  <c r="O21" i="2"/>
  <c r="U20" i="2"/>
  <c r="R20" i="2"/>
  <c r="P20" i="2"/>
  <c r="V20" i="2" s="1"/>
  <c r="O20" i="2"/>
  <c r="P19" i="2"/>
  <c r="O19" i="2"/>
  <c r="P18" i="2"/>
  <c r="V18" i="2" s="1"/>
  <c r="O18" i="2"/>
  <c r="P17" i="2"/>
  <c r="R17" i="2" s="1"/>
  <c r="O17" i="2"/>
  <c r="P16" i="2"/>
  <c r="V16" i="2" s="1"/>
  <c r="O16" i="2"/>
  <c r="P15" i="2"/>
  <c r="R15" i="2" s="1"/>
  <c r="O15" i="2"/>
  <c r="P14" i="2"/>
  <c r="V14" i="2" s="1"/>
  <c r="O14" i="2"/>
  <c r="P13" i="2"/>
  <c r="W13" i="2" s="1"/>
  <c r="O13" i="2"/>
  <c r="P12" i="2"/>
  <c r="V12" i="2" s="1"/>
  <c r="O12" i="2"/>
  <c r="P11" i="2"/>
  <c r="R11" i="2" s="1"/>
  <c r="O11" i="2"/>
  <c r="P10" i="2"/>
  <c r="V10" i="2" s="1"/>
  <c r="O10" i="2"/>
  <c r="P9" i="2"/>
  <c r="R9" i="2" s="1"/>
  <c r="O9" i="2"/>
  <c r="P8" i="2"/>
  <c r="V8" i="2" s="1"/>
  <c r="O8" i="2"/>
  <c r="P7" i="2"/>
  <c r="W7" i="2" s="1"/>
  <c r="O7" i="2"/>
  <c r="U6" i="2"/>
  <c r="P6" i="2"/>
  <c r="V6" i="2" s="1"/>
  <c r="O6" i="2"/>
  <c r="P5" i="2"/>
  <c r="U5" i="2" s="1"/>
  <c r="O5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34" i="2" s="1"/>
  <c r="H12" i="2"/>
  <c r="H11" i="2"/>
  <c r="H10" i="2"/>
  <c r="H9" i="2"/>
  <c r="H8" i="2"/>
  <c r="H7" i="2"/>
  <c r="H6" i="2"/>
  <c r="H5" i="2"/>
  <c r="C46" i="1"/>
  <c r="C45" i="1"/>
  <c r="B40" i="1"/>
  <c r="B39" i="1"/>
  <c r="B8" i="1"/>
  <c r="E4" i="10" l="1"/>
  <c r="F38" i="11"/>
  <c r="U38" i="11"/>
  <c r="U39" i="11" s="1"/>
  <c r="T38" i="11"/>
  <c r="T39" i="11" s="1"/>
  <c r="S38" i="11"/>
  <c r="S39" i="11" s="1"/>
  <c r="R38" i="11"/>
  <c r="R39" i="11" s="1"/>
  <c r="Q38" i="11"/>
  <c r="Q39" i="11" s="1"/>
  <c r="M38" i="11"/>
  <c r="M39" i="11" s="1"/>
  <c r="L38" i="11"/>
  <c r="L39" i="11" s="1"/>
  <c r="K38" i="11"/>
  <c r="K39" i="11" s="1"/>
  <c r="J38" i="11"/>
  <c r="J39" i="11" s="1"/>
  <c r="H38" i="11"/>
  <c r="H39" i="11" s="1"/>
  <c r="P38" i="11"/>
  <c r="P39" i="11" s="1"/>
  <c r="O38" i="11"/>
  <c r="O39" i="11" s="1"/>
  <c r="N38" i="11"/>
  <c r="N39" i="11" s="1"/>
  <c r="I38" i="11"/>
  <c r="I39" i="11" s="1"/>
  <c r="E38" i="11"/>
  <c r="E39" i="11" s="1"/>
  <c r="G38" i="11"/>
  <c r="G39" i="11" s="1"/>
  <c r="V38" i="11"/>
  <c r="V39" i="11" s="1"/>
  <c r="X21" i="11"/>
  <c r="X35" i="11"/>
  <c r="X36" i="11"/>
  <c r="X31" i="11"/>
  <c r="X22" i="11"/>
  <c r="X17" i="11"/>
  <c r="X8" i="11"/>
  <c r="X12" i="11"/>
  <c r="X14" i="11"/>
  <c r="X16" i="11"/>
  <c r="X26" i="11"/>
  <c r="X10" i="11"/>
  <c r="X18" i="11"/>
  <c r="X28" i="11"/>
  <c r="X11" i="11"/>
  <c r="X19" i="11"/>
  <c r="X29" i="11"/>
  <c r="X32" i="11"/>
  <c r="X9" i="11"/>
  <c r="X13" i="11"/>
  <c r="X15" i="11"/>
  <c r="X23" i="11"/>
  <c r="X27" i="11"/>
  <c r="X20" i="11"/>
  <c r="X30" i="11"/>
  <c r="F39" i="11"/>
  <c r="D26" i="16"/>
  <c r="M28" i="16"/>
  <c r="I24" i="16"/>
  <c r="I26" i="16" s="1"/>
  <c r="N26" i="16" s="1"/>
  <c r="J24" i="16"/>
  <c r="J26" i="16" s="1"/>
  <c r="J28" i="16" s="1"/>
  <c r="K24" i="16"/>
  <c r="K26" i="16" s="1"/>
  <c r="K28" i="16" s="1"/>
  <c r="D28" i="16"/>
  <c r="E28" i="16"/>
  <c r="F28" i="16"/>
  <c r="G28" i="16"/>
  <c r="H28" i="16"/>
  <c r="D11" i="12"/>
  <c r="D49" i="12"/>
  <c r="D46" i="12"/>
  <c r="S16" i="2"/>
  <c r="D124" i="3" s="1"/>
  <c r="Q16" i="2"/>
  <c r="Q25" i="2"/>
  <c r="Q32" i="2"/>
  <c r="R16" i="2"/>
  <c r="R25" i="2"/>
  <c r="R32" i="2"/>
  <c r="W25" i="2"/>
  <c r="Q12" i="2"/>
  <c r="U16" i="2"/>
  <c r="T25" i="2"/>
  <c r="T32" i="2"/>
  <c r="R12" i="2"/>
  <c r="U25" i="2"/>
  <c r="U32" i="2"/>
  <c r="U12" i="2"/>
  <c r="W22" i="2"/>
  <c r="Q5" i="2"/>
  <c r="Q22" i="2"/>
  <c r="W21" i="2"/>
  <c r="L34" i="2" a="1"/>
  <c r="L34" i="2" s="1"/>
  <c r="D15" i="12" s="1"/>
  <c r="D27" i="12" s="1"/>
  <c r="R5" i="2"/>
  <c r="U8" i="2"/>
  <c r="R22" i="2"/>
  <c r="T5" i="2"/>
  <c r="Q18" i="2"/>
  <c r="U22" i="2"/>
  <c r="T27" i="2"/>
  <c r="R18" i="2"/>
  <c r="U27" i="2"/>
  <c r="W18" i="2"/>
  <c r="V5" i="2"/>
  <c r="Q14" i="2"/>
  <c r="U18" i="2"/>
  <c r="R14" i="2"/>
  <c r="W32" i="2"/>
  <c r="W16" i="2"/>
  <c r="Q10" i="2"/>
  <c r="V29" i="2"/>
  <c r="D254" i="3" s="1"/>
  <c r="R6" i="2"/>
  <c r="X6" i="2" s="1"/>
  <c r="U10" i="2"/>
  <c r="U24" i="2"/>
  <c r="W29" i="2"/>
  <c r="S24" i="2"/>
  <c r="Q8" i="2"/>
  <c r="R8" i="2"/>
  <c r="X8" i="2" s="1"/>
  <c r="W17" i="2"/>
  <c r="X17" i="2" s="1"/>
  <c r="U14" i="2"/>
  <c r="Q24" i="2"/>
  <c r="Q6" i="2"/>
  <c r="R10" i="2"/>
  <c r="X10" i="2" s="1"/>
  <c r="R24" i="2"/>
  <c r="X24" i="2" s="1"/>
  <c r="W14" i="2"/>
  <c r="S6" i="2"/>
  <c r="D27" i="3" s="1"/>
  <c r="Q20" i="2"/>
  <c r="W12" i="2"/>
  <c r="S5" i="2"/>
  <c r="S10" i="2"/>
  <c r="D64" i="3" s="1"/>
  <c r="S14" i="2"/>
  <c r="D107" i="3" s="1"/>
  <c r="S18" i="2"/>
  <c r="D148" i="3" s="1"/>
  <c r="S22" i="2"/>
  <c r="D184" i="3" s="1"/>
  <c r="S27" i="2"/>
  <c r="S7" i="2"/>
  <c r="D32" i="3" s="1"/>
  <c r="D33" i="3" s="1"/>
  <c r="S19" i="2"/>
  <c r="D158" i="3" s="1"/>
  <c r="S23" i="2"/>
  <c r="D197" i="3" s="1"/>
  <c r="S28" i="2"/>
  <c r="S32" i="2"/>
  <c r="S25" i="2"/>
  <c r="S8" i="2"/>
  <c r="D47" i="3" s="1"/>
  <c r="S12" i="2"/>
  <c r="D87" i="3" s="1"/>
  <c r="S13" i="2"/>
  <c r="D97" i="3" s="1"/>
  <c r="X20" i="2"/>
  <c r="X11" i="2"/>
  <c r="D25" i="10"/>
  <c r="X15" i="2"/>
  <c r="X9" i="2"/>
  <c r="X31" i="2"/>
  <c r="D327" i="3"/>
  <c r="B45" i="4"/>
  <c r="H27" i="8"/>
  <c r="D307" i="3"/>
  <c r="E307" i="3"/>
  <c r="D347" i="3"/>
  <c r="B65" i="4"/>
  <c r="B62" i="4"/>
  <c r="L3" i="4"/>
  <c r="D3" i="10" s="1"/>
  <c r="F3" i="4"/>
  <c r="E340" i="3"/>
  <c r="E347" i="3" s="1"/>
  <c r="E5" i="3"/>
  <c r="M22" i="4" s="1"/>
  <c r="E310" i="3"/>
  <c r="E317" i="3" s="1"/>
  <c r="D317" i="3"/>
  <c r="D297" i="3"/>
  <c r="B22" i="5"/>
  <c r="C22" i="5" s="1"/>
  <c r="D337" i="3"/>
  <c r="D328" i="3"/>
  <c r="D180" i="3"/>
  <c r="D181" i="3" s="1"/>
  <c r="F3" i="3"/>
  <c r="E320" i="3"/>
  <c r="E327" i="3" s="1"/>
  <c r="E290" i="3"/>
  <c r="E297" i="3" s="1"/>
  <c r="E330" i="3"/>
  <c r="E337" i="3" s="1"/>
  <c r="E4" i="3"/>
  <c r="D70" i="3"/>
  <c r="D277" i="3"/>
  <c r="D257" i="3"/>
  <c r="D237" i="3"/>
  <c r="D217" i="3"/>
  <c r="L5" i="4"/>
  <c r="D342" i="3"/>
  <c r="D322" i="3"/>
  <c r="D242" i="3"/>
  <c r="D224" i="3"/>
  <c r="D338" i="3"/>
  <c r="D318" i="3"/>
  <c r="D298" i="3"/>
  <c r="D278" i="3"/>
  <c r="D258" i="3"/>
  <c r="D238" i="3"/>
  <c r="D218" i="3"/>
  <c r="D324" i="3"/>
  <c r="D314" i="3"/>
  <c r="D287" i="3"/>
  <c r="D267" i="3"/>
  <c r="D247" i="3"/>
  <c r="D227" i="3"/>
  <c r="D167" i="3"/>
  <c r="D344" i="3"/>
  <c r="D334" i="3"/>
  <c r="D232" i="3"/>
  <c r="D222" i="3"/>
  <c r="D170" i="3"/>
  <c r="D284" i="3"/>
  <c r="D292" i="3"/>
  <c r="D168" i="3"/>
  <c r="D312" i="3"/>
  <c r="D288" i="3"/>
  <c r="D234" i="3"/>
  <c r="D268" i="3"/>
  <c r="D272" i="3"/>
  <c r="D252" i="3"/>
  <c r="D256" i="3" s="1"/>
  <c r="D302" i="3"/>
  <c r="D304" i="3"/>
  <c r="D150" i="3"/>
  <c r="D151" i="3" s="1"/>
  <c r="D130" i="3"/>
  <c r="D332" i="3"/>
  <c r="D333" i="3" s="1"/>
  <c r="D262" i="3"/>
  <c r="D266" i="3" s="1"/>
  <c r="D248" i="3"/>
  <c r="D214" i="3"/>
  <c r="D20" i="3"/>
  <c r="D40" i="3"/>
  <c r="D41" i="3" s="1"/>
  <c r="D6" i="3"/>
  <c r="D50" i="3"/>
  <c r="D60" i="3"/>
  <c r="D282" i="3"/>
  <c r="D90" i="3"/>
  <c r="D91" i="3" s="1"/>
  <c r="D120" i="3"/>
  <c r="D121" i="3" s="1"/>
  <c r="D190" i="3"/>
  <c r="D162" i="3"/>
  <c r="D163" i="3" s="1"/>
  <c r="D110" i="3"/>
  <c r="D111" i="3" s="1"/>
  <c r="D308" i="3"/>
  <c r="D140" i="3"/>
  <c r="D141" i="3" s="1"/>
  <c r="D160" i="3"/>
  <c r="D161" i="3" s="1"/>
  <c r="D10" i="3"/>
  <c r="D11" i="3" s="1"/>
  <c r="D15" i="3" s="1"/>
  <c r="D80" i="3"/>
  <c r="D228" i="3"/>
  <c r="D100" i="3"/>
  <c r="D101" i="3" s="1"/>
  <c r="D294" i="3"/>
  <c r="D7" i="3"/>
  <c r="D164" i="3"/>
  <c r="D212" i="3"/>
  <c r="D348" i="3"/>
  <c r="D30" i="3"/>
  <c r="R28" i="2"/>
  <c r="X28" i="2" s="1"/>
  <c r="Q26" i="2"/>
  <c r="U30" i="2"/>
  <c r="R26" i="2"/>
  <c r="X26" i="2" s="1"/>
  <c r="V30" i="2"/>
  <c r="D264" i="3" s="1"/>
  <c r="S26" i="2"/>
  <c r="U28" i="2"/>
  <c r="T26" i="2"/>
  <c r="Q31" i="2"/>
  <c r="U26" i="2"/>
  <c r="S31" i="2"/>
  <c r="T31" i="2"/>
  <c r="Q27" i="2"/>
  <c r="S29" i="2"/>
  <c r="U31" i="2"/>
  <c r="Q28" i="2"/>
  <c r="T28" i="2"/>
  <c r="V28" i="2"/>
  <c r="D244" i="3" s="1"/>
  <c r="R27" i="2"/>
  <c r="X27" i="2" s="1"/>
  <c r="T29" i="2"/>
  <c r="V31" i="2"/>
  <c r="D274" i="3" s="1"/>
  <c r="Q30" i="2"/>
  <c r="R30" i="2"/>
  <c r="X30" i="2" s="1"/>
  <c r="S30" i="2"/>
  <c r="Q29" i="2"/>
  <c r="R29" i="2"/>
  <c r="Q9" i="2"/>
  <c r="Q21" i="2"/>
  <c r="R7" i="2"/>
  <c r="X7" i="2" s="1"/>
  <c r="R13" i="2"/>
  <c r="X13" i="2" s="1"/>
  <c r="R23" i="2"/>
  <c r="X23" i="2" s="1"/>
  <c r="S9" i="2"/>
  <c r="D57" i="3" s="1"/>
  <c r="S15" i="2"/>
  <c r="D118" i="3" s="1"/>
  <c r="S21" i="2"/>
  <c r="D172" i="3" s="1"/>
  <c r="D173" i="3" s="1"/>
  <c r="T7" i="2"/>
  <c r="T9" i="2"/>
  <c r="T11" i="2"/>
  <c r="T13" i="2"/>
  <c r="T15" i="2"/>
  <c r="T17" i="2"/>
  <c r="T19" i="2"/>
  <c r="T23" i="2"/>
  <c r="U7" i="2"/>
  <c r="U9" i="2"/>
  <c r="U11" i="2"/>
  <c r="U13" i="2"/>
  <c r="U15" i="2"/>
  <c r="U17" i="2"/>
  <c r="U19" i="2"/>
  <c r="U21" i="2"/>
  <c r="U23" i="2"/>
  <c r="V7" i="2"/>
  <c r="V9" i="2"/>
  <c r="V11" i="2"/>
  <c r="V13" i="2"/>
  <c r="V15" i="2"/>
  <c r="V17" i="2"/>
  <c r="V19" i="2"/>
  <c r="V21" i="2"/>
  <c r="V23" i="2"/>
  <c r="R19" i="2"/>
  <c r="X19" i="2" s="1"/>
  <c r="Q13" i="2"/>
  <c r="S11" i="2"/>
  <c r="D72" i="3" s="1"/>
  <c r="D73" i="3" s="1"/>
  <c r="Q17" i="2"/>
  <c r="S17" i="2"/>
  <c r="D138" i="3" s="1"/>
  <c r="Q19" i="2"/>
  <c r="T6" i="2"/>
  <c r="T8" i="2"/>
  <c r="T10" i="2"/>
  <c r="T12" i="2"/>
  <c r="T14" i="2"/>
  <c r="T16" i="2"/>
  <c r="T18" i="2"/>
  <c r="T20" i="2"/>
  <c r="T22" i="2"/>
  <c r="T24" i="2"/>
  <c r="Q15" i="2"/>
  <c r="Q7" i="2"/>
  <c r="Q11" i="2"/>
  <c r="Q23" i="2"/>
  <c r="R21" i="2"/>
  <c r="X25" i="2" l="1"/>
  <c r="D24" i="3"/>
  <c r="D22" i="3"/>
  <c r="D23" i="3" s="1"/>
  <c r="X12" i="2"/>
  <c r="M21" i="4"/>
  <c r="N28" i="16"/>
  <c r="I28" i="16"/>
  <c r="N24" i="16"/>
  <c r="X5" i="2"/>
  <c r="X22" i="2"/>
  <c r="D128" i="3"/>
  <c r="D122" i="3"/>
  <c r="D123" i="3" s="1"/>
  <c r="D125" i="3" s="1"/>
  <c r="D127" i="3"/>
  <c r="D28" i="3"/>
  <c r="X18" i="2"/>
  <c r="X32" i="2"/>
  <c r="X16" i="2"/>
  <c r="D108" i="3"/>
  <c r="X29" i="2"/>
  <c r="D104" i="3"/>
  <c r="X14" i="2"/>
  <c r="X21" i="2"/>
  <c r="D38" i="3"/>
  <c r="D102" i="3"/>
  <c r="D103" i="3" s="1"/>
  <c r="D67" i="3"/>
  <c r="D62" i="3"/>
  <c r="D63" i="3" s="1"/>
  <c r="D187" i="3"/>
  <c r="D68" i="3"/>
  <c r="D188" i="3"/>
  <c r="D147" i="3"/>
  <c r="D142" i="3"/>
  <c r="D143" i="3" s="1"/>
  <c r="D144" i="3"/>
  <c r="E97" i="3"/>
  <c r="D37" i="3"/>
  <c r="D182" i="3"/>
  <c r="D186" i="3" s="1"/>
  <c r="D192" i="3"/>
  <c r="D193" i="3" s="1"/>
  <c r="D44" i="3"/>
  <c r="D84" i="3"/>
  <c r="D52" i="3"/>
  <c r="D53" i="3" s="1"/>
  <c r="D152" i="3"/>
  <c r="D153" i="3" s="1"/>
  <c r="D82" i="3"/>
  <c r="D83" i="3" s="1"/>
  <c r="D88" i="3"/>
  <c r="D137" i="3"/>
  <c r="D157" i="3"/>
  <c r="D48" i="3"/>
  <c r="D94" i="3"/>
  <c r="D42" i="3"/>
  <c r="D43" i="3" s="1"/>
  <c r="D92" i="3"/>
  <c r="D93" i="3" s="1"/>
  <c r="D98" i="3"/>
  <c r="D198" i="3"/>
  <c r="B39" i="11"/>
  <c r="X39" i="11" s="1"/>
  <c r="D178" i="3"/>
  <c r="D177" i="3"/>
  <c r="D114" i="3"/>
  <c r="D112" i="3"/>
  <c r="D113" i="3" s="1"/>
  <c r="D58" i="3"/>
  <c r="L50" i="4"/>
  <c r="D5" i="10"/>
  <c r="D132" i="3"/>
  <c r="D133" i="3" s="1"/>
  <c r="D117" i="3"/>
  <c r="L45" i="4"/>
  <c r="D77" i="3"/>
  <c r="E20" i="3"/>
  <c r="E21" i="3" s="1"/>
  <c r="E328" i="3"/>
  <c r="L65" i="4"/>
  <c r="G3" i="4"/>
  <c r="E248" i="3"/>
  <c r="E348" i="3"/>
  <c r="E162" i="3"/>
  <c r="E163" i="3" s="1"/>
  <c r="E287" i="3"/>
  <c r="E228" i="3"/>
  <c r="D335" i="3"/>
  <c r="M13" i="4"/>
  <c r="E160" i="3"/>
  <c r="E161" i="3" s="1"/>
  <c r="E152" i="3"/>
  <c r="E153" i="3" s="1"/>
  <c r="E304" i="3"/>
  <c r="D16" i="3"/>
  <c r="E302" i="3"/>
  <c r="E306" i="3" s="1"/>
  <c r="E284" i="3"/>
  <c r="D134" i="3"/>
  <c r="E70" i="3"/>
  <c r="E71" i="3" s="1"/>
  <c r="D34" i="3"/>
  <c r="D78" i="3"/>
  <c r="D74" i="3"/>
  <c r="E124" i="3"/>
  <c r="E47" i="3"/>
  <c r="D154" i="3"/>
  <c r="E27" i="3"/>
  <c r="E24" i="3"/>
  <c r="E54" i="3"/>
  <c r="E122" i="3"/>
  <c r="E123" i="3" s="1"/>
  <c r="E344" i="3"/>
  <c r="D174" i="3"/>
  <c r="E107" i="3"/>
  <c r="E268" i="3"/>
  <c r="E138" i="3"/>
  <c r="E64" i="3"/>
  <c r="E82" i="3"/>
  <c r="E83" i="3" s="1"/>
  <c r="D194" i="3"/>
  <c r="D54" i="3"/>
  <c r="E148" i="3"/>
  <c r="E94" i="3"/>
  <c r="E294" i="3"/>
  <c r="E267" i="3"/>
  <c r="E157" i="3"/>
  <c r="E137" i="3"/>
  <c r="E77" i="3"/>
  <c r="E57" i="3"/>
  <c r="E182" i="3"/>
  <c r="E183" i="3" s="1"/>
  <c r="D303" i="3"/>
  <c r="D305" i="3" s="1"/>
  <c r="D306" i="3"/>
  <c r="D223" i="3"/>
  <c r="D225" i="3" s="1"/>
  <c r="D226" i="3"/>
  <c r="E68" i="3"/>
  <c r="E298" i="3"/>
  <c r="E58" i="3"/>
  <c r="E218" i="3"/>
  <c r="E108" i="3"/>
  <c r="E332" i="3"/>
  <c r="E333" i="3" s="1"/>
  <c r="E38" i="3"/>
  <c r="E168" i="3"/>
  <c r="E100" i="3"/>
  <c r="E101" i="3" s="1"/>
  <c r="E292" i="3"/>
  <c r="E296" i="3" s="1"/>
  <c r="E247" i="3"/>
  <c r="E288" i="3"/>
  <c r="E188" i="3"/>
  <c r="E158" i="3"/>
  <c r="E254" i="3"/>
  <c r="E140" i="3"/>
  <c r="E141" i="3" s="1"/>
  <c r="E62" i="3"/>
  <c r="E63" i="3" s="1"/>
  <c r="E238" i="3"/>
  <c r="E128" i="3"/>
  <c r="E98" i="3"/>
  <c r="E224" i="3"/>
  <c r="E150" i="3"/>
  <c r="E151" i="3" s="1"/>
  <c r="E32" i="3"/>
  <c r="E33" i="3" s="1"/>
  <c r="E338" i="3"/>
  <c r="E178" i="3"/>
  <c r="E192" i="3"/>
  <c r="E193" i="3" s="1"/>
  <c r="E72" i="3"/>
  <c r="E73" i="3" s="1"/>
  <c r="E50" i="3"/>
  <c r="E51" i="3" s="1"/>
  <c r="E112" i="3"/>
  <c r="E113" i="3" s="1"/>
  <c r="E102" i="3"/>
  <c r="E103" i="3" s="1"/>
  <c r="E92" i="3"/>
  <c r="E93" i="3" s="1"/>
  <c r="E22" i="3"/>
  <c r="E23" i="3" s="1"/>
  <c r="E40" i="3"/>
  <c r="E41" i="3" s="1"/>
  <c r="E177" i="3"/>
  <c r="E318" i="3"/>
  <c r="E67" i="3"/>
  <c r="E37" i="3"/>
  <c r="E144" i="3"/>
  <c r="E134" i="3"/>
  <c r="E278" i="3"/>
  <c r="E242" i="3"/>
  <c r="E184" i="3"/>
  <c r="E308" i="3"/>
  <c r="E147" i="3"/>
  <c r="E34" i="3"/>
  <c r="E80" i="3"/>
  <c r="E81" i="3" s="1"/>
  <c r="E87" i="3"/>
  <c r="E180" i="3"/>
  <c r="E181" i="3" s="1"/>
  <c r="E74" i="3"/>
  <c r="E282" i="3"/>
  <c r="E190" i="3"/>
  <c r="E191" i="3" s="1"/>
  <c r="M5" i="4"/>
  <c r="E5" i="10" s="1"/>
  <c r="E232" i="3"/>
  <c r="E30" i="3"/>
  <c r="E31" i="3" s="1"/>
  <c r="E172" i="3"/>
  <c r="E173" i="3" s="1"/>
  <c r="E262" i="3"/>
  <c r="E28" i="3"/>
  <c r="E167" i="3"/>
  <c r="E142" i="3"/>
  <c r="E143" i="3" s="1"/>
  <c r="E10" i="3"/>
  <c r="E11" i="3" s="1"/>
  <c r="E15" i="3" s="1"/>
  <c r="E197" i="3"/>
  <c r="E110" i="3"/>
  <c r="E111" i="3" s="1"/>
  <c r="E44" i="3"/>
  <c r="E227" i="3"/>
  <c r="E212" i="3"/>
  <c r="E274" i="3"/>
  <c r="E117" i="3"/>
  <c r="E48" i="3"/>
  <c r="E194" i="3"/>
  <c r="E312" i="3"/>
  <c r="E342" i="3"/>
  <c r="E198" i="3"/>
  <c r="E222" i="3"/>
  <c r="E223" i="3" s="1"/>
  <c r="E217" i="3"/>
  <c r="E130" i="3"/>
  <c r="E131" i="3" s="1"/>
  <c r="E314" i="3"/>
  <c r="E244" i="3"/>
  <c r="E88" i="3"/>
  <c r="E60" i="3"/>
  <c r="E61" i="3" s="1"/>
  <c r="E264" i="3"/>
  <c r="E78" i="3"/>
  <c r="G3" i="3"/>
  <c r="F5" i="3"/>
  <c r="F320" i="3"/>
  <c r="F327" i="3" s="1"/>
  <c r="F4" i="3"/>
  <c r="F330" i="3"/>
  <c r="F337" i="3" s="1"/>
  <c r="F290" i="3"/>
  <c r="F297" i="3" s="1"/>
  <c r="F300" i="3"/>
  <c r="F307" i="3" s="1"/>
  <c r="F340" i="3"/>
  <c r="F347" i="3" s="1"/>
  <c r="N4" i="4"/>
  <c r="F4" i="10" s="1"/>
  <c r="F310" i="3"/>
  <c r="F317" i="3" s="1"/>
  <c r="E120" i="3"/>
  <c r="E121" i="3" s="1"/>
  <c r="E52" i="3"/>
  <c r="E53" i="3" s="1"/>
  <c r="E234" i="3"/>
  <c r="E258" i="3"/>
  <c r="E164" i="3"/>
  <c r="E90" i="3"/>
  <c r="E91" i="3" s="1"/>
  <c r="E272" i="3"/>
  <c r="E257" i="3"/>
  <c r="E6" i="3"/>
  <c r="E118" i="3"/>
  <c r="E114" i="3"/>
  <c r="E84" i="3"/>
  <c r="E127" i="3"/>
  <c r="E174" i="3"/>
  <c r="E277" i="3"/>
  <c r="E214" i="3"/>
  <c r="E237" i="3"/>
  <c r="E170" i="3"/>
  <c r="E171" i="3" s="1"/>
  <c r="E322" i="3"/>
  <c r="E323" i="3" s="1"/>
  <c r="E154" i="3"/>
  <c r="E334" i="3"/>
  <c r="E324" i="3"/>
  <c r="D253" i="3"/>
  <c r="D255" i="3" s="1"/>
  <c r="E42" i="3"/>
  <c r="E43" i="3" s="1"/>
  <c r="E187" i="3"/>
  <c r="E132" i="3"/>
  <c r="E133" i="3" s="1"/>
  <c r="E252" i="3"/>
  <c r="E253" i="3" s="1"/>
  <c r="E104" i="3"/>
  <c r="D263" i="3"/>
  <c r="D265" i="3" s="1"/>
  <c r="D336" i="3"/>
  <c r="D165" i="3"/>
  <c r="D166" i="3"/>
  <c r="D81" i="3"/>
  <c r="D216" i="3"/>
  <c r="D213" i="3"/>
  <c r="D215" i="3" s="1"/>
  <c r="D76" i="3"/>
  <c r="D71" i="3"/>
  <c r="D21" i="3"/>
  <c r="D236" i="3"/>
  <c r="D233" i="3"/>
  <c r="D235" i="3" s="1"/>
  <c r="E7" i="3"/>
  <c r="M17" i="4" s="1"/>
  <c r="D276" i="3"/>
  <c r="D273" i="3"/>
  <c r="D275" i="3" s="1"/>
  <c r="D31" i="3"/>
  <c r="D36" i="3"/>
  <c r="D176" i="3"/>
  <c r="D171" i="3"/>
  <c r="D293" i="3"/>
  <c r="D295" i="3" s="1"/>
  <c r="D296" i="3"/>
  <c r="D283" i="3"/>
  <c r="D285" i="3" s="1"/>
  <c r="D286" i="3"/>
  <c r="D61" i="3"/>
  <c r="D51" i="3"/>
  <c r="D243" i="3"/>
  <c r="D245" i="3" s="1"/>
  <c r="D246" i="3"/>
  <c r="D323" i="3"/>
  <c r="D325" i="3" s="1"/>
  <c r="D326" i="3"/>
  <c r="D191" i="3"/>
  <c r="D343" i="3"/>
  <c r="D345" i="3" s="1"/>
  <c r="D346" i="3"/>
  <c r="D131" i="3"/>
  <c r="D313" i="3"/>
  <c r="D315" i="3" s="1"/>
  <c r="D316" i="3"/>
  <c r="D26" i="3" l="1"/>
  <c r="N21" i="4"/>
  <c r="X34" i="2"/>
  <c r="D30" i="12" s="1"/>
  <c r="D105" i="3"/>
  <c r="D126" i="3"/>
  <c r="D66" i="3"/>
  <c r="D106" i="3"/>
  <c r="D65" i="3"/>
  <c r="D156" i="3"/>
  <c r="D183" i="3"/>
  <c r="D185" i="3" s="1"/>
  <c r="D146" i="3"/>
  <c r="D155" i="3"/>
  <c r="D145" i="3"/>
  <c r="D95" i="3"/>
  <c r="D196" i="3"/>
  <c r="D45" i="3"/>
  <c r="D56" i="3"/>
  <c r="D86" i="3"/>
  <c r="D85" i="3"/>
  <c r="D136" i="3"/>
  <c r="D46" i="3"/>
  <c r="D357" i="3"/>
  <c r="D96" i="3"/>
  <c r="D115" i="3"/>
  <c r="D116" i="3"/>
  <c r="D358" i="3"/>
  <c r="E225" i="3"/>
  <c r="E293" i="3"/>
  <c r="E295" i="3" s="1"/>
  <c r="N3" i="4"/>
  <c r="F3" i="10" s="1"/>
  <c r="N22" i="4"/>
  <c r="H3" i="4"/>
  <c r="E256" i="3"/>
  <c r="E125" i="3"/>
  <c r="E165" i="3"/>
  <c r="E75" i="3"/>
  <c r="D55" i="3"/>
  <c r="D354" i="3"/>
  <c r="E303" i="3"/>
  <c r="E305" i="3" s="1"/>
  <c r="E185" i="3"/>
  <c r="E55" i="3"/>
  <c r="D135" i="3"/>
  <c r="D75" i="3"/>
  <c r="E155" i="3"/>
  <c r="E335" i="3"/>
  <c r="E255" i="3"/>
  <c r="E326" i="3"/>
  <c r="E358" i="3"/>
  <c r="M24" i="4" s="1"/>
  <c r="E85" i="3"/>
  <c r="E175" i="3"/>
  <c r="D195" i="3"/>
  <c r="D175" i="3"/>
  <c r="E357" i="3"/>
  <c r="M23" i="4" s="1"/>
  <c r="E105" i="3"/>
  <c r="E95" i="3"/>
  <c r="D35" i="3"/>
  <c r="E354" i="3"/>
  <c r="M9" i="4" s="1"/>
  <c r="E25" i="3"/>
  <c r="E246" i="3"/>
  <c r="E243" i="3"/>
  <c r="E245" i="3" s="1"/>
  <c r="E352" i="3"/>
  <c r="F274" i="3"/>
  <c r="F194" i="3"/>
  <c r="F42" i="3"/>
  <c r="F43" i="3" s="1"/>
  <c r="F318" i="3"/>
  <c r="F334" i="3"/>
  <c r="F322" i="3"/>
  <c r="F114" i="3"/>
  <c r="F104" i="3"/>
  <c r="F24" i="3"/>
  <c r="F62" i="3"/>
  <c r="F63" i="3" s="1"/>
  <c r="F182" i="3"/>
  <c r="F183" i="3" s="1"/>
  <c r="F124" i="3"/>
  <c r="F82" i="3"/>
  <c r="F83" i="3" s="1"/>
  <c r="F238" i="3"/>
  <c r="F128" i="3"/>
  <c r="F98" i="3"/>
  <c r="F272" i="3"/>
  <c r="F278" i="3"/>
  <c r="F157" i="3"/>
  <c r="F252" i="3"/>
  <c r="F170" i="3"/>
  <c r="F171" i="3" s="1"/>
  <c r="F160" i="3"/>
  <c r="F161" i="3" s="1"/>
  <c r="F32" i="3"/>
  <c r="F33" i="3" s="1"/>
  <c r="F97" i="3"/>
  <c r="F344" i="3"/>
  <c r="F192" i="3"/>
  <c r="F193" i="3" s="1"/>
  <c r="F72" i="3"/>
  <c r="F73" i="3" s="1"/>
  <c r="F50" i="3"/>
  <c r="F51" i="3" s="1"/>
  <c r="F228" i="3"/>
  <c r="F304" i="3"/>
  <c r="F292" i="3"/>
  <c r="F264" i="3"/>
  <c r="F244" i="3"/>
  <c r="F144" i="3"/>
  <c r="F112" i="3"/>
  <c r="F113" i="3" s="1"/>
  <c r="F102" i="3"/>
  <c r="F103" i="3" s="1"/>
  <c r="F92" i="3"/>
  <c r="F93" i="3" s="1"/>
  <c r="F60" i="3"/>
  <c r="F61" i="3" s="1"/>
  <c r="F22" i="3"/>
  <c r="F23" i="3" s="1"/>
  <c r="F284" i="3"/>
  <c r="F248" i="3"/>
  <c r="F20" i="3"/>
  <c r="F21" i="3" s="1"/>
  <c r="F154" i="3"/>
  <c r="F84" i="3"/>
  <c r="F40" i="3"/>
  <c r="F41" i="3" s="1"/>
  <c r="F142" i="3"/>
  <c r="F143" i="3" s="1"/>
  <c r="F27" i="3"/>
  <c r="F184" i="3"/>
  <c r="F190" i="3"/>
  <c r="F191" i="3" s="1"/>
  <c r="F120" i="3"/>
  <c r="F121" i="3" s="1"/>
  <c r="F34" i="3"/>
  <c r="F94" i="3"/>
  <c r="F234" i="3"/>
  <c r="F74" i="3"/>
  <c r="F52" i="3"/>
  <c r="F53" i="3" s="1"/>
  <c r="F80" i="3"/>
  <c r="F81" i="3" s="1"/>
  <c r="F138" i="3"/>
  <c r="F282" i="3"/>
  <c r="F44" i="3"/>
  <c r="F308" i="3"/>
  <c r="F324" i="3"/>
  <c r="F132" i="3"/>
  <c r="F133" i="3" s="1"/>
  <c r="F70" i="3"/>
  <c r="F71" i="3" s="1"/>
  <c r="F30" i="3"/>
  <c r="F31" i="3" s="1"/>
  <c r="F342" i="3"/>
  <c r="F100" i="3"/>
  <c r="F101" i="3" s="1"/>
  <c r="F302" i="3"/>
  <c r="F54" i="3"/>
  <c r="F10" i="3"/>
  <c r="F11" i="3" s="1"/>
  <c r="F348" i="3"/>
  <c r="N5" i="4"/>
  <c r="F5" i="10" s="1"/>
  <c r="F314" i="3"/>
  <c r="F197" i="3"/>
  <c r="F110" i="3"/>
  <c r="F111" i="3" s="1"/>
  <c r="F118" i="3"/>
  <c r="F212" i="3"/>
  <c r="F152" i="3"/>
  <c r="F153" i="3" s="1"/>
  <c r="F130" i="3"/>
  <c r="F131" i="3" s="1"/>
  <c r="F64" i="3"/>
  <c r="F117" i="3"/>
  <c r="F48" i="3"/>
  <c r="F262" i="3"/>
  <c r="F164" i="3"/>
  <c r="F268" i="3"/>
  <c r="F78" i="3"/>
  <c r="F177" i="3"/>
  <c r="F222" i="3"/>
  <c r="F167" i="3"/>
  <c r="F174" i="3"/>
  <c r="F298" i="3"/>
  <c r="F38" i="3"/>
  <c r="F37" i="3"/>
  <c r="F28" i="3"/>
  <c r="F218" i="3"/>
  <c r="F328" i="3"/>
  <c r="F247" i="3"/>
  <c r="F267" i="3"/>
  <c r="F277" i="3"/>
  <c r="F147" i="3"/>
  <c r="F172" i="3"/>
  <c r="F173" i="3" s="1"/>
  <c r="F88" i="3"/>
  <c r="F198" i="3"/>
  <c r="F68" i="3"/>
  <c r="F107" i="3"/>
  <c r="F90" i="3"/>
  <c r="F91" i="3" s="1"/>
  <c r="F187" i="3"/>
  <c r="F58" i="3"/>
  <c r="F108" i="3"/>
  <c r="F158" i="3"/>
  <c r="F122" i="3"/>
  <c r="F123" i="3" s="1"/>
  <c r="F168" i="3"/>
  <c r="F57" i="3"/>
  <c r="F224" i="3"/>
  <c r="F87" i="3"/>
  <c r="F227" i="3"/>
  <c r="F288" i="3"/>
  <c r="F188" i="3"/>
  <c r="F134" i="3"/>
  <c r="F332" i="3"/>
  <c r="F150" i="3"/>
  <c r="F151" i="3" s="1"/>
  <c r="F162" i="3"/>
  <c r="F163" i="3" s="1"/>
  <c r="F148" i="3"/>
  <c r="F287" i="3"/>
  <c r="F217" i="3"/>
  <c r="F338" i="3"/>
  <c r="F77" i="3"/>
  <c r="F242" i="3"/>
  <c r="F294" i="3"/>
  <c r="F127" i="3"/>
  <c r="F254" i="3"/>
  <c r="F137" i="3"/>
  <c r="F180" i="3"/>
  <c r="F181" i="3" s="1"/>
  <c r="F140" i="3"/>
  <c r="F141" i="3" s="1"/>
  <c r="F258" i="3"/>
  <c r="F67" i="3"/>
  <c r="F47" i="3"/>
  <c r="F312" i="3"/>
  <c r="F232" i="3"/>
  <c r="F257" i="3"/>
  <c r="F237" i="3"/>
  <c r="F178" i="3"/>
  <c r="E35" i="3"/>
  <c r="E45" i="3"/>
  <c r="E325" i="3"/>
  <c r="E65" i="3"/>
  <c r="E145" i="3"/>
  <c r="F6" i="3"/>
  <c r="E226" i="3"/>
  <c r="E266" i="3"/>
  <c r="E263" i="3"/>
  <c r="E265" i="3" s="1"/>
  <c r="E313" i="3"/>
  <c r="E315" i="3" s="1"/>
  <c r="E316" i="3"/>
  <c r="E213" i="3"/>
  <c r="E215" i="3" s="1"/>
  <c r="E216" i="3"/>
  <c r="E115" i="3"/>
  <c r="E236" i="3"/>
  <c r="E233" i="3"/>
  <c r="E235" i="3" s="1"/>
  <c r="E336" i="3"/>
  <c r="E343" i="3"/>
  <c r="E345" i="3" s="1"/>
  <c r="E346" i="3"/>
  <c r="N13" i="4"/>
  <c r="E195" i="3"/>
  <c r="E135" i="3"/>
  <c r="E276" i="3"/>
  <c r="E273" i="3"/>
  <c r="E275" i="3" s="1"/>
  <c r="O4" i="4"/>
  <c r="G310" i="3"/>
  <c r="G317" i="3" s="1"/>
  <c r="H3" i="3"/>
  <c r="G5" i="3"/>
  <c r="G320" i="3"/>
  <c r="G327" i="3" s="1"/>
  <c r="G330" i="3"/>
  <c r="G337" i="3" s="1"/>
  <c r="G4" i="3"/>
  <c r="G300" i="3"/>
  <c r="G307" i="3" s="1"/>
  <c r="G290" i="3"/>
  <c r="G297" i="3" s="1"/>
  <c r="G340" i="3"/>
  <c r="G347" i="3" s="1"/>
  <c r="E286" i="3"/>
  <c r="E283" i="3"/>
  <c r="E285" i="3" s="1"/>
  <c r="E166" i="3"/>
  <c r="E46" i="3"/>
  <c r="E146" i="3"/>
  <c r="E196" i="3"/>
  <c r="E86" i="3"/>
  <c r="E76" i="3"/>
  <c r="F7" i="3"/>
  <c r="N17" i="4" s="1"/>
  <c r="E116" i="3"/>
  <c r="E66" i="3"/>
  <c r="E56" i="3"/>
  <c r="E156" i="3"/>
  <c r="E106" i="3"/>
  <c r="E16" i="3"/>
  <c r="E176" i="3"/>
  <c r="E126" i="3"/>
  <c r="E26" i="3"/>
  <c r="E186" i="3"/>
  <c r="E136" i="3"/>
  <c r="E36" i="3"/>
  <c r="E96" i="3"/>
  <c r="D25" i="3"/>
  <c r="D352" i="3"/>
  <c r="G4" i="10" l="1"/>
  <c r="O21" i="4"/>
  <c r="D353" i="3"/>
  <c r="D356" i="3"/>
  <c r="I3" i="4"/>
  <c r="O3" i="4"/>
  <c r="G3" i="10" s="1"/>
  <c r="O22" i="4"/>
  <c r="F125" i="3"/>
  <c r="M25" i="4"/>
  <c r="F85" i="3"/>
  <c r="F145" i="3"/>
  <c r="F358" i="3"/>
  <c r="N24" i="4" s="1"/>
  <c r="F25" i="3"/>
  <c r="F165" i="3"/>
  <c r="F95" i="3"/>
  <c r="E355" i="3"/>
  <c r="F283" i="3"/>
  <c r="F285" i="3" s="1"/>
  <c r="F286" i="3"/>
  <c r="F15" i="3"/>
  <c r="F352" i="3"/>
  <c r="F175" i="3"/>
  <c r="F185" i="3"/>
  <c r="F256" i="3"/>
  <c r="F253" i="3"/>
  <c r="F255" i="3" s="1"/>
  <c r="F236" i="3"/>
  <c r="F233" i="3"/>
  <c r="F235" i="3" s="1"/>
  <c r="F155" i="3"/>
  <c r="F65" i="3"/>
  <c r="F105" i="3"/>
  <c r="F343" i="3"/>
  <c r="F345" i="3" s="1"/>
  <c r="F346" i="3"/>
  <c r="F35" i="3"/>
  <c r="F115" i="3"/>
  <c r="F195" i="3"/>
  <c r="G217" i="3"/>
  <c r="G184" i="3"/>
  <c r="G172" i="3"/>
  <c r="G173" i="3" s="1"/>
  <c r="G94" i="3"/>
  <c r="G74" i="3"/>
  <c r="G52" i="3"/>
  <c r="G53" i="3" s="1"/>
  <c r="G318" i="3"/>
  <c r="G158" i="3"/>
  <c r="G254" i="3"/>
  <c r="G194" i="3"/>
  <c r="G42" i="3"/>
  <c r="G43" i="3" s="1"/>
  <c r="G334" i="3"/>
  <c r="G322" i="3"/>
  <c r="G140" i="3"/>
  <c r="G141" i="3" s="1"/>
  <c r="G114" i="3"/>
  <c r="G104" i="3"/>
  <c r="G24" i="3"/>
  <c r="G228" i="3"/>
  <c r="G38" i="3"/>
  <c r="G294" i="3"/>
  <c r="G62" i="3"/>
  <c r="G63" i="3" s="1"/>
  <c r="G128" i="3"/>
  <c r="G98" i="3"/>
  <c r="G222" i="3"/>
  <c r="G182" i="3"/>
  <c r="G183" i="3" s="1"/>
  <c r="G124" i="3"/>
  <c r="G82" i="3"/>
  <c r="G83" i="3" s="1"/>
  <c r="G60" i="3"/>
  <c r="G61" i="3" s="1"/>
  <c r="G178" i="3"/>
  <c r="G170" i="3"/>
  <c r="G171" i="3" s="1"/>
  <c r="G160" i="3"/>
  <c r="G161" i="3" s="1"/>
  <c r="G32" i="3"/>
  <c r="G33" i="3" s="1"/>
  <c r="G122" i="3"/>
  <c r="G123" i="3" s="1"/>
  <c r="G92" i="3"/>
  <c r="G93" i="3" s="1"/>
  <c r="G22" i="3"/>
  <c r="G23" i="3" s="1"/>
  <c r="G304" i="3"/>
  <c r="G292" i="3"/>
  <c r="G144" i="3"/>
  <c r="G344" i="3"/>
  <c r="G72" i="3"/>
  <c r="G73" i="3" s="1"/>
  <c r="G50" i="3"/>
  <c r="G51" i="3" s="1"/>
  <c r="G332" i="3"/>
  <c r="G88" i="3"/>
  <c r="G302" i="3"/>
  <c r="G120" i="3"/>
  <c r="G121" i="3" s="1"/>
  <c r="G54" i="3"/>
  <c r="G10" i="3"/>
  <c r="G30" i="3"/>
  <c r="G31" i="3" s="1"/>
  <c r="G262" i="3"/>
  <c r="G248" i="3"/>
  <c r="G162" i="3"/>
  <c r="G163" i="3" s="1"/>
  <c r="G164" i="3"/>
  <c r="G27" i="3"/>
  <c r="G20" i="3"/>
  <c r="G21" i="3" s="1"/>
  <c r="G152" i="3"/>
  <c r="G153" i="3" s="1"/>
  <c r="G130" i="3"/>
  <c r="G131" i="3" s="1"/>
  <c r="G87" i="3"/>
  <c r="G180" i="3"/>
  <c r="G181" i="3" s="1"/>
  <c r="G34" i="3"/>
  <c r="G247" i="3"/>
  <c r="G234" i="3"/>
  <c r="G154" i="3"/>
  <c r="G64" i="3"/>
  <c r="G40" i="3"/>
  <c r="G41" i="3" s="1"/>
  <c r="G138" i="3"/>
  <c r="G282" i="3"/>
  <c r="G28" i="3"/>
  <c r="G342" i="3"/>
  <c r="G80" i="3"/>
  <c r="G81" i="3" s="1"/>
  <c r="G100" i="3"/>
  <c r="G101" i="3" s="1"/>
  <c r="G232" i="3"/>
  <c r="G132" i="3"/>
  <c r="G133" i="3" s="1"/>
  <c r="G314" i="3"/>
  <c r="G90" i="3"/>
  <c r="G91" i="3" s="1"/>
  <c r="G110" i="3"/>
  <c r="G111" i="3" s="1"/>
  <c r="G44" i="3"/>
  <c r="G312" i="3"/>
  <c r="G287" i="3"/>
  <c r="G177" i="3"/>
  <c r="G147" i="3"/>
  <c r="G84" i="3"/>
  <c r="G150" i="3"/>
  <c r="G151" i="3" s="1"/>
  <c r="G274" i="3"/>
  <c r="G257" i="3"/>
  <c r="G238" i="3"/>
  <c r="G277" i="3"/>
  <c r="O5" i="4"/>
  <c r="G5" i="10" s="1"/>
  <c r="G70" i="3"/>
  <c r="G71" i="3" s="1"/>
  <c r="G117" i="3"/>
  <c r="G167" i="3"/>
  <c r="G137" i="3"/>
  <c r="G258" i="3"/>
  <c r="G212" i="3"/>
  <c r="G328" i="3"/>
  <c r="G68" i="3"/>
  <c r="G284" i="3"/>
  <c r="G218" i="3"/>
  <c r="G188" i="3"/>
  <c r="G118" i="3"/>
  <c r="G127" i="3"/>
  <c r="G268" i="3"/>
  <c r="G108" i="3"/>
  <c r="G198" i="3"/>
  <c r="G237" i="3"/>
  <c r="G272" i="3"/>
  <c r="G107" i="3"/>
  <c r="G242" i="3"/>
  <c r="G47" i="3"/>
  <c r="G278" i="3"/>
  <c r="G298" i="3"/>
  <c r="G77" i="3"/>
  <c r="G187" i="3"/>
  <c r="G78" i="3"/>
  <c r="G264" i="3"/>
  <c r="G97" i="3"/>
  <c r="G192" i="3"/>
  <c r="G193" i="3" s="1"/>
  <c r="G174" i="3"/>
  <c r="G142" i="3"/>
  <c r="G143" i="3" s="1"/>
  <c r="G148" i="3"/>
  <c r="G168" i="3"/>
  <c r="G58" i="3"/>
  <c r="G288" i="3"/>
  <c r="G252" i="3"/>
  <c r="G190" i="3"/>
  <c r="G191" i="3" s="1"/>
  <c r="G48" i="3"/>
  <c r="G197" i="3"/>
  <c r="G324" i="3"/>
  <c r="G157" i="3"/>
  <c r="G57" i="3"/>
  <c r="G134" i="3"/>
  <c r="G244" i="3"/>
  <c r="G338" i="3"/>
  <c r="G308" i="3"/>
  <c r="G37" i="3"/>
  <c r="G227" i="3"/>
  <c r="G112" i="3"/>
  <c r="G113" i="3" s="1"/>
  <c r="G267" i="3"/>
  <c r="G102" i="3"/>
  <c r="G103" i="3" s="1"/>
  <c r="G67" i="3"/>
  <c r="G348" i="3"/>
  <c r="G6" i="3"/>
  <c r="F243" i="3"/>
  <c r="F245" i="3" s="1"/>
  <c r="F246" i="3"/>
  <c r="F75" i="3"/>
  <c r="F296" i="3"/>
  <c r="F293" i="3"/>
  <c r="F295" i="3" s="1"/>
  <c r="F135" i="3"/>
  <c r="F323" i="3"/>
  <c r="F325" i="3" s="1"/>
  <c r="F326" i="3"/>
  <c r="F45" i="3"/>
  <c r="P4" i="4"/>
  <c r="H310" i="3"/>
  <c r="H317" i="3" s="1"/>
  <c r="I3" i="3"/>
  <c r="H5" i="3"/>
  <c r="H320" i="3"/>
  <c r="H327" i="3" s="1"/>
  <c r="H4" i="3"/>
  <c r="H340" i="3"/>
  <c r="H347" i="3" s="1"/>
  <c r="H330" i="3"/>
  <c r="H337" i="3" s="1"/>
  <c r="H300" i="3"/>
  <c r="H307" i="3" s="1"/>
  <c r="H290" i="3"/>
  <c r="H297" i="3" s="1"/>
  <c r="F316" i="3"/>
  <c r="F313" i="3"/>
  <c r="F315" i="3" s="1"/>
  <c r="F333" i="3"/>
  <c r="F335" i="3" s="1"/>
  <c r="F336" i="3"/>
  <c r="F223" i="3"/>
  <c r="F225" i="3" s="1"/>
  <c r="F226" i="3"/>
  <c r="F306" i="3"/>
  <c r="F303" i="3"/>
  <c r="F305" i="3" s="1"/>
  <c r="F263" i="3"/>
  <c r="F265" i="3" s="1"/>
  <c r="F266" i="3"/>
  <c r="E353" i="3"/>
  <c r="M8" i="4" s="1"/>
  <c r="F357" i="3"/>
  <c r="N23" i="4" s="1"/>
  <c r="F276" i="3"/>
  <c r="F273" i="3"/>
  <c r="F275" i="3" s="1"/>
  <c r="O13" i="4"/>
  <c r="F213" i="3"/>
  <c r="F214" i="3" s="1"/>
  <c r="F354" i="3" s="1"/>
  <c r="N9" i="4" s="1"/>
  <c r="F55" i="3"/>
  <c r="F106" i="3"/>
  <c r="F216" i="3"/>
  <c r="F196" i="3"/>
  <c r="F36" i="3"/>
  <c r="F146" i="3"/>
  <c r="F46" i="3"/>
  <c r="F86" i="3"/>
  <c r="G7" i="3"/>
  <c r="O17" i="4" s="1"/>
  <c r="F96" i="3"/>
  <c r="F56" i="3"/>
  <c r="F156" i="3"/>
  <c r="F166" i="3"/>
  <c r="F126" i="3"/>
  <c r="F76" i="3"/>
  <c r="F186" i="3"/>
  <c r="F16" i="3"/>
  <c r="F116" i="3"/>
  <c r="F66" i="3"/>
  <c r="F136" i="3"/>
  <c r="F26" i="3"/>
  <c r="F176" i="3"/>
  <c r="E356" i="3"/>
  <c r="M12" i="4" s="1"/>
  <c r="E359" i="3" a="1"/>
  <c r="E359" i="3" s="1"/>
  <c r="M6" i="4" s="1"/>
  <c r="D359" i="3" a="1"/>
  <c r="D359" i="3" s="1"/>
  <c r="L6" i="4" s="1"/>
  <c r="D13" i="12" s="1"/>
  <c r="D355" i="3"/>
  <c r="H4" i="10" l="1"/>
  <c r="P21" i="4"/>
  <c r="M16" i="4"/>
  <c r="M10" i="4"/>
  <c r="M14" i="4" s="1"/>
  <c r="N25" i="4"/>
  <c r="P3" i="4"/>
  <c r="H3" i="10" s="1"/>
  <c r="P22" i="4"/>
  <c r="J3" i="4"/>
  <c r="G175" i="3"/>
  <c r="G85" i="3"/>
  <c r="G35" i="3"/>
  <c r="F215" i="3"/>
  <c r="F355" i="3" s="1"/>
  <c r="G55" i="3"/>
  <c r="G115" i="3"/>
  <c r="G75" i="3"/>
  <c r="G223" i="3"/>
  <c r="G224" i="3" s="1"/>
  <c r="G225" i="3" s="1"/>
  <c r="G45" i="3"/>
  <c r="G135" i="3"/>
  <c r="G95" i="3"/>
  <c r="G185" i="3"/>
  <c r="G25" i="3"/>
  <c r="G273" i="3"/>
  <c r="G275" i="3" s="1"/>
  <c r="G276" i="3"/>
  <c r="G11" i="3"/>
  <c r="G16" i="3"/>
  <c r="G165" i="3"/>
  <c r="G343" i="3"/>
  <c r="G345" i="3" s="1"/>
  <c r="G346" i="3"/>
  <c r="G155" i="3"/>
  <c r="G263" i="3"/>
  <c r="G265" i="3" s="1"/>
  <c r="G266" i="3"/>
  <c r="H348" i="3"/>
  <c r="H247" i="3"/>
  <c r="H137" i="3"/>
  <c r="H78" i="3"/>
  <c r="H312" i="3"/>
  <c r="H232" i="3"/>
  <c r="H162" i="3"/>
  <c r="H163" i="3" s="1"/>
  <c r="H152" i="3"/>
  <c r="H153" i="3" s="1"/>
  <c r="H130" i="3"/>
  <c r="H131" i="3" s="1"/>
  <c r="H84" i="3"/>
  <c r="H34" i="3"/>
  <c r="H114" i="3"/>
  <c r="H24" i="3"/>
  <c r="H244" i="3"/>
  <c r="H288" i="3"/>
  <c r="H217" i="3"/>
  <c r="H188" i="3"/>
  <c r="H107" i="3"/>
  <c r="H47" i="3"/>
  <c r="H274" i="3"/>
  <c r="H184" i="3"/>
  <c r="H172" i="3"/>
  <c r="H173" i="3" s="1"/>
  <c r="H94" i="3"/>
  <c r="H74" i="3"/>
  <c r="H52" i="3"/>
  <c r="H53" i="3" s="1"/>
  <c r="H150" i="3"/>
  <c r="H151" i="3" s="1"/>
  <c r="H287" i="3"/>
  <c r="H187" i="3"/>
  <c r="H158" i="3"/>
  <c r="H77" i="3"/>
  <c r="H254" i="3"/>
  <c r="H194" i="3"/>
  <c r="H42" i="3"/>
  <c r="H43" i="3" s="1"/>
  <c r="H334" i="3"/>
  <c r="H322" i="3"/>
  <c r="H140" i="3"/>
  <c r="H141" i="3" s="1"/>
  <c r="H104" i="3"/>
  <c r="H267" i="3"/>
  <c r="H328" i="3"/>
  <c r="H238" i="3"/>
  <c r="H68" i="3"/>
  <c r="H38" i="3"/>
  <c r="H294" i="3"/>
  <c r="H272" i="3"/>
  <c r="H62" i="3"/>
  <c r="H63" i="3" s="1"/>
  <c r="H344" i="3"/>
  <c r="H278" i="3"/>
  <c r="H157" i="3"/>
  <c r="H128" i="3"/>
  <c r="H98" i="3"/>
  <c r="H252" i="3"/>
  <c r="H222" i="3"/>
  <c r="H182" i="3"/>
  <c r="H183" i="3" s="1"/>
  <c r="H124" i="3"/>
  <c r="H82" i="3"/>
  <c r="H83" i="3" s="1"/>
  <c r="H268" i="3"/>
  <c r="H127" i="3"/>
  <c r="H67" i="3"/>
  <c r="H37" i="3"/>
  <c r="H134" i="3"/>
  <c r="H112" i="3"/>
  <c r="H113" i="3" s="1"/>
  <c r="H102" i="3"/>
  <c r="H103" i="3" s="1"/>
  <c r="H72" i="3"/>
  <c r="H73" i="3" s="1"/>
  <c r="H50" i="3"/>
  <c r="H51" i="3" s="1"/>
  <c r="H97" i="3"/>
  <c r="H332" i="3"/>
  <c r="H284" i="3"/>
  <c r="H264" i="3"/>
  <c r="H122" i="3"/>
  <c r="H123" i="3" s="1"/>
  <c r="H277" i="3"/>
  <c r="H237" i="3"/>
  <c r="H178" i="3"/>
  <c r="H192" i="3"/>
  <c r="H193" i="3" s="1"/>
  <c r="H170" i="3"/>
  <c r="H171" i="3" s="1"/>
  <c r="H160" i="3"/>
  <c r="H161" i="3" s="1"/>
  <c r="H32" i="3"/>
  <c r="H33" i="3" s="1"/>
  <c r="H148" i="3"/>
  <c r="H214" i="3"/>
  <c r="H142" i="3"/>
  <c r="H143" i="3" s="1"/>
  <c r="H100" i="3"/>
  <c r="H101" i="3" s="1"/>
  <c r="H54" i="3"/>
  <c r="H10" i="3"/>
  <c r="H298" i="3"/>
  <c r="H262" i="3"/>
  <c r="H164" i="3"/>
  <c r="H88" i="3"/>
  <c r="H302" i="3"/>
  <c r="H242" i="3"/>
  <c r="H120" i="3"/>
  <c r="H121" i="3" s="1"/>
  <c r="H218" i="3"/>
  <c r="H30" i="3"/>
  <c r="H31" i="3" s="1"/>
  <c r="H304" i="3"/>
  <c r="H248" i="3"/>
  <c r="H147" i="3"/>
  <c r="H227" i="3"/>
  <c r="H27" i="3"/>
  <c r="H20" i="3"/>
  <c r="H21" i="3" s="1"/>
  <c r="H90" i="3"/>
  <c r="H91" i="3" s="1"/>
  <c r="H198" i="3"/>
  <c r="H87" i="3"/>
  <c r="H180" i="3"/>
  <c r="H181" i="3" s="1"/>
  <c r="H92" i="3"/>
  <c r="H93" i="3" s="1"/>
  <c r="H144" i="3"/>
  <c r="H117" i="3"/>
  <c r="H228" i="3"/>
  <c r="H154" i="3"/>
  <c r="H64" i="3"/>
  <c r="H190" i="3"/>
  <c r="H191" i="3" s="1"/>
  <c r="H258" i="3"/>
  <c r="H108" i="3"/>
  <c r="H40" i="3"/>
  <c r="H41" i="3" s="1"/>
  <c r="H167" i="3"/>
  <c r="H28" i="3"/>
  <c r="H342" i="3"/>
  <c r="H80" i="3"/>
  <c r="H81" i="3" s="1"/>
  <c r="H138" i="3"/>
  <c r="H58" i="3"/>
  <c r="H324" i="3"/>
  <c r="H292" i="3"/>
  <c r="H282" i="3"/>
  <c r="H70" i="3"/>
  <c r="H71" i="3" s="1"/>
  <c r="H318" i="3"/>
  <c r="P5" i="4"/>
  <c r="H5" i="10" s="1"/>
  <c r="H174" i="3"/>
  <c r="H132" i="3"/>
  <c r="H133" i="3" s="1"/>
  <c r="H197" i="3"/>
  <c r="H57" i="3"/>
  <c r="H314" i="3"/>
  <c r="H118" i="3"/>
  <c r="H212" i="3"/>
  <c r="H110" i="3"/>
  <c r="H111" i="3" s="1"/>
  <c r="H44" i="3"/>
  <c r="H177" i="3"/>
  <c r="H168" i="3"/>
  <c r="H48" i="3"/>
  <c r="H60" i="3"/>
  <c r="H61" i="3" s="1"/>
  <c r="H22" i="3"/>
  <c r="H23" i="3" s="1"/>
  <c r="H308" i="3"/>
  <c r="H338" i="3"/>
  <c r="H257" i="3"/>
  <c r="H6" i="3"/>
  <c r="G145" i="3"/>
  <c r="G293" i="3"/>
  <c r="G295" i="3" s="1"/>
  <c r="G296" i="3"/>
  <c r="G286" i="3"/>
  <c r="G283" i="3"/>
  <c r="G285" i="3" s="1"/>
  <c r="G213" i="3"/>
  <c r="G214" i="3" s="1"/>
  <c r="G316" i="3"/>
  <c r="G313" i="3"/>
  <c r="G315" i="3" s="1"/>
  <c r="G125" i="3"/>
  <c r="G326" i="3"/>
  <c r="G323" i="3"/>
  <c r="G325" i="3" s="1"/>
  <c r="G333" i="3"/>
  <c r="G335" i="3" s="1"/>
  <c r="G336" i="3"/>
  <c r="G236" i="3"/>
  <c r="G233" i="3"/>
  <c r="G235" i="3" s="1"/>
  <c r="G195" i="3"/>
  <c r="G306" i="3"/>
  <c r="G303" i="3"/>
  <c r="G305" i="3" s="1"/>
  <c r="F353" i="3"/>
  <c r="N8" i="4" s="1"/>
  <c r="Q4" i="4"/>
  <c r="I310" i="3"/>
  <c r="I317" i="3" s="1"/>
  <c r="J3" i="3"/>
  <c r="I5" i="3"/>
  <c r="I320" i="3"/>
  <c r="I327" i="3" s="1"/>
  <c r="I4" i="3"/>
  <c r="I340" i="3"/>
  <c r="I347" i="3" s="1"/>
  <c r="I330" i="3"/>
  <c r="I337" i="3" s="1"/>
  <c r="I300" i="3"/>
  <c r="I307" i="3" s="1"/>
  <c r="I290" i="3"/>
  <c r="I297" i="3" s="1"/>
  <c r="G358" i="3"/>
  <c r="O24" i="4" s="1"/>
  <c r="G105" i="3"/>
  <c r="P13" i="4"/>
  <c r="G357" i="3"/>
  <c r="O23" i="4" s="1"/>
  <c r="G65" i="3"/>
  <c r="G253" i="3"/>
  <c r="G255" i="3" s="1"/>
  <c r="G256" i="3"/>
  <c r="G246" i="3"/>
  <c r="G243" i="3"/>
  <c r="G245" i="3" s="1"/>
  <c r="G226" i="3"/>
  <c r="G216" i="3"/>
  <c r="G146" i="3"/>
  <c r="G136" i="3"/>
  <c r="H7" i="3"/>
  <c r="P17" i="4" s="1"/>
  <c r="G36" i="3"/>
  <c r="G96" i="3"/>
  <c r="G86" i="3"/>
  <c r="G166" i="3"/>
  <c r="G26" i="3"/>
  <c r="G186" i="3"/>
  <c r="G156" i="3"/>
  <c r="G176" i="3"/>
  <c r="G196" i="3"/>
  <c r="G46" i="3"/>
  <c r="G126" i="3"/>
  <c r="G76" i="3"/>
  <c r="G66" i="3"/>
  <c r="G56" i="3"/>
  <c r="G116" i="3"/>
  <c r="G106" i="3"/>
  <c r="F356" i="3"/>
  <c r="N12" i="4" s="1"/>
  <c r="I4" i="10" l="1"/>
  <c r="Q21" i="4"/>
  <c r="F359" i="3" a="1"/>
  <c r="F359" i="3" s="1"/>
  <c r="N6" i="4" s="1"/>
  <c r="N16" i="4" s="1"/>
  <c r="G215" i="3"/>
  <c r="M18" i="4"/>
  <c r="M19" i="4" s="1"/>
  <c r="D35" i="12" s="1"/>
  <c r="N10" i="4"/>
  <c r="N14" i="4" s="1"/>
  <c r="O25" i="4"/>
  <c r="Q3" i="4"/>
  <c r="I3" i="10" s="1"/>
  <c r="Q22" i="4"/>
  <c r="H185" i="3"/>
  <c r="H105" i="3"/>
  <c r="G354" i="3"/>
  <c r="O9" i="4" s="1"/>
  <c r="H125" i="3"/>
  <c r="H213" i="3"/>
  <c r="H215" i="3" s="1"/>
  <c r="H95" i="3"/>
  <c r="H25" i="3"/>
  <c r="H195" i="3"/>
  <c r="H276" i="3"/>
  <c r="H273" i="3"/>
  <c r="H275" i="3" s="1"/>
  <c r="H35" i="3"/>
  <c r="H165" i="3"/>
  <c r="H11" i="3"/>
  <c r="H16" i="3"/>
  <c r="H358" i="3"/>
  <c r="P24" i="4" s="1"/>
  <c r="H175" i="3"/>
  <c r="H75" i="3"/>
  <c r="H65" i="3"/>
  <c r="H286" i="3"/>
  <c r="H283" i="3"/>
  <c r="H285" i="3" s="1"/>
  <c r="G15" i="3"/>
  <c r="G352" i="3"/>
  <c r="I108" i="3"/>
  <c r="I48" i="3"/>
  <c r="I27" i="3"/>
  <c r="I64" i="3"/>
  <c r="I42" i="3"/>
  <c r="I43" i="3" s="1"/>
  <c r="I32" i="3"/>
  <c r="I33" i="3" s="1"/>
  <c r="I348" i="3"/>
  <c r="I247" i="3"/>
  <c r="I137" i="3"/>
  <c r="I78" i="3"/>
  <c r="I312" i="3"/>
  <c r="I232" i="3"/>
  <c r="I162" i="3"/>
  <c r="I163" i="3" s="1"/>
  <c r="I152" i="3"/>
  <c r="I153" i="3" s="1"/>
  <c r="I130" i="3"/>
  <c r="I131" i="3" s="1"/>
  <c r="I84" i="3"/>
  <c r="I34" i="3"/>
  <c r="I170" i="3"/>
  <c r="I171" i="3" s="1"/>
  <c r="I47" i="3"/>
  <c r="I274" i="3"/>
  <c r="I184" i="3"/>
  <c r="I172" i="3"/>
  <c r="I173" i="3" s="1"/>
  <c r="I94" i="3"/>
  <c r="I74" i="3"/>
  <c r="I52" i="3"/>
  <c r="I53" i="3" s="1"/>
  <c r="I287" i="3"/>
  <c r="I187" i="3"/>
  <c r="I158" i="3"/>
  <c r="I77" i="3"/>
  <c r="I254" i="3"/>
  <c r="I224" i="3"/>
  <c r="I194" i="3"/>
  <c r="I334" i="3"/>
  <c r="I322" i="3"/>
  <c r="I150" i="3"/>
  <c r="I151" i="3" s="1"/>
  <c r="I140" i="3"/>
  <c r="I141" i="3" s="1"/>
  <c r="I114" i="3"/>
  <c r="I104" i="3"/>
  <c r="I24" i="3"/>
  <c r="I238" i="3"/>
  <c r="I68" i="3"/>
  <c r="I38" i="3"/>
  <c r="I294" i="3"/>
  <c r="I272" i="3"/>
  <c r="I62" i="3"/>
  <c r="I63" i="3" s="1"/>
  <c r="I178" i="3"/>
  <c r="I192" i="3"/>
  <c r="I193" i="3" s="1"/>
  <c r="I148" i="3"/>
  <c r="I127" i="3"/>
  <c r="I67" i="3"/>
  <c r="I37" i="3"/>
  <c r="I344" i="3"/>
  <c r="I214" i="3"/>
  <c r="I112" i="3"/>
  <c r="I113" i="3" s="1"/>
  <c r="I157" i="3"/>
  <c r="I128" i="3"/>
  <c r="I98" i="3"/>
  <c r="I252" i="3"/>
  <c r="I222" i="3"/>
  <c r="I182" i="3"/>
  <c r="I183" i="3" s="1"/>
  <c r="I124" i="3"/>
  <c r="I82" i="3"/>
  <c r="I83" i="3" s="1"/>
  <c r="I160" i="3"/>
  <c r="I161" i="3" s="1"/>
  <c r="I167" i="3"/>
  <c r="I28" i="3"/>
  <c r="I342" i="3"/>
  <c r="I80" i="3"/>
  <c r="I81" i="3" s="1"/>
  <c r="I10" i="3"/>
  <c r="I212" i="3"/>
  <c r="I144" i="3"/>
  <c r="I142" i="3"/>
  <c r="I143" i="3" s="1"/>
  <c r="I100" i="3"/>
  <c r="I101" i="3" s="1"/>
  <c r="I122" i="3"/>
  <c r="I123" i="3" s="1"/>
  <c r="I102" i="3"/>
  <c r="I103" i="3" s="1"/>
  <c r="I302" i="3"/>
  <c r="I284" i="3"/>
  <c r="I242" i="3"/>
  <c r="I120" i="3"/>
  <c r="I121" i="3" s="1"/>
  <c r="I54" i="3"/>
  <c r="I248" i="3"/>
  <c r="I147" i="3"/>
  <c r="I134" i="3"/>
  <c r="I110" i="3"/>
  <c r="I111" i="3" s="1"/>
  <c r="I218" i="3"/>
  <c r="I332" i="3"/>
  <c r="I72" i="3"/>
  <c r="I73" i="3" s="1"/>
  <c r="I50" i="3"/>
  <c r="I51" i="3" s="1"/>
  <c r="I20" i="3"/>
  <c r="I21" i="3" s="1"/>
  <c r="I132" i="3"/>
  <c r="I133" i="3" s="1"/>
  <c r="I198" i="3"/>
  <c r="I87" i="3"/>
  <c r="I180" i="3"/>
  <c r="I181" i="3" s="1"/>
  <c r="I92" i="3"/>
  <c r="I93" i="3" s="1"/>
  <c r="I282" i="3"/>
  <c r="I227" i="3"/>
  <c r="I168" i="3"/>
  <c r="I117" i="3"/>
  <c r="I60" i="3"/>
  <c r="I61" i="3" s="1"/>
  <c r="I304" i="3"/>
  <c r="I262" i="3"/>
  <c r="I190" i="3"/>
  <c r="I191" i="3" s="1"/>
  <c r="I164" i="3"/>
  <c r="I22" i="3"/>
  <c r="I23" i="3" s="1"/>
  <c r="I257" i="3"/>
  <c r="I97" i="3"/>
  <c r="I40" i="3"/>
  <c r="I41" i="3" s="1"/>
  <c r="I228" i="3"/>
  <c r="I154" i="3"/>
  <c r="I138" i="3"/>
  <c r="I58" i="3"/>
  <c r="I324" i="3"/>
  <c r="I292" i="3"/>
  <c r="I70" i="3"/>
  <c r="I71" i="3" s="1"/>
  <c r="Q5" i="4"/>
  <c r="I5" i="10" s="1"/>
  <c r="I174" i="3"/>
  <c r="I197" i="3"/>
  <c r="I57" i="3"/>
  <c r="I314" i="3"/>
  <c r="I264" i="3"/>
  <c r="I90" i="3"/>
  <c r="I91" i="3" s="1"/>
  <c r="I44" i="3"/>
  <c r="I177" i="3"/>
  <c r="I30" i="3"/>
  <c r="I31" i="3" s="1"/>
  <c r="I258" i="3"/>
  <c r="I338" i="3"/>
  <c r="I267" i="3"/>
  <c r="I107" i="3"/>
  <c r="I237" i="3"/>
  <c r="I298" i="3"/>
  <c r="I277" i="3"/>
  <c r="I217" i="3"/>
  <c r="I308" i="3"/>
  <c r="I328" i="3"/>
  <c r="I268" i="3"/>
  <c r="I278" i="3"/>
  <c r="I88" i="3"/>
  <c r="I188" i="3"/>
  <c r="I118" i="3"/>
  <c r="I318" i="3"/>
  <c r="I288" i="3"/>
  <c r="I6" i="3"/>
  <c r="H293" i="3"/>
  <c r="H295" i="3" s="1"/>
  <c r="H296" i="3"/>
  <c r="H306" i="3"/>
  <c r="H303" i="3"/>
  <c r="H305" i="3" s="1"/>
  <c r="G353" i="3"/>
  <c r="H246" i="3"/>
  <c r="H243" i="3"/>
  <c r="H245" i="3" s="1"/>
  <c r="H233" i="3"/>
  <c r="H234" i="3" s="1"/>
  <c r="H235" i="3" s="1"/>
  <c r="Q13" i="4"/>
  <c r="H316" i="3"/>
  <c r="H313" i="3"/>
  <c r="H315" i="3" s="1"/>
  <c r="H263" i="3"/>
  <c r="H265" i="3" s="1"/>
  <c r="H266" i="3"/>
  <c r="H223" i="3"/>
  <c r="H224" i="3" s="1"/>
  <c r="H145" i="3"/>
  <c r="H346" i="3"/>
  <c r="H343" i="3"/>
  <c r="H345" i="3" s="1"/>
  <c r="H336" i="3"/>
  <c r="H333" i="3"/>
  <c r="H335" i="3" s="1"/>
  <c r="H357" i="3"/>
  <c r="P23" i="4" s="1"/>
  <c r="H55" i="3"/>
  <c r="H45" i="3"/>
  <c r="H155" i="3"/>
  <c r="H135" i="3"/>
  <c r="J300" i="3"/>
  <c r="J307" i="3" s="1"/>
  <c r="R4" i="4"/>
  <c r="J310" i="3"/>
  <c r="J317" i="3" s="1"/>
  <c r="K3" i="3"/>
  <c r="J5" i="3"/>
  <c r="J320" i="3"/>
  <c r="J327" i="3" s="1"/>
  <c r="J290" i="3"/>
  <c r="J297" i="3" s="1"/>
  <c r="J340" i="3"/>
  <c r="J347" i="3" s="1"/>
  <c r="J330" i="3"/>
  <c r="J337" i="3" s="1"/>
  <c r="J4" i="3"/>
  <c r="H115" i="3"/>
  <c r="H85" i="3"/>
  <c r="H256" i="3"/>
  <c r="H253" i="3"/>
  <c r="H255" i="3" s="1"/>
  <c r="H326" i="3"/>
  <c r="H323" i="3"/>
  <c r="H325" i="3" s="1"/>
  <c r="G356" i="3"/>
  <c r="O12" i="4" s="1"/>
  <c r="I7" i="3"/>
  <c r="Q17" i="4" s="1"/>
  <c r="H216" i="3"/>
  <c r="H226" i="3"/>
  <c r="H156" i="3"/>
  <c r="H56" i="3"/>
  <c r="H36" i="3"/>
  <c r="H96" i="3"/>
  <c r="H116" i="3"/>
  <c r="H166" i="3"/>
  <c r="H26" i="3"/>
  <c r="H236" i="3"/>
  <c r="H66" i="3"/>
  <c r="H176" i="3"/>
  <c r="H86" i="3"/>
  <c r="H196" i="3"/>
  <c r="H76" i="3"/>
  <c r="H46" i="3"/>
  <c r="H136" i="3"/>
  <c r="H126" i="3"/>
  <c r="H146" i="3"/>
  <c r="H186" i="3"/>
  <c r="H106" i="3"/>
  <c r="J4" i="10" l="1"/>
  <c r="R21" i="4"/>
  <c r="G359" i="3" a="1"/>
  <c r="G359" i="3" s="1"/>
  <c r="O6" i="4" s="1"/>
  <c r="N18" i="4"/>
  <c r="N19" i="4" s="1"/>
  <c r="N27" i="4" s="1"/>
  <c r="P25" i="4"/>
  <c r="O8" i="4"/>
  <c r="M27" i="4"/>
  <c r="R22" i="4"/>
  <c r="R3" i="4"/>
  <c r="J3" i="10" s="1"/>
  <c r="I25" i="3"/>
  <c r="G355" i="3"/>
  <c r="I165" i="3"/>
  <c r="I135" i="3"/>
  <c r="I125" i="3"/>
  <c r="I185" i="3"/>
  <c r="H354" i="3"/>
  <c r="P9" i="4" s="1"/>
  <c r="I35" i="3"/>
  <c r="I45" i="3"/>
  <c r="I105" i="3"/>
  <c r="I276" i="3"/>
  <c r="I273" i="3"/>
  <c r="I275" i="3" s="1"/>
  <c r="I223" i="3"/>
  <c r="I225" i="3" s="1"/>
  <c r="I256" i="3"/>
  <c r="I253" i="3"/>
  <c r="I255" i="3" s="1"/>
  <c r="I316" i="3"/>
  <c r="I313" i="3"/>
  <c r="I315" i="3" s="1"/>
  <c r="I358" i="3"/>
  <c r="Q24" i="4" s="1"/>
  <c r="I55" i="3"/>
  <c r="H15" i="3"/>
  <c r="H352" i="3"/>
  <c r="I195" i="3"/>
  <c r="I336" i="3"/>
  <c r="I333" i="3"/>
  <c r="I335" i="3" s="1"/>
  <c r="I213" i="3"/>
  <c r="I215" i="3" s="1"/>
  <c r="K310" i="3"/>
  <c r="K317" i="3" s="1"/>
  <c r="K290" i="3"/>
  <c r="K297" i="3" s="1"/>
  <c r="L3" i="3"/>
  <c r="S4" i="4"/>
  <c r="K320" i="3"/>
  <c r="K327" i="3" s="1"/>
  <c r="K300" i="3"/>
  <c r="K307" i="3" s="1"/>
  <c r="K330" i="3"/>
  <c r="K337" i="3" s="1"/>
  <c r="K340" i="3"/>
  <c r="K347" i="3" s="1"/>
  <c r="K4" i="3"/>
  <c r="K5" i="3"/>
  <c r="H225" i="3"/>
  <c r="H355" i="3" s="1"/>
  <c r="I263" i="3"/>
  <c r="I265" i="3" s="1"/>
  <c r="I266" i="3"/>
  <c r="I16" i="3"/>
  <c r="I11" i="3"/>
  <c r="I145" i="3"/>
  <c r="I357" i="3"/>
  <c r="Q23" i="4" s="1"/>
  <c r="I233" i="3"/>
  <c r="I234" i="3" s="1"/>
  <c r="J38" i="3"/>
  <c r="J302" i="3"/>
  <c r="J224" i="3"/>
  <c r="J150" i="3"/>
  <c r="J151" i="3" s="1"/>
  <c r="J64" i="3"/>
  <c r="J287" i="3"/>
  <c r="J50" i="3"/>
  <c r="J51" i="3" s="1"/>
  <c r="J40" i="3"/>
  <c r="J41" i="3" s="1"/>
  <c r="J278" i="3"/>
  <c r="J27" i="3"/>
  <c r="J328" i="3"/>
  <c r="J90" i="3"/>
  <c r="J91" i="3" s="1"/>
  <c r="J137" i="3"/>
  <c r="J322" i="3"/>
  <c r="J100" i="3"/>
  <c r="J101" i="3" s="1"/>
  <c r="J188" i="3"/>
  <c r="J44" i="3"/>
  <c r="J197" i="3"/>
  <c r="J152" i="3"/>
  <c r="J153" i="3" s="1"/>
  <c r="J80" i="3"/>
  <c r="J81" i="3" s="1"/>
  <c r="J170" i="3"/>
  <c r="J171" i="3" s="1"/>
  <c r="J140" i="3"/>
  <c r="J141" i="3" s="1"/>
  <c r="J178" i="3"/>
  <c r="J180" i="3"/>
  <c r="J181" i="3" s="1"/>
  <c r="J114" i="3"/>
  <c r="J88" i="3"/>
  <c r="J10" i="3"/>
  <c r="J324" i="3"/>
  <c r="J334" i="3"/>
  <c r="J192" i="3"/>
  <c r="J193" i="3" s="1"/>
  <c r="J107" i="3"/>
  <c r="J187" i="3"/>
  <c r="J262" i="3"/>
  <c r="J272" i="3"/>
  <c r="J158" i="3"/>
  <c r="J252" i="3"/>
  <c r="J70" i="3"/>
  <c r="J71" i="3" s="1"/>
  <c r="J348" i="3"/>
  <c r="J190" i="3"/>
  <c r="J191" i="3" s="1"/>
  <c r="J74" i="3"/>
  <c r="J77" i="3"/>
  <c r="J110" i="3"/>
  <c r="J111" i="3" s="1"/>
  <c r="J128" i="3"/>
  <c r="J268" i="3"/>
  <c r="J218" i="3"/>
  <c r="J288" i="3"/>
  <c r="J47" i="3"/>
  <c r="J154" i="3"/>
  <c r="J264" i="3"/>
  <c r="J162" i="3"/>
  <c r="J163" i="3" s="1"/>
  <c r="J34" i="3"/>
  <c r="J130" i="3"/>
  <c r="J131" i="3" s="1"/>
  <c r="J344" i="3"/>
  <c r="J147" i="3"/>
  <c r="J338" i="3"/>
  <c r="J138" i="3"/>
  <c r="J148" i="3"/>
  <c r="J284" i="3"/>
  <c r="J237" i="3"/>
  <c r="J118" i="3"/>
  <c r="J94" i="3"/>
  <c r="J72" i="3"/>
  <c r="J73" i="3" s="1"/>
  <c r="J172" i="3"/>
  <c r="J173" i="3" s="1"/>
  <c r="J248" i="3"/>
  <c r="J78" i="3"/>
  <c r="J117" i="3"/>
  <c r="J282" i="3"/>
  <c r="J177" i="3"/>
  <c r="J232" i="3"/>
  <c r="J84" i="3"/>
  <c r="J58" i="3"/>
  <c r="J134" i="3"/>
  <c r="J214" i="3"/>
  <c r="J30" i="3"/>
  <c r="J31" i="3" s="1"/>
  <c r="J32" i="3"/>
  <c r="J33" i="3" s="1"/>
  <c r="J142" i="3"/>
  <c r="J143" i="3" s="1"/>
  <c r="J292" i="3"/>
  <c r="J22" i="3"/>
  <c r="J23" i="3" s="1"/>
  <c r="J298" i="3"/>
  <c r="J247" i="3"/>
  <c r="J108" i="3"/>
  <c r="J92" i="3"/>
  <c r="J93" i="3" s="1"/>
  <c r="J67" i="3"/>
  <c r="J222" i="3"/>
  <c r="J68" i="3"/>
  <c r="J112" i="3"/>
  <c r="J113" i="3" s="1"/>
  <c r="J60" i="3"/>
  <c r="J61" i="3" s="1"/>
  <c r="J277" i="3"/>
  <c r="J228" i="3"/>
  <c r="J314" i="3"/>
  <c r="J144" i="3"/>
  <c r="J294" i="3"/>
  <c r="J258" i="3"/>
  <c r="J217" i="3"/>
  <c r="J332" i="3"/>
  <c r="J234" i="3"/>
  <c r="J124" i="3"/>
  <c r="J24" i="3"/>
  <c r="J167" i="3"/>
  <c r="J87" i="3"/>
  <c r="J304" i="3"/>
  <c r="J312" i="3"/>
  <c r="J174" i="3"/>
  <c r="J168" i="3"/>
  <c r="J104" i="3"/>
  <c r="J160" i="3"/>
  <c r="J161" i="3" s="1"/>
  <c r="J122" i="3"/>
  <c r="J123" i="3" s="1"/>
  <c r="J238" i="3"/>
  <c r="J102" i="3"/>
  <c r="J103" i="3" s="1"/>
  <c r="J194" i="3"/>
  <c r="J267" i="3"/>
  <c r="J120" i="3"/>
  <c r="J121" i="3" s="1"/>
  <c r="J227" i="3"/>
  <c r="J127" i="3"/>
  <c r="J42" i="3"/>
  <c r="J43" i="3" s="1"/>
  <c r="J57" i="3"/>
  <c r="J164" i="3"/>
  <c r="J52" i="3"/>
  <c r="J53" i="3" s="1"/>
  <c r="J342" i="3"/>
  <c r="J212" i="3"/>
  <c r="J274" i="3"/>
  <c r="J198" i="3"/>
  <c r="J157" i="3"/>
  <c r="J28" i="3"/>
  <c r="J308" i="3"/>
  <c r="J98" i="3"/>
  <c r="J182" i="3"/>
  <c r="J183" i="3" s="1"/>
  <c r="J48" i="3"/>
  <c r="J97" i="3"/>
  <c r="R5" i="4"/>
  <c r="J5" i="10" s="1"/>
  <c r="J184" i="3"/>
  <c r="J257" i="3"/>
  <c r="J20" i="3"/>
  <c r="J21" i="3" s="1"/>
  <c r="J132" i="3"/>
  <c r="J133" i="3" s="1"/>
  <c r="J82" i="3"/>
  <c r="J83" i="3" s="1"/>
  <c r="J318" i="3"/>
  <c r="J62" i="3"/>
  <c r="J63" i="3" s="1"/>
  <c r="J242" i="3"/>
  <c r="J37" i="3"/>
  <c r="J54" i="3"/>
  <c r="J6" i="3"/>
  <c r="I115" i="3"/>
  <c r="I85" i="3"/>
  <c r="I155" i="3"/>
  <c r="I65" i="3"/>
  <c r="I346" i="3"/>
  <c r="I343" i="3"/>
  <c r="I345" i="3" s="1"/>
  <c r="I326" i="3"/>
  <c r="I323" i="3"/>
  <c r="I325" i="3" s="1"/>
  <c r="I175" i="3"/>
  <c r="I293" i="3"/>
  <c r="I295" i="3" s="1"/>
  <c r="I296" i="3"/>
  <c r="R13" i="4"/>
  <c r="I283" i="3"/>
  <c r="I285" i="3" s="1"/>
  <c r="I286" i="3"/>
  <c r="I243" i="3"/>
  <c r="I244" i="3" s="1"/>
  <c r="I245" i="3" s="1"/>
  <c r="I306" i="3"/>
  <c r="I303" i="3"/>
  <c r="I305" i="3" s="1"/>
  <c r="I95" i="3"/>
  <c r="I75" i="3"/>
  <c r="H353" i="3"/>
  <c r="H356" i="3"/>
  <c r="P12" i="4" s="1"/>
  <c r="J7" i="3"/>
  <c r="R17" i="4" s="1"/>
  <c r="I226" i="3"/>
  <c r="I236" i="3"/>
  <c r="I96" i="3"/>
  <c r="I116" i="3"/>
  <c r="I46" i="3"/>
  <c r="I246" i="3"/>
  <c r="I196" i="3"/>
  <c r="I166" i="3"/>
  <c r="I86" i="3"/>
  <c r="I66" i="3"/>
  <c r="I106" i="3"/>
  <c r="I56" i="3"/>
  <c r="I156" i="3"/>
  <c r="I176" i="3"/>
  <c r="I186" i="3"/>
  <c r="I36" i="3"/>
  <c r="I76" i="3"/>
  <c r="I216" i="3"/>
  <c r="I126" i="3"/>
  <c r="I136" i="3"/>
  <c r="I26" i="3"/>
  <c r="I146" i="3"/>
  <c r="K4" i="10" l="1"/>
  <c r="S21" i="4"/>
  <c r="O16" i="4"/>
  <c r="P8" i="4"/>
  <c r="P10" i="4" s="1"/>
  <c r="P14" i="4" s="1"/>
  <c r="O10" i="4"/>
  <c r="O14" i="4" s="1"/>
  <c r="Q25" i="4"/>
  <c r="I354" i="3"/>
  <c r="Q9" i="4" s="1"/>
  <c r="S22" i="4"/>
  <c r="S3" i="4"/>
  <c r="K3" i="10" s="1"/>
  <c r="J223" i="3"/>
  <c r="J225" i="3" s="1"/>
  <c r="H359" i="3" a="1"/>
  <c r="H359" i="3" s="1"/>
  <c r="P6" i="4" s="1"/>
  <c r="J253" i="3"/>
  <c r="J254" i="3" s="1"/>
  <c r="J255" i="3" s="1"/>
  <c r="J155" i="3"/>
  <c r="J243" i="3"/>
  <c r="J244" i="3" s="1"/>
  <c r="J245" i="3" s="1"/>
  <c r="J25" i="3"/>
  <c r="J233" i="3"/>
  <c r="J235" i="3" s="1"/>
  <c r="J358" i="3"/>
  <c r="R24" i="4" s="1"/>
  <c r="J95" i="3"/>
  <c r="J165" i="3"/>
  <c r="J213" i="3"/>
  <c r="J215" i="3" s="1"/>
  <c r="J185" i="3"/>
  <c r="J45" i="3"/>
  <c r="J115" i="3"/>
  <c r="I235" i="3"/>
  <c r="J195" i="3"/>
  <c r="J313" i="3"/>
  <c r="J315" i="3" s="1"/>
  <c r="J316" i="3"/>
  <c r="J135" i="3"/>
  <c r="J85" i="3"/>
  <c r="J273" i="3"/>
  <c r="J275" i="3" s="1"/>
  <c r="J276" i="3"/>
  <c r="J306" i="3"/>
  <c r="J303" i="3"/>
  <c r="J305" i="3" s="1"/>
  <c r="J16" i="3"/>
  <c r="J11" i="3"/>
  <c r="J35" i="3"/>
  <c r="J357" i="3"/>
  <c r="R23" i="4" s="1"/>
  <c r="J175" i="3"/>
  <c r="J283" i="3"/>
  <c r="J285" i="3" s="1"/>
  <c r="J286" i="3"/>
  <c r="J263" i="3"/>
  <c r="J265" i="3" s="1"/>
  <c r="J266" i="3"/>
  <c r="T4" i="4"/>
  <c r="M3" i="3"/>
  <c r="L340" i="3"/>
  <c r="L347" i="3" s="1"/>
  <c r="L330" i="3"/>
  <c r="L337" i="3" s="1"/>
  <c r="L320" i="3"/>
  <c r="L327" i="3" s="1"/>
  <c r="L300" i="3"/>
  <c r="L307" i="3" s="1"/>
  <c r="L290" i="3"/>
  <c r="L297" i="3" s="1"/>
  <c r="L5" i="3"/>
  <c r="L310" i="3"/>
  <c r="L317" i="3" s="1"/>
  <c r="L4" i="3"/>
  <c r="S13" i="4"/>
  <c r="J65" i="3"/>
  <c r="K147" i="3"/>
  <c r="K212" i="3"/>
  <c r="K64" i="3"/>
  <c r="K318" i="3"/>
  <c r="K48" i="3"/>
  <c r="K44" i="3"/>
  <c r="K30" i="3"/>
  <c r="K31" i="3" s="1"/>
  <c r="K74" i="3"/>
  <c r="K334" i="3"/>
  <c r="K248" i="3"/>
  <c r="K40" i="3"/>
  <c r="K41" i="3" s="1"/>
  <c r="K92" i="3"/>
  <c r="K93" i="3" s="1"/>
  <c r="K137" i="3"/>
  <c r="K170" i="3"/>
  <c r="K171" i="3" s="1"/>
  <c r="K118" i="3"/>
  <c r="K82" i="3"/>
  <c r="K83" i="3" s="1"/>
  <c r="K258" i="3"/>
  <c r="K168" i="3"/>
  <c r="K20" i="3"/>
  <c r="K21" i="3" s="1"/>
  <c r="K252" i="3"/>
  <c r="K60" i="3"/>
  <c r="K61" i="3" s="1"/>
  <c r="K22" i="3"/>
  <c r="K23" i="3" s="1"/>
  <c r="K100" i="3"/>
  <c r="K101" i="3" s="1"/>
  <c r="K160" i="3"/>
  <c r="K161" i="3" s="1"/>
  <c r="K282" i="3"/>
  <c r="K234" i="3"/>
  <c r="K94" i="3"/>
  <c r="K77" i="3"/>
  <c r="K192" i="3"/>
  <c r="K193" i="3" s="1"/>
  <c r="K198" i="3"/>
  <c r="K302" i="3"/>
  <c r="K224" i="3"/>
  <c r="K32" i="3"/>
  <c r="K33" i="3" s="1"/>
  <c r="K180" i="3"/>
  <c r="K181" i="3" s="1"/>
  <c r="K267" i="3"/>
  <c r="K88" i="3"/>
  <c r="K154" i="3"/>
  <c r="K232" i="3"/>
  <c r="K242" i="3"/>
  <c r="K262" i="3"/>
  <c r="K132" i="3"/>
  <c r="K133" i="3" s="1"/>
  <c r="K217" i="3"/>
  <c r="K328" i="3"/>
  <c r="K57" i="3"/>
  <c r="K187" i="3"/>
  <c r="K67" i="3"/>
  <c r="K348" i="3"/>
  <c r="K218" i="3"/>
  <c r="K152" i="3"/>
  <c r="K153" i="3" s="1"/>
  <c r="K222" i="3"/>
  <c r="K164" i="3"/>
  <c r="K257" i="3"/>
  <c r="K62" i="3"/>
  <c r="K63" i="3" s="1"/>
  <c r="K292" i="3"/>
  <c r="K194" i="3"/>
  <c r="K268" i="3"/>
  <c r="K158" i="3"/>
  <c r="K107" i="3"/>
  <c r="K172" i="3"/>
  <c r="K173" i="3" s="1"/>
  <c r="K177" i="3"/>
  <c r="K68" i="3"/>
  <c r="K42" i="3"/>
  <c r="K43" i="3" s="1"/>
  <c r="K50" i="3"/>
  <c r="K51" i="3" s="1"/>
  <c r="K70" i="3"/>
  <c r="K71" i="3" s="1"/>
  <c r="K28" i="3"/>
  <c r="K277" i="3"/>
  <c r="K338" i="3"/>
  <c r="K38" i="3"/>
  <c r="K98" i="3"/>
  <c r="K124" i="3"/>
  <c r="K227" i="3"/>
  <c r="K304" i="3"/>
  <c r="K287" i="3"/>
  <c r="K120" i="3"/>
  <c r="K121" i="3" s="1"/>
  <c r="K288" i="3"/>
  <c r="K344" i="3"/>
  <c r="K117" i="3"/>
  <c r="K34" i="3"/>
  <c r="K178" i="3"/>
  <c r="K238" i="3"/>
  <c r="K312" i="3"/>
  <c r="K114" i="3"/>
  <c r="K324" i="3"/>
  <c r="K102" i="3"/>
  <c r="K103" i="3" s="1"/>
  <c r="K24" i="3"/>
  <c r="K52" i="3"/>
  <c r="K53" i="3" s="1"/>
  <c r="K167" i="3"/>
  <c r="K127" i="3"/>
  <c r="K247" i="3"/>
  <c r="K294" i="3"/>
  <c r="K54" i="3"/>
  <c r="K272" i="3"/>
  <c r="K37" i="3"/>
  <c r="K72" i="3"/>
  <c r="K73" i="3" s="1"/>
  <c r="K134" i="3"/>
  <c r="K84" i="3"/>
  <c r="K108" i="3"/>
  <c r="K237" i="3"/>
  <c r="K174" i="3"/>
  <c r="K284" i="3"/>
  <c r="K157" i="3"/>
  <c r="K322" i="3"/>
  <c r="K140" i="3"/>
  <c r="K141" i="3" s="1"/>
  <c r="K47" i="3"/>
  <c r="S5" i="4"/>
  <c r="K5" i="10" s="1"/>
  <c r="K148" i="3"/>
  <c r="K308" i="3"/>
  <c r="K138" i="3"/>
  <c r="K144" i="3"/>
  <c r="K78" i="3"/>
  <c r="K97" i="3"/>
  <c r="K142" i="3"/>
  <c r="K143" i="3" s="1"/>
  <c r="K197" i="3"/>
  <c r="K27" i="3"/>
  <c r="K342" i="3"/>
  <c r="K122" i="3"/>
  <c r="K123" i="3" s="1"/>
  <c r="K184" i="3"/>
  <c r="K244" i="3"/>
  <c r="K264" i="3"/>
  <c r="K112" i="3"/>
  <c r="K113" i="3" s="1"/>
  <c r="K162" i="3"/>
  <c r="K163" i="3" s="1"/>
  <c r="K130" i="3"/>
  <c r="K131" i="3" s="1"/>
  <c r="K10" i="3"/>
  <c r="K298" i="3"/>
  <c r="K214" i="3"/>
  <c r="K278" i="3"/>
  <c r="K274" i="3"/>
  <c r="K228" i="3"/>
  <c r="K314" i="3"/>
  <c r="K104" i="3"/>
  <c r="K87" i="3"/>
  <c r="K80" i="3"/>
  <c r="K81" i="3" s="1"/>
  <c r="K188" i="3"/>
  <c r="K190" i="3"/>
  <c r="K191" i="3" s="1"/>
  <c r="K128" i="3"/>
  <c r="K150" i="3"/>
  <c r="K151" i="3" s="1"/>
  <c r="K182" i="3"/>
  <c r="K183" i="3" s="1"/>
  <c r="K58" i="3"/>
  <c r="K90" i="3"/>
  <c r="K91" i="3" s="1"/>
  <c r="K110" i="3"/>
  <c r="K111" i="3" s="1"/>
  <c r="K332" i="3"/>
  <c r="K6" i="3"/>
  <c r="J145" i="3"/>
  <c r="J75" i="3"/>
  <c r="J125" i="3"/>
  <c r="J55" i="3"/>
  <c r="J336" i="3"/>
  <c r="J333" i="3"/>
  <c r="J335" i="3" s="1"/>
  <c r="J105" i="3"/>
  <c r="J343" i="3"/>
  <c r="J345" i="3" s="1"/>
  <c r="J346" i="3"/>
  <c r="J326" i="3"/>
  <c r="J323" i="3"/>
  <c r="J325" i="3" s="1"/>
  <c r="J296" i="3"/>
  <c r="J293" i="3"/>
  <c r="J295" i="3" s="1"/>
  <c r="I15" i="3"/>
  <c r="I352" i="3"/>
  <c r="I353" i="3"/>
  <c r="I356" i="3"/>
  <c r="Q12" i="4" s="1"/>
  <c r="K7" i="3"/>
  <c r="S17" i="4" s="1"/>
  <c r="J226" i="3"/>
  <c r="J236" i="3"/>
  <c r="J146" i="3"/>
  <c r="J106" i="3"/>
  <c r="J216" i="3"/>
  <c r="J116" i="3"/>
  <c r="J26" i="3"/>
  <c r="J126" i="3"/>
  <c r="J66" i="3"/>
  <c r="J246" i="3"/>
  <c r="J256" i="3"/>
  <c r="J196" i="3"/>
  <c r="J96" i="3"/>
  <c r="J46" i="3"/>
  <c r="J86" i="3"/>
  <c r="J176" i="3"/>
  <c r="J56" i="3"/>
  <c r="J36" i="3"/>
  <c r="J186" i="3"/>
  <c r="J166" i="3"/>
  <c r="J156" i="3"/>
  <c r="J136" i="3"/>
  <c r="J76" i="3"/>
  <c r="L4" i="10" l="1"/>
  <c r="T21" i="4"/>
  <c r="P16" i="4"/>
  <c r="I359" i="3" a="1"/>
  <c r="I359" i="3" s="1"/>
  <c r="Q6" i="4" s="1"/>
  <c r="Q8" i="4"/>
  <c r="R25" i="4"/>
  <c r="T22" i="4"/>
  <c r="T3" i="4"/>
  <c r="L3" i="10" s="1"/>
  <c r="O18" i="4"/>
  <c r="O19" i="4" s="1"/>
  <c r="J354" i="3"/>
  <c r="R9" i="4" s="1"/>
  <c r="K85" i="3"/>
  <c r="K155" i="3"/>
  <c r="K65" i="3"/>
  <c r="K175" i="3"/>
  <c r="I355" i="3"/>
  <c r="K115" i="3"/>
  <c r="P18" i="4"/>
  <c r="K135" i="3"/>
  <c r="K125" i="3"/>
  <c r="K145" i="3"/>
  <c r="K243" i="3"/>
  <c r="K245" i="3" s="1"/>
  <c r="K105" i="3"/>
  <c r="K35" i="3"/>
  <c r="K95" i="3"/>
  <c r="K11" i="3"/>
  <c r="K16" i="3"/>
  <c r="J15" i="3"/>
  <c r="J355" i="3" s="1"/>
  <c r="J352" i="3"/>
  <c r="K323" i="3"/>
  <c r="K325" i="3" s="1"/>
  <c r="K326" i="3"/>
  <c r="K296" i="3"/>
  <c r="K293" i="3"/>
  <c r="K295" i="3" s="1"/>
  <c r="K253" i="3"/>
  <c r="K254" i="3" s="1"/>
  <c r="K354" i="3" s="1"/>
  <c r="S9" i="4" s="1"/>
  <c r="N3" i="3"/>
  <c r="M4" i="3"/>
  <c r="M320" i="3"/>
  <c r="M327" i="3" s="1"/>
  <c r="U4" i="4"/>
  <c r="M310" i="3"/>
  <c r="M317" i="3" s="1"/>
  <c r="M300" i="3"/>
  <c r="M307" i="3" s="1"/>
  <c r="M5" i="3"/>
  <c r="M290" i="3"/>
  <c r="M297" i="3" s="1"/>
  <c r="M330" i="3"/>
  <c r="M337" i="3" s="1"/>
  <c r="M340" i="3"/>
  <c r="M347" i="3" s="1"/>
  <c r="K346" i="3"/>
  <c r="K343" i="3"/>
  <c r="K345" i="3" s="1"/>
  <c r="K25" i="3"/>
  <c r="K165" i="3"/>
  <c r="K195" i="3"/>
  <c r="K357" i="3"/>
  <c r="S23" i="4" s="1"/>
  <c r="K223" i="3"/>
  <c r="K225" i="3" s="1"/>
  <c r="K185" i="3"/>
  <c r="K213" i="3"/>
  <c r="K215" i="3" s="1"/>
  <c r="K336" i="3"/>
  <c r="K333" i="3"/>
  <c r="K335" i="3" s="1"/>
  <c r="K266" i="3"/>
  <c r="K263" i="3"/>
  <c r="K265" i="3" s="1"/>
  <c r="K316" i="3"/>
  <c r="K313" i="3"/>
  <c r="K315" i="3" s="1"/>
  <c r="K358" i="3"/>
  <c r="S24" i="4" s="1"/>
  <c r="K45" i="3"/>
  <c r="K286" i="3"/>
  <c r="K283" i="3"/>
  <c r="K285" i="3" s="1"/>
  <c r="K233" i="3"/>
  <c r="K235" i="3" s="1"/>
  <c r="K75" i="3"/>
  <c r="J353" i="3"/>
  <c r="L277" i="3"/>
  <c r="L58" i="3"/>
  <c r="L190" i="3"/>
  <c r="L191" i="3" s="1"/>
  <c r="L274" i="3"/>
  <c r="L214" i="3"/>
  <c r="L92" i="3"/>
  <c r="L93" i="3" s="1"/>
  <c r="L164" i="3"/>
  <c r="L50" i="3"/>
  <c r="L51" i="3" s="1"/>
  <c r="L244" i="3"/>
  <c r="L247" i="3"/>
  <c r="L308" i="3"/>
  <c r="L114" i="3"/>
  <c r="L224" i="3"/>
  <c r="L60" i="3"/>
  <c r="L61" i="3" s="1"/>
  <c r="L162" i="3"/>
  <c r="L163" i="3" s="1"/>
  <c r="L144" i="3"/>
  <c r="L52" i="3"/>
  <c r="L53" i="3" s="1"/>
  <c r="L284" i="3"/>
  <c r="L80" i="3"/>
  <c r="L81" i="3" s="1"/>
  <c r="L197" i="3"/>
  <c r="L174" i="3"/>
  <c r="L178" i="3"/>
  <c r="L194" i="3"/>
  <c r="L167" i="3"/>
  <c r="L22" i="3"/>
  <c r="L23" i="3" s="1"/>
  <c r="L172" i="3"/>
  <c r="L173" i="3" s="1"/>
  <c r="L198" i="3"/>
  <c r="L47" i="3"/>
  <c r="L122" i="3"/>
  <c r="L123" i="3" s="1"/>
  <c r="L252" i="3"/>
  <c r="L117" i="3"/>
  <c r="L67" i="3"/>
  <c r="L112" i="3"/>
  <c r="L113" i="3" s="1"/>
  <c r="L217" i="3"/>
  <c r="L268" i="3"/>
  <c r="L40" i="3"/>
  <c r="L41" i="3" s="1"/>
  <c r="L348" i="3"/>
  <c r="L278" i="3"/>
  <c r="L54" i="3"/>
  <c r="L267" i="3"/>
  <c r="L20" i="3"/>
  <c r="L21" i="3" s="1"/>
  <c r="L282" i="3"/>
  <c r="L344" i="3"/>
  <c r="L324" i="3"/>
  <c r="L242" i="3"/>
  <c r="L150" i="3"/>
  <c r="L151" i="3" s="1"/>
  <c r="L188" i="3"/>
  <c r="L160" i="3"/>
  <c r="L161" i="3" s="1"/>
  <c r="L227" i="3"/>
  <c r="L30" i="3"/>
  <c r="L31" i="3" s="1"/>
  <c r="L322" i="3"/>
  <c r="L84" i="3"/>
  <c r="L98" i="3"/>
  <c r="L120" i="3"/>
  <c r="L121" i="3" s="1"/>
  <c r="L87" i="3"/>
  <c r="L78" i="3"/>
  <c r="L28" i="3"/>
  <c r="L228" i="3"/>
  <c r="L118" i="3"/>
  <c r="L168" i="3"/>
  <c r="L287" i="3"/>
  <c r="L147" i="3"/>
  <c r="L138" i="3"/>
  <c r="L304" i="3"/>
  <c r="L237" i="3"/>
  <c r="L108" i="3"/>
  <c r="L148" i="3"/>
  <c r="L134" i="3"/>
  <c r="L130" i="3"/>
  <c r="L131" i="3" s="1"/>
  <c r="L332" i="3"/>
  <c r="L154" i="3"/>
  <c r="L94" i="3"/>
  <c r="L314" i="3"/>
  <c r="L62" i="3"/>
  <c r="L63" i="3" s="1"/>
  <c r="L234" i="3"/>
  <c r="L128" i="3"/>
  <c r="L110" i="3"/>
  <c r="L111" i="3" s="1"/>
  <c r="L77" i="3"/>
  <c r="L212" i="3"/>
  <c r="L97" i="3"/>
  <c r="L258" i="3"/>
  <c r="L152" i="3"/>
  <c r="L153" i="3" s="1"/>
  <c r="L42" i="3"/>
  <c r="L43" i="3" s="1"/>
  <c r="L107" i="3"/>
  <c r="L44" i="3"/>
  <c r="L137" i="3"/>
  <c r="L24" i="3"/>
  <c r="L127" i="3"/>
  <c r="L90" i="3"/>
  <c r="L91" i="3" s="1"/>
  <c r="L262" i="3"/>
  <c r="L38" i="3"/>
  <c r="L157" i="3"/>
  <c r="L298" i="3"/>
  <c r="L170" i="3"/>
  <c r="L171" i="3" s="1"/>
  <c r="L338" i="3"/>
  <c r="L288" i="3"/>
  <c r="L192" i="3"/>
  <c r="L193" i="3" s="1"/>
  <c r="L272" i="3"/>
  <c r="L37" i="3"/>
  <c r="L102" i="3"/>
  <c r="L103" i="3" s="1"/>
  <c r="L10" i="3"/>
  <c r="L222" i="3"/>
  <c r="L48" i="3"/>
  <c r="L257" i="3"/>
  <c r="L182" i="3"/>
  <c r="L183" i="3" s="1"/>
  <c r="L64" i="3"/>
  <c r="L34" i="3"/>
  <c r="L187" i="3"/>
  <c r="L218" i="3"/>
  <c r="L32" i="3"/>
  <c r="L33" i="3" s="1"/>
  <c r="L334" i="3"/>
  <c r="L142" i="3"/>
  <c r="L143" i="3" s="1"/>
  <c r="L88" i="3"/>
  <c r="L180" i="3"/>
  <c r="L181" i="3" s="1"/>
  <c r="L27" i="3"/>
  <c r="L132" i="3"/>
  <c r="L133" i="3" s="1"/>
  <c r="L312" i="3"/>
  <c r="T5" i="4"/>
  <c r="L5" i="10" s="1"/>
  <c r="L158" i="3"/>
  <c r="L254" i="3"/>
  <c r="L177" i="3"/>
  <c r="L140" i="3"/>
  <c r="L141" i="3" s="1"/>
  <c r="L248" i="3"/>
  <c r="L68" i="3"/>
  <c r="L342" i="3"/>
  <c r="L57" i="3"/>
  <c r="L294" i="3"/>
  <c r="L302" i="3"/>
  <c r="L82" i="3"/>
  <c r="L83" i="3" s="1"/>
  <c r="L74" i="3"/>
  <c r="L70" i="3"/>
  <c r="L71" i="3" s="1"/>
  <c r="L238" i="3"/>
  <c r="L328" i="3"/>
  <c r="L318" i="3"/>
  <c r="L124" i="3"/>
  <c r="L72" i="3"/>
  <c r="L73" i="3" s="1"/>
  <c r="L184" i="3"/>
  <c r="L100" i="3"/>
  <c r="L101" i="3" s="1"/>
  <c r="L232" i="3"/>
  <c r="L292" i="3"/>
  <c r="L104" i="3"/>
  <c r="L6" i="3"/>
  <c r="K273" i="3"/>
  <c r="K275" i="3" s="1"/>
  <c r="K276" i="3"/>
  <c r="T13" i="4"/>
  <c r="K55" i="3"/>
  <c r="K303" i="3"/>
  <c r="K305" i="3" s="1"/>
  <c r="K306" i="3"/>
  <c r="J356" i="3"/>
  <c r="R12" i="4" s="1"/>
  <c r="L7" i="3"/>
  <c r="T17" i="4" s="1"/>
  <c r="K236" i="3"/>
  <c r="K146" i="3"/>
  <c r="K226" i="3"/>
  <c r="K66" i="3"/>
  <c r="K96" i="3"/>
  <c r="K116" i="3"/>
  <c r="K156" i="3"/>
  <c r="K126" i="3"/>
  <c r="K76" i="3"/>
  <c r="K136" i="3"/>
  <c r="K216" i="3"/>
  <c r="K256" i="3"/>
  <c r="K36" i="3"/>
  <c r="K86" i="3"/>
  <c r="K186" i="3"/>
  <c r="K106" i="3"/>
  <c r="K246" i="3"/>
  <c r="K46" i="3"/>
  <c r="K176" i="3"/>
  <c r="K196" i="3"/>
  <c r="K56" i="3"/>
  <c r="K26" i="3"/>
  <c r="K166" i="3"/>
  <c r="M4" i="10" l="1"/>
  <c r="U21" i="4"/>
  <c r="P19" i="4"/>
  <c r="P27" i="4" s="1"/>
  <c r="Q16" i="4"/>
  <c r="L135" i="3"/>
  <c r="R8" i="4"/>
  <c r="Q10" i="4"/>
  <c r="Q14" i="4" s="1"/>
  <c r="S25" i="4"/>
  <c r="J359" i="3" a="1"/>
  <c r="J359" i="3" s="1"/>
  <c r="R6" i="4" s="1"/>
  <c r="U22" i="4"/>
  <c r="U3" i="4"/>
  <c r="M3" i="10" s="1"/>
  <c r="L95" i="3"/>
  <c r="L25" i="3"/>
  <c r="L75" i="3"/>
  <c r="L55" i="3"/>
  <c r="L175" i="3"/>
  <c r="L155" i="3"/>
  <c r="L253" i="3"/>
  <c r="L255" i="3" s="1"/>
  <c r="L65" i="3"/>
  <c r="L165" i="3"/>
  <c r="L115" i="3"/>
  <c r="L145" i="3"/>
  <c r="L243" i="3"/>
  <c r="L245" i="3" s="1"/>
  <c r="L233" i="3"/>
  <c r="L235" i="3" s="1"/>
  <c r="L293" i="3"/>
  <c r="L295" i="3" s="1"/>
  <c r="L296" i="3"/>
  <c r="L223" i="3"/>
  <c r="L225" i="3" s="1"/>
  <c r="L336" i="3"/>
  <c r="L333" i="3"/>
  <c r="L335" i="3" s="1"/>
  <c r="U13" i="4"/>
  <c r="L45" i="3"/>
  <c r="L357" i="3"/>
  <c r="T23" i="4" s="1"/>
  <c r="L326" i="3"/>
  <c r="L323" i="3"/>
  <c r="L325" i="3" s="1"/>
  <c r="L85" i="3"/>
  <c r="L195" i="3"/>
  <c r="L185" i="3"/>
  <c r="L276" i="3"/>
  <c r="L273" i="3"/>
  <c r="L275" i="3" s="1"/>
  <c r="L35" i="3"/>
  <c r="L346" i="3"/>
  <c r="L343" i="3"/>
  <c r="L345" i="3" s="1"/>
  <c r="L263" i="3"/>
  <c r="L264" i="3" s="1"/>
  <c r="L354" i="3" s="1"/>
  <c r="T9" i="4" s="1"/>
  <c r="L16" i="3"/>
  <c r="L11" i="3"/>
  <c r="L303" i="3"/>
  <c r="L305" i="3" s="1"/>
  <c r="L306" i="3"/>
  <c r="M248" i="3"/>
  <c r="M117" i="3"/>
  <c r="M47" i="3"/>
  <c r="M164" i="3"/>
  <c r="M152" i="3"/>
  <c r="M153" i="3" s="1"/>
  <c r="M292" i="3"/>
  <c r="M184" i="3"/>
  <c r="M100" i="3"/>
  <c r="M101" i="3" s="1"/>
  <c r="M180" i="3"/>
  <c r="M181" i="3" s="1"/>
  <c r="M348" i="3"/>
  <c r="M268" i="3"/>
  <c r="M72" i="3"/>
  <c r="M73" i="3" s="1"/>
  <c r="M94" i="3"/>
  <c r="M244" i="3"/>
  <c r="M104" i="3"/>
  <c r="M42" i="3"/>
  <c r="M43" i="3" s="1"/>
  <c r="M92" i="3"/>
  <c r="M93" i="3" s="1"/>
  <c r="M228" i="3"/>
  <c r="M57" i="3"/>
  <c r="M122" i="3"/>
  <c r="M123" i="3" s="1"/>
  <c r="M102" i="3"/>
  <c r="M103" i="3" s="1"/>
  <c r="M34" i="3"/>
  <c r="M90" i="3"/>
  <c r="M91" i="3" s="1"/>
  <c r="M227" i="3"/>
  <c r="M24" i="3"/>
  <c r="M218" i="3"/>
  <c r="M114" i="3"/>
  <c r="M37" i="3"/>
  <c r="M217" i="3"/>
  <c r="M138" i="3"/>
  <c r="M324" i="3"/>
  <c r="M174" i="3"/>
  <c r="M148" i="3"/>
  <c r="M284" i="3"/>
  <c r="M172" i="3"/>
  <c r="M173" i="3" s="1"/>
  <c r="M197" i="3"/>
  <c r="M192" i="3"/>
  <c r="M193" i="3" s="1"/>
  <c r="M232" i="3"/>
  <c r="M137" i="3"/>
  <c r="M298" i="3"/>
  <c r="M97" i="3"/>
  <c r="M242" i="3"/>
  <c r="M168" i="3"/>
  <c r="M27" i="3"/>
  <c r="M140" i="3"/>
  <c r="M141" i="3" s="1"/>
  <c r="M127" i="3"/>
  <c r="M167" i="3"/>
  <c r="M82" i="3"/>
  <c r="M83" i="3" s="1"/>
  <c r="M70" i="3"/>
  <c r="M71" i="3" s="1"/>
  <c r="M328" i="3"/>
  <c r="M308" i="3"/>
  <c r="M338" i="3"/>
  <c r="M107" i="3"/>
  <c r="M44" i="3"/>
  <c r="M278" i="3"/>
  <c r="M224" i="3"/>
  <c r="M158" i="3"/>
  <c r="M78" i="3"/>
  <c r="M187" i="3"/>
  <c r="M112" i="3"/>
  <c r="M113" i="3" s="1"/>
  <c r="M124" i="3"/>
  <c r="M282" i="3"/>
  <c r="M22" i="3"/>
  <c r="M23" i="3" s="1"/>
  <c r="M302" i="3"/>
  <c r="M150" i="3"/>
  <c r="M151" i="3" s="1"/>
  <c r="M30" i="3"/>
  <c r="M31" i="3" s="1"/>
  <c r="M10" i="3"/>
  <c r="M160" i="3"/>
  <c r="M161" i="3" s="1"/>
  <c r="M182" i="3"/>
  <c r="M183" i="3" s="1"/>
  <c r="M277" i="3"/>
  <c r="M40" i="3"/>
  <c r="M41" i="3" s="1"/>
  <c r="M237" i="3"/>
  <c r="M234" i="3"/>
  <c r="M77" i="3"/>
  <c r="M120" i="3"/>
  <c r="M121" i="3" s="1"/>
  <c r="M118" i="3"/>
  <c r="M134" i="3"/>
  <c r="M252" i="3"/>
  <c r="M262" i="3"/>
  <c r="M190" i="3"/>
  <c r="M191" i="3" s="1"/>
  <c r="M60" i="3"/>
  <c r="M61" i="3" s="1"/>
  <c r="M32" i="3"/>
  <c r="M33" i="3" s="1"/>
  <c r="M157" i="3"/>
  <c r="M212" i="3"/>
  <c r="M247" i="3"/>
  <c r="M128" i="3"/>
  <c r="M332" i="3"/>
  <c r="M258" i="3"/>
  <c r="M214" i="3"/>
  <c r="M68" i="3"/>
  <c r="M342" i="3"/>
  <c r="M62" i="3"/>
  <c r="M63" i="3" s="1"/>
  <c r="M54" i="3"/>
  <c r="M267" i="3"/>
  <c r="M58" i="3"/>
  <c r="M322" i="3"/>
  <c r="M178" i="3"/>
  <c r="M88" i="3"/>
  <c r="M28" i="3"/>
  <c r="M132" i="3"/>
  <c r="M133" i="3" s="1"/>
  <c r="M144" i="3"/>
  <c r="M188" i="3"/>
  <c r="M110" i="3"/>
  <c r="M111" i="3" s="1"/>
  <c r="M257" i="3"/>
  <c r="M50" i="3"/>
  <c r="M51" i="3" s="1"/>
  <c r="M80" i="3"/>
  <c r="M81" i="3" s="1"/>
  <c r="M314" i="3"/>
  <c r="M177" i="3"/>
  <c r="M147" i="3"/>
  <c r="M98" i="3"/>
  <c r="M194" i="3"/>
  <c r="M142" i="3"/>
  <c r="M143" i="3" s="1"/>
  <c r="M238" i="3"/>
  <c r="M312" i="3"/>
  <c r="U5" i="4"/>
  <c r="M5" i="10" s="1"/>
  <c r="M198" i="3"/>
  <c r="M38" i="3"/>
  <c r="M272" i="3"/>
  <c r="M154" i="3"/>
  <c r="M288" i="3"/>
  <c r="M130" i="3"/>
  <c r="M131" i="3" s="1"/>
  <c r="M287" i="3"/>
  <c r="M48" i="3"/>
  <c r="M344" i="3"/>
  <c r="M64" i="3"/>
  <c r="M170" i="3"/>
  <c r="M171" i="3" s="1"/>
  <c r="M52" i="3"/>
  <c r="M53" i="3" s="1"/>
  <c r="M84" i="3"/>
  <c r="M222" i="3"/>
  <c r="M254" i="3"/>
  <c r="M162" i="3"/>
  <c r="M163" i="3" s="1"/>
  <c r="M108" i="3"/>
  <c r="M20" i="3"/>
  <c r="M21" i="3" s="1"/>
  <c r="M67" i="3"/>
  <c r="M74" i="3"/>
  <c r="M318" i="3"/>
  <c r="M87" i="3"/>
  <c r="M334" i="3"/>
  <c r="M6" i="3"/>
  <c r="K255" i="3"/>
  <c r="L105" i="3"/>
  <c r="L286" i="3"/>
  <c r="L283" i="3"/>
  <c r="L285" i="3" s="1"/>
  <c r="L358" i="3"/>
  <c r="T24" i="4" s="1"/>
  <c r="L125" i="3"/>
  <c r="K15" i="3"/>
  <c r="K352" i="3"/>
  <c r="L316" i="3"/>
  <c r="L313" i="3"/>
  <c r="L315" i="3" s="1"/>
  <c r="L213" i="3"/>
  <c r="L215" i="3" s="1"/>
  <c r="N340" i="3"/>
  <c r="N347" i="3" s="1"/>
  <c r="N5" i="3"/>
  <c r="N4" i="3"/>
  <c r="N320" i="3"/>
  <c r="N327" i="3" s="1"/>
  <c r="N310" i="3"/>
  <c r="N317" i="3" s="1"/>
  <c r="N290" i="3"/>
  <c r="N297" i="3" s="1"/>
  <c r="V4" i="4"/>
  <c r="N300" i="3"/>
  <c r="N307" i="3" s="1"/>
  <c r="N330" i="3"/>
  <c r="N337" i="3" s="1"/>
  <c r="O3" i="3"/>
  <c r="K353" i="3"/>
  <c r="K356" i="3"/>
  <c r="S12" i="4" s="1"/>
  <c r="M7" i="3"/>
  <c r="U17" i="4" s="1"/>
  <c r="L236" i="3"/>
  <c r="L226" i="3"/>
  <c r="L266" i="3"/>
  <c r="L156" i="3"/>
  <c r="L56" i="3"/>
  <c r="L196" i="3"/>
  <c r="L96" i="3"/>
  <c r="L166" i="3"/>
  <c r="L76" i="3"/>
  <c r="L136" i="3"/>
  <c r="L106" i="3"/>
  <c r="L146" i="3"/>
  <c r="L246" i="3"/>
  <c r="L116" i="3"/>
  <c r="L256" i="3"/>
  <c r="L46" i="3"/>
  <c r="L86" i="3"/>
  <c r="L186" i="3"/>
  <c r="L36" i="3"/>
  <c r="L176" i="3"/>
  <c r="L126" i="3"/>
  <c r="L26" i="3"/>
  <c r="L216" i="3"/>
  <c r="L66" i="3"/>
  <c r="N4" i="10" l="1"/>
  <c r="V21" i="4"/>
  <c r="S8" i="4"/>
  <c r="S10" i="4" s="1"/>
  <c r="Q18" i="4"/>
  <c r="Q19" i="4" s="1"/>
  <c r="R10" i="4"/>
  <c r="R14" i="4" s="1"/>
  <c r="R18" i="4" s="1"/>
  <c r="R16" i="4"/>
  <c r="K359" i="3" a="1"/>
  <c r="K359" i="3" s="1"/>
  <c r="S6" i="4" s="1"/>
  <c r="T25" i="4"/>
  <c r="V22" i="4"/>
  <c r="V3" i="4"/>
  <c r="N3" i="10" s="1"/>
  <c r="O27" i="4"/>
  <c r="M223" i="3"/>
  <c r="M225" i="3" s="1"/>
  <c r="M35" i="3"/>
  <c r="M65" i="3"/>
  <c r="M155" i="3"/>
  <c r="M75" i="3"/>
  <c r="M243" i="3"/>
  <c r="M245" i="3" s="1"/>
  <c r="M263" i="3"/>
  <c r="M264" i="3" s="1"/>
  <c r="M253" i="3"/>
  <c r="M255" i="3" s="1"/>
  <c r="L265" i="3"/>
  <c r="K355" i="3"/>
  <c r="M346" i="3"/>
  <c r="M343" i="3"/>
  <c r="M345" i="3" s="1"/>
  <c r="M357" i="3"/>
  <c r="U23" i="4" s="1"/>
  <c r="M16" i="3"/>
  <c r="M11" i="3"/>
  <c r="M326" i="3"/>
  <c r="M323" i="3"/>
  <c r="M325" i="3" s="1"/>
  <c r="M195" i="3"/>
  <c r="M303" i="3"/>
  <c r="M306" i="3"/>
  <c r="M175" i="3"/>
  <c r="L352" i="3"/>
  <c r="L15" i="3"/>
  <c r="M125" i="3"/>
  <c r="M115" i="3"/>
  <c r="M333" i="3"/>
  <c r="M335" i="3" s="1"/>
  <c r="M336" i="3"/>
  <c r="M185" i="3"/>
  <c r="M273" i="3"/>
  <c r="M274" i="3" s="1"/>
  <c r="M275" i="3" s="1"/>
  <c r="M45" i="3"/>
  <c r="M105" i="3"/>
  <c r="N177" i="3"/>
  <c r="N58" i="3"/>
  <c r="N282" i="3"/>
  <c r="N127" i="3"/>
  <c r="N32" i="3"/>
  <c r="N33" i="3" s="1"/>
  <c r="N124" i="3"/>
  <c r="N67" i="3"/>
  <c r="N247" i="3"/>
  <c r="N212" i="3"/>
  <c r="N98" i="3"/>
  <c r="N342" i="3"/>
  <c r="N262" i="3"/>
  <c r="N68" i="3"/>
  <c r="N70" i="3"/>
  <c r="N71" i="3" s="1"/>
  <c r="V5" i="4"/>
  <c r="N5" i="10" s="1"/>
  <c r="N104" i="3"/>
  <c r="N100" i="3"/>
  <c r="N101" i="3" s="1"/>
  <c r="N82" i="3"/>
  <c r="N83" i="3" s="1"/>
  <c r="N344" i="3"/>
  <c r="N152" i="3"/>
  <c r="N153" i="3" s="1"/>
  <c r="N142" i="3"/>
  <c r="N143" i="3" s="1"/>
  <c r="N157" i="3"/>
  <c r="N132" i="3"/>
  <c r="N133" i="3" s="1"/>
  <c r="N40" i="3"/>
  <c r="N41" i="3" s="1"/>
  <c r="N167" i="3"/>
  <c r="N20" i="3"/>
  <c r="N21" i="3" s="1"/>
  <c r="N150" i="3"/>
  <c r="N151" i="3" s="1"/>
  <c r="N258" i="3"/>
  <c r="N322" i="3"/>
  <c r="N218" i="3"/>
  <c r="N308" i="3"/>
  <c r="N78" i="3"/>
  <c r="N234" i="3"/>
  <c r="N158" i="3"/>
  <c r="N170" i="3"/>
  <c r="N171" i="3" s="1"/>
  <c r="N120" i="3"/>
  <c r="N121" i="3" s="1"/>
  <c r="N54" i="3"/>
  <c r="N112" i="3"/>
  <c r="N113" i="3" s="1"/>
  <c r="N10" i="3"/>
  <c r="N190" i="3"/>
  <c r="N191" i="3" s="1"/>
  <c r="N277" i="3"/>
  <c r="N228" i="3"/>
  <c r="N130" i="3"/>
  <c r="N131" i="3" s="1"/>
  <c r="N64" i="3"/>
  <c r="N47" i="3"/>
  <c r="N108" i="3"/>
  <c r="N140" i="3"/>
  <c r="N141" i="3" s="1"/>
  <c r="N302" i="3"/>
  <c r="N254" i="3"/>
  <c r="N94" i="3"/>
  <c r="N92" i="3"/>
  <c r="N93" i="3" s="1"/>
  <c r="N117" i="3"/>
  <c r="N62" i="3"/>
  <c r="N63" i="3" s="1"/>
  <c r="N30" i="3"/>
  <c r="N31" i="3" s="1"/>
  <c r="N118" i="3"/>
  <c r="N338" i="3"/>
  <c r="N168" i="3"/>
  <c r="N222" i="3"/>
  <c r="N272" i="3"/>
  <c r="N147" i="3"/>
  <c r="N188" i="3"/>
  <c r="N154" i="3"/>
  <c r="N122" i="3"/>
  <c r="N123" i="3" s="1"/>
  <c r="N314" i="3"/>
  <c r="N257" i="3"/>
  <c r="N87" i="3"/>
  <c r="N278" i="3"/>
  <c r="N238" i="3"/>
  <c r="N88" i="3"/>
  <c r="N194" i="3"/>
  <c r="N214" i="3"/>
  <c r="N57" i="3"/>
  <c r="N292" i="3"/>
  <c r="N34" i="3"/>
  <c r="N164" i="3"/>
  <c r="N72" i="3"/>
  <c r="N73" i="3" s="1"/>
  <c r="N328" i="3"/>
  <c r="N90" i="3"/>
  <c r="N91" i="3" s="1"/>
  <c r="N244" i="3"/>
  <c r="N198" i="3"/>
  <c r="N332" i="3"/>
  <c r="N184" i="3"/>
  <c r="N107" i="3"/>
  <c r="N284" i="3"/>
  <c r="N160" i="3"/>
  <c r="N161" i="3" s="1"/>
  <c r="N242" i="3"/>
  <c r="N192" i="3"/>
  <c r="N193" i="3" s="1"/>
  <c r="N197" i="3"/>
  <c r="N217" i="3"/>
  <c r="N172" i="3"/>
  <c r="N173" i="3" s="1"/>
  <c r="N264" i="3"/>
  <c r="N182" i="3"/>
  <c r="N183" i="3" s="1"/>
  <c r="N174" i="3"/>
  <c r="N318" i="3"/>
  <c r="N224" i="3"/>
  <c r="N60" i="3"/>
  <c r="N61" i="3" s="1"/>
  <c r="N288" i="3"/>
  <c r="N334" i="3"/>
  <c r="N137" i="3"/>
  <c r="N180" i="3"/>
  <c r="N181" i="3" s="1"/>
  <c r="N74" i="3"/>
  <c r="N27" i="3"/>
  <c r="N22" i="3"/>
  <c r="N23" i="3" s="1"/>
  <c r="N187" i="3"/>
  <c r="N267" i="3"/>
  <c r="N80" i="3"/>
  <c r="N81" i="3" s="1"/>
  <c r="N287" i="3"/>
  <c r="N77" i="3"/>
  <c r="N312" i="3"/>
  <c r="N110" i="3"/>
  <c r="N111" i="3" s="1"/>
  <c r="N227" i="3"/>
  <c r="N28" i="3"/>
  <c r="N252" i="3"/>
  <c r="N268" i="3"/>
  <c r="N52" i="3"/>
  <c r="N53" i="3" s="1"/>
  <c r="N102" i="3"/>
  <c r="N103" i="3" s="1"/>
  <c r="N97" i="3"/>
  <c r="N114" i="3"/>
  <c r="N50" i="3"/>
  <c r="N51" i="3" s="1"/>
  <c r="N44" i="3"/>
  <c r="N248" i="3"/>
  <c r="N37" i="3"/>
  <c r="N324" i="3"/>
  <c r="N38" i="3"/>
  <c r="N84" i="3"/>
  <c r="N144" i="3"/>
  <c r="N24" i="3"/>
  <c r="N42" i="3"/>
  <c r="N43" i="3" s="1"/>
  <c r="N232" i="3"/>
  <c r="N348" i="3"/>
  <c r="N237" i="3"/>
  <c r="N138" i="3"/>
  <c r="N48" i="3"/>
  <c r="N148" i="3"/>
  <c r="N162" i="3"/>
  <c r="N163" i="3" s="1"/>
  <c r="N178" i="3"/>
  <c r="N298" i="3"/>
  <c r="N128" i="3"/>
  <c r="N134" i="3"/>
  <c r="N6" i="3"/>
  <c r="M145" i="3"/>
  <c r="M55" i="3"/>
  <c r="M25" i="3"/>
  <c r="M233" i="3"/>
  <c r="M235" i="3" s="1"/>
  <c r="M95" i="3"/>
  <c r="M293" i="3"/>
  <c r="M296" i="3"/>
  <c r="M316" i="3"/>
  <c r="M313" i="3"/>
  <c r="M315" i="3" s="1"/>
  <c r="M283" i="3"/>
  <c r="M285" i="3" s="1"/>
  <c r="M286" i="3"/>
  <c r="V13" i="4"/>
  <c r="M85" i="3"/>
  <c r="M135" i="3"/>
  <c r="O340" i="3"/>
  <c r="O347" i="3" s="1"/>
  <c r="O330" i="3"/>
  <c r="O337" i="3" s="1"/>
  <c r="O4" i="3"/>
  <c r="O300" i="3"/>
  <c r="O307" i="3" s="1"/>
  <c r="O5" i="3"/>
  <c r="O290" i="3"/>
  <c r="O297" i="3" s="1"/>
  <c r="O310" i="3"/>
  <c r="O317" i="3" s="1"/>
  <c r="O320" i="3"/>
  <c r="O327" i="3" s="1"/>
  <c r="P3" i="3"/>
  <c r="W4" i="4"/>
  <c r="M358" i="3"/>
  <c r="U24" i="4" s="1"/>
  <c r="M213" i="3"/>
  <c r="M215" i="3" s="1"/>
  <c r="M165" i="3"/>
  <c r="L353" i="3"/>
  <c r="L356" i="3"/>
  <c r="T12" i="4" s="1"/>
  <c r="N7" i="3"/>
  <c r="V17" i="4" s="1"/>
  <c r="M276" i="3"/>
  <c r="M236" i="3"/>
  <c r="M166" i="3"/>
  <c r="M246" i="3"/>
  <c r="M66" i="3"/>
  <c r="M156" i="3"/>
  <c r="M186" i="3"/>
  <c r="M76" i="3"/>
  <c r="M96" i="3"/>
  <c r="M266" i="3"/>
  <c r="M146" i="3"/>
  <c r="M36" i="3"/>
  <c r="M216" i="3"/>
  <c r="M26" i="3"/>
  <c r="M136" i="3"/>
  <c r="M176" i="3"/>
  <c r="M196" i="3"/>
  <c r="M106" i="3"/>
  <c r="M126" i="3"/>
  <c r="M226" i="3"/>
  <c r="M46" i="3"/>
  <c r="M86" i="3"/>
  <c r="M256" i="3"/>
  <c r="M116" i="3"/>
  <c r="M56" i="3"/>
  <c r="M304" i="3" l="1"/>
  <c r="M305" i="3" s="1"/>
  <c r="M294" i="3"/>
  <c r="M295" i="3" s="1"/>
  <c r="O4" i="10"/>
  <c r="W21" i="4"/>
  <c r="S16" i="4"/>
  <c r="T8" i="4"/>
  <c r="T10" i="4" s="1"/>
  <c r="R19" i="4"/>
  <c r="R27" i="4" s="1"/>
  <c r="U25" i="4"/>
  <c r="N55" i="3"/>
  <c r="Q27" i="4"/>
  <c r="W22" i="4"/>
  <c r="W3" i="4"/>
  <c r="O3" i="10" s="1"/>
  <c r="S14" i="4"/>
  <c r="L359" i="3" a="1"/>
  <c r="L359" i="3" s="1"/>
  <c r="T6" i="4" s="1"/>
  <c r="N223" i="3"/>
  <c r="N225" i="3" s="1"/>
  <c r="N243" i="3"/>
  <c r="N245" i="3" s="1"/>
  <c r="N185" i="3"/>
  <c r="N233" i="3"/>
  <c r="N235" i="3" s="1"/>
  <c r="N165" i="3"/>
  <c r="N213" i="3"/>
  <c r="N215" i="3" s="1"/>
  <c r="N35" i="3"/>
  <c r="N253" i="3"/>
  <c r="N255" i="3" s="1"/>
  <c r="N175" i="3"/>
  <c r="N45" i="3"/>
  <c r="M265" i="3"/>
  <c r="L355" i="3"/>
  <c r="N273" i="3"/>
  <c r="N274" i="3" s="1"/>
  <c r="N195" i="3"/>
  <c r="N16" i="3"/>
  <c r="N11" i="3"/>
  <c r="N283" i="3"/>
  <c r="N285" i="3" s="1"/>
  <c r="N286" i="3"/>
  <c r="O308" i="3"/>
  <c r="O188" i="3"/>
  <c r="O184" i="3"/>
  <c r="O198" i="3"/>
  <c r="O267" i="3"/>
  <c r="O160" i="3"/>
  <c r="O161" i="3" s="1"/>
  <c r="O24" i="3"/>
  <c r="O92" i="3"/>
  <c r="O93" i="3" s="1"/>
  <c r="O70" i="3"/>
  <c r="O71" i="3" s="1"/>
  <c r="O118" i="3"/>
  <c r="O287" i="3"/>
  <c r="O150" i="3"/>
  <c r="O151" i="3" s="1"/>
  <c r="O54" i="3"/>
  <c r="O157" i="3"/>
  <c r="O248" i="3"/>
  <c r="O120" i="3"/>
  <c r="O121" i="3" s="1"/>
  <c r="O238" i="3"/>
  <c r="O67" i="3"/>
  <c r="O254" i="3"/>
  <c r="O218" i="3"/>
  <c r="O47" i="3"/>
  <c r="O10" i="3"/>
  <c r="O122" i="3"/>
  <c r="O123" i="3" s="1"/>
  <c r="O234" i="3"/>
  <c r="O140" i="3"/>
  <c r="O141" i="3" s="1"/>
  <c r="O298" i="3"/>
  <c r="O77" i="3"/>
  <c r="O274" i="3"/>
  <c r="O167" i="3"/>
  <c r="O90" i="3"/>
  <c r="O91" i="3" s="1"/>
  <c r="O338" i="3"/>
  <c r="O42" i="3"/>
  <c r="O43" i="3" s="1"/>
  <c r="O247" i="3"/>
  <c r="O187" i="3"/>
  <c r="O332" i="3"/>
  <c r="O227" i="3"/>
  <c r="O100" i="3"/>
  <c r="O101" i="3" s="1"/>
  <c r="O277" i="3"/>
  <c r="O302" i="3"/>
  <c r="O114" i="3"/>
  <c r="O180" i="3"/>
  <c r="O181" i="3" s="1"/>
  <c r="O127" i="3"/>
  <c r="O344" i="3"/>
  <c r="O282" i="3"/>
  <c r="O84" i="3"/>
  <c r="O170" i="3"/>
  <c r="O171" i="3" s="1"/>
  <c r="O138" i="3"/>
  <c r="O262" i="3"/>
  <c r="O30" i="3"/>
  <c r="O31" i="3" s="1"/>
  <c r="O162" i="3"/>
  <c r="O163" i="3" s="1"/>
  <c r="O74" i="3"/>
  <c r="O117" i="3"/>
  <c r="O312" i="3"/>
  <c r="O214" i="3"/>
  <c r="O102" i="3"/>
  <c r="O103" i="3" s="1"/>
  <c r="O217" i="3"/>
  <c r="O78" i="3"/>
  <c r="O242" i="3"/>
  <c r="O348" i="3"/>
  <c r="O137" i="3"/>
  <c r="O172" i="3"/>
  <c r="O173" i="3" s="1"/>
  <c r="O158" i="3"/>
  <c r="O110" i="3"/>
  <c r="O111" i="3" s="1"/>
  <c r="O72" i="3"/>
  <c r="O73" i="3" s="1"/>
  <c r="O112" i="3"/>
  <c r="O113" i="3" s="1"/>
  <c r="O80" i="3"/>
  <c r="O81" i="3" s="1"/>
  <c r="O32" i="3"/>
  <c r="O33" i="3" s="1"/>
  <c r="O94" i="3"/>
  <c r="O107" i="3"/>
  <c r="O48" i="3"/>
  <c r="O182" i="3"/>
  <c r="O183" i="3" s="1"/>
  <c r="O292" i="3"/>
  <c r="O278" i="3"/>
  <c r="O97" i="3"/>
  <c r="O164" i="3"/>
  <c r="O130" i="3"/>
  <c r="O131" i="3" s="1"/>
  <c r="O252" i="3"/>
  <c r="O257" i="3"/>
  <c r="O68" i="3"/>
  <c r="O22" i="3"/>
  <c r="O23" i="3" s="1"/>
  <c r="O88" i="3"/>
  <c r="O322" i="3"/>
  <c r="O57" i="3"/>
  <c r="O288" i="3"/>
  <c r="O52" i="3"/>
  <c r="O53" i="3" s="1"/>
  <c r="O144" i="3"/>
  <c r="O318" i="3"/>
  <c r="O124" i="3"/>
  <c r="O50" i="3"/>
  <c r="O51" i="3" s="1"/>
  <c r="O34" i="3"/>
  <c r="O237" i="3"/>
  <c r="O168" i="3"/>
  <c r="O134" i="3"/>
  <c r="O228" i="3"/>
  <c r="O152" i="3"/>
  <c r="O153" i="3" s="1"/>
  <c r="O192" i="3"/>
  <c r="O193" i="3" s="1"/>
  <c r="O104" i="3"/>
  <c r="O268" i="3"/>
  <c r="O222" i="3"/>
  <c r="O272" i="3"/>
  <c r="O82" i="3"/>
  <c r="O83" i="3" s="1"/>
  <c r="O212" i="3"/>
  <c r="O87" i="3"/>
  <c r="O38" i="3"/>
  <c r="O27" i="3"/>
  <c r="O60" i="3"/>
  <c r="O61" i="3" s="1"/>
  <c r="O64" i="3"/>
  <c r="O128" i="3"/>
  <c r="W5" i="4"/>
  <c r="O5" i="10" s="1"/>
  <c r="O244" i="3"/>
  <c r="O58" i="3"/>
  <c r="O177" i="3"/>
  <c r="O44" i="3"/>
  <c r="O154" i="3"/>
  <c r="O98" i="3"/>
  <c r="O147" i="3"/>
  <c r="O197" i="3"/>
  <c r="O328" i="3"/>
  <c r="O108" i="3"/>
  <c r="O224" i="3"/>
  <c r="O28" i="3"/>
  <c r="O190" i="3"/>
  <c r="O191" i="3" s="1"/>
  <c r="O194" i="3"/>
  <c r="O40" i="3"/>
  <c r="O41" i="3" s="1"/>
  <c r="O37" i="3"/>
  <c r="O334" i="3"/>
  <c r="O178" i="3"/>
  <c r="O264" i="3"/>
  <c r="O62" i="3"/>
  <c r="O63" i="3" s="1"/>
  <c r="O142" i="3"/>
  <c r="O143" i="3" s="1"/>
  <c r="O342" i="3"/>
  <c r="O148" i="3"/>
  <c r="O132" i="3"/>
  <c r="O133" i="3" s="1"/>
  <c r="O20" i="3"/>
  <c r="O21" i="3" s="1"/>
  <c r="O258" i="3"/>
  <c r="O174" i="3"/>
  <c r="O232" i="3"/>
  <c r="O6" i="3"/>
  <c r="N358" i="3"/>
  <c r="V24" i="4" s="1"/>
  <c r="N65" i="3"/>
  <c r="N316" i="3"/>
  <c r="N313" i="3"/>
  <c r="N315" i="3" s="1"/>
  <c r="N145" i="3"/>
  <c r="M15" i="3"/>
  <c r="M352" i="3"/>
  <c r="N75" i="3"/>
  <c r="N125" i="3"/>
  <c r="N336" i="3"/>
  <c r="N333" i="3"/>
  <c r="N335" i="3" s="1"/>
  <c r="N323" i="3"/>
  <c r="N325" i="3" s="1"/>
  <c r="N326" i="3"/>
  <c r="N105" i="3"/>
  <c r="N85" i="3"/>
  <c r="N263" i="3"/>
  <c r="N265" i="3" s="1"/>
  <c r="P330" i="3"/>
  <c r="P337" i="3" s="1"/>
  <c r="Q3" i="3"/>
  <c r="P320" i="3"/>
  <c r="P327" i="3" s="1"/>
  <c r="P290" i="3"/>
  <c r="P297" i="3" s="1"/>
  <c r="P310" i="3"/>
  <c r="P317" i="3" s="1"/>
  <c r="P5" i="3"/>
  <c r="P340" i="3"/>
  <c r="P347" i="3" s="1"/>
  <c r="P4" i="3"/>
  <c r="P300" i="3"/>
  <c r="P307" i="3" s="1"/>
  <c r="X4" i="4"/>
  <c r="N135" i="3"/>
  <c r="N155" i="3"/>
  <c r="N343" i="3"/>
  <c r="N345" i="3" s="1"/>
  <c r="N346" i="3"/>
  <c r="N357" i="3"/>
  <c r="V23" i="4" s="1"/>
  <c r="W13" i="4"/>
  <c r="N306" i="3"/>
  <c r="N303" i="3"/>
  <c r="N115" i="3"/>
  <c r="N95" i="3"/>
  <c r="N293" i="3"/>
  <c r="N296" i="3"/>
  <c r="N25" i="3"/>
  <c r="M353" i="3"/>
  <c r="O7" i="3"/>
  <c r="W17" i="4" s="1"/>
  <c r="N246" i="3"/>
  <c r="N236" i="3"/>
  <c r="N276" i="3"/>
  <c r="N66" i="3"/>
  <c r="N196" i="3"/>
  <c r="N56" i="3"/>
  <c r="N136" i="3"/>
  <c r="N76" i="3"/>
  <c r="N46" i="3"/>
  <c r="N106" i="3"/>
  <c r="N256" i="3"/>
  <c r="N176" i="3"/>
  <c r="N126" i="3"/>
  <c r="N266" i="3"/>
  <c r="N26" i="3"/>
  <c r="N36" i="3"/>
  <c r="N166" i="3"/>
  <c r="N216" i="3"/>
  <c r="N96" i="3"/>
  <c r="N226" i="3"/>
  <c r="N86" i="3"/>
  <c r="N116" i="3"/>
  <c r="N186" i="3"/>
  <c r="N156" i="3"/>
  <c r="N146" i="3"/>
  <c r="M356" i="3"/>
  <c r="U12" i="4" s="1"/>
  <c r="M354" i="3" l="1"/>
  <c r="U9" i="4" s="1"/>
  <c r="N294" i="3"/>
  <c r="N295" i="3" s="1"/>
  <c r="N304" i="3"/>
  <c r="N354" i="3" s="1"/>
  <c r="V9" i="4" s="1"/>
  <c r="P4" i="10"/>
  <c r="X21" i="4"/>
  <c r="T16" i="4"/>
  <c r="M359" i="3" a="1"/>
  <c r="M359" i="3" s="1"/>
  <c r="U6" i="4" s="1"/>
  <c r="T14" i="4"/>
  <c r="T18" i="4" s="1"/>
  <c r="S18" i="4"/>
  <c r="S19" i="4" s="1"/>
  <c r="S27" i="4" s="1"/>
  <c r="U8" i="4"/>
  <c r="V25" i="4"/>
  <c r="N275" i="3"/>
  <c r="X3" i="4"/>
  <c r="P3" i="10" s="1"/>
  <c r="X22" i="4"/>
  <c r="O253" i="3"/>
  <c r="O255" i="3" s="1"/>
  <c r="O175" i="3"/>
  <c r="M355" i="3"/>
  <c r="O105" i="3"/>
  <c r="O165" i="3"/>
  <c r="O223" i="3"/>
  <c r="O225" i="3" s="1"/>
  <c r="O273" i="3"/>
  <c r="O275" i="3" s="1"/>
  <c r="X13" i="4"/>
  <c r="O11" i="3"/>
  <c r="O16" i="3"/>
  <c r="O85" i="3"/>
  <c r="O263" i="3"/>
  <c r="O265" i="3" s="1"/>
  <c r="O115" i="3"/>
  <c r="O125" i="3"/>
  <c r="O313" i="3"/>
  <c r="O316" i="3"/>
  <c r="O135" i="3"/>
  <c r="O195" i="3"/>
  <c r="O358" i="3"/>
  <c r="W24" i="4" s="1"/>
  <c r="O155" i="3"/>
  <c r="O343" i="3"/>
  <c r="O345" i="3" s="1"/>
  <c r="O346" i="3"/>
  <c r="Q4" i="3"/>
  <c r="Y4" i="4"/>
  <c r="Q5" i="3"/>
  <c r="Q320" i="3"/>
  <c r="Q327" i="3" s="1"/>
  <c r="Q340" i="3"/>
  <c r="Q347" i="3" s="1"/>
  <c r="Q290" i="3"/>
  <c r="Q297" i="3" s="1"/>
  <c r="Q300" i="3"/>
  <c r="Q307" i="3" s="1"/>
  <c r="R3" i="3"/>
  <c r="Q330" i="3"/>
  <c r="Q337" i="3" s="1"/>
  <c r="Q310" i="3"/>
  <c r="Q317" i="3" s="1"/>
  <c r="O45" i="3"/>
  <c r="O233" i="3"/>
  <c r="O235" i="3" s="1"/>
  <c r="O65" i="3"/>
  <c r="O357" i="3"/>
  <c r="W23" i="4" s="1"/>
  <c r="O55" i="3"/>
  <c r="O243" i="3"/>
  <c r="O245" i="3" s="1"/>
  <c r="N352" i="3"/>
  <c r="N15" i="3"/>
  <c r="O323" i="3"/>
  <c r="O326" i="3"/>
  <c r="O25" i="3"/>
  <c r="O185" i="3"/>
  <c r="O145" i="3"/>
  <c r="O336" i="3"/>
  <c r="O333" i="3"/>
  <c r="O335" i="3" s="1"/>
  <c r="O283" i="3"/>
  <c r="O284" i="3" s="1"/>
  <c r="P258" i="3"/>
  <c r="P127" i="3"/>
  <c r="P78" i="3"/>
  <c r="P312" i="3"/>
  <c r="P62" i="3"/>
  <c r="P63" i="3" s="1"/>
  <c r="P64" i="3"/>
  <c r="P150" i="3"/>
  <c r="P151" i="3" s="1"/>
  <c r="P217" i="3"/>
  <c r="P54" i="3"/>
  <c r="P44" i="3"/>
  <c r="P278" i="3"/>
  <c r="P162" i="3"/>
  <c r="P163" i="3" s="1"/>
  <c r="P338" i="3"/>
  <c r="P348" i="3"/>
  <c r="P117" i="3"/>
  <c r="P214" i="3"/>
  <c r="P124" i="3"/>
  <c r="P180" i="3"/>
  <c r="P181" i="3" s="1"/>
  <c r="P138" i="3"/>
  <c r="P282" i="3"/>
  <c r="P342" i="3"/>
  <c r="P84" i="3"/>
  <c r="P237" i="3"/>
  <c r="P52" i="3"/>
  <c r="P53" i="3" s="1"/>
  <c r="P90" i="3"/>
  <c r="P91" i="3" s="1"/>
  <c r="P232" i="3"/>
  <c r="P30" i="3"/>
  <c r="P31" i="3" s="1"/>
  <c r="P70" i="3"/>
  <c r="P71" i="3" s="1"/>
  <c r="P292" i="3"/>
  <c r="P32" i="3"/>
  <c r="P33" i="3" s="1"/>
  <c r="P102" i="3"/>
  <c r="P103" i="3" s="1"/>
  <c r="P197" i="3"/>
  <c r="P224" i="3"/>
  <c r="P168" i="3"/>
  <c r="P40" i="3"/>
  <c r="P41" i="3" s="1"/>
  <c r="P68" i="3"/>
  <c r="P257" i="3"/>
  <c r="P262" i="3"/>
  <c r="P110" i="3"/>
  <c r="P111" i="3" s="1"/>
  <c r="P190" i="3"/>
  <c r="P191" i="3" s="1"/>
  <c r="P302" i="3"/>
  <c r="P152" i="3"/>
  <c r="P153" i="3" s="1"/>
  <c r="P42" i="3"/>
  <c r="P43" i="3" s="1"/>
  <c r="P177" i="3"/>
  <c r="P252" i="3"/>
  <c r="P157" i="3"/>
  <c r="P178" i="3"/>
  <c r="P222" i="3"/>
  <c r="P82" i="3"/>
  <c r="P83" i="3" s="1"/>
  <c r="P318" i="3"/>
  <c r="P140" i="3"/>
  <c r="X5" i="4"/>
  <c r="P5" i="10" s="1"/>
  <c r="P254" i="3"/>
  <c r="P50" i="3"/>
  <c r="P51" i="3" s="1"/>
  <c r="P182" i="3"/>
  <c r="P183" i="3" s="1"/>
  <c r="P328" i="3"/>
  <c r="P170" i="3"/>
  <c r="P171" i="3" s="1"/>
  <c r="P80" i="3"/>
  <c r="P81" i="3" s="1"/>
  <c r="P248" i="3"/>
  <c r="P264" i="3"/>
  <c r="P22" i="3"/>
  <c r="P23" i="3" s="1"/>
  <c r="P107" i="3"/>
  <c r="P87" i="3"/>
  <c r="P167" i="3"/>
  <c r="P194" i="3"/>
  <c r="P272" i="3"/>
  <c r="P267" i="3"/>
  <c r="P112" i="3"/>
  <c r="P113" i="3" s="1"/>
  <c r="P164" i="3"/>
  <c r="P47" i="3"/>
  <c r="P212" i="3"/>
  <c r="P148" i="3"/>
  <c r="P184" i="3"/>
  <c r="P198" i="3"/>
  <c r="P88" i="3"/>
  <c r="P268" i="3"/>
  <c r="P154" i="3"/>
  <c r="P234" i="3"/>
  <c r="P244" i="3"/>
  <c r="P57" i="3"/>
  <c r="P20" i="3"/>
  <c r="P21" i="3" s="1"/>
  <c r="P132" i="3"/>
  <c r="P133" i="3" s="1"/>
  <c r="P120" i="3"/>
  <c r="P121" i="3" s="1"/>
  <c r="P100" i="3"/>
  <c r="P101" i="3" s="1"/>
  <c r="P10" i="3"/>
  <c r="P277" i="3"/>
  <c r="P298" i="3"/>
  <c r="P60" i="3"/>
  <c r="P61" i="3" s="1"/>
  <c r="P77" i="3"/>
  <c r="P97" i="3"/>
  <c r="P287" i="3"/>
  <c r="P334" i="3"/>
  <c r="P34" i="3"/>
  <c r="P134" i="3"/>
  <c r="P128" i="3"/>
  <c r="P228" i="3"/>
  <c r="P227" i="3"/>
  <c r="P24" i="3"/>
  <c r="P218" i="3"/>
  <c r="P28" i="3"/>
  <c r="P137" i="3"/>
  <c r="P242" i="3"/>
  <c r="P188" i="3"/>
  <c r="P67" i="3"/>
  <c r="P38" i="3"/>
  <c r="P48" i="3"/>
  <c r="P114" i="3"/>
  <c r="P92" i="3"/>
  <c r="P93" i="3" s="1"/>
  <c r="P122" i="3"/>
  <c r="P123" i="3" s="1"/>
  <c r="P58" i="3"/>
  <c r="P344" i="3"/>
  <c r="P160" i="3"/>
  <c r="P161" i="3" s="1"/>
  <c r="P147" i="3"/>
  <c r="P72" i="3"/>
  <c r="P73" i="3" s="1"/>
  <c r="P158" i="3"/>
  <c r="P27" i="3"/>
  <c r="P332" i="3"/>
  <c r="P144" i="3"/>
  <c r="P322" i="3"/>
  <c r="P174" i="3"/>
  <c r="P308" i="3"/>
  <c r="P172" i="3"/>
  <c r="P173" i="3" s="1"/>
  <c r="P130" i="3"/>
  <c r="P131" i="3" s="1"/>
  <c r="P192" i="3"/>
  <c r="P193" i="3" s="1"/>
  <c r="P104" i="3"/>
  <c r="P288" i="3"/>
  <c r="P247" i="3"/>
  <c r="P274" i="3"/>
  <c r="P94" i="3"/>
  <c r="P37" i="3"/>
  <c r="P238" i="3"/>
  <c r="P74" i="3"/>
  <c r="P187" i="3"/>
  <c r="P118" i="3"/>
  <c r="P142" i="3"/>
  <c r="P143" i="3" s="1"/>
  <c r="P98" i="3"/>
  <c r="P108" i="3"/>
  <c r="P6" i="3"/>
  <c r="O296" i="3"/>
  <c r="O293" i="3"/>
  <c r="O75" i="3"/>
  <c r="O35" i="3"/>
  <c r="O95" i="3"/>
  <c r="O213" i="3"/>
  <c r="O215" i="3" s="1"/>
  <c r="O303" i="3"/>
  <c r="O306" i="3"/>
  <c r="N353" i="3"/>
  <c r="N356" i="3"/>
  <c r="V12" i="4" s="1"/>
  <c r="P7" i="3"/>
  <c r="X17" i="4" s="1"/>
  <c r="O286" i="3"/>
  <c r="O276" i="3"/>
  <c r="O246" i="3"/>
  <c r="O176" i="3"/>
  <c r="O236" i="3"/>
  <c r="O66" i="3"/>
  <c r="O116" i="3"/>
  <c r="O26" i="3"/>
  <c r="O216" i="3"/>
  <c r="O226" i="3"/>
  <c r="O36" i="3"/>
  <c r="O156" i="3"/>
  <c r="O186" i="3"/>
  <c r="O136" i="3"/>
  <c r="O146" i="3"/>
  <c r="O86" i="3"/>
  <c r="O256" i="3"/>
  <c r="O196" i="3"/>
  <c r="O76" i="3"/>
  <c r="O56" i="3"/>
  <c r="O96" i="3"/>
  <c r="O106" i="3"/>
  <c r="O46" i="3"/>
  <c r="O126" i="3"/>
  <c r="O266" i="3"/>
  <c r="O166" i="3"/>
  <c r="N305" i="3" l="1"/>
  <c r="O324" i="3"/>
  <c r="O325" i="3" s="1"/>
  <c r="O314" i="3"/>
  <c r="O315" i="3" s="1"/>
  <c r="Q4" i="10"/>
  <c r="Y21" i="4"/>
  <c r="O304" i="3"/>
  <c r="O305" i="3" s="1"/>
  <c r="O294" i="3"/>
  <c r="O295" i="3" s="1"/>
  <c r="T19" i="4"/>
  <c r="T27" i="4" s="1"/>
  <c r="N359" i="3" a="1"/>
  <c r="N359" i="3" s="1"/>
  <c r="V6" i="4" s="1"/>
  <c r="U10" i="4"/>
  <c r="U14" i="4" s="1"/>
  <c r="U18" i="4" s="1"/>
  <c r="U16" i="4"/>
  <c r="V8" i="4"/>
  <c r="N355" i="3"/>
  <c r="W25" i="4"/>
  <c r="P65" i="3"/>
  <c r="Y22" i="4"/>
  <c r="Y3" i="4"/>
  <c r="Q3" i="10" s="1"/>
  <c r="P85" i="3"/>
  <c r="P105" i="3"/>
  <c r="P75" i="3"/>
  <c r="P135" i="3"/>
  <c r="P253" i="3"/>
  <c r="P255" i="3" s="1"/>
  <c r="P95" i="3"/>
  <c r="P333" i="3"/>
  <c r="P335" i="3" s="1"/>
  <c r="P336" i="3"/>
  <c r="P358" i="3"/>
  <c r="X24" i="4" s="1"/>
  <c r="Y13" i="4"/>
  <c r="P125" i="3"/>
  <c r="P283" i="3"/>
  <c r="P284" i="3" s="1"/>
  <c r="P35" i="3"/>
  <c r="P343" i="3"/>
  <c r="P345" i="3" s="1"/>
  <c r="P346" i="3"/>
  <c r="P146" i="3"/>
  <c r="P141" i="3"/>
  <c r="P145" i="3" s="1"/>
  <c r="P45" i="3"/>
  <c r="P313" i="3"/>
  <c r="P316" i="3"/>
  <c r="Q127" i="3"/>
  <c r="Q218" i="3"/>
  <c r="Q162" i="3"/>
  <c r="Q163" i="3" s="1"/>
  <c r="Q342" i="3"/>
  <c r="Q50" i="3"/>
  <c r="Q51" i="3" s="1"/>
  <c r="Q252" i="3"/>
  <c r="Q84" i="3"/>
  <c r="Q122" i="3"/>
  <c r="Q123" i="3" s="1"/>
  <c r="Q212" i="3"/>
  <c r="Q62" i="3"/>
  <c r="Q63" i="3" s="1"/>
  <c r="Q128" i="3"/>
  <c r="Q100" i="3"/>
  <c r="Q101" i="3" s="1"/>
  <c r="Q82" i="3"/>
  <c r="Q83" i="3" s="1"/>
  <c r="Q182" i="3"/>
  <c r="Q183" i="3" s="1"/>
  <c r="Q42" i="3"/>
  <c r="Q43" i="3" s="1"/>
  <c r="Q172" i="3"/>
  <c r="Q173" i="3" s="1"/>
  <c r="Q168" i="3"/>
  <c r="Q284" i="3"/>
  <c r="Q102" i="3"/>
  <c r="Q103" i="3" s="1"/>
  <c r="Q178" i="3"/>
  <c r="Q22" i="3"/>
  <c r="Q23" i="3" s="1"/>
  <c r="Q70" i="3"/>
  <c r="Q71" i="3" s="1"/>
  <c r="Q244" i="3"/>
  <c r="Q287" i="3"/>
  <c r="Q27" i="3"/>
  <c r="Q184" i="3"/>
  <c r="Q247" i="3"/>
  <c r="Q322" i="3"/>
  <c r="Q187" i="3"/>
  <c r="Q72" i="3"/>
  <c r="Q73" i="3" s="1"/>
  <c r="Q98" i="3"/>
  <c r="Q92" i="3"/>
  <c r="Q93" i="3" s="1"/>
  <c r="Q88" i="3"/>
  <c r="Q318" i="3"/>
  <c r="Q272" i="3"/>
  <c r="Q254" i="3"/>
  <c r="Q38" i="3"/>
  <c r="Q214" i="3"/>
  <c r="Q282" i="3"/>
  <c r="Q232" i="3"/>
  <c r="Q177" i="3"/>
  <c r="Q107" i="3"/>
  <c r="Q37" i="3"/>
  <c r="Q104" i="3"/>
  <c r="Q164" i="3"/>
  <c r="Q158" i="3"/>
  <c r="Q40" i="3"/>
  <c r="Q41" i="3" s="1"/>
  <c r="Q277" i="3"/>
  <c r="Q197" i="3"/>
  <c r="Q134" i="3"/>
  <c r="Q110" i="3"/>
  <c r="Q111" i="3" s="1"/>
  <c r="Q237" i="3"/>
  <c r="Q138" i="3"/>
  <c r="Q332" i="3"/>
  <c r="Q292" i="3"/>
  <c r="Q60" i="3"/>
  <c r="Q61" i="3" s="1"/>
  <c r="Q242" i="3"/>
  <c r="Q190" i="3"/>
  <c r="Q191" i="3" s="1"/>
  <c r="Q80" i="3"/>
  <c r="Q81" i="3" s="1"/>
  <c r="Q188" i="3"/>
  <c r="Q144" i="3"/>
  <c r="Q264" i="3"/>
  <c r="Q57" i="3"/>
  <c r="Q198" i="3"/>
  <c r="Q147" i="3"/>
  <c r="Y5" i="4"/>
  <c r="Q5" i="10" s="1"/>
  <c r="Q58" i="3"/>
  <c r="Q20" i="3"/>
  <c r="Q21" i="3" s="1"/>
  <c r="Q312" i="3"/>
  <c r="Q52" i="3"/>
  <c r="Q53" i="3" s="1"/>
  <c r="Q174" i="3"/>
  <c r="Q68" i="3"/>
  <c r="Q274" i="3"/>
  <c r="Q338" i="3"/>
  <c r="Q120" i="3"/>
  <c r="Q121" i="3" s="1"/>
  <c r="Q152" i="3"/>
  <c r="Q153" i="3" s="1"/>
  <c r="Q238" i="3"/>
  <c r="Q150" i="3"/>
  <c r="Q151" i="3" s="1"/>
  <c r="Q148" i="3"/>
  <c r="Q262" i="3"/>
  <c r="Q227" i="3"/>
  <c r="Q222" i="3"/>
  <c r="Q74" i="3"/>
  <c r="Q157" i="3"/>
  <c r="Q180" i="3"/>
  <c r="Q181" i="3" s="1"/>
  <c r="Q78" i="3"/>
  <c r="Q34" i="3"/>
  <c r="Q114" i="3"/>
  <c r="Q192" i="3"/>
  <c r="Q193" i="3" s="1"/>
  <c r="Q77" i="3"/>
  <c r="Q90" i="3"/>
  <c r="Q91" i="3" s="1"/>
  <c r="Q258" i="3"/>
  <c r="Q268" i="3"/>
  <c r="Q130" i="3"/>
  <c r="Q131" i="3" s="1"/>
  <c r="Q47" i="3"/>
  <c r="Q224" i="3"/>
  <c r="Q32" i="3"/>
  <c r="Q33" i="3" s="1"/>
  <c r="Q160" i="3"/>
  <c r="Q161" i="3" s="1"/>
  <c r="Q170" i="3"/>
  <c r="Q171" i="3" s="1"/>
  <c r="Q48" i="3"/>
  <c r="Q328" i="3"/>
  <c r="Q257" i="3"/>
  <c r="Q24" i="3"/>
  <c r="Q112" i="3"/>
  <c r="Q113" i="3" s="1"/>
  <c r="Q278" i="3"/>
  <c r="Q194" i="3"/>
  <c r="Q117" i="3"/>
  <c r="Q28" i="3"/>
  <c r="Q298" i="3"/>
  <c r="Q140" i="3"/>
  <c r="Q132" i="3"/>
  <c r="Q133" i="3" s="1"/>
  <c r="Q67" i="3"/>
  <c r="Q228" i="3"/>
  <c r="Q308" i="3"/>
  <c r="Q97" i="3"/>
  <c r="Q302" i="3"/>
  <c r="Q64" i="3"/>
  <c r="Q30" i="3"/>
  <c r="Q31" i="3" s="1"/>
  <c r="Q348" i="3"/>
  <c r="Q142" i="3"/>
  <c r="Q143" i="3" s="1"/>
  <c r="Q217" i="3"/>
  <c r="Q154" i="3"/>
  <c r="Q124" i="3"/>
  <c r="Q87" i="3"/>
  <c r="Q118" i="3"/>
  <c r="Q94" i="3"/>
  <c r="Q10" i="3"/>
  <c r="Q248" i="3"/>
  <c r="Q137" i="3"/>
  <c r="Q167" i="3"/>
  <c r="Q288" i="3"/>
  <c r="Q44" i="3"/>
  <c r="Q267" i="3"/>
  <c r="Q108" i="3"/>
  <c r="Q54" i="3"/>
  <c r="Q234" i="3"/>
  <c r="Q6" i="3"/>
  <c r="P293" i="3"/>
  <c r="P296" i="3"/>
  <c r="R330" i="3"/>
  <c r="R337" i="3" s="1"/>
  <c r="R340" i="3"/>
  <c r="R347" i="3" s="1"/>
  <c r="R290" i="3"/>
  <c r="R297" i="3" s="1"/>
  <c r="R310" i="3"/>
  <c r="R317" i="3" s="1"/>
  <c r="S3" i="3"/>
  <c r="R320" i="3"/>
  <c r="R327" i="3" s="1"/>
  <c r="R5" i="3"/>
  <c r="R300" i="3"/>
  <c r="R307" i="3" s="1"/>
  <c r="R4" i="3"/>
  <c r="Z4" i="4"/>
  <c r="P195" i="3"/>
  <c r="P55" i="3"/>
  <c r="P25" i="3"/>
  <c r="P273" i="3"/>
  <c r="P275" i="3" s="1"/>
  <c r="O352" i="3"/>
  <c r="O15" i="3"/>
  <c r="P155" i="3"/>
  <c r="P357" i="3"/>
  <c r="X23" i="4" s="1"/>
  <c r="P185" i="3"/>
  <c r="P223" i="3"/>
  <c r="P225" i="3" s="1"/>
  <c r="P233" i="3"/>
  <c r="P235" i="3" s="1"/>
  <c r="O285" i="3"/>
  <c r="P175" i="3"/>
  <c r="P303" i="3"/>
  <c r="P306" i="3"/>
  <c r="P323" i="3"/>
  <c r="P326" i="3"/>
  <c r="P243" i="3"/>
  <c r="P245" i="3" s="1"/>
  <c r="P213" i="3"/>
  <c r="P215" i="3" s="1"/>
  <c r="P115" i="3"/>
  <c r="P16" i="3"/>
  <c r="P11" i="3"/>
  <c r="P263" i="3"/>
  <c r="P265" i="3" s="1"/>
  <c r="P165" i="3"/>
  <c r="O353" i="3"/>
  <c r="O356" i="3"/>
  <c r="W12" i="4" s="1"/>
  <c r="Q7" i="3"/>
  <c r="Y17" i="4" s="1"/>
  <c r="P276" i="3"/>
  <c r="P286" i="3"/>
  <c r="P66" i="3"/>
  <c r="P246" i="3"/>
  <c r="P236" i="3"/>
  <c r="P166" i="3"/>
  <c r="P56" i="3"/>
  <c r="P136" i="3"/>
  <c r="P76" i="3"/>
  <c r="P256" i="3"/>
  <c r="P26" i="3"/>
  <c r="P176" i="3"/>
  <c r="P36" i="3"/>
  <c r="P196" i="3"/>
  <c r="P186" i="3"/>
  <c r="P216" i="3"/>
  <c r="P226" i="3"/>
  <c r="P156" i="3"/>
  <c r="P126" i="3"/>
  <c r="P106" i="3"/>
  <c r="P266" i="3"/>
  <c r="P86" i="3"/>
  <c r="P96" i="3"/>
  <c r="P46" i="3"/>
  <c r="P116" i="3"/>
  <c r="P324" i="3" l="1"/>
  <c r="P325" i="3" s="1"/>
  <c r="P314" i="3"/>
  <c r="P315" i="3" s="1"/>
  <c r="R4" i="10"/>
  <c r="Z21" i="4"/>
  <c r="O354" i="3"/>
  <c r="W9" i="4" s="1"/>
  <c r="P304" i="3"/>
  <c r="P305" i="3" s="1"/>
  <c r="P294" i="3"/>
  <c r="P295" i="3" s="1"/>
  <c r="W8" i="4"/>
  <c r="V10" i="4"/>
  <c r="V14" i="4" s="1"/>
  <c r="V16" i="4"/>
  <c r="U19" i="4"/>
  <c r="U27" i="4" s="1"/>
  <c r="X25" i="4"/>
  <c r="O355" i="3"/>
  <c r="Z3" i="4"/>
  <c r="R3" i="10" s="1"/>
  <c r="Z22" i="4"/>
  <c r="O359" i="3" a="1"/>
  <c r="O359" i="3" s="1"/>
  <c r="W6" i="4" s="1"/>
  <c r="Q95" i="3"/>
  <c r="Z13" i="4"/>
  <c r="Q165" i="3"/>
  <c r="Q223" i="3"/>
  <c r="Q225" i="3" s="1"/>
  <c r="Q25" i="3"/>
  <c r="Q253" i="3"/>
  <c r="Q255" i="3" s="1"/>
  <c r="P285" i="3"/>
  <c r="Q55" i="3"/>
  <c r="Q326" i="3"/>
  <c r="Q323" i="3"/>
  <c r="Q357" i="3"/>
  <c r="Y23" i="4" s="1"/>
  <c r="Q213" i="3"/>
  <c r="Q215" i="3" s="1"/>
  <c r="Q283" i="3"/>
  <c r="Q285" i="3" s="1"/>
  <c r="Q313" i="3"/>
  <c r="Q316" i="3"/>
  <c r="S5" i="3"/>
  <c r="AA4" i="4"/>
  <c r="S340" i="3"/>
  <c r="S347" i="3" s="1"/>
  <c r="S4" i="3"/>
  <c r="S310" i="3"/>
  <c r="S317" i="3" s="1"/>
  <c r="S290" i="3"/>
  <c r="S297" i="3" s="1"/>
  <c r="S320" i="3"/>
  <c r="S327" i="3" s="1"/>
  <c r="T3" i="3"/>
  <c r="S300" i="3"/>
  <c r="S307" i="3" s="1"/>
  <c r="S330" i="3"/>
  <c r="S337" i="3" s="1"/>
  <c r="Q115" i="3"/>
  <c r="Q273" i="3"/>
  <c r="Q275" i="3" s="1"/>
  <c r="Q346" i="3"/>
  <c r="Q343" i="3"/>
  <c r="Q85" i="3"/>
  <c r="Q195" i="3"/>
  <c r="Q35" i="3"/>
  <c r="Q233" i="3"/>
  <c r="Q235" i="3" s="1"/>
  <c r="Q175" i="3"/>
  <c r="Q11" i="3"/>
  <c r="Q16" i="3"/>
  <c r="Q263" i="3"/>
  <c r="Q265" i="3" s="1"/>
  <c r="Q243" i="3"/>
  <c r="Q245" i="3" s="1"/>
  <c r="Q185" i="3"/>
  <c r="Q336" i="3"/>
  <c r="Q333" i="3"/>
  <c r="Q75" i="3"/>
  <c r="Q146" i="3"/>
  <c r="Q141" i="3"/>
  <c r="Q145" i="3" s="1"/>
  <c r="Q135" i="3"/>
  <c r="Q105" i="3"/>
  <c r="Q65" i="3"/>
  <c r="Q155" i="3"/>
  <c r="Q125" i="3"/>
  <c r="Q293" i="3"/>
  <c r="Q294" i="3" s="1"/>
  <c r="R218" i="3"/>
  <c r="R267" i="3"/>
  <c r="R298" i="3"/>
  <c r="R80" i="3"/>
  <c r="R81" i="3" s="1"/>
  <c r="R50" i="3"/>
  <c r="R51" i="3" s="1"/>
  <c r="R237" i="3"/>
  <c r="R252" i="3"/>
  <c r="R152" i="3"/>
  <c r="R153" i="3" s="1"/>
  <c r="R27" i="3"/>
  <c r="R228" i="3"/>
  <c r="R187" i="3"/>
  <c r="R167" i="3"/>
  <c r="R132" i="3"/>
  <c r="R133" i="3" s="1"/>
  <c r="R227" i="3"/>
  <c r="R332" i="3"/>
  <c r="R184" i="3"/>
  <c r="R177" i="3"/>
  <c r="R140" i="3"/>
  <c r="R47" i="3"/>
  <c r="R342" i="3"/>
  <c r="R64" i="3"/>
  <c r="R162" i="3"/>
  <c r="R163" i="3" s="1"/>
  <c r="R28" i="3"/>
  <c r="R328" i="3"/>
  <c r="R94" i="3"/>
  <c r="R100" i="3"/>
  <c r="R101" i="3" s="1"/>
  <c r="R232" i="3"/>
  <c r="R44" i="3"/>
  <c r="R40" i="3"/>
  <c r="R41" i="3" s="1"/>
  <c r="R70" i="3"/>
  <c r="R71" i="3" s="1"/>
  <c r="R288" i="3"/>
  <c r="R264" i="3"/>
  <c r="R238" i="3"/>
  <c r="R274" i="3"/>
  <c r="R154" i="3"/>
  <c r="R224" i="3"/>
  <c r="R104" i="3"/>
  <c r="R124" i="3"/>
  <c r="R268" i="3"/>
  <c r="R148" i="3"/>
  <c r="R130" i="3"/>
  <c r="R131" i="3" s="1"/>
  <c r="R190" i="3"/>
  <c r="R191" i="3" s="1"/>
  <c r="R117" i="3"/>
  <c r="R54" i="3"/>
  <c r="R194" i="3"/>
  <c r="R248" i="3"/>
  <c r="R258" i="3"/>
  <c r="R254" i="3"/>
  <c r="R142" i="3"/>
  <c r="R143" i="3" s="1"/>
  <c r="R157" i="3"/>
  <c r="R58" i="3"/>
  <c r="R214" i="3"/>
  <c r="R74" i="3"/>
  <c r="R178" i="3"/>
  <c r="R87" i="3"/>
  <c r="R244" i="3"/>
  <c r="R82" i="3"/>
  <c r="R83" i="3" s="1"/>
  <c r="R37" i="3"/>
  <c r="R302" i="3"/>
  <c r="R32" i="3"/>
  <c r="R33" i="3" s="1"/>
  <c r="R34" i="3"/>
  <c r="R308" i="3"/>
  <c r="R90" i="3"/>
  <c r="R91" i="3" s="1"/>
  <c r="R88" i="3"/>
  <c r="R197" i="3"/>
  <c r="R30" i="3"/>
  <c r="R172" i="3"/>
  <c r="R173" i="3" s="1"/>
  <c r="R318" i="3"/>
  <c r="R108" i="3"/>
  <c r="R217" i="3"/>
  <c r="R170" i="3"/>
  <c r="R171" i="3" s="1"/>
  <c r="R158" i="3"/>
  <c r="R160" i="3"/>
  <c r="R161" i="3" s="1"/>
  <c r="R182" i="3"/>
  <c r="R183" i="3" s="1"/>
  <c r="R247" i="3"/>
  <c r="R278" i="3"/>
  <c r="R98" i="3"/>
  <c r="R150" i="3"/>
  <c r="R151" i="3" s="1"/>
  <c r="R284" i="3"/>
  <c r="R77" i="3"/>
  <c r="R134" i="3"/>
  <c r="R20" i="3"/>
  <c r="R21" i="3" s="1"/>
  <c r="R312" i="3"/>
  <c r="R242" i="3"/>
  <c r="R127" i="3"/>
  <c r="R198" i="3"/>
  <c r="R67" i="3"/>
  <c r="R38" i="3"/>
  <c r="R48" i="3"/>
  <c r="R120" i="3"/>
  <c r="R121" i="3" s="1"/>
  <c r="R164" i="3"/>
  <c r="R222" i="3"/>
  <c r="R277" i="3"/>
  <c r="Z5" i="4"/>
  <c r="R5" i="10" s="1"/>
  <c r="R114" i="3"/>
  <c r="R138" i="3"/>
  <c r="R282" i="3"/>
  <c r="R24" i="3"/>
  <c r="R57" i="3"/>
  <c r="R128" i="3"/>
  <c r="R52" i="3"/>
  <c r="R53" i="3" s="1"/>
  <c r="R122" i="3"/>
  <c r="R123" i="3" s="1"/>
  <c r="R62" i="3"/>
  <c r="R63" i="3" s="1"/>
  <c r="R72" i="3"/>
  <c r="R73" i="3" s="1"/>
  <c r="R118" i="3"/>
  <c r="R97" i="3"/>
  <c r="R42" i="3"/>
  <c r="R43" i="3" s="1"/>
  <c r="R287" i="3"/>
  <c r="R168" i="3"/>
  <c r="R110" i="3"/>
  <c r="R111" i="3" s="1"/>
  <c r="R107" i="3"/>
  <c r="R338" i="3"/>
  <c r="R92" i="3"/>
  <c r="R93" i="3" s="1"/>
  <c r="R257" i="3"/>
  <c r="R272" i="3"/>
  <c r="R192" i="3"/>
  <c r="R193" i="3" s="1"/>
  <c r="R262" i="3"/>
  <c r="R78" i="3"/>
  <c r="R102" i="3"/>
  <c r="R103" i="3" s="1"/>
  <c r="R348" i="3"/>
  <c r="R137" i="3"/>
  <c r="R180" i="3"/>
  <c r="R181" i="3" s="1"/>
  <c r="R322" i="3"/>
  <c r="R60" i="3"/>
  <c r="R61" i="3" s="1"/>
  <c r="R112" i="3"/>
  <c r="R113" i="3" s="1"/>
  <c r="R68" i="3"/>
  <c r="R212" i="3"/>
  <c r="R188" i="3"/>
  <c r="R234" i="3"/>
  <c r="R292" i="3"/>
  <c r="R84" i="3"/>
  <c r="R174" i="3"/>
  <c r="R10" i="3"/>
  <c r="R22" i="3"/>
  <c r="R23" i="3" s="1"/>
  <c r="R147" i="3"/>
  <c r="R144" i="3"/>
  <c r="R6" i="3"/>
  <c r="Q303" i="3"/>
  <c r="Q304" i="3" s="1"/>
  <c r="Q305" i="3" s="1"/>
  <c r="P15" i="3"/>
  <c r="P352" i="3"/>
  <c r="Q358" i="3"/>
  <c r="Y24" i="4" s="1"/>
  <c r="Q45" i="3"/>
  <c r="P353" i="3"/>
  <c r="R7" i="3"/>
  <c r="Z17" i="4" s="1"/>
  <c r="Q256" i="3"/>
  <c r="Q176" i="3"/>
  <c r="Q246" i="3"/>
  <c r="Q216" i="3"/>
  <c r="Q286" i="3"/>
  <c r="Q136" i="3"/>
  <c r="Q66" i="3"/>
  <c r="Q106" i="3"/>
  <c r="Q76" i="3"/>
  <c r="Q46" i="3"/>
  <c r="Q186" i="3"/>
  <c r="Q226" i="3"/>
  <c r="Q236" i="3"/>
  <c r="Q86" i="3"/>
  <c r="Q276" i="3"/>
  <c r="Q56" i="3"/>
  <c r="Q126" i="3"/>
  <c r="Q166" i="3"/>
  <c r="Q266" i="3"/>
  <c r="Q116" i="3"/>
  <c r="Q156" i="3"/>
  <c r="Q96" i="3"/>
  <c r="Q26" i="3"/>
  <c r="Q306" i="3"/>
  <c r="Q196" i="3"/>
  <c r="Q296" i="3"/>
  <c r="Q36" i="3"/>
  <c r="P356" i="3"/>
  <c r="X12" i="4" s="1"/>
  <c r="Q334" i="3" l="1"/>
  <c r="Q335" i="3" s="1"/>
  <c r="Q344" i="3"/>
  <c r="Q345" i="3" s="1"/>
  <c r="P354" i="3"/>
  <c r="X9" i="4" s="1"/>
  <c r="S4" i="10"/>
  <c r="AA21" i="4"/>
  <c r="W10" i="4"/>
  <c r="W14" i="4" s="1"/>
  <c r="W18" i="4" s="1"/>
  <c r="Q324" i="3"/>
  <c r="Q325" i="3" s="1"/>
  <c r="Q314" i="3"/>
  <c r="Q315" i="3" s="1"/>
  <c r="Q354" i="3"/>
  <c r="Y9" i="4" s="1"/>
  <c r="W16" i="4"/>
  <c r="V18" i="4"/>
  <c r="V19" i="4" s="1"/>
  <c r="V27" i="4" s="1"/>
  <c r="X8" i="4"/>
  <c r="Y25" i="4"/>
  <c r="AA22" i="4"/>
  <c r="AA3" i="4"/>
  <c r="S3" i="10" s="1"/>
  <c r="R165" i="3"/>
  <c r="P359" i="3" a="1"/>
  <c r="P359" i="3" s="1"/>
  <c r="X6" i="4" s="1"/>
  <c r="R233" i="3"/>
  <c r="R235" i="3" s="1"/>
  <c r="R263" i="3"/>
  <c r="R265" i="3" s="1"/>
  <c r="R253" i="3"/>
  <c r="R255" i="3" s="1"/>
  <c r="R293" i="3"/>
  <c r="R294" i="3" s="1"/>
  <c r="R295" i="3" s="1"/>
  <c r="R283" i="3"/>
  <c r="R285" i="3" s="1"/>
  <c r="R195" i="3"/>
  <c r="R135" i="3"/>
  <c r="R243" i="3"/>
  <c r="R245" i="3" s="1"/>
  <c r="R273" i="3"/>
  <c r="R275" i="3" s="1"/>
  <c r="R213" i="3"/>
  <c r="R215" i="3" s="1"/>
  <c r="Q295" i="3"/>
  <c r="R185" i="3"/>
  <c r="R11" i="3"/>
  <c r="R16" i="3"/>
  <c r="R175" i="3"/>
  <c r="R146" i="3"/>
  <c r="R141" i="3"/>
  <c r="R145" i="3" s="1"/>
  <c r="R105" i="3"/>
  <c r="R358" i="3"/>
  <c r="Z24" i="4" s="1"/>
  <c r="R313" i="3"/>
  <c r="R316" i="3"/>
  <c r="R343" i="3"/>
  <c r="R346" i="3"/>
  <c r="R115" i="3"/>
  <c r="R155" i="3"/>
  <c r="R357" i="3"/>
  <c r="Z23" i="4" s="1"/>
  <c r="R55" i="3"/>
  <c r="T4" i="3"/>
  <c r="T310" i="3"/>
  <c r="T317" i="3" s="1"/>
  <c r="T320" i="3"/>
  <c r="T327" i="3" s="1"/>
  <c r="T340" i="3"/>
  <c r="T347" i="3" s="1"/>
  <c r="U3" i="3"/>
  <c r="AB4" i="4"/>
  <c r="T5" i="3"/>
  <c r="T330" i="3"/>
  <c r="T337" i="3" s="1"/>
  <c r="T300" i="3"/>
  <c r="T307" i="3" s="1"/>
  <c r="T290" i="3"/>
  <c r="T297" i="3" s="1"/>
  <c r="R95" i="3"/>
  <c r="Q352" i="3"/>
  <c r="Q15" i="3"/>
  <c r="S277" i="3"/>
  <c r="S117" i="3"/>
  <c r="S322" i="3"/>
  <c r="S304" i="3"/>
  <c r="S130" i="3"/>
  <c r="S131" i="3" s="1"/>
  <c r="S170" i="3"/>
  <c r="S171" i="3" s="1"/>
  <c r="S68" i="3"/>
  <c r="S312" i="3"/>
  <c r="S50" i="3"/>
  <c r="S51" i="3" s="1"/>
  <c r="S228" i="3"/>
  <c r="S107" i="3"/>
  <c r="S252" i="3"/>
  <c r="S80" i="3"/>
  <c r="S81" i="3" s="1"/>
  <c r="S162" i="3"/>
  <c r="S163" i="3" s="1"/>
  <c r="S224" i="3"/>
  <c r="S37" i="3"/>
  <c r="S262" i="3"/>
  <c r="S268" i="3"/>
  <c r="S47" i="3"/>
  <c r="S158" i="3"/>
  <c r="S184" i="3"/>
  <c r="S78" i="3"/>
  <c r="S77" i="3"/>
  <c r="S214" i="3"/>
  <c r="S244" i="3"/>
  <c r="S102" i="3"/>
  <c r="S103" i="3" s="1"/>
  <c r="S194" i="3"/>
  <c r="S132" i="3"/>
  <c r="S133" i="3" s="1"/>
  <c r="S27" i="3"/>
  <c r="S318" i="3"/>
  <c r="S292" i="3"/>
  <c r="S94" i="3"/>
  <c r="S38" i="3"/>
  <c r="S40" i="3"/>
  <c r="S41" i="3" s="1"/>
  <c r="S284" i="3"/>
  <c r="S227" i="3"/>
  <c r="S267" i="3"/>
  <c r="S148" i="3"/>
  <c r="S144" i="3"/>
  <c r="S217" i="3"/>
  <c r="S188" i="3"/>
  <c r="S122" i="3"/>
  <c r="S123" i="3" s="1"/>
  <c r="S152" i="3"/>
  <c r="S153" i="3" s="1"/>
  <c r="S328" i="3"/>
  <c r="S254" i="3"/>
  <c r="S234" i="3"/>
  <c r="S74" i="3"/>
  <c r="S104" i="3"/>
  <c r="S108" i="3"/>
  <c r="S54" i="3"/>
  <c r="S70" i="3"/>
  <c r="S71" i="3" s="1"/>
  <c r="S24" i="3"/>
  <c r="S100" i="3"/>
  <c r="S101" i="3" s="1"/>
  <c r="S308" i="3"/>
  <c r="S57" i="3"/>
  <c r="S180" i="3"/>
  <c r="S181" i="3" s="1"/>
  <c r="S272" i="3"/>
  <c r="S92" i="3"/>
  <c r="S93" i="3" s="1"/>
  <c r="S72" i="3"/>
  <c r="S73" i="3" s="1"/>
  <c r="S257" i="3"/>
  <c r="S342" i="3"/>
  <c r="S52" i="3"/>
  <c r="S53" i="3" s="1"/>
  <c r="S160" i="3"/>
  <c r="S161" i="3" s="1"/>
  <c r="S150" i="3"/>
  <c r="S151" i="3" s="1"/>
  <c r="S138" i="3"/>
  <c r="S10" i="3"/>
  <c r="S42" i="3"/>
  <c r="S43" i="3" s="1"/>
  <c r="S82" i="3"/>
  <c r="S83" i="3" s="1"/>
  <c r="S124" i="3"/>
  <c r="S137" i="3"/>
  <c r="S282" i="3"/>
  <c r="S287" i="3"/>
  <c r="S187" i="3"/>
  <c r="S87" i="3"/>
  <c r="S274" i="3"/>
  <c r="S58" i="3"/>
  <c r="S238" i="3"/>
  <c r="S264" i="3"/>
  <c r="S182" i="3"/>
  <c r="S183" i="3" s="1"/>
  <c r="S127" i="3"/>
  <c r="S218" i="3"/>
  <c r="S28" i="3"/>
  <c r="S88" i="3"/>
  <c r="S142" i="3"/>
  <c r="S143" i="3" s="1"/>
  <c r="S190" i="3"/>
  <c r="S191" i="3" s="1"/>
  <c r="S22" i="3"/>
  <c r="S23" i="3" s="1"/>
  <c r="S168" i="3"/>
  <c r="S167" i="3"/>
  <c r="S258" i="3"/>
  <c r="S247" i="3"/>
  <c r="S242" i="3"/>
  <c r="S192" i="3"/>
  <c r="S193" i="3" s="1"/>
  <c r="S62" i="3"/>
  <c r="S63" i="3" s="1"/>
  <c r="S348" i="3"/>
  <c r="S128" i="3"/>
  <c r="S302" i="3"/>
  <c r="S120" i="3"/>
  <c r="S121" i="3" s="1"/>
  <c r="S198" i="3"/>
  <c r="S140" i="3"/>
  <c r="S64" i="3"/>
  <c r="S32" i="3"/>
  <c r="S33" i="3" s="1"/>
  <c r="S164" i="3"/>
  <c r="S118" i="3"/>
  <c r="S112" i="3"/>
  <c r="S113" i="3" s="1"/>
  <c r="S157" i="3"/>
  <c r="S98" i="3"/>
  <c r="AA5" i="4"/>
  <c r="S5" i="10" s="1"/>
  <c r="S178" i="3"/>
  <c r="S134" i="3"/>
  <c r="S222" i="3"/>
  <c r="S298" i="3"/>
  <c r="S67" i="3"/>
  <c r="S232" i="3"/>
  <c r="S30" i="3"/>
  <c r="S34" i="3"/>
  <c r="S278" i="3"/>
  <c r="S110" i="3"/>
  <c r="S111" i="3" s="1"/>
  <c r="S60" i="3"/>
  <c r="S61" i="3" s="1"/>
  <c r="S20" i="3"/>
  <c r="S21" i="3" s="1"/>
  <c r="S177" i="3"/>
  <c r="S288" i="3"/>
  <c r="S332" i="3"/>
  <c r="S174" i="3"/>
  <c r="S212" i="3"/>
  <c r="S197" i="3"/>
  <c r="S248" i="3"/>
  <c r="S237" i="3"/>
  <c r="S84" i="3"/>
  <c r="S48" i="3"/>
  <c r="S114" i="3"/>
  <c r="S97" i="3"/>
  <c r="S147" i="3"/>
  <c r="S294" i="3"/>
  <c r="S338" i="3"/>
  <c r="S172" i="3"/>
  <c r="S173" i="3" s="1"/>
  <c r="S90" i="3"/>
  <c r="S91" i="3" s="1"/>
  <c r="S154" i="3"/>
  <c r="S44" i="3"/>
  <c r="S6" i="3"/>
  <c r="P355" i="3"/>
  <c r="R65" i="3"/>
  <c r="R223" i="3"/>
  <c r="R225" i="3" s="1"/>
  <c r="R336" i="3"/>
  <c r="R333" i="3"/>
  <c r="R25" i="3"/>
  <c r="R326" i="3"/>
  <c r="R323" i="3"/>
  <c r="R75" i="3"/>
  <c r="R85" i="3"/>
  <c r="R36" i="3"/>
  <c r="R31" i="3"/>
  <c r="R35" i="3" s="1"/>
  <c r="R125" i="3"/>
  <c r="R45" i="3"/>
  <c r="AA13" i="4"/>
  <c r="R303" i="3"/>
  <c r="R304" i="3" s="1"/>
  <c r="R305" i="3" s="1"/>
  <c r="Q353" i="3"/>
  <c r="S7" i="3"/>
  <c r="AA17" i="4" s="1"/>
  <c r="R246" i="3"/>
  <c r="R256" i="3"/>
  <c r="R216" i="3"/>
  <c r="R166" i="3"/>
  <c r="R176" i="3"/>
  <c r="R66" i="3"/>
  <c r="R46" i="3"/>
  <c r="R286" i="3"/>
  <c r="R136" i="3"/>
  <c r="R186" i="3"/>
  <c r="R86" i="3"/>
  <c r="R26" i="3"/>
  <c r="R266" i="3"/>
  <c r="R76" i="3"/>
  <c r="R236" i="3"/>
  <c r="R116" i="3"/>
  <c r="R276" i="3"/>
  <c r="R296" i="3"/>
  <c r="R106" i="3"/>
  <c r="R156" i="3"/>
  <c r="R196" i="3"/>
  <c r="R226" i="3"/>
  <c r="R56" i="3"/>
  <c r="R126" i="3"/>
  <c r="R96" i="3"/>
  <c r="R306" i="3"/>
  <c r="Q356" i="3"/>
  <c r="Y12" i="4" s="1"/>
  <c r="R334" i="3" l="1"/>
  <c r="R335" i="3" s="1"/>
  <c r="R344" i="3"/>
  <c r="R345" i="3" s="1"/>
  <c r="T4" i="10"/>
  <c r="AB21" i="4"/>
  <c r="R324" i="3"/>
  <c r="R325" i="3" s="1"/>
  <c r="R314" i="3"/>
  <c r="R315" i="3" s="1"/>
  <c r="W19" i="4"/>
  <c r="W27" i="4" s="1"/>
  <c r="Y8" i="4"/>
  <c r="Y10" i="4" s="1"/>
  <c r="X10" i="4"/>
  <c r="X14" i="4" s="1"/>
  <c r="X18" i="4" s="1"/>
  <c r="X16" i="4"/>
  <c r="Z25" i="4"/>
  <c r="S223" i="3"/>
  <c r="S225" i="3" s="1"/>
  <c r="S293" i="3"/>
  <c r="S295" i="3" s="1"/>
  <c r="AB22" i="4"/>
  <c r="AB3" i="4"/>
  <c r="T3" i="10" s="1"/>
  <c r="S213" i="3"/>
  <c r="S215" i="3" s="1"/>
  <c r="Q355" i="3"/>
  <c r="S25" i="3"/>
  <c r="S125" i="3"/>
  <c r="S155" i="3"/>
  <c r="S165" i="3"/>
  <c r="S85" i="3"/>
  <c r="S253" i="3"/>
  <c r="S255" i="3" s="1"/>
  <c r="S357" i="3"/>
  <c r="AA23" i="4" s="1"/>
  <c r="S95" i="3"/>
  <c r="S273" i="3"/>
  <c r="S275" i="3" s="1"/>
  <c r="Q359" i="3" a="1"/>
  <c r="Q359" i="3" s="1"/>
  <c r="Y6" i="4" s="1"/>
  <c r="S65" i="3"/>
  <c r="S313" i="3"/>
  <c r="S314" i="3" s="1"/>
  <c r="S115" i="3"/>
  <c r="U320" i="3"/>
  <c r="U327" i="3" s="1"/>
  <c r="U300" i="3"/>
  <c r="U307" i="3" s="1"/>
  <c r="V3" i="3"/>
  <c r="U290" i="3"/>
  <c r="U297" i="3" s="1"/>
  <c r="U5" i="3"/>
  <c r="U310" i="3"/>
  <c r="U317" i="3" s="1"/>
  <c r="AC4" i="4"/>
  <c r="U4" i="3"/>
  <c r="U330" i="3"/>
  <c r="U337" i="3" s="1"/>
  <c r="U340" i="3"/>
  <c r="U347" i="3" s="1"/>
  <c r="S55" i="3"/>
  <c r="S283" i="3"/>
  <c r="S285" i="3" s="1"/>
  <c r="S195" i="3"/>
  <c r="S105" i="3"/>
  <c r="S175" i="3"/>
  <c r="S146" i="3"/>
  <c r="S141" i="3"/>
  <c r="S145" i="3" s="1"/>
  <c r="S135" i="3"/>
  <c r="S75" i="3"/>
  <c r="S185" i="3"/>
  <c r="S36" i="3"/>
  <c r="S31" i="3"/>
  <c r="S35" i="3" s="1"/>
  <c r="S233" i="3"/>
  <c r="S235" i="3" s="1"/>
  <c r="S358" i="3"/>
  <c r="AA24" i="4" s="1"/>
  <c r="S16" i="3"/>
  <c r="S11" i="3"/>
  <c r="S45" i="3"/>
  <c r="S323" i="3"/>
  <c r="S324" i="3" s="1"/>
  <c r="S325" i="3" s="1"/>
  <c r="T288" i="3"/>
  <c r="T47" i="3"/>
  <c r="T267" i="3"/>
  <c r="T190" i="3"/>
  <c r="T191" i="3" s="1"/>
  <c r="T60" i="3"/>
  <c r="T61" i="3" s="1"/>
  <c r="T252" i="3"/>
  <c r="T150" i="3"/>
  <c r="T151" i="3" s="1"/>
  <c r="T174" i="3"/>
  <c r="T78" i="3"/>
  <c r="T28" i="3"/>
  <c r="T302" i="3"/>
  <c r="T322" i="3"/>
  <c r="T57" i="3"/>
  <c r="T332" i="3"/>
  <c r="T224" i="3"/>
  <c r="T50" i="3"/>
  <c r="T51" i="3" s="1"/>
  <c r="T272" i="3"/>
  <c r="T348" i="3"/>
  <c r="T128" i="3"/>
  <c r="T292" i="3"/>
  <c r="T164" i="3"/>
  <c r="T308" i="3"/>
  <c r="T214" i="3"/>
  <c r="T282" i="3"/>
  <c r="T244" i="3"/>
  <c r="T318" i="3"/>
  <c r="T118" i="3"/>
  <c r="T182" i="3"/>
  <c r="T183" i="3" s="1"/>
  <c r="T152" i="3"/>
  <c r="T153" i="3" s="1"/>
  <c r="T94" i="3"/>
  <c r="T194" i="3"/>
  <c r="T32" i="3"/>
  <c r="T33" i="3" s="1"/>
  <c r="T158" i="3"/>
  <c r="T262" i="3"/>
  <c r="T100" i="3"/>
  <c r="T101" i="3" s="1"/>
  <c r="T162" i="3"/>
  <c r="T163" i="3" s="1"/>
  <c r="T68" i="3"/>
  <c r="T232" i="3"/>
  <c r="T134" i="3"/>
  <c r="T58" i="3"/>
  <c r="T338" i="3"/>
  <c r="T24" i="3"/>
  <c r="T87" i="3"/>
  <c r="T154" i="3"/>
  <c r="T298" i="3"/>
  <c r="T127" i="3"/>
  <c r="T242" i="3"/>
  <c r="T144" i="3"/>
  <c r="T104" i="3"/>
  <c r="T258" i="3"/>
  <c r="T212" i="3"/>
  <c r="T80" i="3"/>
  <c r="T81" i="3" s="1"/>
  <c r="T102" i="3"/>
  <c r="T103" i="3" s="1"/>
  <c r="T74" i="3"/>
  <c r="T228" i="3"/>
  <c r="T117" i="3"/>
  <c r="T147" i="3"/>
  <c r="T264" i="3"/>
  <c r="T222" i="3"/>
  <c r="T38" i="3"/>
  <c r="T130" i="3"/>
  <c r="T131" i="3" s="1"/>
  <c r="T328" i="3"/>
  <c r="T27" i="3"/>
  <c r="T312" i="3"/>
  <c r="T82" i="3"/>
  <c r="T83" i="3" s="1"/>
  <c r="T44" i="3"/>
  <c r="T268" i="3"/>
  <c r="T160" i="3"/>
  <c r="T161" i="3" s="1"/>
  <c r="T20" i="3"/>
  <c r="T21" i="3" s="1"/>
  <c r="T67" i="3"/>
  <c r="T142" i="3"/>
  <c r="T143" i="3" s="1"/>
  <c r="T77" i="3"/>
  <c r="T254" i="3"/>
  <c r="T304" i="3"/>
  <c r="T98" i="3"/>
  <c r="T34" i="3"/>
  <c r="T184" i="3"/>
  <c r="T84" i="3"/>
  <c r="T248" i="3"/>
  <c r="T187" i="3"/>
  <c r="T52" i="3"/>
  <c r="T53" i="3" s="1"/>
  <c r="T177" i="3"/>
  <c r="T107" i="3"/>
  <c r="T227" i="3"/>
  <c r="T277" i="3"/>
  <c r="T124" i="3"/>
  <c r="T48" i="3"/>
  <c r="T148" i="3"/>
  <c r="T140" i="3"/>
  <c r="T132" i="3"/>
  <c r="T133" i="3" s="1"/>
  <c r="T22" i="3"/>
  <c r="T23" i="3" s="1"/>
  <c r="T72" i="3"/>
  <c r="T73" i="3" s="1"/>
  <c r="T217" i="3"/>
  <c r="T188" i="3"/>
  <c r="T294" i="3"/>
  <c r="T37" i="3"/>
  <c r="T274" i="3"/>
  <c r="T112" i="3"/>
  <c r="T113" i="3" s="1"/>
  <c r="T64" i="3"/>
  <c r="T247" i="3"/>
  <c r="T97" i="3"/>
  <c r="T172" i="3"/>
  <c r="T173" i="3" s="1"/>
  <c r="T40" i="3"/>
  <c r="T41" i="3" s="1"/>
  <c r="T178" i="3"/>
  <c r="T234" i="3"/>
  <c r="T167" i="3"/>
  <c r="T70" i="3"/>
  <c r="T71" i="3" s="1"/>
  <c r="T278" i="3"/>
  <c r="T120" i="3"/>
  <c r="T121" i="3" s="1"/>
  <c r="T170" i="3"/>
  <c r="T171" i="3" s="1"/>
  <c r="T287" i="3"/>
  <c r="T180" i="3"/>
  <c r="T181" i="3" s="1"/>
  <c r="T62" i="3"/>
  <c r="T63" i="3" s="1"/>
  <c r="T114" i="3"/>
  <c r="T237" i="3"/>
  <c r="T197" i="3"/>
  <c r="T122" i="3"/>
  <c r="T123" i="3" s="1"/>
  <c r="T192" i="3"/>
  <c r="T193" i="3" s="1"/>
  <c r="T138" i="3"/>
  <c r="T42" i="3"/>
  <c r="T43" i="3" s="1"/>
  <c r="T238" i="3"/>
  <c r="T10" i="3"/>
  <c r="T218" i="3"/>
  <c r="T137" i="3"/>
  <c r="T342" i="3"/>
  <c r="T92" i="3"/>
  <c r="T93" i="3" s="1"/>
  <c r="T108" i="3"/>
  <c r="T157" i="3"/>
  <c r="T54" i="3"/>
  <c r="T30" i="3"/>
  <c r="T90" i="3"/>
  <c r="T91" i="3" s="1"/>
  <c r="AB5" i="4"/>
  <c r="T5" i="10" s="1"/>
  <c r="T168" i="3"/>
  <c r="T110" i="3"/>
  <c r="T111" i="3" s="1"/>
  <c r="T257" i="3"/>
  <c r="T284" i="3"/>
  <c r="T88" i="3"/>
  <c r="T198" i="3"/>
  <c r="T6" i="3"/>
  <c r="R352" i="3"/>
  <c r="R15" i="3"/>
  <c r="S346" i="3"/>
  <c r="S343" i="3"/>
  <c r="S336" i="3"/>
  <c r="S333" i="3"/>
  <c r="S243" i="3"/>
  <c r="S245" i="3" s="1"/>
  <c r="AB13" i="4"/>
  <c r="R354" i="3"/>
  <c r="Z9" i="4" s="1"/>
  <c r="S303" i="3"/>
  <c r="S305" i="3" s="1"/>
  <c r="S263" i="3"/>
  <c r="S265" i="3" s="1"/>
  <c r="R353" i="3"/>
  <c r="T7" i="3"/>
  <c r="AB17" i="4" s="1"/>
  <c r="S286" i="3"/>
  <c r="S316" i="3"/>
  <c r="S216" i="3"/>
  <c r="S136" i="3"/>
  <c r="S46" i="3"/>
  <c r="S176" i="3"/>
  <c r="S246" i="3"/>
  <c r="S256" i="3"/>
  <c r="S126" i="3"/>
  <c r="S86" i="3"/>
  <c r="S76" i="3"/>
  <c r="S236" i="3"/>
  <c r="S306" i="3"/>
  <c r="S156" i="3"/>
  <c r="S66" i="3"/>
  <c r="S326" i="3"/>
  <c r="S196" i="3"/>
  <c r="S186" i="3"/>
  <c r="S26" i="3"/>
  <c r="S96" i="3"/>
  <c r="S266" i="3"/>
  <c r="S106" i="3"/>
  <c r="S296" i="3"/>
  <c r="S56" i="3"/>
  <c r="S166" i="3"/>
  <c r="S276" i="3"/>
  <c r="S226" i="3"/>
  <c r="S116" i="3"/>
  <c r="R356" i="3"/>
  <c r="Z12" i="4" s="1"/>
  <c r="U4" i="10" l="1"/>
  <c r="AC21" i="4"/>
  <c r="S344" i="3"/>
  <c r="S345" i="3" s="1"/>
  <c r="S334" i="3"/>
  <c r="S335" i="3" s="1"/>
  <c r="R359" i="3" a="1"/>
  <c r="R359" i="3" s="1"/>
  <c r="Z6" i="4" s="1"/>
  <c r="R355" i="3"/>
  <c r="Y16" i="4"/>
  <c r="T65" i="3"/>
  <c r="X19" i="4"/>
  <c r="X27" i="4" s="1"/>
  <c r="Z8" i="4"/>
  <c r="AA25" i="4"/>
  <c r="S315" i="3"/>
  <c r="T115" i="3"/>
  <c r="AC22" i="4"/>
  <c r="AC3" i="4"/>
  <c r="U3" i="10" s="1"/>
  <c r="Y14" i="4"/>
  <c r="Y18" i="4" s="1"/>
  <c r="T45" i="3"/>
  <c r="T95" i="3"/>
  <c r="T85" i="3"/>
  <c r="T293" i="3"/>
  <c r="T295" i="3" s="1"/>
  <c r="T25" i="3"/>
  <c r="T213" i="3"/>
  <c r="T215" i="3" s="1"/>
  <c r="T263" i="3"/>
  <c r="T265" i="3" s="1"/>
  <c r="T253" i="3"/>
  <c r="T255" i="3" s="1"/>
  <c r="T273" i="3"/>
  <c r="T275" i="3" s="1"/>
  <c r="T155" i="3"/>
  <c r="T233" i="3"/>
  <c r="T235" i="3" s="1"/>
  <c r="T185" i="3"/>
  <c r="T243" i="3"/>
  <c r="T245" i="3" s="1"/>
  <c r="T105" i="3"/>
  <c r="T313" i="3"/>
  <c r="T314" i="3" s="1"/>
  <c r="T315" i="3" s="1"/>
  <c r="T55" i="3"/>
  <c r="V4" i="3"/>
  <c r="W3" i="3"/>
  <c r="V5" i="3"/>
  <c r="V320" i="3"/>
  <c r="V327" i="3" s="1"/>
  <c r="V330" i="3"/>
  <c r="V337" i="3" s="1"/>
  <c r="V300" i="3"/>
  <c r="V307" i="3" s="1"/>
  <c r="V310" i="3"/>
  <c r="V317" i="3" s="1"/>
  <c r="AD4" i="4"/>
  <c r="V290" i="3"/>
  <c r="V297" i="3" s="1"/>
  <c r="V340" i="3"/>
  <c r="V347" i="3" s="1"/>
  <c r="T346" i="3"/>
  <c r="T343" i="3"/>
  <c r="T125" i="3"/>
  <c r="T135" i="3"/>
  <c r="S15" i="3"/>
  <c r="S352" i="3"/>
  <c r="T323" i="3"/>
  <c r="T324" i="3" s="1"/>
  <c r="T325" i="3" s="1"/>
  <c r="T31" i="3"/>
  <c r="T35" i="3" s="1"/>
  <c r="T36" i="3"/>
  <c r="T75" i="3"/>
  <c r="T223" i="3"/>
  <c r="T225" i="3" s="1"/>
  <c r="T303" i="3"/>
  <c r="T305" i="3" s="1"/>
  <c r="T195" i="3"/>
  <c r="T16" i="3"/>
  <c r="T11" i="3"/>
  <c r="T358" i="3"/>
  <c r="AB24" i="4" s="1"/>
  <c r="U158" i="3"/>
  <c r="U117" i="3"/>
  <c r="U140" i="3"/>
  <c r="U82" i="3"/>
  <c r="U83" i="3" s="1"/>
  <c r="U24" i="3"/>
  <c r="U222" i="3"/>
  <c r="U68" i="3"/>
  <c r="U50" i="3"/>
  <c r="U51" i="3" s="1"/>
  <c r="U102" i="3"/>
  <c r="U103" i="3" s="1"/>
  <c r="U70" i="3"/>
  <c r="U71" i="3" s="1"/>
  <c r="U232" i="3"/>
  <c r="U48" i="3"/>
  <c r="U118" i="3"/>
  <c r="U247" i="3"/>
  <c r="U258" i="3"/>
  <c r="U262" i="3"/>
  <c r="U134" i="3"/>
  <c r="U242" i="3"/>
  <c r="U218" i="3"/>
  <c r="U154" i="3"/>
  <c r="U38" i="3"/>
  <c r="U148" i="3"/>
  <c r="U107" i="3"/>
  <c r="U122" i="3"/>
  <c r="U123" i="3" s="1"/>
  <c r="U277" i="3"/>
  <c r="U198" i="3"/>
  <c r="U34" i="3"/>
  <c r="U342" i="3"/>
  <c r="U254" i="3"/>
  <c r="U312" i="3"/>
  <c r="U287" i="3"/>
  <c r="U100" i="3"/>
  <c r="U101" i="3" s="1"/>
  <c r="U27" i="3"/>
  <c r="U108" i="3"/>
  <c r="U272" i="3"/>
  <c r="U157" i="3"/>
  <c r="U87" i="3"/>
  <c r="AC5" i="4"/>
  <c r="U5" i="10" s="1"/>
  <c r="U32" i="3"/>
  <c r="U33" i="3" s="1"/>
  <c r="U67" i="3"/>
  <c r="U47" i="3"/>
  <c r="U228" i="3"/>
  <c r="U167" i="3"/>
  <c r="U332" i="3"/>
  <c r="U90" i="3"/>
  <c r="U91" i="3" s="1"/>
  <c r="U252" i="3"/>
  <c r="U120" i="3"/>
  <c r="U121" i="3" s="1"/>
  <c r="U292" i="3"/>
  <c r="U267" i="3"/>
  <c r="U274" i="3"/>
  <c r="U168" i="3"/>
  <c r="U127" i="3"/>
  <c r="U10" i="3"/>
  <c r="U322" i="3"/>
  <c r="U22" i="3"/>
  <c r="U23" i="3" s="1"/>
  <c r="U92" i="3"/>
  <c r="U93" i="3" s="1"/>
  <c r="U288" i="3"/>
  <c r="U28" i="3"/>
  <c r="U128" i="3"/>
  <c r="U137" i="3"/>
  <c r="U282" i="3"/>
  <c r="U177" i="3"/>
  <c r="U224" i="3"/>
  <c r="U104" i="3"/>
  <c r="U147" i="3"/>
  <c r="U20" i="3"/>
  <c r="U21" i="3" s="1"/>
  <c r="U84" i="3"/>
  <c r="U268" i="3"/>
  <c r="U227" i="3"/>
  <c r="U302" i="3"/>
  <c r="U188" i="3"/>
  <c r="U110" i="3"/>
  <c r="U111" i="3" s="1"/>
  <c r="U42" i="3"/>
  <c r="U43" i="3" s="1"/>
  <c r="U217" i="3"/>
  <c r="U57" i="3"/>
  <c r="U304" i="3"/>
  <c r="U142" i="3"/>
  <c r="U143" i="3" s="1"/>
  <c r="U284" i="3"/>
  <c r="U248" i="3"/>
  <c r="U308" i="3"/>
  <c r="U58" i="3"/>
  <c r="U30" i="3"/>
  <c r="U318" i="3"/>
  <c r="U324" i="3"/>
  <c r="U37" i="3"/>
  <c r="U294" i="3"/>
  <c r="U314" i="3"/>
  <c r="U170" i="3"/>
  <c r="U171" i="3" s="1"/>
  <c r="U88" i="3"/>
  <c r="U264" i="3"/>
  <c r="U194" i="3"/>
  <c r="U62" i="3"/>
  <c r="U63" i="3" s="1"/>
  <c r="U238" i="3"/>
  <c r="U192" i="3"/>
  <c r="U193" i="3" s="1"/>
  <c r="U212" i="3"/>
  <c r="U160" i="3"/>
  <c r="U161" i="3" s="1"/>
  <c r="U124" i="3"/>
  <c r="U174" i="3"/>
  <c r="U234" i="3"/>
  <c r="U144" i="3"/>
  <c r="U187" i="3"/>
  <c r="U138" i="3"/>
  <c r="U150" i="3"/>
  <c r="U151" i="3" s="1"/>
  <c r="U54" i="3"/>
  <c r="U244" i="3"/>
  <c r="U172" i="3"/>
  <c r="U173" i="3" s="1"/>
  <c r="U78" i="3"/>
  <c r="U298" i="3"/>
  <c r="U257" i="3"/>
  <c r="U184" i="3"/>
  <c r="U80" i="3"/>
  <c r="U81" i="3" s="1"/>
  <c r="U130" i="3"/>
  <c r="U131" i="3" s="1"/>
  <c r="U214" i="3"/>
  <c r="U162" i="3"/>
  <c r="U163" i="3" s="1"/>
  <c r="U348" i="3"/>
  <c r="U178" i="3"/>
  <c r="U180" i="3"/>
  <c r="U181" i="3" s="1"/>
  <c r="U112" i="3"/>
  <c r="U113" i="3" s="1"/>
  <c r="U64" i="3"/>
  <c r="U77" i="3"/>
  <c r="U40" i="3"/>
  <c r="U41" i="3" s="1"/>
  <c r="U98" i="3"/>
  <c r="U190" i="3"/>
  <c r="U191" i="3" s="1"/>
  <c r="U164" i="3"/>
  <c r="U132" i="3"/>
  <c r="U133" i="3" s="1"/>
  <c r="U278" i="3"/>
  <c r="U97" i="3"/>
  <c r="U328" i="3"/>
  <c r="U182" i="3"/>
  <c r="U183" i="3" s="1"/>
  <c r="U338" i="3"/>
  <c r="U94" i="3"/>
  <c r="U74" i="3"/>
  <c r="U72" i="3"/>
  <c r="U73" i="3" s="1"/>
  <c r="U152" i="3"/>
  <c r="U153" i="3" s="1"/>
  <c r="U114" i="3"/>
  <c r="U237" i="3"/>
  <c r="U60" i="3"/>
  <c r="U61" i="3" s="1"/>
  <c r="U197" i="3"/>
  <c r="U52" i="3"/>
  <c r="U53" i="3" s="1"/>
  <c r="U44" i="3"/>
  <c r="U6" i="3"/>
  <c r="T165" i="3"/>
  <c r="T357" i="3"/>
  <c r="AB23" i="4" s="1"/>
  <c r="T175" i="3"/>
  <c r="T141" i="3"/>
  <c r="T145" i="3" s="1"/>
  <c r="T146" i="3"/>
  <c r="AC13" i="4"/>
  <c r="T336" i="3"/>
  <c r="T333" i="3"/>
  <c r="T283" i="3"/>
  <c r="T285" i="3" s="1"/>
  <c r="S353" i="3"/>
  <c r="S356" i="3"/>
  <c r="AA12" i="4" s="1"/>
  <c r="U7" i="3"/>
  <c r="AC17" i="4" s="1"/>
  <c r="T216" i="3"/>
  <c r="T246" i="3"/>
  <c r="T166" i="3"/>
  <c r="T256" i="3"/>
  <c r="T326" i="3"/>
  <c r="T76" i="3"/>
  <c r="T176" i="3"/>
  <c r="T286" i="3"/>
  <c r="T266" i="3"/>
  <c r="T26" i="3"/>
  <c r="T276" i="3"/>
  <c r="T316" i="3"/>
  <c r="T296" i="3"/>
  <c r="T96" i="3"/>
  <c r="T136" i="3"/>
  <c r="T116" i="3"/>
  <c r="T236" i="3"/>
  <c r="T66" i="3"/>
  <c r="T46" i="3"/>
  <c r="T86" i="3"/>
  <c r="T56" i="3"/>
  <c r="T226" i="3"/>
  <c r="T196" i="3"/>
  <c r="T186" i="3"/>
  <c r="T156" i="3"/>
  <c r="T126" i="3"/>
  <c r="T306" i="3"/>
  <c r="T106" i="3"/>
  <c r="S354" i="3" l="1"/>
  <c r="AA9" i="4" s="1"/>
  <c r="V4" i="10"/>
  <c r="AD21" i="4"/>
  <c r="S359" i="3" a="1"/>
  <c r="S359" i="3" s="1"/>
  <c r="AA6" i="4" s="1"/>
  <c r="T344" i="3"/>
  <c r="T345" i="3" s="1"/>
  <c r="T334" i="3"/>
  <c r="T335" i="3" s="1"/>
  <c r="L31" i="4"/>
  <c r="L32" i="4" s="1"/>
  <c r="L34" i="4" s="1"/>
  <c r="S355" i="3"/>
  <c r="Y19" i="4"/>
  <c r="Z10" i="4"/>
  <c r="Z14" i="4" s="1"/>
  <c r="Z18" i="4" s="1"/>
  <c r="Z16" i="4"/>
  <c r="AA8" i="4"/>
  <c r="AB25" i="4"/>
  <c r="U95" i="3"/>
  <c r="U75" i="3"/>
  <c r="AD22" i="4"/>
  <c r="AD3" i="4"/>
  <c r="V3" i="10" s="1"/>
  <c r="U155" i="3"/>
  <c r="U115" i="3"/>
  <c r="U185" i="3"/>
  <c r="U195" i="3"/>
  <c r="U283" i="3"/>
  <c r="U285" i="3" s="1"/>
  <c r="U45" i="3"/>
  <c r="U55" i="3"/>
  <c r="U303" i="3"/>
  <c r="U305" i="3" s="1"/>
  <c r="U323" i="3"/>
  <c r="U325" i="3" s="1"/>
  <c r="U223" i="3"/>
  <c r="U225" i="3" s="1"/>
  <c r="AD13" i="4"/>
  <c r="U11" i="3"/>
  <c r="U16" i="3"/>
  <c r="W330" i="3"/>
  <c r="W337" i="3" s="1"/>
  <c r="W5" i="3"/>
  <c r="AE4" i="4"/>
  <c r="W320" i="3"/>
  <c r="W327" i="3" s="1"/>
  <c r="W300" i="3"/>
  <c r="W307" i="3" s="1"/>
  <c r="W4" i="3"/>
  <c r="W310" i="3"/>
  <c r="W317" i="3" s="1"/>
  <c r="X3" i="3"/>
  <c r="W340" i="3"/>
  <c r="W347" i="3" s="1"/>
  <c r="W290" i="3"/>
  <c r="W297" i="3" s="1"/>
  <c r="V247" i="3"/>
  <c r="V267" i="3"/>
  <c r="V214" i="3"/>
  <c r="V90" i="3"/>
  <c r="V91" i="3" s="1"/>
  <c r="V130" i="3"/>
  <c r="V131" i="3" s="1"/>
  <c r="V274" i="3"/>
  <c r="V190" i="3"/>
  <c r="V32" i="3"/>
  <c r="V212" i="3"/>
  <c r="V238" i="3"/>
  <c r="V248" i="3"/>
  <c r="V162" i="3"/>
  <c r="V163" i="3" s="1"/>
  <c r="V102" i="3"/>
  <c r="V103" i="3" s="1"/>
  <c r="V244" i="3"/>
  <c r="V160" i="3"/>
  <c r="V161" i="3" s="1"/>
  <c r="V157" i="3"/>
  <c r="V82" i="3"/>
  <c r="V83" i="3" s="1"/>
  <c r="V92" i="3"/>
  <c r="V93" i="3" s="1"/>
  <c r="AD5" i="4"/>
  <c r="V5" i="10" s="1"/>
  <c r="V150" i="3"/>
  <c r="V151" i="3" s="1"/>
  <c r="V20" i="3"/>
  <c r="V21" i="3" s="1"/>
  <c r="V10" i="3"/>
  <c r="V184" i="3"/>
  <c r="V338" i="3"/>
  <c r="V128" i="3"/>
  <c r="V180" i="3"/>
  <c r="V181" i="3" s="1"/>
  <c r="V182" i="3"/>
  <c r="V183" i="3" s="1"/>
  <c r="V288" i="3"/>
  <c r="V78" i="3"/>
  <c r="V298" i="3"/>
  <c r="V70" i="3"/>
  <c r="V71" i="3" s="1"/>
  <c r="V142" i="3"/>
  <c r="V132" i="3"/>
  <c r="V133" i="3" s="1"/>
  <c r="V258" i="3"/>
  <c r="V197" i="3"/>
  <c r="V192" i="3"/>
  <c r="V193" i="3" s="1"/>
  <c r="V107" i="3"/>
  <c r="V178" i="3"/>
  <c r="V234" i="3"/>
  <c r="V120" i="3"/>
  <c r="V121" i="3" s="1"/>
  <c r="V198" i="3"/>
  <c r="V118" i="3"/>
  <c r="V224" i="3"/>
  <c r="V252" i="3"/>
  <c r="V262" i="3"/>
  <c r="V314" i="3"/>
  <c r="V38" i="3"/>
  <c r="V134" i="3"/>
  <c r="V232" i="3"/>
  <c r="V237" i="3"/>
  <c r="V108" i="3"/>
  <c r="V47" i="3"/>
  <c r="V282" i="3"/>
  <c r="V194" i="3"/>
  <c r="V42" i="3"/>
  <c r="V43" i="3" s="1"/>
  <c r="V122" i="3"/>
  <c r="V123" i="3" s="1"/>
  <c r="V228" i="3"/>
  <c r="V227" i="3"/>
  <c r="V278" i="3"/>
  <c r="V164" i="3"/>
  <c r="V48" i="3"/>
  <c r="V177" i="3"/>
  <c r="V57" i="3"/>
  <c r="V124" i="3"/>
  <c r="V24" i="3"/>
  <c r="V67" i="3"/>
  <c r="V22" i="3"/>
  <c r="V23" i="3" s="1"/>
  <c r="V84" i="3"/>
  <c r="V272" i="3"/>
  <c r="V152" i="3"/>
  <c r="V153" i="3" s="1"/>
  <c r="V308" i="3"/>
  <c r="V94" i="3"/>
  <c r="V287" i="3"/>
  <c r="V88" i="3"/>
  <c r="V28" i="3"/>
  <c r="V222" i="3"/>
  <c r="V40" i="3"/>
  <c r="V41" i="3" s="1"/>
  <c r="V112" i="3"/>
  <c r="V113" i="3" s="1"/>
  <c r="V52" i="3"/>
  <c r="V53" i="3" s="1"/>
  <c r="V54" i="3"/>
  <c r="V74" i="3"/>
  <c r="V268" i="3"/>
  <c r="V302" i="3"/>
  <c r="V332" i="3"/>
  <c r="V312" i="3"/>
  <c r="V114" i="3"/>
  <c r="V328" i="3"/>
  <c r="V137" i="3"/>
  <c r="V127" i="3"/>
  <c r="V242" i="3"/>
  <c r="V72" i="3"/>
  <c r="V73" i="3" s="1"/>
  <c r="V110" i="3"/>
  <c r="V111" i="3" s="1"/>
  <c r="V44" i="3"/>
  <c r="V172" i="3"/>
  <c r="V173" i="3" s="1"/>
  <c r="V158" i="3"/>
  <c r="V342" i="3"/>
  <c r="V147" i="3"/>
  <c r="V138" i="3"/>
  <c r="V37" i="3"/>
  <c r="V257" i="3"/>
  <c r="V58" i="3"/>
  <c r="V348" i="3"/>
  <c r="V60" i="3"/>
  <c r="V61" i="3" s="1"/>
  <c r="V168" i="3"/>
  <c r="V117" i="3"/>
  <c r="V64" i="3"/>
  <c r="V218" i="3"/>
  <c r="V98" i="3"/>
  <c r="V174" i="3"/>
  <c r="V62" i="3"/>
  <c r="V63" i="3" s="1"/>
  <c r="V80" i="3"/>
  <c r="V100" i="3"/>
  <c r="V101" i="3" s="1"/>
  <c r="V68" i="3"/>
  <c r="V27" i="3"/>
  <c r="V148" i="3"/>
  <c r="V324" i="3"/>
  <c r="V140" i="3"/>
  <c r="V141" i="3" s="1"/>
  <c r="V188" i="3"/>
  <c r="V304" i="3"/>
  <c r="V318" i="3"/>
  <c r="V254" i="3"/>
  <c r="V284" i="3"/>
  <c r="V264" i="3"/>
  <c r="V292" i="3"/>
  <c r="V322" i="3"/>
  <c r="V217" i="3"/>
  <c r="V167" i="3"/>
  <c r="V77" i="3"/>
  <c r="V104" i="3"/>
  <c r="V30" i="3"/>
  <c r="V187" i="3"/>
  <c r="V97" i="3"/>
  <c r="V294" i="3"/>
  <c r="V50" i="3"/>
  <c r="V51" i="3" s="1"/>
  <c r="V170" i="3"/>
  <c r="V171" i="3" s="1"/>
  <c r="V87" i="3"/>
  <c r="V154" i="3"/>
  <c r="V277" i="3"/>
  <c r="V6" i="3"/>
  <c r="U233" i="3"/>
  <c r="U235" i="3" s="1"/>
  <c r="U65" i="3"/>
  <c r="U141" i="3"/>
  <c r="U145" i="3" s="1"/>
  <c r="U146" i="3"/>
  <c r="U31" i="3"/>
  <c r="U35" i="3" s="1"/>
  <c r="U36" i="3"/>
  <c r="U25" i="3"/>
  <c r="U243" i="3"/>
  <c r="U245" i="3" s="1"/>
  <c r="U358" i="3"/>
  <c r="AC24" i="4" s="1"/>
  <c r="U175" i="3"/>
  <c r="U273" i="3"/>
  <c r="U275" i="3" s="1"/>
  <c r="U357" i="3"/>
  <c r="AC23" i="4" s="1"/>
  <c r="U333" i="3"/>
  <c r="U334" i="3" s="1"/>
  <c r="U335" i="3" s="1"/>
  <c r="U263" i="3"/>
  <c r="U265" i="3" s="1"/>
  <c r="U343" i="3"/>
  <c r="U135" i="3"/>
  <c r="U105" i="3"/>
  <c r="U85" i="3"/>
  <c r="U213" i="3"/>
  <c r="U215" i="3" s="1"/>
  <c r="U125" i="3"/>
  <c r="T15" i="3"/>
  <c r="T352" i="3"/>
  <c r="U165" i="3"/>
  <c r="U293" i="3"/>
  <c r="U295" i="3" s="1"/>
  <c r="U253" i="3"/>
  <c r="U255" i="3" s="1"/>
  <c r="U313" i="3"/>
  <c r="U315" i="3" s="1"/>
  <c r="T353" i="3"/>
  <c r="T356" i="3"/>
  <c r="AB12" i="4" s="1"/>
  <c r="V7" i="3"/>
  <c r="AD17" i="4" s="1"/>
  <c r="U256" i="3"/>
  <c r="U266" i="3"/>
  <c r="U336" i="3"/>
  <c r="U226" i="3"/>
  <c r="U46" i="3"/>
  <c r="U216" i="3"/>
  <c r="U106" i="3"/>
  <c r="U86" i="3"/>
  <c r="U126" i="3"/>
  <c r="U346" i="3"/>
  <c r="U166" i="3"/>
  <c r="U236" i="3"/>
  <c r="U116" i="3"/>
  <c r="U96" i="3"/>
  <c r="U306" i="3"/>
  <c r="U246" i="3"/>
  <c r="U286" i="3"/>
  <c r="U176" i="3"/>
  <c r="U276" i="3"/>
  <c r="U26" i="3"/>
  <c r="U136" i="3"/>
  <c r="U56" i="3"/>
  <c r="U66" i="3"/>
  <c r="U156" i="3"/>
  <c r="U296" i="3"/>
  <c r="U76" i="3"/>
  <c r="U326" i="3"/>
  <c r="U196" i="3"/>
  <c r="U186" i="3"/>
  <c r="U316" i="3"/>
  <c r="T354" i="3" l="1"/>
  <c r="AB9" i="4" s="1"/>
  <c r="W4" i="10"/>
  <c r="AE21" i="4"/>
  <c r="T355" i="3"/>
  <c r="AA10" i="4"/>
  <c r="AA14" i="4" s="1"/>
  <c r="AA18" i="4" s="1"/>
  <c r="AA16" i="4"/>
  <c r="Z19" i="4"/>
  <c r="N31" i="4" s="1"/>
  <c r="AB8" i="4"/>
  <c r="AC25" i="4"/>
  <c r="V233" i="3"/>
  <c r="V235" i="3" s="1"/>
  <c r="V343" i="3"/>
  <c r="V344" i="3" s="1"/>
  <c r="V345" i="3" s="1"/>
  <c r="L44" i="4"/>
  <c r="AE3" i="4"/>
  <c r="W3" i="10" s="1"/>
  <c r="AE22" i="4"/>
  <c r="Y27" i="4"/>
  <c r="M31" i="4"/>
  <c r="V33" i="3"/>
  <c r="V34" i="3" s="1"/>
  <c r="V135" i="3"/>
  <c r="V313" i="3"/>
  <c r="V315" i="3" s="1"/>
  <c r="V283" i="3"/>
  <c r="V285" i="3" s="1"/>
  <c r="V333" i="3"/>
  <c r="V334" i="3" s="1"/>
  <c r="V273" i="3"/>
  <c r="V275" i="3" s="1"/>
  <c r="V25" i="3"/>
  <c r="V303" i="3"/>
  <c r="V305" i="3" s="1"/>
  <c r="V55" i="3"/>
  <c r="V143" i="3"/>
  <c r="V144" i="3" s="1"/>
  <c r="V293" i="3"/>
  <c r="V295" i="3" s="1"/>
  <c r="V263" i="3"/>
  <c r="V265" i="3" s="1"/>
  <c r="V175" i="3"/>
  <c r="V65" i="3"/>
  <c r="V213" i="3"/>
  <c r="V215" i="3" s="1"/>
  <c r="T359" i="3" a="1"/>
  <c r="T359" i="3" s="1"/>
  <c r="AB6" i="4" s="1"/>
  <c r="V165" i="3"/>
  <c r="V125" i="3"/>
  <c r="V323" i="3"/>
  <c r="V325" i="3" s="1"/>
  <c r="V243" i="3"/>
  <c r="V245" i="3" s="1"/>
  <c r="V185" i="3"/>
  <c r="V155" i="3"/>
  <c r="V105" i="3"/>
  <c r="V81" i="3"/>
  <c r="V85" i="3" s="1"/>
  <c r="V86" i="3"/>
  <c r="V357" i="3"/>
  <c r="AD23" i="4" s="1"/>
  <c r="V75" i="3"/>
  <c r="X290" i="3"/>
  <c r="X297" i="3" s="1"/>
  <c r="X4" i="3"/>
  <c r="X300" i="3"/>
  <c r="X307" i="3" s="1"/>
  <c r="X310" i="3"/>
  <c r="X317" i="3" s="1"/>
  <c r="X330" i="3"/>
  <c r="X337" i="3" s="1"/>
  <c r="X340" i="3"/>
  <c r="X347" i="3" s="1"/>
  <c r="X320" i="3"/>
  <c r="X327" i="3" s="1"/>
  <c r="X5" i="3"/>
  <c r="Y3" i="3"/>
  <c r="AF4" i="4"/>
  <c r="V115" i="3"/>
  <c r="V45" i="3"/>
  <c r="AE13" i="4"/>
  <c r="U352" i="3"/>
  <c r="U15" i="3"/>
  <c r="V223" i="3"/>
  <c r="V225" i="3" s="1"/>
  <c r="V253" i="3"/>
  <c r="V255" i="3" s="1"/>
  <c r="W198" i="3"/>
  <c r="W167" i="3"/>
  <c r="W272" i="3"/>
  <c r="W70" i="3"/>
  <c r="W71" i="3" s="1"/>
  <c r="W184" i="3"/>
  <c r="W82" i="3"/>
  <c r="W83" i="3" s="1"/>
  <c r="W292" i="3"/>
  <c r="W80" i="3"/>
  <c r="W298" i="3"/>
  <c r="W168" i="3"/>
  <c r="W324" i="3"/>
  <c r="W37" i="3"/>
  <c r="W322" i="3"/>
  <c r="W192" i="3"/>
  <c r="W193" i="3" s="1"/>
  <c r="W64" i="3"/>
  <c r="W112" i="3"/>
  <c r="W113" i="3" s="1"/>
  <c r="W304" i="3"/>
  <c r="W247" i="3"/>
  <c r="W214" i="3"/>
  <c r="W197" i="3"/>
  <c r="W172" i="3"/>
  <c r="W173" i="3" s="1"/>
  <c r="W237" i="3"/>
  <c r="W92" i="3"/>
  <c r="W93" i="3" s="1"/>
  <c r="W190" i="3"/>
  <c r="W27" i="3"/>
  <c r="W160" i="3"/>
  <c r="W161" i="3" s="1"/>
  <c r="W257" i="3"/>
  <c r="W332" i="3"/>
  <c r="W124" i="3"/>
  <c r="W67" i="3"/>
  <c r="W277" i="3"/>
  <c r="W228" i="3"/>
  <c r="W44" i="3"/>
  <c r="W77" i="3"/>
  <c r="W20" i="3"/>
  <c r="W21" i="3" s="1"/>
  <c r="W268" i="3"/>
  <c r="W62" i="3"/>
  <c r="W63" i="3" s="1"/>
  <c r="W94" i="3"/>
  <c r="W238" i="3"/>
  <c r="W194" i="3"/>
  <c r="W278" i="3"/>
  <c r="W344" i="3"/>
  <c r="W84" i="3"/>
  <c r="W147" i="3"/>
  <c r="W187" i="3"/>
  <c r="W97" i="3"/>
  <c r="W348" i="3"/>
  <c r="W38" i="3"/>
  <c r="W180" i="3"/>
  <c r="W181" i="3" s="1"/>
  <c r="W40" i="3"/>
  <c r="W41" i="3" s="1"/>
  <c r="W142" i="3"/>
  <c r="W150" i="3"/>
  <c r="W151" i="3" s="1"/>
  <c r="W10" i="3"/>
  <c r="W318" i="3"/>
  <c r="W57" i="3"/>
  <c r="W314" i="3"/>
  <c r="W302" i="3"/>
  <c r="W48" i="3"/>
  <c r="W154" i="3"/>
  <c r="W120" i="3"/>
  <c r="W121" i="3" s="1"/>
  <c r="W24" i="3"/>
  <c r="W267" i="3"/>
  <c r="W170" i="3"/>
  <c r="W171" i="3" s="1"/>
  <c r="W74" i="3"/>
  <c r="W28" i="3"/>
  <c r="W104" i="3"/>
  <c r="W158" i="3"/>
  <c r="W174" i="3"/>
  <c r="W22" i="3"/>
  <c r="W23" i="3" s="1"/>
  <c r="W138" i="3"/>
  <c r="W127" i="3"/>
  <c r="W148" i="3"/>
  <c r="W342" i="3"/>
  <c r="W282" i="3"/>
  <c r="W234" i="3"/>
  <c r="W107" i="3"/>
  <c r="W288" i="3"/>
  <c r="W222" i="3"/>
  <c r="W312" i="3"/>
  <c r="W258" i="3"/>
  <c r="W217" i="3"/>
  <c r="W72" i="3"/>
  <c r="W73" i="3" s="1"/>
  <c r="W157" i="3"/>
  <c r="W328" i="3"/>
  <c r="W188" i="3"/>
  <c r="W182" i="3"/>
  <c r="W183" i="3" s="1"/>
  <c r="W122" i="3"/>
  <c r="W123" i="3" s="1"/>
  <c r="W227" i="3"/>
  <c r="W128" i="3"/>
  <c r="W102" i="3"/>
  <c r="W103" i="3" s="1"/>
  <c r="W42" i="3"/>
  <c r="W43" i="3" s="1"/>
  <c r="W50" i="3"/>
  <c r="W51" i="3" s="1"/>
  <c r="W87" i="3"/>
  <c r="W78" i="3"/>
  <c r="W254" i="3"/>
  <c r="W152" i="3"/>
  <c r="W153" i="3" s="1"/>
  <c r="W244" i="3"/>
  <c r="W98" i="3"/>
  <c r="W178" i="3"/>
  <c r="W164" i="3"/>
  <c r="W218" i="3"/>
  <c r="W308" i="3"/>
  <c r="W274" i="3"/>
  <c r="W140" i="3"/>
  <c r="W141" i="3" s="1"/>
  <c r="W252" i="3"/>
  <c r="W30" i="3"/>
  <c r="W31" i="3" s="1"/>
  <c r="W114" i="3"/>
  <c r="W137" i="3"/>
  <c r="W242" i="3"/>
  <c r="W54" i="3"/>
  <c r="W90" i="3"/>
  <c r="W91" i="3" s="1"/>
  <c r="W177" i="3"/>
  <c r="W110" i="3"/>
  <c r="W111" i="3" s="1"/>
  <c r="W262" i="3"/>
  <c r="W118" i="3"/>
  <c r="W248" i="3"/>
  <c r="W134" i="3"/>
  <c r="W68" i="3"/>
  <c r="W58" i="3"/>
  <c r="W232" i="3"/>
  <c r="W60" i="3"/>
  <c r="W61" i="3" s="1"/>
  <c r="W32" i="3"/>
  <c r="W338" i="3"/>
  <c r="W100" i="3"/>
  <c r="W101" i="3" s="1"/>
  <c r="W162" i="3"/>
  <c r="W163" i="3" s="1"/>
  <c r="W52" i="3"/>
  <c r="W53" i="3" s="1"/>
  <c r="W224" i="3"/>
  <c r="W287" i="3"/>
  <c r="W108" i="3"/>
  <c r="W47" i="3"/>
  <c r="W294" i="3"/>
  <c r="AE5" i="4"/>
  <c r="W5" i="10" s="1"/>
  <c r="W212" i="3"/>
  <c r="W117" i="3"/>
  <c r="W132" i="3"/>
  <c r="W133" i="3" s="1"/>
  <c r="W88" i="3"/>
  <c r="W334" i="3"/>
  <c r="W264" i="3"/>
  <c r="W284" i="3"/>
  <c r="W130" i="3"/>
  <c r="W131" i="3" s="1"/>
  <c r="W6" i="3"/>
  <c r="V191" i="3"/>
  <c r="V195" i="3" s="1"/>
  <c r="V196" i="3"/>
  <c r="V11" i="3"/>
  <c r="V16" i="3"/>
  <c r="V95" i="3"/>
  <c r="V31" i="3"/>
  <c r="V36" i="3"/>
  <c r="U344" i="3"/>
  <c r="U354" i="3" s="1"/>
  <c r="AC9" i="4" s="1"/>
  <c r="V358" i="3"/>
  <c r="AD24" i="4" s="1"/>
  <c r="U353" i="3"/>
  <c r="W7" i="3"/>
  <c r="AE17" i="4" s="1"/>
  <c r="V226" i="3"/>
  <c r="V266" i="3"/>
  <c r="V216" i="3"/>
  <c r="V256" i="3"/>
  <c r="V76" i="3"/>
  <c r="V96" i="3"/>
  <c r="V176" i="3"/>
  <c r="V106" i="3"/>
  <c r="V156" i="3"/>
  <c r="V46" i="3"/>
  <c r="V296" i="3"/>
  <c r="V316" i="3"/>
  <c r="V236" i="3"/>
  <c r="V246" i="3"/>
  <c r="V136" i="3"/>
  <c r="V286" i="3"/>
  <c r="V56" i="3"/>
  <c r="V166" i="3"/>
  <c r="V306" i="3"/>
  <c r="V146" i="3"/>
  <c r="V126" i="3"/>
  <c r="V66" i="3"/>
  <c r="V326" i="3"/>
  <c r="V346" i="3"/>
  <c r="V26" i="3"/>
  <c r="V186" i="3"/>
  <c r="V116" i="3"/>
  <c r="V276" i="3"/>
  <c r="V336" i="3"/>
  <c r="U356" i="3"/>
  <c r="AC12" i="4" s="1"/>
  <c r="L46" i="4" l="1"/>
  <c r="L47" i="4" s="1"/>
  <c r="X4" i="10"/>
  <c r="AF21" i="4"/>
  <c r="W223" i="3"/>
  <c r="W225" i="3" s="1"/>
  <c r="W313" i="3"/>
  <c r="W315" i="3" s="1"/>
  <c r="Z27" i="4"/>
  <c r="AC8" i="4"/>
  <c r="AC10" i="4" s="1"/>
  <c r="AB16" i="4"/>
  <c r="AA19" i="4"/>
  <c r="O31" i="4" s="1"/>
  <c r="AB10" i="4"/>
  <c r="AB14" i="4" s="1"/>
  <c r="AB18" i="4" s="1"/>
  <c r="AD25" i="4"/>
  <c r="V335" i="3"/>
  <c r="V145" i="3"/>
  <c r="V354" i="3"/>
  <c r="AD9" i="4" s="1"/>
  <c r="V35" i="3"/>
  <c r="AF3" i="4"/>
  <c r="X3" i="10" s="1"/>
  <c r="AF22" i="4"/>
  <c r="M32" i="4"/>
  <c r="M34" i="4" s="1"/>
  <c r="N32" i="4"/>
  <c r="N34" i="4" s="1"/>
  <c r="W175" i="3"/>
  <c r="W95" i="3"/>
  <c r="U345" i="3"/>
  <c r="U359" i="3" s="1" a="1"/>
  <c r="U359" i="3" s="1"/>
  <c r="AC6" i="4" s="1"/>
  <c r="W135" i="3"/>
  <c r="W105" i="3"/>
  <c r="W357" i="3"/>
  <c r="AE23" i="4" s="1"/>
  <c r="W293" i="3"/>
  <c r="W295" i="3" s="1"/>
  <c r="W33" i="3"/>
  <c r="W343" i="3"/>
  <c r="W345" i="3" s="1"/>
  <c r="W303" i="3"/>
  <c r="W305" i="3" s="1"/>
  <c r="W196" i="3"/>
  <c r="W191" i="3"/>
  <c r="W195" i="3" s="1"/>
  <c r="W86" i="3"/>
  <c r="W81" i="3"/>
  <c r="W85" i="3" s="1"/>
  <c r="W333" i="3"/>
  <c r="W335" i="3" s="1"/>
  <c r="W253" i="3"/>
  <c r="W255" i="3" s="1"/>
  <c r="W213" i="3"/>
  <c r="W215" i="3" s="1"/>
  <c r="W16" i="3"/>
  <c r="W11" i="3"/>
  <c r="V352" i="3"/>
  <c r="V15" i="3"/>
  <c r="W125" i="3"/>
  <c r="W283" i="3"/>
  <c r="W285" i="3" s="1"/>
  <c r="W65" i="3"/>
  <c r="W155" i="3"/>
  <c r="W75" i="3"/>
  <c r="Y4" i="3"/>
  <c r="Y310" i="3"/>
  <c r="Y317" i="3" s="1"/>
  <c r="Z3" i="3"/>
  <c r="Y300" i="3"/>
  <c r="Y307" i="3" s="1"/>
  <c r="AG4" i="4"/>
  <c r="Y340" i="3"/>
  <c r="Y347" i="3" s="1"/>
  <c r="Y320" i="3"/>
  <c r="Y327" i="3" s="1"/>
  <c r="Y5" i="3"/>
  <c r="Y330" i="3"/>
  <c r="Y337" i="3" s="1"/>
  <c r="Y290" i="3"/>
  <c r="Y297" i="3" s="1"/>
  <c r="W143" i="3"/>
  <c r="W144" i="3" s="1"/>
  <c r="W145" i="3" s="1"/>
  <c r="W25" i="3"/>
  <c r="W273" i="3"/>
  <c r="W275" i="3" s="1"/>
  <c r="AF13" i="4"/>
  <c r="W55" i="3"/>
  <c r="W165" i="3"/>
  <c r="W263" i="3"/>
  <c r="W265" i="3" s="1"/>
  <c r="W45" i="3"/>
  <c r="W243" i="3"/>
  <c r="W245" i="3" s="1"/>
  <c r="W323" i="3"/>
  <c r="W325" i="3" s="1"/>
  <c r="X288" i="3"/>
  <c r="X218" i="3"/>
  <c r="X348" i="3"/>
  <c r="X92" i="3"/>
  <c r="X93" i="3" s="1"/>
  <c r="X342" i="3"/>
  <c r="X254" i="3"/>
  <c r="X174" i="3"/>
  <c r="X32" i="3"/>
  <c r="X287" i="3"/>
  <c r="X157" i="3"/>
  <c r="X128" i="3"/>
  <c r="X74" i="3"/>
  <c r="X232" i="3"/>
  <c r="X94" i="3"/>
  <c r="X47" i="3"/>
  <c r="X274" i="3"/>
  <c r="X114" i="3"/>
  <c r="X140" i="3"/>
  <c r="X141" i="3" s="1"/>
  <c r="X10" i="3"/>
  <c r="X318" i="3"/>
  <c r="X102" i="3"/>
  <c r="X103" i="3" s="1"/>
  <c r="X344" i="3"/>
  <c r="X192" i="3"/>
  <c r="X193" i="3" s="1"/>
  <c r="X338" i="3"/>
  <c r="X324" i="3"/>
  <c r="X122" i="3"/>
  <c r="X123" i="3" s="1"/>
  <c r="X212" i="3"/>
  <c r="X124" i="3"/>
  <c r="X188" i="3"/>
  <c r="X147" i="3"/>
  <c r="X262" i="3"/>
  <c r="X152" i="3"/>
  <c r="X153" i="3" s="1"/>
  <c r="X132" i="3"/>
  <c r="X133" i="3" s="1"/>
  <c r="X257" i="3"/>
  <c r="X138" i="3"/>
  <c r="X248" i="3"/>
  <c r="X154" i="3"/>
  <c r="X44" i="3"/>
  <c r="X278" i="3"/>
  <c r="X242" i="3"/>
  <c r="X222" i="3"/>
  <c r="X137" i="3"/>
  <c r="X177" i="3"/>
  <c r="X72" i="3"/>
  <c r="X73" i="3" s="1"/>
  <c r="X144" i="3"/>
  <c r="X308" i="3"/>
  <c r="X314" i="3"/>
  <c r="X84" i="3"/>
  <c r="X264" i="3"/>
  <c r="X214" i="3"/>
  <c r="X304" i="3"/>
  <c r="X22" i="3"/>
  <c r="X23" i="3" s="1"/>
  <c r="X252" i="3"/>
  <c r="X97" i="3"/>
  <c r="X67" i="3"/>
  <c r="X120" i="3"/>
  <c r="X121" i="3" s="1"/>
  <c r="X64" i="3"/>
  <c r="X78" i="3"/>
  <c r="X54" i="3"/>
  <c r="X178" i="3"/>
  <c r="X164" i="3"/>
  <c r="X37" i="3"/>
  <c r="X107" i="3"/>
  <c r="X68" i="3"/>
  <c r="X90" i="3"/>
  <c r="X91" i="3" s="1"/>
  <c r="X237" i="3"/>
  <c r="X160" i="3"/>
  <c r="X161" i="3" s="1"/>
  <c r="X112" i="3"/>
  <c r="X113" i="3" s="1"/>
  <c r="X87" i="3"/>
  <c r="X150" i="3"/>
  <c r="X151" i="3" s="1"/>
  <c r="X258" i="3"/>
  <c r="X28" i="3"/>
  <c r="X42" i="3"/>
  <c r="X43" i="3" s="1"/>
  <c r="X267" i="3"/>
  <c r="X58" i="3"/>
  <c r="AF5" i="4"/>
  <c r="X5" i="10" s="1"/>
  <c r="X234" i="3"/>
  <c r="X294" i="3"/>
  <c r="X334" i="3"/>
  <c r="X328" i="3"/>
  <c r="X117" i="3"/>
  <c r="X127" i="3"/>
  <c r="X217" i="3"/>
  <c r="X77" i="3"/>
  <c r="X197" i="3"/>
  <c r="X98" i="3"/>
  <c r="X172" i="3"/>
  <c r="X173" i="3" s="1"/>
  <c r="X332" i="3"/>
  <c r="X277" i="3"/>
  <c r="X180" i="3"/>
  <c r="X181" i="3" s="1"/>
  <c r="X268" i="3"/>
  <c r="X322" i="3"/>
  <c r="X100" i="3"/>
  <c r="X101" i="3" s="1"/>
  <c r="X130" i="3"/>
  <c r="X131" i="3" s="1"/>
  <c r="X170" i="3"/>
  <c r="X171" i="3" s="1"/>
  <c r="X227" i="3"/>
  <c r="X52" i="3"/>
  <c r="X53" i="3" s="1"/>
  <c r="X312" i="3"/>
  <c r="X228" i="3"/>
  <c r="X247" i="3"/>
  <c r="X142" i="3"/>
  <c r="X110" i="3"/>
  <c r="X111" i="3" s="1"/>
  <c r="X167" i="3"/>
  <c r="X162" i="3"/>
  <c r="X163" i="3" s="1"/>
  <c r="X134" i="3"/>
  <c r="X284" i="3"/>
  <c r="X80" i="3"/>
  <c r="X57" i="3"/>
  <c r="X70" i="3"/>
  <c r="X71" i="3" s="1"/>
  <c r="X187" i="3"/>
  <c r="X158" i="3"/>
  <c r="X62" i="3"/>
  <c r="X63" i="3" s="1"/>
  <c r="X50" i="3"/>
  <c r="X51" i="3" s="1"/>
  <c r="X48" i="3"/>
  <c r="X60" i="3"/>
  <c r="X61" i="3" s="1"/>
  <c r="X38" i="3"/>
  <c r="X168" i="3"/>
  <c r="X20" i="3"/>
  <c r="X21" i="3" s="1"/>
  <c r="X238" i="3"/>
  <c r="X292" i="3"/>
  <c r="X194" i="3"/>
  <c r="X198" i="3"/>
  <c r="X184" i="3"/>
  <c r="X282" i="3"/>
  <c r="X298" i="3"/>
  <c r="X224" i="3"/>
  <c r="X148" i="3"/>
  <c r="X182" i="3"/>
  <c r="X183" i="3" s="1"/>
  <c r="X82" i="3"/>
  <c r="X83" i="3" s="1"/>
  <c r="X302" i="3"/>
  <c r="X27" i="3"/>
  <c r="X108" i="3"/>
  <c r="X244" i="3"/>
  <c r="X30" i="3"/>
  <c r="X31" i="3" s="1"/>
  <c r="X104" i="3"/>
  <c r="X118" i="3"/>
  <c r="X88" i="3"/>
  <c r="X24" i="3"/>
  <c r="X40" i="3"/>
  <c r="X41" i="3" s="1"/>
  <c r="X272" i="3"/>
  <c r="X190" i="3"/>
  <c r="X6" i="3"/>
  <c r="W233" i="3"/>
  <c r="W235" i="3" s="1"/>
  <c r="W115" i="3"/>
  <c r="W358" i="3"/>
  <c r="AE24" i="4" s="1"/>
  <c r="W185" i="3"/>
  <c r="V353" i="3"/>
  <c r="X7" i="3"/>
  <c r="AF17" i="4" s="1"/>
  <c r="W266" i="3"/>
  <c r="W256" i="3"/>
  <c r="W216" i="3"/>
  <c r="W186" i="3"/>
  <c r="W226" i="3"/>
  <c r="W116" i="3"/>
  <c r="W46" i="3"/>
  <c r="W166" i="3"/>
  <c r="W286" i="3"/>
  <c r="W26" i="3"/>
  <c r="W296" i="3"/>
  <c r="W346" i="3"/>
  <c r="W96" i="3"/>
  <c r="W136" i="3"/>
  <c r="W236" i="3"/>
  <c r="W306" i="3"/>
  <c r="W176" i="3"/>
  <c r="W106" i="3"/>
  <c r="W146" i="3"/>
  <c r="W246" i="3"/>
  <c r="W126" i="3"/>
  <c r="W76" i="3"/>
  <c r="W276" i="3"/>
  <c r="W156" i="3"/>
  <c r="W36" i="3"/>
  <c r="W316" i="3"/>
  <c r="W336" i="3"/>
  <c r="W66" i="3"/>
  <c r="W326" i="3"/>
  <c r="W56" i="3"/>
  <c r="V356" i="3"/>
  <c r="AD12" i="4" s="1"/>
  <c r="Y4" i="10" l="1"/>
  <c r="AG21" i="4"/>
  <c r="AC16" i="4"/>
  <c r="X75" i="3"/>
  <c r="AA27" i="4"/>
  <c r="V355" i="3"/>
  <c r="AD8" i="4"/>
  <c r="AD10" i="4" s="1"/>
  <c r="AD14" i="4" s="1"/>
  <c r="AB19" i="4"/>
  <c r="AB27" i="4" s="1"/>
  <c r="AE25" i="4"/>
  <c r="L48" i="4"/>
  <c r="M43" i="4" s="1"/>
  <c r="N44" i="4"/>
  <c r="M44" i="4"/>
  <c r="P31" i="4"/>
  <c r="O32" i="4"/>
  <c r="O34" i="4" s="1"/>
  <c r="AG3" i="4"/>
  <c r="Y3" i="10" s="1"/>
  <c r="AG22" i="4"/>
  <c r="X263" i="3"/>
  <c r="X265" i="3" s="1"/>
  <c r="V359" i="3" a="1"/>
  <c r="V359" i="3" s="1"/>
  <c r="AD6" i="4" s="1"/>
  <c r="U355" i="3"/>
  <c r="AC14" i="4" s="1"/>
  <c r="X303" i="3"/>
  <c r="X305" i="3" s="1"/>
  <c r="X95" i="3"/>
  <c r="X313" i="3"/>
  <c r="X315" i="3" s="1"/>
  <c r="X55" i="3"/>
  <c r="X175" i="3"/>
  <c r="X105" i="3"/>
  <c r="X233" i="3"/>
  <c r="X235" i="3" s="1"/>
  <c r="X323" i="3"/>
  <c r="X325" i="3" s="1"/>
  <c r="Z310" i="3"/>
  <c r="Z317" i="3" s="1"/>
  <c r="AA3" i="3"/>
  <c r="Z320" i="3"/>
  <c r="Z327" i="3" s="1"/>
  <c r="Z4" i="3"/>
  <c r="AH4" i="4"/>
  <c r="Z300" i="3"/>
  <c r="Z307" i="3" s="1"/>
  <c r="Z330" i="3"/>
  <c r="Z337" i="3" s="1"/>
  <c r="Z5" i="3"/>
  <c r="Z290" i="3"/>
  <c r="Z297" i="3" s="1"/>
  <c r="Z340" i="3"/>
  <c r="Z347" i="3" s="1"/>
  <c r="X45" i="3"/>
  <c r="X81" i="3"/>
  <c r="X85" i="3" s="1"/>
  <c r="X86" i="3"/>
  <c r="X213" i="3"/>
  <c r="X215" i="3" s="1"/>
  <c r="X135" i="3"/>
  <c r="X196" i="3"/>
  <c r="X191" i="3"/>
  <c r="X195" i="3" s="1"/>
  <c r="Y237" i="3"/>
  <c r="Y38" i="3"/>
  <c r="Y177" i="3"/>
  <c r="Y168" i="3"/>
  <c r="Y92" i="3"/>
  <c r="Y93" i="3" s="1"/>
  <c r="Y342" i="3"/>
  <c r="Y138" i="3"/>
  <c r="Y20" i="3"/>
  <c r="Y21" i="3" s="1"/>
  <c r="Y214" i="3"/>
  <c r="Y78" i="3"/>
  <c r="Y222" i="3"/>
  <c r="Y100" i="3"/>
  <c r="Y101" i="3" s="1"/>
  <c r="Y122" i="3"/>
  <c r="Y123" i="3" s="1"/>
  <c r="Y348" i="3"/>
  <c r="Y60" i="3"/>
  <c r="Y61" i="3" s="1"/>
  <c r="Y104" i="3"/>
  <c r="Y58" i="3"/>
  <c r="Y172" i="3"/>
  <c r="Y173" i="3" s="1"/>
  <c r="Y84" i="3"/>
  <c r="Y44" i="3"/>
  <c r="Y77" i="3"/>
  <c r="Y170" i="3"/>
  <c r="Y171" i="3" s="1"/>
  <c r="Y294" i="3"/>
  <c r="Y274" i="3"/>
  <c r="Y37" i="3"/>
  <c r="Y188" i="3"/>
  <c r="Y180" i="3"/>
  <c r="Y181" i="3" s="1"/>
  <c r="Y227" i="3"/>
  <c r="Y87" i="3"/>
  <c r="Y150" i="3"/>
  <c r="Y151" i="3" s="1"/>
  <c r="Y312" i="3"/>
  <c r="Y72" i="3"/>
  <c r="Y73" i="3" s="1"/>
  <c r="Y238" i="3"/>
  <c r="Y134" i="3"/>
  <c r="Y24" i="3"/>
  <c r="Y224" i="3"/>
  <c r="Y30" i="3"/>
  <c r="Y31" i="3" s="1"/>
  <c r="Y187" i="3"/>
  <c r="Y97" i="3"/>
  <c r="Y302" i="3"/>
  <c r="Y198" i="3"/>
  <c r="Y234" i="3"/>
  <c r="Y292" i="3"/>
  <c r="Y62" i="3"/>
  <c r="Y63" i="3" s="1"/>
  <c r="Y212" i="3"/>
  <c r="Y338" i="3"/>
  <c r="Y228" i="3"/>
  <c r="Y158" i="3"/>
  <c r="Y344" i="3"/>
  <c r="Y308" i="3"/>
  <c r="Y27" i="3"/>
  <c r="Y127" i="3"/>
  <c r="Y232" i="3"/>
  <c r="Y74" i="3"/>
  <c r="Y192" i="3"/>
  <c r="Y193" i="3" s="1"/>
  <c r="Y152" i="3"/>
  <c r="Y153" i="3" s="1"/>
  <c r="Y164" i="3"/>
  <c r="Y132" i="3"/>
  <c r="Y133" i="3" s="1"/>
  <c r="Y287" i="3"/>
  <c r="Y257" i="3"/>
  <c r="Y264" i="3"/>
  <c r="Y282" i="3"/>
  <c r="Y128" i="3"/>
  <c r="Y34" i="3"/>
  <c r="Y142" i="3"/>
  <c r="Y184" i="3"/>
  <c r="Y32" i="3"/>
  <c r="Y28" i="3"/>
  <c r="Y120" i="3"/>
  <c r="Y121" i="3" s="1"/>
  <c r="Y314" i="3"/>
  <c r="Y124" i="3"/>
  <c r="Y252" i="3"/>
  <c r="Y144" i="3"/>
  <c r="Y80" i="3"/>
  <c r="Y107" i="3"/>
  <c r="Y178" i="3"/>
  <c r="Y10" i="3"/>
  <c r="Y147" i="3"/>
  <c r="Y118" i="3"/>
  <c r="Y244" i="3"/>
  <c r="Y110" i="3"/>
  <c r="Y111" i="3" s="1"/>
  <c r="AG5" i="4"/>
  <c r="Y5" i="10" s="1"/>
  <c r="Y284" i="3"/>
  <c r="Y112" i="3"/>
  <c r="Y113" i="3" s="1"/>
  <c r="Y40" i="3"/>
  <c r="Y41" i="3" s="1"/>
  <c r="Y90" i="3"/>
  <c r="Y91" i="3" s="1"/>
  <c r="Y182" i="3"/>
  <c r="Y183" i="3" s="1"/>
  <c r="Y247" i="3"/>
  <c r="Y262" i="3"/>
  <c r="Y50" i="3"/>
  <c r="Y51" i="3" s="1"/>
  <c r="Y162" i="3"/>
  <c r="Y163" i="3" s="1"/>
  <c r="Y318" i="3"/>
  <c r="Y298" i="3"/>
  <c r="Y140" i="3"/>
  <c r="Y141" i="3" s="1"/>
  <c r="Y272" i="3"/>
  <c r="Y322" i="3"/>
  <c r="Y157" i="3"/>
  <c r="Y82" i="3"/>
  <c r="Y83" i="3" s="1"/>
  <c r="Y54" i="3"/>
  <c r="Y258" i="3"/>
  <c r="Y154" i="3"/>
  <c r="Y48" i="3"/>
  <c r="Y288" i="3"/>
  <c r="Y304" i="3"/>
  <c r="Y324" i="3"/>
  <c r="Y47" i="3"/>
  <c r="Y278" i="3"/>
  <c r="Y197" i="3"/>
  <c r="Y267" i="3"/>
  <c r="Y254" i="3"/>
  <c r="Y217" i="3"/>
  <c r="Y98" i="3"/>
  <c r="Y160" i="3"/>
  <c r="Y161" i="3" s="1"/>
  <c r="Y328" i="3"/>
  <c r="Y22" i="3"/>
  <c r="Y23" i="3" s="1"/>
  <c r="Y334" i="3"/>
  <c r="Y130" i="3"/>
  <c r="Y131" i="3" s="1"/>
  <c r="Y42" i="3"/>
  <c r="Y43" i="3" s="1"/>
  <c r="Y242" i="3"/>
  <c r="Y248" i="3"/>
  <c r="Y268" i="3"/>
  <c r="Y70" i="3"/>
  <c r="Y71" i="3" s="1"/>
  <c r="Y68" i="3"/>
  <c r="Y52" i="3"/>
  <c r="Y53" i="3" s="1"/>
  <c r="Y67" i="3"/>
  <c r="Y102" i="3"/>
  <c r="Y103" i="3" s="1"/>
  <c r="Y117" i="3"/>
  <c r="Y88" i="3"/>
  <c r="Y332" i="3"/>
  <c r="Y218" i="3"/>
  <c r="Y174" i="3"/>
  <c r="Y108" i="3"/>
  <c r="Y94" i="3"/>
  <c r="Y194" i="3"/>
  <c r="Y190" i="3"/>
  <c r="Y64" i="3"/>
  <c r="Y277" i="3"/>
  <c r="Y167" i="3"/>
  <c r="Y114" i="3"/>
  <c r="Y137" i="3"/>
  <c r="Y57" i="3"/>
  <c r="Y148" i="3"/>
  <c r="Y6" i="3"/>
  <c r="X223" i="3"/>
  <c r="X225" i="3" s="1"/>
  <c r="X293" i="3"/>
  <c r="X295" i="3" s="1"/>
  <c r="X333" i="3"/>
  <c r="X335" i="3" s="1"/>
  <c r="X358" i="3"/>
  <c r="AF24" i="4" s="1"/>
  <c r="X125" i="3"/>
  <c r="X243" i="3"/>
  <c r="X245" i="3" s="1"/>
  <c r="X33" i="3"/>
  <c r="X283" i="3"/>
  <c r="X285" i="3" s="1"/>
  <c r="W353" i="3"/>
  <c r="W34" i="3"/>
  <c r="X185" i="3"/>
  <c r="X25" i="3"/>
  <c r="X115" i="3"/>
  <c r="X155" i="3"/>
  <c r="X273" i="3"/>
  <c r="X275" i="3" s="1"/>
  <c r="W15" i="3"/>
  <c r="W352" i="3"/>
  <c r="AG13" i="4"/>
  <c r="X143" i="3"/>
  <c r="X145" i="3" s="1"/>
  <c r="X253" i="3"/>
  <c r="X255" i="3" s="1"/>
  <c r="X343" i="3"/>
  <c r="X345" i="3" s="1"/>
  <c r="X357" i="3"/>
  <c r="AF23" i="4" s="1"/>
  <c r="X65" i="3"/>
  <c r="X165" i="3"/>
  <c r="X16" i="3"/>
  <c r="X11" i="3"/>
  <c r="W356" i="3"/>
  <c r="AE12" i="4" s="1"/>
  <c r="Y7" i="3"/>
  <c r="AG17" i="4" s="1"/>
  <c r="X256" i="3"/>
  <c r="X116" i="3"/>
  <c r="X266" i="3"/>
  <c r="X226" i="3"/>
  <c r="X216" i="3"/>
  <c r="X76" i="3"/>
  <c r="X46" i="3"/>
  <c r="X56" i="3"/>
  <c r="X316" i="3"/>
  <c r="X276" i="3"/>
  <c r="X306" i="3"/>
  <c r="X36" i="3"/>
  <c r="X346" i="3"/>
  <c r="X336" i="3"/>
  <c r="X156" i="3"/>
  <c r="X166" i="3"/>
  <c r="X26" i="3"/>
  <c r="X296" i="3"/>
  <c r="X236" i="3"/>
  <c r="X66" i="3"/>
  <c r="X136" i="3"/>
  <c r="X286" i="3"/>
  <c r="X126" i="3"/>
  <c r="X246" i="3"/>
  <c r="X146" i="3"/>
  <c r="X186" i="3"/>
  <c r="X106" i="3"/>
  <c r="X326" i="3"/>
  <c r="X176" i="3"/>
  <c r="X96" i="3"/>
  <c r="Z4" i="10" l="1"/>
  <c r="AH21" i="4"/>
  <c r="AD16" i="4"/>
  <c r="AE8" i="4"/>
  <c r="M45" i="4"/>
  <c r="M46" i="4" s="1"/>
  <c r="M50" i="4"/>
  <c r="AC18" i="4"/>
  <c r="AC19" i="4" s="1"/>
  <c r="AF25" i="4"/>
  <c r="O44" i="4"/>
  <c r="AH22" i="4"/>
  <c r="AH3" i="4"/>
  <c r="Z3" i="10" s="1"/>
  <c r="P32" i="4"/>
  <c r="P34" i="4" s="1"/>
  <c r="Y33" i="3"/>
  <c r="Y35" i="3" s="1"/>
  <c r="Y243" i="3"/>
  <c r="Y245" i="3" s="1"/>
  <c r="Y233" i="3"/>
  <c r="Y235" i="3" s="1"/>
  <c r="Y95" i="3"/>
  <c r="Y175" i="3"/>
  <c r="Y343" i="3"/>
  <c r="Y345" i="3" s="1"/>
  <c r="AD18" i="4"/>
  <c r="Y185" i="3"/>
  <c r="Y223" i="3"/>
  <c r="Y225" i="3" s="1"/>
  <c r="Y55" i="3"/>
  <c r="Y293" i="3"/>
  <c r="Y295" i="3" s="1"/>
  <c r="Y75" i="3"/>
  <c r="Y263" i="3"/>
  <c r="Y265" i="3" s="1"/>
  <c r="Y253" i="3"/>
  <c r="Y255" i="3" s="1"/>
  <c r="Y303" i="3"/>
  <c r="Y305" i="3" s="1"/>
  <c r="Y25" i="3"/>
  <c r="Y45" i="3"/>
  <c r="Y358" i="3"/>
  <c r="AG24" i="4" s="1"/>
  <c r="Z287" i="3"/>
  <c r="Z238" i="3"/>
  <c r="Z342" i="3"/>
  <c r="Z194" i="3"/>
  <c r="Z328" i="3"/>
  <c r="Z344" i="3"/>
  <c r="Z112" i="3"/>
  <c r="Z113" i="3" s="1"/>
  <c r="Z304" i="3"/>
  <c r="Z228" i="3"/>
  <c r="Z48" i="3"/>
  <c r="Z312" i="3"/>
  <c r="Z117" i="3"/>
  <c r="Z100" i="3"/>
  <c r="Z101" i="3" s="1"/>
  <c r="Z82" i="3"/>
  <c r="Z83" i="3" s="1"/>
  <c r="Z64" i="3"/>
  <c r="Z278" i="3"/>
  <c r="Z68" i="3"/>
  <c r="Z144" i="3"/>
  <c r="Z232" i="3"/>
  <c r="Z80" i="3"/>
  <c r="Z28" i="3"/>
  <c r="Z318" i="3"/>
  <c r="Z267" i="3"/>
  <c r="Z258" i="3"/>
  <c r="Z158" i="3"/>
  <c r="Z292" i="3"/>
  <c r="Z237" i="3"/>
  <c r="Z58" i="3"/>
  <c r="Z157" i="3"/>
  <c r="Z172" i="3"/>
  <c r="Z173" i="3" s="1"/>
  <c r="Z40" i="3"/>
  <c r="Z41" i="3" s="1"/>
  <c r="Z44" i="3"/>
  <c r="Z197" i="3"/>
  <c r="Z160" i="3"/>
  <c r="Z161" i="3" s="1"/>
  <c r="Z222" i="3"/>
  <c r="Z198" i="3"/>
  <c r="Z62" i="3"/>
  <c r="Z63" i="3" s="1"/>
  <c r="Z227" i="3"/>
  <c r="Z132" i="3"/>
  <c r="Z133" i="3" s="1"/>
  <c r="Z94" i="3"/>
  <c r="Z334" i="3"/>
  <c r="Z148" i="3"/>
  <c r="Z57" i="3"/>
  <c r="Z70" i="3"/>
  <c r="Z71" i="3" s="1"/>
  <c r="Z308" i="3"/>
  <c r="Z74" i="3"/>
  <c r="Z322" i="3"/>
  <c r="Z167" i="3"/>
  <c r="Z224" i="3"/>
  <c r="Z37" i="3"/>
  <c r="Z332" i="3"/>
  <c r="Z182" i="3"/>
  <c r="Z183" i="3" s="1"/>
  <c r="Z128" i="3"/>
  <c r="Z130" i="3"/>
  <c r="Z131" i="3" s="1"/>
  <c r="Z90" i="3"/>
  <c r="Z91" i="3" s="1"/>
  <c r="Z20" i="3"/>
  <c r="Z21" i="3" s="1"/>
  <c r="Z24" i="3"/>
  <c r="Z67" i="3"/>
  <c r="Z140" i="3"/>
  <c r="Z141" i="3" s="1"/>
  <c r="Z164" i="3"/>
  <c r="Z162" i="3"/>
  <c r="Z163" i="3" s="1"/>
  <c r="Z84" i="3"/>
  <c r="Z217" i="3"/>
  <c r="Z78" i="3"/>
  <c r="Z284" i="3"/>
  <c r="Z92" i="3"/>
  <c r="Z93" i="3" s="1"/>
  <c r="Z302" i="3"/>
  <c r="Z282" i="3"/>
  <c r="Z50" i="3"/>
  <c r="Z51" i="3" s="1"/>
  <c r="Z104" i="3"/>
  <c r="Z264" i="3"/>
  <c r="Z34" i="3"/>
  <c r="Z77" i="3"/>
  <c r="Z190" i="3"/>
  <c r="Z277" i="3"/>
  <c r="Z114" i="3"/>
  <c r="Z137" i="3"/>
  <c r="Z154" i="3"/>
  <c r="Z338" i="3"/>
  <c r="Z187" i="3"/>
  <c r="Z174" i="3"/>
  <c r="Z120" i="3"/>
  <c r="Z121" i="3" s="1"/>
  <c r="Z98" i="3"/>
  <c r="Z152" i="3"/>
  <c r="Z153" i="3" s="1"/>
  <c r="Z324" i="3"/>
  <c r="Z218" i="3"/>
  <c r="Z122" i="3"/>
  <c r="Z123" i="3" s="1"/>
  <c r="Z272" i="3"/>
  <c r="Z107" i="3"/>
  <c r="Z294" i="3"/>
  <c r="Z214" i="3"/>
  <c r="Z212" i="3"/>
  <c r="Z268" i="3"/>
  <c r="Z52" i="3"/>
  <c r="Z53" i="3" s="1"/>
  <c r="Z54" i="3"/>
  <c r="Z234" i="3"/>
  <c r="Z47" i="3"/>
  <c r="Z22" i="3"/>
  <c r="Z23" i="3" s="1"/>
  <c r="Z42" i="3"/>
  <c r="Z43" i="3" s="1"/>
  <c r="Z142" i="3"/>
  <c r="Z244" i="3"/>
  <c r="Z274" i="3"/>
  <c r="Z314" i="3"/>
  <c r="Z257" i="3"/>
  <c r="Z38" i="3"/>
  <c r="Z177" i="3"/>
  <c r="Z124" i="3"/>
  <c r="Z178" i="3"/>
  <c r="Z60" i="3"/>
  <c r="Z61" i="3" s="1"/>
  <c r="Z150" i="3"/>
  <c r="Z151" i="3" s="1"/>
  <c r="Z288" i="3"/>
  <c r="Z27" i="3"/>
  <c r="Z127" i="3"/>
  <c r="Z110" i="3"/>
  <c r="Z111" i="3" s="1"/>
  <c r="Z134" i="3"/>
  <c r="Z168" i="3"/>
  <c r="Z262" i="3"/>
  <c r="Z184" i="3"/>
  <c r="Z32" i="3"/>
  <c r="Z88" i="3"/>
  <c r="Z102" i="3"/>
  <c r="Z103" i="3" s="1"/>
  <c r="Z72" i="3"/>
  <c r="Z73" i="3" s="1"/>
  <c r="Z247" i="3"/>
  <c r="Z252" i="3"/>
  <c r="Z108" i="3"/>
  <c r="AH5" i="4"/>
  <c r="Z5" i="10" s="1"/>
  <c r="Z97" i="3"/>
  <c r="Z87" i="3"/>
  <c r="Z138" i="3"/>
  <c r="Z147" i="3"/>
  <c r="Z348" i="3"/>
  <c r="Z170" i="3"/>
  <c r="Z171" i="3" s="1"/>
  <c r="Z192" i="3"/>
  <c r="Z193" i="3" s="1"/>
  <c r="Z118" i="3"/>
  <c r="Z10" i="3"/>
  <c r="Z254" i="3"/>
  <c r="Z242" i="3"/>
  <c r="Z180" i="3"/>
  <c r="Z181" i="3" s="1"/>
  <c r="Z248" i="3"/>
  <c r="Z188" i="3"/>
  <c r="Z30" i="3"/>
  <c r="Z31" i="3" s="1"/>
  <c r="Z298" i="3"/>
  <c r="Z6" i="3"/>
  <c r="Y333" i="3"/>
  <c r="Y335" i="3" s="1"/>
  <c r="Y165" i="3"/>
  <c r="Y115" i="3"/>
  <c r="Y143" i="3"/>
  <c r="Y145" i="3" s="1"/>
  <c r="Y323" i="3"/>
  <c r="Y325" i="3" s="1"/>
  <c r="AA320" i="3"/>
  <c r="AA327" i="3" s="1"/>
  <c r="AA5" i="3"/>
  <c r="AB3" i="3"/>
  <c r="AI4" i="4"/>
  <c r="AA300" i="3"/>
  <c r="AA307" i="3" s="1"/>
  <c r="AA340" i="3"/>
  <c r="AA347" i="3" s="1"/>
  <c r="AA310" i="3"/>
  <c r="AA317" i="3" s="1"/>
  <c r="AA330" i="3"/>
  <c r="AA337" i="3" s="1"/>
  <c r="AA290" i="3"/>
  <c r="AA297" i="3" s="1"/>
  <c r="AA4" i="3"/>
  <c r="Y354" i="3"/>
  <c r="AG9" i="4" s="1"/>
  <c r="Y273" i="3"/>
  <c r="Y275" i="3" s="1"/>
  <c r="Y313" i="3"/>
  <c r="Y315" i="3" s="1"/>
  <c r="Y65" i="3"/>
  <c r="W35" i="3"/>
  <c r="W359" i="3" s="1" a="1"/>
  <c r="W359" i="3" s="1"/>
  <c r="AE6" i="4" s="1"/>
  <c r="W354" i="3"/>
  <c r="AE9" i="4" s="1"/>
  <c r="Y357" i="3"/>
  <c r="AG23" i="4" s="1"/>
  <c r="Y283" i="3"/>
  <c r="Y285" i="3" s="1"/>
  <c r="Y155" i="3"/>
  <c r="Y86" i="3"/>
  <c r="Y81" i="3"/>
  <c r="Y85" i="3" s="1"/>
  <c r="X353" i="3"/>
  <c r="X34" i="3"/>
  <c r="X354" i="3" s="1"/>
  <c r="AF9" i="4" s="1"/>
  <c r="Y125" i="3"/>
  <c r="X15" i="3"/>
  <c r="X352" i="3"/>
  <c r="Y11" i="3"/>
  <c r="Y16" i="3"/>
  <c r="Y213" i="3"/>
  <c r="Y215" i="3" s="1"/>
  <c r="Y191" i="3"/>
  <c r="Y195" i="3" s="1"/>
  <c r="Y196" i="3"/>
  <c r="AH13" i="4"/>
  <c r="Y135" i="3"/>
  <c r="Y105" i="3"/>
  <c r="X356" i="3"/>
  <c r="AF12" i="4" s="1"/>
  <c r="Z7" i="3"/>
  <c r="AH17" i="4" s="1"/>
  <c r="Y116" i="3"/>
  <c r="Y266" i="3"/>
  <c r="Y226" i="3"/>
  <c r="Y236" i="3"/>
  <c r="Y276" i="3"/>
  <c r="Y46" i="3"/>
  <c r="Y346" i="3"/>
  <c r="Y336" i="3"/>
  <c r="Y146" i="3"/>
  <c r="Y256" i="3"/>
  <c r="Y216" i="3"/>
  <c r="Y286" i="3"/>
  <c r="Y296" i="3"/>
  <c r="Y56" i="3"/>
  <c r="Y176" i="3"/>
  <c r="Y66" i="3"/>
  <c r="Y126" i="3"/>
  <c r="Y96" i="3"/>
  <c r="Y306" i="3"/>
  <c r="Y316" i="3"/>
  <c r="Y156" i="3"/>
  <c r="Y186" i="3"/>
  <c r="Y76" i="3"/>
  <c r="Y26" i="3"/>
  <c r="Y166" i="3"/>
  <c r="Y106" i="3"/>
  <c r="Y326" i="3"/>
  <c r="Y246" i="3"/>
  <c r="Y136" i="3"/>
  <c r="Y36" i="3"/>
  <c r="AA4" i="10" l="1"/>
  <c r="AI21" i="4"/>
  <c r="AE16" i="4"/>
  <c r="AD19" i="4"/>
  <c r="R31" i="4" s="1"/>
  <c r="AE10" i="4"/>
  <c r="AF8" i="4"/>
  <c r="AF10" i="4" s="1"/>
  <c r="Q31" i="4"/>
  <c r="Q32" i="4" s="1"/>
  <c r="Q34" i="4" s="1"/>
  <c r="AC27" i="4"/>
  <c r="Z185" i="3"/>
  <c r="AG25" i="4"/>
  <c r="M47" i="4"/>
  <c r="P44" i="4"/>
  <c r="AI22" i="4"/>
  <c r="AI3" i="4"/>
  <c r="AA3" i="10" s="1"/>
  <c r="Z165" i="3"/>
  <c r="Z293" i="3"/>
  <c r="Z295" i="3" s="1"/>
  <c r="Z243" i="3"/>
  <c r="Z245" i="3" s="1"/>
  <c r="X35" i="3"/>
  <c r="Z273" i="3"/>
  <c r="Z275" i="3" s="1"/>
  <c r="Z33" i="3"/>
  <c r="Z35" i="3" s="1"/>
  <c r="Z313" i="3"/>
  <c r="Z315" i="3" s="1"/>
  <c r="Z263" i="3"/>
  <c r="Z265" i="3" s="1"/>
  <c r="Z55" i="3"/>
  <c r="Z175" i="3"/>
  <c r="Z143" i="3"/>
  <c r="Z145" i="3" s="1"/>
  <c r="Z283" i="3"/>
  <c r="Z285" i="3" s="1"/>
  <c r="AB300" i="3"/>
  <c r="AB307" i="3" s="1"/>
  <c r="AB5" i="3"/>
  <c r="AJ4" i="4"/>
  <c r="AB330" i="3"/>
  <c r="AB337" i="3" s="1"/>
  <c r="AB310" i="3"/>
  <c r="AB317" i="3" s="1"/>
  <c r="AB290" i="3"/>
  <c r="AB297" i="3" s="1"/>
  <c r="AB4" i="3"/>
  <c r="AB340" i="3"/>
  <c r="AB347" i="3" s="1"/>
  <c r="AB320" i="3"/>
  <c r="AB327" i="3" s="1"/>
  <c r="AC3" i="3"/>
  <c r="Z358" i="3"/>
  <c r="AH24" i="4" s="1"/>
  <c r="Z303" i="3"/>
  <c r="Z305" i="3" s="1"/>
  <c r="Z333" i="3"/>
  <c r="Z335" i="3" s="1"/>
  <c r="Z223" i="3"/>
  <c r="Z225" i="3" s="1"/>
  <c r="Z233" i="3"/>
  <c r="Z235" i="3" s="1"/>
  <c r="Z343" i="3"/>
  <c r="Z345" i="3" s="1"/>
  <c r="Z115" i="3"/>
  <c r="Z125" i="3"/>
  <c r="Z354" i="3"/>
  <c r="AH9" i="4" s="1"/>
  <c r="Z95" i="3"/>
  <c r="Z135" i="3"/>
  <c r="W355" i="3"/>
  <c r="AE14" i="4" s="1"/>
  <c r="Z357" i="3"/>
  <c r="AH23" i="4" s="1"/>
  <c r="Z16" i="3"/>
  <c r="Z11" i="3"/>
  <c r="Z81" i="3"/>
  <c r="Z85" i="3" s="1"/>
  <c r="Z86" i="3"/>
  <c r="Z323" i="3"/>
  <c r="Z325" i="3" s="1"/>
  <c r="Z45" i="3"/>
  <c r="Z25" i="3"/>
  <c r="Y15" i="3"/>
  <c r="Y355" i="3" s="1"/>
  <c r="Y352" i="3"/>
  <c r="Z155" i="3"/>
  <c r="Z191" i="3"/>
  <c r="Z195" i="3" s="1"/>
  <c r="Z196" i="3"/>
  <c r="AI13" i="4"/>
  <c r="Z65" i="3"/>
  <c r="Z105" i="3"/>
  <c r="AA288" i="3"/>
  <c r="AA298" i="3"/>
  <c r="AA97" i="3"/>
  <c r="AA138" i="3"/>
  <c r="AA140" i="3"/>
  <c r="AA141" i="3" s="1"/>
  <c r="AA102" i="3"/>
  <c r="AA103" i="3" s="1"/>
  <c r="AA158" i="3"/>
  <c r="AA184" i="3"/>
  <c r="AA114" i="3"/>
  <c r="AA94" i="3"/>
  <c r="AA257" i="3"/>
  <c r="AA192" i="3"/>
  <c r="AA193" i="3" s="1"/>
  <c r="AA262" i="3"/>
  <c r="AA90" i="3"/>
  <c r="AA91" i="3" s="1"/>
  <c r="AA227" i="3"/>
  <c r="AA348" i="3"/>
  <c r="AA272" i="3"/>
  <c r="AA118" i="3"/>
  <c r="AA344" i="3"/>
  <c r="AA142" i="3"/>
  <c r="AA22" i="3"/>
  <c r="AA23" i="3" s="1"/>
  <c r="AI5" i="4"/>
  <c r="AA5" i="10" s="1"/>
  <c r="AA247" i="3"/>
  <c r="AA37" i="3"/>
  <c r="AA107" i="3"/>
  <c r="AA127" i="3"/>
  <c r="AA232" i="3"/>
  <c r="AA24" i="3"/>
  <c r="AA304" i="3"/>
  <c r="AA32" i="3"/>
  <c r="AA98" i="3"/>
  <c r="AA122" i="3"/>
  <c r="AA123" i="3" s="1"/>
  <c r="AA258" i="3"/>
  <c r="AA217" i="3"/>
  <c r="AA117" i="3"/>
  <c r="AA64" i="3"/>
  <c r="AA244" i="3"/>
  <c r="AA60" i="3"/>
  <c r="AA61" i="3" s="1"/>
  <c r="AA222" i="3"/>
  <c r="AA52" i="3"/>
  <c r="AA53" i="3" s="1"/>
  <c r="AA190" i="3"/>
  <c r="AA197" i="3"/>
  <c r="AA287" i="3"/>
  <c r="AA78" i="3"/>
  <c r="AA108" i="3"/>
  <c r="AA148" i="3"/>
  <c r="AA168" i="3"/>
  <c r="AA242" i="3"/>
  <c r="AA160" i="3"/>
  <c r="AA161" i="3" s="1"/>
  <c r="AA248" i="3"/>
  <c r="AA132" i="3"/>
  <c r="AA133" i="3" s="1"/>
  <c r="AA238" i="3"/>
  <c r="AA87" i="3"/>
  <c r="AA62" i="3"/>
  <c r="AA63" i="3" s="1"/>
  <c r="AA88" i="3"/>
  <c r="AA284" i="3"/>
  <c r="AA104" i="3"/>
  <c r="AA57" i="3"/>
  <c r="AA318" i="3"/>
  <c r="AA264" i="3"/>
  <c r="AA164" i="3"/>
  <c r="AA44" i="3"/>
  <c r="AA54" i="3"/>
  <c r="AA48" i="3"/>
  <c r="AA144" i="3"/>
  <c r="AA77" i="3"/>
  <c r="AA150" i="3"/>
  <c r="AA151" i="3" s="1"/>
  <c r="AA120" i="3"/>
  <c r="AA121" i="3" s="1"/>
  <c r="AA157" i="3"/>
  <c r="AA234" i="3"/>
  <c r="AA178" i="3"/>
  <c r="AA228" i="3"/>
  <c r="AA312" i="3"/>
  <c r="AA28" i="3"/>
  <c r="AA314" i="3"/>
  <c r="AA342" i="3"/>
  <c r="AA50" i="3"/>
  <c r="AA51" i="3" s="1"/>
  <c r="AA80" i="3"/>
  <c r="AA81" i="3" s="1"/>
  <c r="AA134" i="3"/>
  <c r="AA188" i="3"/>
  <c r="AA267" i="3"/>
  <c r="AA170" i="3"/>
  <c r="AA171" i="3" s="1"/>
  <c r="AA167" i="3"/>
  <c r="AA68" i="3"/>
  <c r="AA212" i="3"/>
  <c r="AA294" i="3"/>
  <c r="AA194" i="3"/>
  <c r="AA282" i="3"/>
  <c r="AA34" i="3"/>
  <c r="AA278" i="3"/>
  <c r="AA72" i="3"/>
  <c r="AA73" i="3" s="1"/>
  <c r="AA67" i="3"/>
  <c r="AA124" i="3"/>
  <c r="AA237" i="3"/>
  <c r="AA42" i="3"/>
  <c r="AA43" i="3" s="1"/>
  <c r="AA112" i="3"/>
  <c r="AA113" i="3" s="1"/>
  <c r="AA172" i="3"/>
  <c r="AA173" i="3" s="1"/>
  <c r="AA162" i="3"/>
  <c r="AA163" i="3" s="1"/>
  <c r="AA137" i="3"/>
  <c r="AA328" i="3"/>
  <c r="AA38" i="3"/>
  <c r="AA154" i="3"/>
  <c r="AA254" i="3"/>
  <c r="AA20" i="3"/>
  <c r="AA21" i="3" s="1"/>
  <c r="AA322" i="3"/>
  <c r="AA277" i="3"/>
  <c r="AA182" i="3"/>
  <c r="AA183" i="3" s="1"/>
  <c r="AA30" i="3"/>
  <c r="AA31" i="3" s="1"/>
  <c r="AA128" i="3"/>
  <c r="AA27" i="3"/>
  <c r="AA152" i="3"/>
  <c r="AA153" i="3" s="1"/>
  <c r="AA252" i="3"/>
  <c r="AA92" i="3"/>
  <c r="AA93" i="3" s="1"/>
  <c r="AA180" i="3"/>
  <c r="AA181" i="3" s="1"/>
  <c r="AA332" i="3"/>
  <c r="AA268" i="3"/>
  <c r="AA214" i="3"/>
  <c r="AA147" i="3"/>
  <c r="AA292" i="3"/>
  <c r="AA224" i="3"/>
  <c r="AA324" i="3"/>
  <c r="AA177" i="3"/>
  <c r="AA274" i="3"/>
  <c r="AA174" i="3"/>
  <c r="AA110" i="3"/>
  <c r="AA111" i="3" s="1"/>
  <c r="AA74" i="3"/>
  <c r="AA334" i="3"/>
  <c r="AA10" i="3"/>
  <c r="AA338" i="3"/>
  <c r="AA40" i="3"/>
  <c r="AA41" i="3" s="1"/>
  <c r="AA58" i="3"/>
  <c r="AA198" i="3"/>
  <c r="AA308" i="3"/>
  <c r="AA187" i="3"/>
  <c r="AA302" i="3"/>
  <c r="AA130" i="3"/>
  <c r="AA131" i="3" s="1"/>
  <c r="AA70" i="3"/>
  <c r="AA71" i="3" s="1"/>
  <c r="AA47" i="3"/>
  <c r="AA100" i="3"/>
  <c r="AA101" i="3" s="1"/>
  <c r="AA82" i="3"/>
  <c r="AA218" i="3"/>
  <c r="AA6" i="3"/>
  <c r="Z253" i="3"/>
  <c r="Z255" i="3" s="1"/>
  <c r="Z213" i="3"/>
  <c r="Z215" i="3" s="1"/>
  <c r="Z75" i="3"/>
  <c r="Y353" i="3"/>
  <c r="AA7" i="3"/>
  <c r="AI17" i="4" s="1"/>
  <c r="Z226" i="3"/>
  <c r="Z276" i="3"/>
  <c r="Z106" i="3"/>
  <c r="Z236" i="3"/>
  <c r="Z146" i="3"/>
  <c r="Z266" i="3"/>
  <c r="Z126" i="3"/>
  <c r="Z346" i="3"/>
  <c r="Z66" i="3"/>
  <c r="Z116" i="3"/>
  <c r="Z246" i="3"/>
  <c r="Z326" i="3"/>
  <c r="Z256" i="3"/>
  <c r="Z336" i="3"/>
  <c r="Z286" i="3"/>
  <c r="Z306" i="3"/>
  <c r="Z26" i="3"/>
  <c r="Z96" i="3"/>
  <c r="Z56" i="3"/>
  <c r="Z46" i="3"/>
  <c r="Z186" i="3"/>
  <c r="Z176" i="3"/>
  <c r="Z216" i="3"/>
  <c r="Z156" i="3"/>
  <c r="Z36" i="3"/>
  <c r="Z166" i="3"/>
  <c r="Z296" i="3"/>
  <c r="Z316" i="3"/>
  <c r="Z136" i="3"/>
  <c r="Z76" i="3"/>
  <c r="Y356" i="3"/>
  <c r="AG12" i="4" s="1"/>
  <c r="AJ21" i="4" l="1"/>
  <c r="AB4" i="10"/>
  <c r="AD27" i="4"/>
  <c r="AH25" i="4"/>
  <c r="AG8" i="4"/>
  <c r="M48" i="4"/>
  <c r="N43" i="4" s="1"/>
  <c r="N50" i="4" s="1"/>
  <c r="Q44" i="4"/>
  <c r="R32" i="4"/>
  <c r="R34" i="4" s="1"/>
  <c r="AJ22" i="4"/>
  <c r="AJ3" i="4"/>
  <c r="AB3" i="10" s="1"/>
  <c r="Y359" i="3" a="1"/>
  <c r="Y359" i="3" s="1"/>
  <c r="AG6" i="4" s="1"/>
  <c r="AA115" i="3"/>
  <c r="AE18" i="4"/>
  <c r="AE19" i="4" s="1"/>
  <c r="AA95" i="3"/>
  <c r="AA105" i="3"/>
  <c r="X355" i="3"/>
  <c r="AF14" i="4" s="1"/>
  <c r="X359" i="3" a="1"/>
  <c r="X359" i="3" s="1"/>
  <c r="AF6" i="4" s="1"/>
  <c r="AF16" i="4" s="1"/>
  <c r="AA196" i="3"/>
  <c r="AA191" i="3"/>
  <c r="AA195" i="3" s="1"/>
  <c r="AB197" i="3"/>
  <c r="AB287" i="3"/>
  <c r="AB342" i="3"/>
  <c r="AB272" i="3"/>
  <c r="AB104" i="3"/>
  <c r="AB52" i="3"/>
  <c r="AB53" i="3" s="1"/>
  <c r="AB34" i="3"/>
  <c r="AB62" i="3"/>
  <c r="AB63" i="3" s="1"/>
  <c r="AB198" i="3"/>
  <c r="AB167" i="3"/>
  <c r="AB157" i="3"/>
  <c r="AB87" i="3"/>
  <c r="AB24" i="3"/>
  <c r="AB288" i="3"/>
  <c r="AB344" i="3"/>
  <c r="AB90" i="3"/>
  <c r="AB91" i="3" s="1"/>
  <c r="AB234" i="3"/>
  <c r="AB184" i="3"/>
  <c r="AB38" i="3"/>
  <c r="AB212" i="3"/>
  <c r="AB144" i="3"/>
  <c r="AB264" i="3"/>
  <c r="AB224" i="3"/>
  <c r="AB148" i="3"/>
  <c r="AB112" i="3"/>
  <c r="AB113" i="3" s="1"/>
  <c r="AB98" i="3"/>
  <c r="AB108" i="3"/>
  <c r="AB70" i="3"/>
  <c r="AB71" i="3" s="1"/>
  <c r="AB152" i="3"/>
  <c r="AB153" i="3" s="1"/>
  <c r="AB262" i="3"/>
  <c r="AB348" i="3"/>
  <c r="AB177" i="3"/>
  <c r="AB308" i="3"/>
  <c r="AB132" i="3"/>
  <c r="AB133" i="3" s="1"/>
  <c r="AB324" i="3"/>
  <c r="AB338" i="3"/>
  <c r="AB97" i="3"/>
  <c r="AB318" i="3"/>
  <c r="AB110" i="3"/>
  <c r="AB111" i="3" s="1"/>
  <c r="AB67" i="3"/>
  <c r="AB54" i="3"/>
  <c r="AB107" i="3"/>
  <c r="AB282" i="3"/>
  <c r="AB178" i="3"/>
  <c r="AB228" i="3"/>
  <c r="AB332" i="3"/>
  <c r="AB214" i="3"/>
  <c r="AB40" i="3"/>
  <c r="AB41" i="3" s="1"/>
  <c r="AB138" i="3"/>
  <c r="AB134" i="3"/>
  <c r="AB102" i="3"/>
  <c r="AB103" i="3" s="1"/>
  <c r="AB334" i="3"/>
  <c r="AB127" i="3"/>
  <c r="AB137" i="3"/>
  <c r="AB322" i="3"/>
  <c r="AB44" i="3"/>
  <c r="AB248" i="3"/>
  <c r="AB160" i="3"/>
  <c r="AB161" i="3" s="1"/>
  <c r="AB60" i="3"/>
  <c r="AB61" i="3" s="1"/>
  <c r="AB254" i="3"/>
  <c r="AB32" i="3"/>
  <c r="AB154" i="3"/>
  <c r="AB218" i="3"/>
  <c r="AB302" i="3"/>
  <c r="AB77" i="3"/>
  <c r="AB170" i="3"/>
  <c r="AB171" i="3" s="1"/>
  <c r="AB82" i="3"/>
  <c r="AB47" i="3"/>
  <c r="AB222" i="3"/>
  <c r="AB88" i="3"/>
  <c r="AB22" i="3"/>
  <c r="AB23" i="3" s="1"/>
  <c r="AB268" i="3"/>
  <c r="AB298" i="3"/>
  <c r="AB258" i="3"/>
  <c r="AB48" i="3"/>
  <c r="AB92" i="3"/>
  <c r="AB93" i="3" s="1"/>
  <c r="AB94" i="3"/>
  <c r="AB42" i="3"/>
  <c r="AB43" i="3" s="1"/>
  <c r="AB278" i="3"/>
  <c r="AB172" i="3"/>
  <c r="AB173" i="3" s="1"/>
  <c r="AB232" i="3"/>
  <c r="AB118" i="3"/>
  <c r="AB57" i="3"/>
  <c r="AJ5" i="4"/>
  <c r="AB5" i="10" s="1"/>
  <c r="AB304" i="3"/>
  <c r="AB217" i="3"/>
  <c r="AB257" i="3"/>
  <c r="AB187" i="3"/>
  <c r="AB190" i="3"/>
  <c r="AB244" i="3"/>
  <c r="AB20" i="3"/>
  <c r="AB21" i="3" s="1"/>
  <c r="AB284" i="3"/>
  <c r="AB130" i="3"/>
  <c r="AB131" i="3" s="1"/>
  <c r="AB252" i="3"/>
  <c r="AB58" i="3"/>
  <c r="AB68" i="3"/>
  <c r="AB142" i="3"/>
  <c r="AB292" i="3"/>
  <c r="AB238" i="3"/>
  <c r="AB117" i="3"/>
  <c r="AB158" i="3"/>
  <c r="AB114" i="3"/>
  <c r="AB242" i="3"/>
  <c r="AB277" i="3"/>
  <c r="AB180" i="3"/>
  <c r="AB181" i="3" s="1"/>
  <c r="AB122" i="3"/>
  <c r="AB123" i="3" s="1"/>
  <c r="AB164" i="3"/>
  <c r="AB124" i="3"/>
  <c r="AB237" i="3"/>
  <c r="AB267" i="3"/>
  <c r="AB140" i="3"/>
  <c r="AB141" i="3" s="1"/>
  <c r="AB328" i="3"/>
  <c r="AB274" i="3"/>
  <c r="AB128" i="3"/>
  <c r="AB247" i="3"/>
  <c r="AB78" i="3"/>
  <c r="AB182" i="3"/>
  <c r="AB183" i="3" s="1"/>
  <c r="AB27" i="3"/>
  <c r="AB30" i="3"/>
  <c r="AB31" i="3" s="1"/>
  <c r="AB100" i="3"/>
  <c r="AB101" i="3" s="1"/>
  <c r="AB72" i="3"/>
  <c r="AB73" i="3" s="1"/>
  <c r="AB28" i="3"/>
  <c r="AB168" i="3"/>
  <c r="AB74" i="3"/>
  <c r="AB192" i="3"/>
  <c r="AB294" i="3"/>
  <c r="AB147" i="3"/>
  <c r="AB174" i="3"/>
  <c r="AB10" i="3"/>
  <c r="AB150" i="3"/>
  <c r="AB151" i="3" s="1"/>
  <c r="AB64" i="3"/>
  <c r="AB312" i="3"/>
  <c r="AB120" i="3"/>
  <c r="AB121" i="3" s="1"/>
  <c r="AB314" i="3"/>
  <c r="AB80" i="3"/>
  <c r="AB81" i="3" s="1"/>
  <c r="AB227" i="3"/>
  <c r="AB188" i="3"/>
  <c r="AB37" i="3"/>
  <c r="AB162" i="3"/>
  <c r="AB163" i="3" s="1"/>
  <c r="AB50" i="3"/>
  <c r="AB51" i="3" s="1"/>
  <c r="AB6" i="3"/>
  <c r="AA135" i="3"/>
  <c r="AA65" i="3"/>
  <c r="AA283" i="3"/>
  <c r="AA285" i="3" s="1"/>
  <c r="AA223" i="3"/>
  <c r="AA225" i="3" s="1"/>
  <c r="AA213" i="3"/>
  <c r="AA215" i="3" s="1"/>
  <c r="AA33" i="3"/>
  <c r="AA313" i="3"/>
  <c r="AA315" i="3" s="1"/>
  <c r="AA25" i="3"/>
  <c r="AA125" i="3"/>
  <c r="AA143" i="3"/>
  <c r="AA145" i="3" s="1"/>
  <c r="AJ13" i="4"/>
  <c r="AA233" i="3"/>
  <c r="AA235" i="3" s="1"/>
  <c r="AA303" i="3"/>
  <c r="AA305" i="3" s="1"/>
  <c r="AA333" i="3"/>
  <c r="AA335" i="3" s="1"/>
  <c r="AA155" i="3"/>
  <c r="AA55" i="3"/>
  <c r="AA263" i="3"/>
  <c r="AA265" i="3" s="1"/>
  <c r="AA45" i="3"/>
  <c r="AA185" i="3"/>
  <c r="AA175" i="3"/>
  <c r="AA165" i="3"/>
  <c r="AA273" i="3"/>
  <c r="AA275" i="3" s="1"/>
  <c r="AA357" i="3"/>
  <c r="AI23" i="4" s="1"/>
  <c r="AA83" i="3"/>
  <c r="AA84" i="3" s="1"/>
  <c r="AA354" i="3" s="1"/>
  <c r="AI9" i="4" s="1"/>
  <c r="AA343" i="3"/>
  <c r="AA345" i="3" s="1"/>
  <c r="AC4" i="3"/>
  <c r="AK4" i="4"/>
  <c r="AC5" i="3"/>
  <c r="AD3" i="3"/>
  <c r="AC340" i="3"/>
  <c r="AC347" i="3" s="1"/>
  <c r="AC310" i="3"/>
  <c r="AC317" i="3" s="1"/>
  <c r="AC320" i="3"/>
  <c r="AC327" i="3" s="1"/>
  <c r="AC300" i="3"/>
  <c r="AC307" i="3" s="1"/>
  <c r="AC290" i="3"/>
  <c r="AC297" i="3" s="1"/>
  <c r="AC330" i="3"/>
  <c r="AC337" i="3" s="1"/>
  <c r="AA358" i="3"/>
  <c r="AI24" i="4" s="1"/>
  <c r="AA75" i="3"/>
  <c r="AA323" i="3"/>
  <c r="AA325" i="3" s="1"/>
  <c r="AA293" i="3"/>
  <c r="AA295" i="3" s="1"/>
  <c r="AA16" i="3"/>
  <c r="AA11" i="3"/>
  <c r="AA253" i="3"/>
  <c r="AA255" i="3" s="1"/>
  <c r="AA243" i="3"/>
  <c r="AA245" i="3" s="1"/>
  <c r="Z352" i="3"/>
  <c r="Z15" i="3"/>
  <c r="Z355" i="3" s="1"/>
  <c r="Z353" i="3"/>
  <c r="Z356" i="3"/>
  <c r="AH12" i="4" s="1"/>
  <c r="AB7" i="3"/>
  <c r="AJ17" i="4" s="1"/>
  <c r="AA266" i="3"/>
  <c r="AA276" i="3"/>
  <c r="AA226" i="3"/>
  <c r="AA236" i="3"/>
  <c r="AA56" i="3"/>
  <c r="AA156" i="3"/>
  <c r="AA126" i="3"/>
  <c r="AA346" i="3"/>
  <c r="AA106" i="3"/>
  <c r="AA96" i="3"/>
  <c r="AA66" i="3"/>
  <c r="AA286" i="3"/>
  <c r="AA216" i="3"/>
  <c r="AA326" i="3"/>
  <c r="AA76" i="3"/>
  <c r="AA256" i="3"/>
  <c r="AA86" i="3"/>
  <c r="AA316" i="3"/>
  <c r="AA146" i="3"/>
  <c r="AA166" i="3"/>
  <c r="AA26" i="3"/>
  <c r="AA296" i="3"/>
  <c r="AA306" i="3"/>
  <c r="AA36" i="3"/>
  <c r="AA246" i="3"/>
  <c r="AA46" i="3"/>
  <c r="AA136" i="3"/>
  <c r="AA176" i="3"/>
  <c r="AA186" i="3"/>
  <c r="AA336" i="3"/>
  <c r="AA116" i="3"/>
  <c r="AC4" i="10" l="1"/>
  <c r="AK21" i="4"/>
  <c r="N45" i="4"/>
  <c r="N46" i="4" s="1"/>
  <c r="AG16" i="4"/>
  <c r="AH8" i="4"/>
  <c r="AG10" i="4"/>
  <c r="AG14" i="4" s="1"/>
  <c r="AI25" i="4"/>
  <c r="AB213" i="3"/>
  <c r="AB215" i="3" s="1"/>
  <c r="AB83" i="3"/>
  <c r="AB84" i="3" s="1"/>
  <c r="AB293" i="3"/>
  <c r="AB295" i="3" s="1"/>
  <c r="AB143" i="3"/>
  <c r="AB145" i="3" s="1"/>
  <c r="AB233" i="3"/>
  <c r="AB235" i="3" s="1"/>
  <c r="AB273" i="3"/>
  <c r="AB275" i="3" s="1"/>
  <c r="AB303" i="3"/>
  <c r="AB305" i="3" s="1"/>
  <c r="AB253" i="3"/>
  <c r="AB255" i="3" s="1"/>
  <c r="Z359" i="3" a="1"/>
  <c r="Z359" i="3" s="1"/>
  <c r="AH6" i="4" s="1"/>
  <c r="AB193" i="3"/>
  <c r="AB194" i="3" s="1"/>
  <c r="R44" i="4"/>
  <c r="AK22" i="4"/>
  <c r="AK3" i="4"/>
  <c r="AC3" i="10" s="1"/>
  <c r="AE27" i="4"/>
  <c r="S31" i="4"/>
  <c r="AA85" i="3"/>
  <c r="AB55" i="3"/>
  <c r="AB313" i="3"/>
  <c r="AB315" i="3" s="1"/>
  <c r="AB223" i="3"/>
  <c r="AB225" i="3" s="1"/>
  <c r="AB65" i="3"/>
  <c r="AB283" i="3"/>
  <c r="AB285" i="3" s="1"/>
  <c r="AB33" i="3"/>
  <c r="AB35" i="3" s="1"/>
  <c r="AF18" i="4"/>
  <c r="AF19" i="4" s="1"/>
  <c r="AB185" i="3"/>
  <c r="AB105" i="3"/>
  <c r="AB243" i="3"/>
  <c r="AB245" i="3" s="1"/>
  <c r="AB323" i="3"/>
  <c r="AB325" i="3" s="1"/>
  <c r="AB357" i="3"/>
  <c r="AJ23" i="4" s="1"/>
  <c r="AB125" i="3"/>
  <c r="AA353" i="3"/>
  <c r="AA15" i="3"/>
  <c r="AA352" i="3"/>
  <c r="AB358" i="3"/>
  <c r="AJ24" i="4" s="1"/>
  <c r="AB155" i="3"/>
  <c r="AB343" i="3"/>
  <c r="AB345" i="3" s="1"/>
  <c r="AB75" i="3"/>
  <c r="AB165" i="3"/>
  <c r="AB11" i="3"/>
  <c r="AB16" i="3"/>
  <c r="AB175" i="3"/>
  <c r="AB115" i="3"/>
  <c r="AB25" i="3"/>
  <c r="AD330" i="3"/>
  <c r="AD337" i="3" s="1"/>
  <c r="AD300" i="3"/>
  <c r="AD307" i="3" s="1"/>
  <c r="AD310" i="3"/>
  <c r="AD317" i="3" s="1"/>
  <c r="AD340" i="3"/>
  <c r="AD347" i="3" s="1"/>
  <c r="AD5" i="3"/>
  <c r="AD4" i="3"/>
  <c r="AD290" i="3"/>
  <c r="AD297" i="3" s="1"/>
  <c r="AD320" i="3"/>
  <c r="AD327" i="3" s="1"/>
  <c r="AL4" i="4"/>
  <c r="AE3" i="3"/>
  <c r="AB45" i="3"/>
  <c r="AB95" i="3"/>
  <c r="AB196" i="3"/>
  <c r="AB191" i="3"/>
  <c r="AK13" i="4"/>
  <c r="AC117" i="3"/>
  <c r="AC314" i="3"/>
  <c r="AC87" i="3"/>
  <c r="AC174" i="3"/>
  <c r="AC27" i="3"/>
  <c r="AC10" i="3"/>
  <c r="AC127" i="3"/>
  <c r="AC84" i="3"/>
  <c r="AC64" i="3"/>
  <c r="AC22" i="3"/>
  <c r="AC23" i="3" s="1"/>
  <c r="AC237" i="3"/>
  <c r="AC188" i="3"/>
  <c r="AC162" i="3"/>
  <c r="AC163" i="3" s="1"/>
  <c r="AC30" i="3"/>
  <c r="AC31" i="3" s="1"/>
  <c r="AC62" i="3"/>
  <c r="AC63" i="3" s="1"/>
  <c r="AC284" i="3"/>
  <c r="AC257" i="3"/>
  <c r="AC180" i="3"/>
  <c r="AC181" i="3" s="1"/>
  <c r="AC342" i="3"/>
  <c r="AC147" i="3"/>
  <c r="AC287" i="3"/>
  <c r="AC74" i="3"/>
  <c r="AC227" i="3"/>
  <c r="AC187" i="3"/>
  <c r="AC228" i="3"/>
  <c r="AC44" i="3"/>
  <c r="AC178" i="3"/>
  <c r="AC224" i="3"/>
  <c r="AC318" i="3"/>
  <c r="AC128" i="3"/>
  <c r="AC138" i="3"/>
  <c r="AC282" i="3"/>
  <c r="AC170" i="3"/>
  <c r="AC124" i="3"/>
  <c r="AC262" i="3"/>
  <c r="AC184" i="3"/>
  <c r="AC312" i="3"/>
  <c r="AC104" i="3"/>
  <c r="AC212" i="3"/>
  <c r="AC57" i="3"/>
  <c r="AC144" i="3"/>
  <c r="AC288" i="3"/>
  <c r="AC58" i="3"/>
  <c r="AC37" i="3"/>
  <c r="AC160" i="3"/>
  <c r="AC161" i="3" s="1"/>
  <c r="AC142" i="3"/>
  <c r="AC218" i="3"/>
  <c r="AC222" i="3"/>
  <c r="AC110" i="3"/>
  <c r="AC111" i="3" s="1"/>
  <c r="AC294" i="3"/>
  <c r="AC344" i="3"/>
  <c r="AC38" i="3"/>
  <c r="AC80" i="3"/>
  <c r="AC81" i="3" s="1"/>
  <c r="AC248" i="3"/>
  <c r="AC238" i="3"/>
  <c r="AK5" i="4"/>
  <c r="AC5" i="10" s="1"/>
  <c r="AC72" i="3"/>
  <c r="AC73" i="3" s="1"/>
  <c r="AC292" i="3"/>
  <c r="AC334" i="3"/>
  <c r="AC152" i="3"/>
  <c r="AC153" i="3" s="1"/>
  <c r="AC54" i="3"/>
  <c r="AC47" i="3"/>
  <c r="AC118" i="3"/>
  <c r="AC182" i="3"/>
  <c r="AC183" i="3" s="1"/>
  <c r="AC214" i="3"/>
  <c r="AC242" i="3"/>
  <c r="AC274" i="3"/>
  <c r="AC28" i="3"/>
  <c r="AC348" i="3"/>
  <c r="AC198" i="3"/>
  <c r="AC234" i="3"/>
  <c r="AC88" i="3"/>
  <c r="AC232" i="3"/>
  <c r="AC122" i="3"/>
  <c r="AC123" i="3" s="1"/>
  <c r="AC140" i="3"/>
  <c r="AC141" i="3" s="1"/>
  <c r="AC272" i="3"/>
  <c r="AC67" i="3"/>
  <c r="AC190" i="3"/>
  <c r="AC191" i="3" s="1"/>
  <c r="AC92" i="3"/>
  <c r="AC93" i="3" s="1"/>
  <c r="AC32" i="3"/>
  <c r="AC328" i="3"/>
  <c r="AC172" i="3"/>
  <c r="AC173" i="3" s="1"/>
  <c r="AC247" i="3"/>
  <c r="AC48" i="3"/>
  <c r="AC112" i="3"/>
  <c r="AC113" i="3" s="1"/>
  <c r="AC264" i="3"/>
  <c r="AC258" i="3"/>
  <c r="AC34" i="3"/>
  <c r="AC134" i="3"/>
  <c r="AC252" i="3"/>
  <c r="AC42" i="3"/>
  <c r="AC43" i="3" s="1"/>
  <c r="AC338" i="3"/>
  <c r="AC217" i="3"/>
  <c r="AC150" i="3"/>
  <c r="AC151" i="3" s="1"/>
  <c r="AC278" i="3"/>
  <c r="AC332" i="3"/>
  <c r="AC82" i="3"/>
  <c r="AC322" i="3"/>
  <c r="AC277" i="3"/>
  <c r="AC167" i="3"/>
  <c r="AC50" i="3"/>
  <c r="AC51" i="3" s="1"/>
  <c r="AC130" i="3"/>
  <c r="AC131" i="3" s="1"/>
  <c r="AC60" i="3"/>
  <c r="AC61" i="3" s="1"/>
  <c r="AC267" i="3"/>
  <c r="AC114" i="3"/>
  <c r="AC40" i="3"/>
  <c r="AC41" i="3" s="1"/>
  <c r="AC100" i="3"/>
  <c r="AC101" i="3" s="1"/>
  <c r="AC78" i="3"/>
  <c r="AC137" i="3"/>
  <c r="AC302" i="3"/>
  <c r="AC107" i="3"/>
  <c r="AC192" i="3"/>
  <c r="AC24" i="3"/>
  <c r="AC168" i="3"/>
  <c r="AC244" i="3"/>
  <c r="AC98" i="3"/>
  <c r="AC148" i="3"/>
  <c r="AC70" i="3"/>
  <c r="AC71" i="3" s="1"/>
  <c r="AC132" i="3"/>
  <c r="AC133" i="3" s="1"/>
  <c r="AC268" i="3"/>
  <c r="AC177" i="3"/>
  <c r="AC157" i="3"/>
  <c r="AC164" i="3"/>
  <c r="AC97" i="3"/>
  <c r="AC20" i="3"/>
  <c r="AC21" i="3" s="1"/>
  <c r="AC90" i="3"/>
  <c r="AC91" i="3" s="1"/>
  <c r="AC154" i="3"/>
  <c r="AC52" i="3"/>
  <c r="AC53" i="3" s="1"/>
  <c r="AC68" i="3"/>
  <c r="AC94" i="3"/>
  <c r="AC324" i="3"/>
  <c r="AC102" i="3"/>
  <c r="AC103" i="3" s="1"/>
  <c r="AC108" i="3"/>
  <c r="AC308" i="3"/>
  <c r="AC120" i="3"/>
  <c r="AC121" i="3" s="1"/>
  <c r="AC298" i="3"/>
  <c r="AC158" i="3"/>
  <c r="AC77" i="3"/>
  <c r="AC197" i="3"/>
  <c r="AC304" i="3"/>
  <c r="AC254" i="3"/>
  <c r="AC6" i="3"/>
  <c r="AB135" i="3"/>
  <c r="AB333" i="3"/>
  <c r="AB335" i="3" s="1"/>
  <c r="AB263" i="3"/>
  <c r="AB265" i="3" s="1"/>
  <c r="AA35" i="3"/>
  <c r="AA356" i="3"/>
  <c r="AI12" i="4" s="1"/>
  <c r="AC7" i="3"/>
  <c r="AK17" i="4" s="1"/>
  <c r="AB226" i="3"/>
  <c r="AB156" i="3"/>
  <c r="AB276" i="3"/>
  <c r="AB236" i="3"/>
  <c r="AB136" i="3"/>
  <c r="AB296" i="3"/>
  <c r="AB36" i="3"/>
  <c r="AB266" i="3"/>
  <c r="AB56" i="3"/>
  <c r="AB96" i="3"/>
  <c r="AB316" i="3"/>
  <c r="AB26" i="3"/>
  <c r="AB326" i="3"/>
  <c r="AB216" i="3"/>
  <c r="AB336" i="3"/>
  <c r="AB126" i="3"/>
  <c r="AB176" i="3"/>
  <c r="AB256" i="3"/>
  <c r="AB246" i="3"/>
  <c r="AB306" i="3"/>
  <c r="AB116" i="3"/>
  <c r="AB106" i="3"/>
  <c r="AB46" i="3"/>
  <c r="AB66" i="3"/>
  <c r="AB146" i="3"/>
  <c r="AB76" i="3"/>
  <c r="AB186" i="3"/>
  <c r="AB286" i="3"/>
  <c r="AB346" i="3"/>
  <c r="AB166" i="3"/>
  <c r="AB86" i="3"/>
  <c r="AL21" i="4" l="1"/>
  <c r="AD4" i="10"/>
  <c r="AB354" i="3"/>
  <c r="AJ9" i="4" s="1"/>
  <c r="AI8" i="4"/>
  <c r="AI10" i="4" s="1"/>
  <c r="AB85" i="3"/>
  <c r="AG18" i="4"/>
  <c r="AG19" i="4" s="1"/>
  <c r="AH10" i="4"/>
  <c r="AH14" i="4" s="1"/>
  <c r="AH18" i="4" s="1"/>
  <c r="AH16" i="4"/>
  <c r="AJ25" i="4"/>
  <c r="AB195" i="3"/>
  <c r="AC75" i="3"/>
  <c r="AC55" i="3"/>
  <c r="AC313" i="3"/>
  <c r="AC315" i="3" s="1"/>
  <c r="AA359" i="3" a="1"/>
  <c r="AA359" i="3" s="1"/>
  <c r="AI6" i="4" s="1"/>
  <c r="AC263" i="3"/>
  <c r="AC265" i="3" s="1"/>
  <c r="AC343" i="3"/>
  <c r="AC345" i="3" s="1"/>
  <c r="AC323" i="3"/>
  <c r="AC325" i="3" s="1"/>
  <c r="AC243" i="3"/>
  <c r="AC245" i="3" s="1"/>
  <c r="N47" i="4"/>
  <c r="AF27" i="4"/>
  <c r="T31" i="4"/>
  <c r="S32" i="4"/>
  <c r="S34" i="4" s="1"/>
  <c r="AL3" i="4"/>
  <c r="AD3" i="10" s="1"/>
  <c r="AL22" i="4"/>
  <c r="AC83" i="3"/>
  <c r="AC85" i="3" s="1"/>
  <c r="AC193" i="3"/>
  <c r="AC194" i="3" s="1"/>
  <c r="AC354" i="3" s="1"/>
  <c r="AK9" i="4" s="1"/>
  <c r="AC333" i="3"/>
  <c r="AC335" i="3" s="1"/>
  <c r="AC33" i="3"/>
  <c r="AC35" i="3" s="1"/>
  <c r="AC223" i="3"/>
  <c r="AC225" i="3" s="1"/>
  <c r="AC283" i="3"/>
  <c r="AC285" i="3" s="1"/>
  <c r="AC45" i="3"/>
  <c r="AC165" i="3"/>
  <c r="AC357" i="3"/>
  <c r="AK23" i="4" s="1"/>
  <c r="AC358" i="3"/>
  <c r="AK24" i="4" s="1"/>
  <c r="AC95" i="3"/>
  <c r="AC303" i="3"/>
  <c r="AC305" i="3" s="1"/>
  <c r="AC155" i="3"/>
  <c r="AC143" i="3"/>
  <c r="AC145" i="3" s="1"/>
  <c r="AL13" i="4"/>
  <c r="AC273" i="3"/>
  <c r="AC275" i="3" s="1"/>
  <c r="AC105" i="3"/>
  <c r="AC115" i="3"/>
  <c r="AC253" i="3"/>
  <c r="AC255" i="3" s="1"/>
  <c r="AC293" i="3"/>
  <c r="AC295" i="3" s="1"/>
  <c r="AA355" i="3"/>
  <c r="AC233" i="3"/>
  <c r="AC235" i="3" s="1"/>
  <c r="AC185" i="3"/>
  <c r="AC171" i="3"/>
  <c r="AC175" i="3" s="1"/>
  <c r="AC176" i="3"/>
  <c r="AF3" i="3"/>
  <c r="AE320" i="3"/>
  <c r="AE327" i="3" s="1"/>
  <c r="AE300" i="3"/>
  <c r="AE307" i="3" s="1"/>
  <c r="AE310" i="3"/>
  <c r="AE317" i="3" s="1"/>
  <c r="AM4" i="4"/>
  <c r="AE4" i="3"/>
  <c r="AE5" i="3"/>
  <c r="AE330" i="3"/>
  <c r="AE337" i="3" s="1"/>
  <c r="AE290" i="3"/>
  <c r="AE297" i="3" s="1"/>
  <c r="AE340" i="3"/>
  <c r="AE347" i="3" s="1"/>
  <c r="AD87" i="3"/>
  <c r="AD157" i="3"/>
  <c r="AD228" i="3"/>
  <c r="AD94" i="3"/>
  <c r="AD167" i="3"/>
  <c r="AD10" i="3"/>
  <c r="AD74" i="3"/>
  <c r="AD102" i="3"/>
  <c r="AD103" i="3" s="1"/>
  <c r="AD272" i="3"/>
  <c r="AD77" i="3"/>
  <c r="AD282" i="3"/>
  <c r="AD214" i="3"/>
  <c r="AD52" i="3"/>
  <c r="AD53" i="3" s="1"/>
  <c r="AD162" i="3"/>
  <c r="AD163" i="3" s="1"/>
  <c r="AD58" i="3"/>
  <c r="AD68" i="3"/>
  <c r="AD40" i="3"/>
  <c r="AD41" i="3" s="1"/>
  <c r="AD168" i="3"/>
  <c r="AL5" i="4"/>
  <c r="AD5" i="10" s="1"/>
  <c r="AD27" i="3"/>
  <c r="AD50" i="3"/>
  <c r="AD51" i="3" s="1"/>
  <c r="AD38" i="3"/>
  <c r="AD128" i="3"/>
  <c r="AD334" i="3"/>
  <c r="AD268" i="3"/>
  <c r="AD98" i="3"/>
  <c r="AD188" i="3"/>
  <c r="AD232" i="3"/>
  <c r="AD32" i="3"/>
  <c r="AD252" i="3"/>
  <c r="AD114" i="3"/>
  <c r="AD198" i="3"/>
  <c r="AD172" i="3"/>
  <c r="AD173" i="3" s="1"/>
  <c r="AD287" i="3"/>
  <c r="AD244" i="3"/>
  <c r="AD84" i="3"/>
  <c r="AD237" i="3"/>
  <c r="AD348" i="3"/>
  <c r="AD267" i="3"/>
  <c r="AD234" i="3"/>
  <c r="AD78" i="3"/>
  <c r="AD152" i="3"/>
  <c r="AD153" i="3" s="1"/>
  <c r="AD127" i="3"/>
  <c r="AD148" i="3"/>
  <c r="AD57" i="3"/>
  <c r="AD182" i="3"/>
  <c r="AD183" i="3" s="1"/>
  <c r="AD42" i="3"/>
  <c r="AD43" i="3" s="1"/>
  <c r="AD118" i="3"/>
  <c r="AD254" i="3"/>
  <c r="AD302" i="3"/>
  <c r="AD67" i="3"/>
  <c r="AD134" i="3"/>
  <c r="AD82" i="3"/>
  <c r="AD28" i="3"/>
  <c r="AD108" i="3"/>
  <c r="AD54" i="3"/>
  <c r="AD130" i="3"/>
  <c r="AD131" i="3" s="1"/>
  <c r="AD92" i="3"/>
  <c r="AD93" i="3" s="1"/>
  <c r="AD150" i="3"/>
  <c r="AD151" i="3" s="1"/>
  <c r="AD304" i="3"/>
  <c r="AD124" i="3"/>
  <c r="AD257" i="3"/>
  <c r="AD60" i="3"/>
  <c r="AD61" i="3" s="1"/>
  <c r="AD117" i="3"/>
  <c r="AD308" i="3"/>
  <c r="AD274" i="3"/>
  <c r="AD72" i="3"/>
  <c r="AD73" i="3" s="1"/>
  <c r="AD104" i="3"/>
  <c r="AD338" i="3"/>
  <c r="AD22" i="3"/>
  <c r="AD23" i="3" s="1"/>
  <c r="AD278" i="3"/>
  <c r="AD342" i="3"/>
  <c r="AD294" i="3"/>
  <c r="AD258" i="3"/>
  <c r="AD322" i="3"/>
  <c r="AD142" i="3"/>
  <c r="AD197" i="3"/>
  <c r="AD264" i="3"/>
  <c r="AD318" i="3"/>
  <c r="AD158" i="3"/>
  <c r="AD262" i="3"/>
  <c r="AD324" i="3"/>
  <c r="AD174" i="3"/>
  <c r="AD107" i="3"/>
  <c r="AD180" i="3"/>
  <c r="AD181" i="3" s="1"/>
  <c r="AD80" i="3"/>
  <c r="AD81" i="3" s="1"/>
  <c r="AD24" i="3"/>
  <c r="AD238" i="3"/>
  <c r="AD217" i="3"/>
  <c r="AD298" i="3"/>
  <c r="AD88" i="3"/>
  <c r="AD284" i="3"/>
  <c r="AD170" i="3"/>
  <c r="AD190" i="3"/>
  <c r="AD191" i="3" s="1"/>
  <c r="AD288" i="3"/>
  <c r="AD37" i="3"/>
  <c r="AD222" i="3"/>
  <c r="AD242" i="3"/>
  <c r="AD97" i="3"/>
  <c r="AD224" i="3"/>
  <c r="AD218" i="3"/>
  <c r="AD47" i="3"/>
  <c r="AD132" i="3"/>
  <c r="AD133" i="3" s="1"/>
  <c r="AD248" i="3"/>
  <c r="AD184" i="3"/>
  <c r="AD192" i="3"/>
  <c r="AD292" i="3"/>
  <c r="AD70" i="3"/>
  <c r="AD71" i="3" s="1"/>
  <c r="AD138" i="3"/>
  <c r="AD160" i="3"/>
  <c r="AD161" i="3" s="1"/>
  <c r="AD44" i="3"/>
  <c r="AD247" i="3"/>
  <c r="AD144" i="3"/>
  <c r="AD178" i="3"/>
  <c r="AD110" i="3"/>
  <c r="AD111" i="3" s="1"/>
  <c r="AD344" i="3"/>
  <c r="AD328" i="3"/>
  <c r="AD112" i="3"/>
  <c r="AD113" i="3" s="1"/>
  <c r="AD314" i="3"/>
  <c r="AD140" i="3"/>
  <c r="AD141" i="3" s="1"/>
  <c r="AD227" i="3"/>
  <c r="AD64" i="3"/>
  <c r="AD90" i="3"/>
  <c r="AD91" i="3" s="1"/>
  <c r="AD30" i="3"/>
  <c r="AD31" i="3" s="1"/>
  <c r="AD62" i="3"/>
  <c r="AD63" i="3" s="1"/>
  <c r="AD332" i="3"/>
  <c r="AD100" i="3"/>
  <c r="AD101" i="3" s="1"/>
  <c r="AD277" i="3"/>
  <c r="AD48" i="3"/>
  <c r="AD164" i="3"/>
  <c r="AD154" i="3"/>
  <c r="AD187" i="3"/>
  <c r="AD147" i="3"/>
  <c r="AD212" i="3"/>
  <c r="AD20" i="3"/>
  <c r="AD21" i="3" s="1"/>
  <c r="AD34" i="3"/>
  <c r="AD137" i="3"/>
  <c r="AD177" i="3"/>
  <c r="AD122" i="3"/>
  <c r="AD123" i="3" s="1"/>
  <c r="AD312" i="3"/>
  <c r="AD120" i="3"/>
  <c r="AD121" i="3" s="1"/>
  <c r="AD6" i="3"/>
  <c r="AC25" i="3"/>
  <c r="AC125" i="3"/>
  <c r="AC65" i="3"/>
  <c r="AC213" i="3"/>
  <c r="AC215" i="3" s="1"/>
  <c r="AB353" i="3"/>
  <c r="AC135" i="3"/>
  <c r="AC16" i="3"/>
  <c r="AC11" i="3"/>
  <c r="AB15" i="3"/>
  <c r="AB352" i="3"/>
  <c r="AD7" i="3"/>
  <c r="AL17" i="4" s="1"/>
  <c r="AC296" i="3"/>
  <c r="AC286" i="3"/>
  <c r="AC276" i="3"/>
  <c r="AC236" i="3"/>
  <c r="AC186" i="3"/>
  <c r="AC96" i="3"/>
  <c r="AC246" i="3"/>
  <c r="AC146" i="3"/>
  <c r="AC156" i="3"/>
  <c r="AC36" i="3"/>
  <c r="AC106" i="3"/>
  <c r="AC266" i="3"/>
  <c r="AC256" i="3"/>
  <c r="AC66" i="3"/>
  <c r="AC326" i="3"/>
  <c r="AC346" i="3"/>
  <c r="AC56" i="3"/>
  <c r="AC46" i="3"/>
  <c r="AC336" i="3"/>
  <c r="AC126" i="3"/>
  <c r="AC76" i="3"/>
  <c r="AC216" i="3"/>
  <c r="AC166" i="3"/>
  <c r="AC116" i="3"/>
  <c r="AC86" i="3"/>
  <c r="AC196" i="3"/>
  <c r="AC26" i="3"/>
  <c r="AC136" i="3"/>
  <c r="AC226" i="3"/>
  <c r="AC316" i="3"/>
  <c r="AC306" i="3"/>
  <c r="AB356" i="3"/>
  <c r="AJ12" i="4" s="1"/>
  <c r="AM21" i="4" l="1"/>
  <c r="AE4" i="10"/>
  <c r="AI16" i="4"/>
  <c r="AG27" i="4"/>
  <c r="U31" i="4"/>
  <c r="U32" i="4" s="1"/>
  <c r="U34" i="4" s="1"/>
  <c r="AB355" i="3"/>
  <c r="AC195" i="3"/>
  <c r="AH19" i="4"/>
  <c r="AH27" i="4" s="1"/>
  <c r="AJ8" i="4"/>
  <c r="AD25" i="3"/>
  <c r="AK25" i="4"/>
  <c r="N48" i="4"/>
  <c r="O43" i="4" s="1"/>
  <c r="O50" i="4" s="1"/>
  <c r="S44" i="4"/>
  <c r="AM22" i="4"/>
  <c r="AM3" i="4"/>
  <c r="AE3" i="10" s="1"/>
  <c r="T32" i="4"/>
  <c r="T34" i="4" s="1"/>
  <c r="AD213" i="3"/>
  <c r="AD215" i="3" s="1"/>
  <c r="AD115" i="3"/>
  <c r="AD83" i="3"/>
  <c r="AD85" i="3" s="1"/>
  <c r="AD343" i="3"/>
  <c r="AD345" i="3" s="1"/>
  <c r="AD165" i="3"/>
  <c r="AD233" i="3"/>
  <c r="AD235" i="3" s="1"/>
  <c r="AB359" i="3" a="1"/>
  <c r="AB359" i="3" s="1"/>
  <c r="AJ6" i="4" s="1"/>
  <c r="AD95" i="3"/>
  <c r="AD155" i="3"/>
  <c r="AD283" i="3"/>
  <c r="AD285" i="3" s="1"/>
  <c r="AD313" i="3"/>
  <c r="AD315" i="3" s="1"/>
  <c r="AD293" i="3"/>
  <c r="AD295" i="3" s="1"/>
  <c r="AD323" i="3"/>
  <c r="AD325" i="3" s="1"/>
  <c r="AI14" i="4"/>
  <c r="AD193" i="3"/>
  <c r="AD194" i="3" s="1"/>
  <c r="AD354" i="3" s="1"/>
  <c r="AL9" i="4" s="1"/>
  <c r="AD75" i="3"/>
  <c r="AD143" i="3"/>
  <c r="AD145" i="3" s="1"/>
  <c r="AD135" i="3"/>
  <c r="AD273" i="3"/>
  <c r="AD275" i="3" s="1"/>
  <c r="AC15" i="3"/>
  <c r="AC352" i="3"/>
  <c r="AD358" i="3"/>
  <c r="AL24" i="4" s="1"/>
  <c r="AE247" i="3"/>
  <c r="AE227" i="3"/>
  <c r="AE217" i="3"/>
  <c r="AE324" i="3"/>
  <c r="AE50" i="3"/>
  <c r="AE51" i="3" s="1"/>
  <c r="AE84" i="3"/>
  <c r="AE138" i="3"/>
  <c r="AE40" i="3"/>
  <c r="AE41" i="3" s="1"/>
  <c r="AE158" i="3"/>
  <c r="AE97" i="3"/>
  <c r="AE54" i="3"/>
  <c r="AE298" i="3"/>
  <c r="AE37" i="3"/>
  <c r="AE268" i="3"/>
  <c r="AE160" i="3"/>
  <c r="AE161" i="3" s="1"/>
  <c r="AE178" i="3"/>
  <c r="AE92" i="3"/>
  <c r="AE93" i="3" s="1"/>
  <c r="AE272" i="3"/>
  <c r="AE228" i="3"/>
  <c r="AE238" i="3"/>
  <c r="AE77" i="3"/>
  <c r="AE154" i="3"/>
  <c r="AE344" i="3"/>
  <c r="AE182" i="3"/>
  <c r="AE183" i="3" s="1"/>
  <c r="AE288" i="3"/>
  <c r="AE104" i="3"/>
  <c r="AE42" i="3"/>
  <c r="AE43" i="3" s="1"/>
  <c r="AE120" i="3"/>
  <c r="AE121" i="3" s="1"/>
  <c r="AE177" i="3"/>
  <c r="AE322" i="3"/>
  <c r="AE64" i="3"/>
  <c r="AE22" i="3"/>
  <c r="AE23" i="3" s="1"/>
  <c r="AE28" i="3"/>
  <c r="AE157" i="3"/>
  <c r="AE167" i="3"/>
  <c r="AE224" i="3"/>
  <c r="AE312" i="3"/>
  <c r="AE127" i="3"/>
  <c r="AE162" i="3"/>
  <c r="AE163" i="3" s="1"/>
  <c r="AE88" i="3"/>
  <c r="AE140" i="3"/>
  <c r="AE141" i="3" s="1"/>
  <c r="AE58" i="3"/>
  <c r="AE112" i="3"/>
  <c r="AE113" i="3" s="1"/>
  <c r="AE137" i="3"/>
  <c r="AE248" i="3"/>
  <c r="AE190" i="3"/>
  <c r="AE191" i="3" s="1"/>
  <c r="AE197" i="3"/>
  <c r="AE60" i="3"/>
  <c r="AE61" i="3" s="1"/>
  <c r="AE82" i="3"/>
  <c r="AE334" i="3"/>
  <c r="AE102" i="3"/>
  <c r="AE103" i="3" s="1"/>
  <c r="AE94" i="3"/>
  <c r="AE277" i="3"/>
  <c r="AE237" i="3"/>
  <c r="AE117" i="3"/>
  <c r="AE107" i="3"/>
  <c r="AE242" i="3"/>
  <c r="AE32" i="3"/>
  <c r="AE147" i="3"/>
  <c r="AE244" i="3"/>
  <c r="AE52" i="3"/>
  <c r="AE53" i="3" s="1"/>
  <c r="AE348" i="3"/>
  <c r="AE187" i="3"/>
  <c r="AE192" i="3"/>
  <c r="AE78" i="3"/>
  <c r="AE264" i="3"/>
  <c r="AE57" i="3"/>
  <c r="AE284" i="3"/>
  <c r="AE80" i="3"/>
  <c r="AE81" i="3" s="1"/>
  <c r="AE122" i="3"/>
  <c r="AE123" i="3" s="1"/>
  <c r="AE134" i="3"/>
  <c r="AE278" i="3"/>
  <c r="AE332" i="3"/>
  <c r="AE38" i="3"/>
  <c r="AE70" i="3"/>
  <c r="AE71" i="3" s="1"/>
  <c r="AM5" i="4"/>
  <c r="AE5" i="10" s="1"/>
  <c r="AE212" i="3"/>
  <c r="AE282" i="3"/>
  <c r="AE274" i="3"/>
  <c r="AE132" i="3"/>
  <c r="AE133" i="3" s="1"/>
  <c r="AE188" i="3"/>
  <c r="AE232" i="3"/>
  <c r="AE294" i="3"/>
  <c r="AE257" i="3"/>
  <c r="AE148" i="3"/>
  <c r="AE174" i="3"/>
  <c r="AE170" i="3"/>
  <c r="AE318" i="3"/>
  <c r="AE168" i="3"/>
  <c r="AE254" i="3"/>
  <c r="AE10" i="3"/>
  <c r="AE287" i="3"/>
  <c r="AE218" i="3"/>
  <c r="AE338" i="3"/>
  <c r="AE328" i="3"/>
  <c r="AE128" i="3"/>
  <c r="AE258" i="3"/>
  <c r="AE74" i="3"/>
  <c r="AE222" i="3"/>
  <c r="AE27" i="3"/>
  <c r="AE180" i="3"/>
  <c r="AE181" i="3" s="1"/>
  <c r="AE34" i="3"/>
  <c r="AE252" i="3"/>
  <c r="AE108" i="3"/>
  <c r="AE87" i="3"/>
  <c r="AE44" i="3"/>
  <c r="AE110" i="3"/>
  <c r="AE111" i="3" s="1"/>
  <c r="AE164" i="3"/>
  <c r="AE302" i="3"/>
  <c r="AE234" i="3"/>
  <c r="AE118" i="3"/>
  <c r="AE72" i="3"/>
  <c r="AE73" i="3" s="1"/>
  <c r="AE194" i="3"/>
  <c r="AE267" i="3"/>
  <c r="AE48" i="3"/>
  <c r="AE68" i="3"/>
  <c r="AE144" i="3"/>
  <c r="AE124" i="3"/>
  <c r="AE314" i="3"/>
  <c r="AE62" i="3"/>
  <c r="AE63" i="3" s="1"/>
  <c r="AE152" i="3"/>
  <c r="AE153" i="3" s="1"/>
  <c r="AE100" i="3"/>
  <c r="AE101" i="3" s="1"/>
  <c r="AE198" i="3"/>
  <c r="AE342" i="3"/>
  <c r="AE67" i="3"/>
  <c r="AE20" i="3"/>
  <c r="AE21" i="3" s="1"/>
  <c r="AE262" i="3"/>
  <c r="AE304" i="3"/>
  <c r="AE214" i="3"/>
  <c r="AE184" i="3"/>
  <c r="AE292" i="3"/>
  <c r="AE172" i="3"/>
  <c r="AE173" i="3" s="1"/>
  <c r="AE142" i="3"/>
  <c r="AE130" i="3"/>
  <c r="AE98" i="3"/>
  <c r="AE90" i="3"/>
  <c r="AE91" i="3" s="1"/>
  <c r="AE114" i="3"/>
  <c r="AE30" i="3"/>
  <c r="AE31" i="3" s="1"/>
  <c r="AE47" i="3"/>
  <c r="AE24" i="3"/>
  <c r="AE150" i="3"/>
  <c r="AE151" i="3" s="1"/>
  <c r="AE308" i="3"/>
  <c r="AE6" i="3"/>
  <c r="AD243" i="3"/>
  <c r="AD245" i="3" s="1"/>
  <c r="AD303" i="3"/>
  <c r="AD305" i="3" s="1"/>
  <c r="AD55" i="3"/>
  <c r="AD223" i="3"/>
  <c r="AD225" i="3" s="1"/>
  <c r="AD263" i="3"/>
  <c r="AD265" i="3" s="1"/>
  <c r="AD45" i="3"/>
  <c r="AD11" i="3"/>
  <c r="AD16" i="3"/>
  <c r="AD357" i="3"/>
  <c r="AL23" i="4" s="1"/>
  <c r="AD105" i="3"/>
  <c r="AD65" i="3"/>
  <c r="AF320" i="3"/>
  <c r="AF327" i="3" s="1"/>
  <c r="AF340" i="3"/>
  <c r="AF347" i="3" s="1"/>
  <c r="AF310" i="3"/>
  <c r="AF317" i="3" s="1"/>
  <c r="AF330" i="3"/>
  <c r="AF337" i="3" s="1"/>
  <c r="AG3" i="3"/>
  <c r="AN4" i="4"/>
  <c r="AF290" i="3"/>
  <c r="AF297" i="3" s="1"/>
  <c r="AF4" i="3"/>
  <c r="AF5" i="3"/>
  <c r="AF300" i="3"/>
  <c r="AF307" i="3" s="1"/>
  <c r="AM13" i="4"/>
  <c r="AD185" i="3"/>
  <c r="AD333" i="3"/>
  <c r="AD335" i="3" s="1"/>
  <c r="AD253" i="3"/>
  <c r="AD255" i="3" s="1"/>
  <c r="AD125" i="3"/>
  <c r="AD176" i="3"/>
  <c r="AD171" i="3"/>
  <c r="AD175" i="3" s="1"/>
  <c r="AD33" i="3"/>
  <c r="AD35" i="3" s="1"/>
  <c r="AC353" i="3"/>
  <c r="AE7" i="3"/>
  <c r="AM17" i="4" s="1"/>
  <c r="AD316" i="3"/>
  <c r="AD286" i="3"/>
  <c r="AD186" i="3"/>
  <c r="AD156" i="3"/>
  <c r="AD296" i="3"/>
  <c r="AD136" i="3"/>
  <c r="AD246" i="3"/>
  <c r="AD236" i="3"/>
  <c r="AD196" i="3"/>
  <c r="AD66" i="3"/>
  <c r="AD56" i="3"/>
  <c r="AD126" i="3"/>
  <c r="AD276" i="3"/>
  <c r="AD76" i="3"/>
  <c r="AD36" i="3"/>
  <c r="AD106" i="3"/>
  <c r="AD256" i="3"/>
  <c r="AD266" i="3"/>
  <c r="AD26" i="3"/>
  <c r="AD86" i="3"/>
  <c r="AD306" i="3"/>
  <c r="AD166" i="3"/>
  <c r="AD336" i="3"/>
  <c r="AD96" i="3"/>
  <c r="AD346" i="3"/>
  <c r="AD116" i="3"/>
  <c r="AD146" i="3"/>
  <c r="AD216" i="3"/>
  <c r="AD326" i="3"/>
  <c r="AD46" i="3"/>
  <c r="AD226" i="3"/>
  <c r="AC356" i="3"/>
  <c r="AK12" i="4" s="1"/>
  <c r="AN21" i="4" l="1"/>
  <c r="AF4" i="10"/>
  <c r="V31" i="4"/>
  <c r="V32" i="4" s="1"/>
  <c r="V34" i="4" s="1"/>
  <c r="AC359" i="3" a="1"/>
  <c r="AC359" i="3" s="1"/>
  <c r="AK6" i="4" s="1"/>
  <c r="AL25" i="4"/>
  <c r="AK8" i="4"/>
  <c r="AK10" i="4" s="1"/>
  <c r="O45" i="4"/>
  <c r="O46" i="4" s="1"/>
  <c r="AJ10" i="4"/>
  <c r="AJ14" i="4" s="1"/>
  <c r="AJ18" i="4" s="1"/>
  <c r="AJ16" i="4"/>
  <c r="AE143" i="3"/>
  <c r="AE145" i="3" s="1"/>
  <c r="AE313" i="3"/>
  <c r="AE315" i="3" s="1"/>
  <c r="T44" i="4"/>
  <c r="U44" i="4"/>
  <c r="AN22" i="4"/>
  <c r="AN3" i="4"/>
  <c r="AF3" i="10" s="1"/>
  <c r="AE333" i="3"/>
  <c r="AE335" i="3" s="1"/>
  <c r="AE243" i="3"/>
  <c r="AE245" i="3" s="1"/>
  <c r="AE253" i="3"/>
  <c r="AE255" i="3" s="1"/>
  <c r="AE33" i="3"/>
  <c r="AE35" i="3" s="1"/>
  <c r="AC355" i="3"/>
  <c r="AE95" i="3"/>
  <c r="AE105" i="3"/>
  <c r="AE75" i="3"/>
  <c r="AE293" i="3"/>
  <c r="AE295" i="3" s="1"/>
  <c r="AE223" i="3"/>
  <c r="AE225" i="3" s="1"/>
  <c r="AD195" i="3"/>
  <c r="AI18" i="4"/>
  <c r="AI19" i="4" s="1"/>
  <c r="AE193" i="3"/>
  <c r="AE195" i="3" s="1"/>
  <c r="AE263" i="3"/>
  <c r="AE265" i="3" s="1"/>
  <c r="AN13" i="4"/>
  <c r="AF348" i="3"/>
  <c r="AF318" i="3"/>
  <c r="AF132" i="3"/>
  <c r="AF133" i="3" s="1"/>
  <c r="AF234" i="3"/>
  <c r="AF124" i="3"/>
  <c r="AF27" i="3"/>
  <c r="AF22" i="3"/>
  <c r="AF23" i="3" s="1"/>
  <c r="AF118" i="3"/>
  <c r="AF102" i="3"/>
  <c r="AF103" i="3" s="1"/>
  <c r="AF247" i="3"/>
  <c r="AF127" i="3"/>
  <c r="AF252" i="3"/>
  <c r="AF134" i="3"/>
  <c r="AF237" i="3"/>
  <c r="AF154" i="3"/>
  <c r="AF304" i="3"/>
  <c r="AF168" i="3"/>
  <c r="AF177" i="3"/>
  <c r="AF37" i="3"/>
  <c r="AF332" i="3"/>
  <c r="AF122" i="3"/>
  <c r="AF123" i="3" s="1"/>
  <c r="AF284" i="3"/>
  <c r="AF170" i="3"/>
  <c r="AF158" i="3"/>
  <c r="AF152" i="3"/>
  <c r="AF153" i="3" s="1"/>
  <c r="AF120" i="3"/>
  <c r="AF121" i="3" s="1"/>
  <c r="AF52" i="3"/>
  <c r="AF53" i="3" s="1"/>
  <c r="AF104" i="3"/>
  <c r="AF58" i="3"/>
  <c r="AF70" i="3"/>
  <c r="AF71" i="3" s="1"/>
  <c r="AF42" i="3"/>
  <c r="AF43" i="3" s="1"/>
  <c r="AF338" i="3"/>
  <c r="AF278" i="3"/>
  <c r="AF268" i="3"/>
  <c r="AF167" i="3"/>
  <c r="AF308" i="3"/>
  <c r="AF312" i="3"/>
  <c r="AF128" i="3"/>
  <c r="AF142" i="3"/>
  <c r="AF100" i="3"/>
  <c r="AF298" i="3"/>
  <c r="AF342" i="3"/>
  <c r="AF192" i="3"/>
  <c r="AF344" i="3"/>
  <c r="AF188" i="3"/>
  <c r="AF28" i="3"/>
  <c r="AF224" i="3"/>
  <c r="AF90" i="3"/>
  <c r="AF91" i="3" s="1"/>
  <c r="AN5" i="4"/>
  <c r="AF5" i="10" s="1"/>
  <c r="AF218" i="3"/>
  <c r="AF162" i="3"/>
  <c r="AF163" i="3" s="1"/>
  <c r="AF282" i="3"/>
  <c r="AF64" i="3"/>
  <c r="AF174" i="3"/>
  <c r="AF68" i="3"/>
  <c r="AF184" i="3"/>
  <c r="AF274" i="3"/>
  <c r="AF172" i="3"/>
  <c r="AF173" i="3" s="1"/>
  <c r="AF217" i="3"/>
  <c r="AF47" i="3"/>
  <c r="AF212" i="3"/>
  <c r="AF294" i="3"/>
  <c r="AF292" i="3"/>
  <c r="AF57" i="3"/>
  <c r="AF164" i="3"/>
  <c r="AF334" i="3"/>
  <c r="AF190" i="3"/>
  <c r="AF191" i="3" s="1"/>
  <c r="AF107" i="3"/>
  <c r="AF324" i="3"/>
  <c r="AF140" i="3"/>
  <c r="AF141" i="3" s="1"/>
  <c r="AF10" i="3"/>
  <c r="AF258" i="3"/>
  <c r="AF130" i="3"/>
  <c r="AF110" i="3"/>
  <c r="AF111" i="3" s="1"/>
  <c r="AF54" i="3"/>
  <c r="AF24" i="3"/>
  <c r="AF114" i="3"/>
  <c r="AF34" i="3"/>
  <c r="AF50" i="3"/>
  <c r="AF51" i="3" s="1"/>
  <c r="AF197" i="3"/>
  <c r="AF80" i="3"/>
  <c r="AF81" i="3" s="1"/>
  <c r="AF242" i="3"/>
  <c r="AF62" i="3"/>
  <c r="AF63" i="3" s="1"/>
  <c r="AF182" i="3"/>
  <c r="AF183" i="3" s="1"/>
  <c r="AF277" i="3"/>
  <c r="AF194" i="3"/>
  <c r="AF238" i="3"/>
  <c r="AF97" i="3"/>
  <c r="AF302" i="3"/>
  <c r="AF228" i="3"/>
  <c r="AF314" i="3"/>
  <c r="AF94" i="3"/>
  <c r="AF88" i="3"/>
  <c r="AF44" i="3"/>
  <c r="AF248" i="3"/>
  <c r="AF147" i="3"/>
  <c r="AF322" i="3"/>
  <c r="AF137" i="3"/>
  <c r="AF38" i="3"/>
  <c r="AF178" i="3"/>
  <c r="AF328" i="3"/>
  <c r="AF144" i="3"/>
  <c r="AF257" i="3"/>
  <c r="AF214" i="3"/>
  <c r="AF157" i="3"/>
  <c r="AF20" i="3"/>
  <c r="AF21" i="3" s="1"/>
  <c r="AF72" i="3"/>
  <c r="AF73" i="3" s="1"/>
  <c r="AF117" i="3"/>
  <c r="AF187" i="3"/>
  <c r="AF254" i="3"/>
  <c r="AF148" i="3"/>
  <c r="AF267" i="3"/>
  <c r="AF78" i="3"/>
  <c r="AF262" i="3"/>
  <c r="AF112" i="3"/>
  <c r="AF113" i="3" s="1"/>
  <c r="AF288" i="3"/>
  <c r="AF92" i="3"/>
  <c r="AF93" i="3" s="1"/>
  <c r="AF32" i="3"/>
  <c r="AF82" i="3"/>
  <c r="AF84" i="3"/>
  <c r="AF138" i="3"/>
  <c r="AF77" i="3"/>
  <c r="AF222" i="3"/>
  <c r="AF30" i="3"/>
  <c r="AF31" i="3" s="1"/>
  <c r="AF287" i="3"/>
  <c r="AF227" i="3"/>
  <c r="AF180" i="3"/>
  <c r="AF181" i="3" s="1"/>
  <c r="AF98" i="3"/>
  <c r="AF74" i="3"/>
  <c r="AF48" i="3"/>
  <c r="AF108" i="3"/>
  <c r="AF40" i="3"/>
  <c r="AF41" i="3" s="1"/>
  <c r="AF198" i="3"/>
  <c r="AF272" i="3"/>
  <c r="AF60" i="3"/>
  <c r="AF61" i="3" s="1"/>
  <c r="AF264" i="3"/>
  <c r="AF67" i="3"/>
  <c r="AF150" i="3"/>
  <c r="AF151" i="3" s="1"/>
  <c r="AF244" i="3"/>
  <c r="AF232" i="3"/>
  <c r="AF87" i="3"/>
  <c r="AF160" i="3"/>
  <c r="AF161" i="3" s="1"/>
  <c r="AF6" i="3"/>
  <c r="AE55" i="3"/>
  <c r="AE233" i="3"/>
  <c r="AE235" i="3" s="1"/>
  <c r="AE273" i="3"/>
  <c r="AE275" i="3" s="1"/>
  <c r="AE357" i="3"/>
  <c r="AM23" i="4" s="1"/>
  <c r="AE83" i="3"/>
  <c r="AE85" i="3" s="1"/>
  <c r="AE358" i="3"/>
  <c r="AM24" i="4" s="1"/>
  <c r="AE171" i="3"/>
  <c r="AE175" i="3" s="1"/>
  <c r="AE176" i="3"/>
  <c r="AE65" i="3"/>
  <c r="AH3" i="3"/>
  <c r="AO4" i="4"/>
  <c r="AG290" i="3"/>
  <c r="AG297" i="3" s="1"/>
  <c r="AG4" i="3"/>
  <c r="AG310" i="3"/>
  <c r="AG317" i="3" s="1"/>
  <c r="AG300" i="3"/>
  <c r="AG307" i="3" s="1"/>
  <c r="AG330" i="3"/>
  <c r="AG337" i="3" s="1"/>
  <c r="AG340" i="3"/>
  <c r="AG347" i="3" s="1"/>
  <c r="AG320" i="3"/>
  <c r="AG327" i="3" s="1"/>
  <c r="AG5" i="3"/>
  <c r="AE165" i="3"/>
  <c r="AE16" i="3"/>
  <c r="AE11" i="3"/>
  <c r="AE283" i="3"/>
  <c r="AE285" i="3" s="1"/>
  <c r="AE323" i="3"/>
  <c r="AE325" i="3" s="1"/>
  <c r="AE45" i="3"/>
  <c r="AE136" i="3"/>
  <c r="AE131" i="3"/>
  <c r="AE135" i="3" s="1"/>
  <c r="AE185" i="3"/>
  <c r="AE25" i="3"/>
  <c r="AE155" i="3"/>
  <c r="AE303" i="3"/>
  <c r="AE305" i="3" s="1"/>
  <c r="AE213" i="3"/>
  <c r="AE215" i="3" s="1"/>
  <c r="AD353" i="3"/>
  <c r="AE115" i="3"/>
  <c r="AD352" i="3"/>
  <c r="AD15" i="3"/>
  <c r="AE354" i="3"/>
  <c r="AM9" i="4" s="1"/>
  <c r="AE343" i="3"/>
  <c r="AE345" i="3" s="1"/>
  <c r="AE125" i="3"/>
  <c r="AF7" i="3"/>
  <c r="AN17" i="4" s="1"/>
  <c r="AE306" i="3"/>
  <c r="AE246" i="3"/>
  <c r="AE186" i="3"/>
  <c r="AE276" i="3"/>
  <c r="AE236" i="3"/>
  <c r="AE156" i="3"/>
  <c r="AE286" i="3"/>
  <c r="AE66" i="3"/>
  <c r="AE196" i="3"/>
  <c r="AE326" i="3"/>
  <c r="AE36" i="3"/>
  <c r="AE26" i="3"/>
  <c r="AE316" i="3"/>
  <c r="AE226" i="3"/>
  <c r="AE126" i="3"/>
  <c r="AE336" i="3"/>
  <c r="AE346" i="3"/>
  <c r="AE56" i="3"/>
  <c r="AE96" i="3"/>
  <c r="AE86" i="3"/>
  <c r="AE146" i="3"/>
  <c r="AE266" i="3"/>
  <c r="AE116" i="3"/>
  <c r="AE256" i="3"/>
  <c r="AE216" i="3"/>
  <c r="AE296" i="3"/>
  <c r="AE106" i="3"/>
  <c r="AE76" i="3"/>
  <c r="AE46" i="3"/>
  <c r="AE166" i="3"/>
  <c r="AD356" i="3"/>
  <c r="AL12" i="4" s="1"/>
  <c r="AO21" i="4" l="1"/>
  <c r="AG4" i="10"/>
  <c r="AK16" i="4"/>
  <c r="AL8" i="4"/>
  <c r="AL10" i="4" s="1"/>
  <c r="AJ19" i="4"/>
  <c r="AJ27" i="4" s="1"/>
  <c r="AM25" i="4"/>
  <c r="AF125" i="3"/>
  <c r="O47" i="4"/>
  <c r="V44" i="4"/>
  <c r="AO3" i="4"/>
  <c r="AG3" i="10" s="1"/>
  <c r="AO22" i="4"/>
  <c r="AK14" i="4"/>
  <c r="AD355" i="3"/>
  <c r="AF65" i="3"/>
  <c r="AF165" i="3"/>
  <c r="AF253" i="3"/>
  <c r="AF255" i="3" s="1"/>
  <c r="AF223" i="3"/>
  <c r="AF225" i="3" s="1"/>
  <c r="AF343" i="3"/>
  <c r="AF345" i="3" s="1"/>
  <c r="AF303" i="3"/>
  <c r="AF305" i="3" s="1"/>
  <c r="AF273" i="3"/>
  <c r="AF275" i="3" s="1"/>
  <c r="AF33" i="3"/>
  <c r="AF35" i="3" s="1"/>
  <c r="AF354" i="3"/>
  <c r="AN9" i="4" s="1"/>
  <c r="AF193" i="3"/>
  <c r="AF195" i="3" s="1"/>
  <c r="AF155" i="3"/>
  <c r="AF115" i="3"/>
  <c r="AF313" i="3"/>
  <c r="AF315" i="3" s="1"/>
  <c r="AF333" i="3"/>
  <c r="AF335" i="3" s="1"/>
  <c r="AF233" i="3"/>
  <c r="AF235" i="3" s="1"/>
  <c r="AF83" i="3"/>
  <c r="AF85" i="3" s="1"/>
  <c r="AF45" i="3"/>
  <c r="AF283" i="3"/>
  <c r="AF285" i="3" s="1"/>
  <c r="AF143" i="3"/>
  <c r="AF145" i="3" s="1"/>
  <c r="AF171" i="3"/>
  <c r="AF175" i="3" s="1"/>
  <c r="AF176" i="3"/>
  <c r="AE15" i="3"/>
  <c r="AE355" i="3" s="1"/>
  <c r="AE352" i="3"/>
  <c r="AF25" i="3"/>
  <c r="AD359" i="3" a="1"/>
  <c r="AD359" i="3" s="1"/>
  <c r="AL6" i="4" s="1"/>
  <c r="AF263" i="3"/>
  <c r="AF265" i="3" s="1"/>
  <c r="AF243" i="3"/>
  <c r="AF245" i="3" s="1"/>
  <c r="AF136" i="3"/>
  <c r="AF131" i="3"/>
  <c r="AF135" i="3" s="1"/>
  <c r="AF101" i="3"/>
  <c r="AF105" i="3" s="1"/>
  <c r="AF106" i="3"/>
  <c r="AF16" i="3"/>
  <c r="AF11" i="3"/>
  <c r="AG298" i="3"/>
  <c r="AG344" i="3"/>
  <c r="AG117" i="3"/>
  <c r="AG182" i="3"/>
  <c r="AG183" i="3" s="1"/>
  <c r="AG192" i="3"/>
  <c r="AG48" i="3"/>
  <c r="AG262" i="3"/>
  <c r="AG70" i="3"/>
  <c r="AG71" i="3" s="1"/>
  <c r="AG20" i="3"/>
  <c r="AG21" i="3" s="1"/>
  <c r="AG188" i="3"/>
  <c r="AG67" i="3"/>
  <c r="AG114" i="3"/>
  <c r="AG288" i="3"/>
  <c r="AG137" i="3"/>
  <c r="AG50" i="3"/>
  <c r="AG51" i="3" s="1"/>
  <c r="AG184" i="3"/>
  <c r="AG294" i="3"/>
  <c r="AG68" i="3"/>
  <c r="AG28" i="3"/>
  <c r="AG80" i="3"/>
  <c r="AG81" i="3" s="1"/>
  <c r="AG100" i="3"/>
  <c r="AG254" i="3"/>
  <c r="AG238" i="3"/>
  <c r="AG142" i="3"/>
  <c r="AG57" i="3"/>
  <c r="AG120" i="3"/>
  <c r="AG121" i="3" s="1"/>
  <c r="AG278" i="3"/>
  <c r="AG304" i="3"/>
  <c r="AG272" i="3"/>
  <c r="AG44" i="3"/>
  <c r="AG30" i="3"/>
  <c r="AG31" i="3" s="1"/>
  <c r="AG268" i="3"/>
  <c r="AO5" i="4"/>
  <c r="AG5" i="10" s="1"/>
  <c r="AG222" i="3"/>
  <c r="AG190" i="3"/>
  <c r="AG191" i="3" s="1"/>
  <c r="AG214" i="3"/>
  <c r="AG24" i="3"/>
  <c r="AG227" i="3"/>
  <c r="AG47" i="3"/>
  <c r="AG170" i="3"/>
  <c r="AG98" i="3"/>
  <c r="AG244" i="3"/>
  <c r="AG102" i="3"/>
  <c r="AG103" i="3" s="1"/>
  <c r="AG94" i="3"/>
  <c r="AG27" i="3"/>
  <c r="AG257" i="3"/>
  <c r="AG318" i="3"/>
  <c r="AG90" i="3"/>
  <c r="AG91" i="3" s="1"/>
  <c r="AG248" i="3"/>
  <c r="AG52" i="3"/>
  <c r="AG53" i="3" s="1"/>
  <c r="AG177" i="3"/>
  <c r="AG37" i="3"/>
  <c r="AG84" i="3"/>
  <c r="AG292" i="3"/>
  <c r="AG10" i="3"/>
  <c r="AG150" i="3"/>
  <c r="AG151" i="3" s="1"/>
  <c r="AG22" i="3"/>
  <c r="AG23" i="3" s="1"/>
  <c r="AG128" i="3"/>
  <c r="AG158" i="3"/>
  <c r="AG308" i="3"/>
  <c r="AG194" i="3"/>
  <c r="AG82" i="3"/>
  <c r="AG212" i="3"/>
  <c r="AG62" i="3"/>
  <c r="AG63" i="3" s="1"/>
  <c r="AG348" i="3"/>
  <c r="AG252" i="3"/>
  <c r="AG134" i="3"/>
  <c r="AG152" i="3"/>
  <c r="AG153" i="3" s="1"/>
  <c r="AG108" i="3"/>
  <c r="AG87" i="3"/>
  <c r="AG180" i="3"/>
  <c r="AG181" i="3" s="1"/>
  <c r="AG60" i="3"/>
  <c r="AG61" i="3" s="1"/>
  <c r="AG148" i="3"/>
  <c r="AG228" i="3"/>
  <c r="AG267" i="3"/>
  <c r="AG132" i="3"/>
  <c r="AG133" i="3" s="1"/>
  <c r="AG34" i="3"/>
  <c r="AG160" i="3"/>
  <c r="AG161" i="3" s="1"/>
  <c r="AG32" i="3"/>
  <c r="AG97" i="3"/>
  <c r="AG154" i="3"/>
  <c r="AG312" i="3"/>
  <c r="AG258" i="3"/>
  <c r="AG112" i="3"/>
  <c r="AG113" i="3" s="1"/>
  <c r="AG42" i="3"/>
  <c r="AG43" i="3" s="1"/>
  <c r="AG197" i="3"/>
  <c r="AG287" i="3"/>
  <c r="AG247" i="3"/>
  <c r="AG324" i="3"/>
  <c r="AG124" i="3"/>
  <c r="AG130" i="3"/>
  <c r="AG187" i="3"/>
  <c r="AG127" i="3"/>
  <c r="AG118" i="3"/>
  <c r="AG342" i="3"/>
  <c r="AG242" i="3"/>
  <c r="AG64" i="3"/>
  <c r="AG334" i="3"/>
  <c r="AG234" i="3"/>
  <c r="AG282" i="3"/>
  <c r="AG224" i="3"/>
  <c r="AG77" i="3"/>
  <c r="AG164" i="3"/>
  <c r="AG217" i="3"/>
  <c r="AG140" i="3"/>
  <c r="AG141" i="3" s="1"/>
  <c r="AG198" i="3"/>
  <c r="AG147" i="3"/>
  <c r="AG332" i="3"/>
  <c r="AG88" i="3"/>
  <c r="AG54" i="3"/>
  <c r="AG38" i="3"/>
  <c r="AG338" i="3"/>
  <c r="AG232" i="3"/>
  <c r="AG40" i="3"/>
  <c r="AG138" i="3"/>
  <c r="AG78" i="3"/>
  <c r="AG322" i="3"/>
  <c r="AG167" i="3"/>
  <c r="AG328" i="3"/>
  <c r="AG92" i="3"/>
  <c r="AG93" i="3" s="1"/>
  <c r="AG122" i="3"/>
  <c r="AG123" i="3" s="1"/>
  <c r="AG264" i="3"/>
  <c r="AG104" i="3"/>
  <c r="AG314" i="3"/>
  <c r="AG302" i="3"/>
  <c r="AG157" i="3"/>
  <c r="AG277" i="3"/>
  <c r="AG218" i="3"/>
  <c r="AG178" i="3"/>
  <c r="AG144" i="3"/>
  <c r="AG110" i="3"/>
  <c r="AG111" i="3" s="1"/>
  <c r="AG74" i="3"/>
  <c r="AG72" i="3"/>
  <c r="AG73" i="3" s="1"/>
  <c r="AG274" i="3"/>
  <c r="AG58" i="3"/>
  <c r="AG162" i="3"/>
  <c r="AG163" i="3" s="1"/>
  <c r="AG107" i="3"/>
  <c r="AG237" i="3"/>
  <c r="AG172" i="3"/>
  <c r="AG173" i="3" s="1"/>
  <c r="AG284" i="3"/>
  <c r="AG168" i="3"/>
  <c r="AG174" i="3"/>
  <c r="AG6" i="3"/>
  <c r="AF323" i="3"/>
  <c r="AF325" i="3" s="1"/>
  <c r="AF95" i="3"/>
  <c r="AF185" i="3"/>
  <c r="AF55" i="3"/>
  <c r="AF293" i="3"/>
  <c r="AF295" i="3" s="1"/>
  <c r="AF358" i="3"/>
  <c r="AN24" i="4" s="1"/>
  <c r="AF75" i="3"/>
  <c r="AO13" i="4"/>
  <c r="AF357" i="3"/>
  <c r="AN23" i="4" s="1"/>
  <c r="AH5" i="3"/>
  <c r="AH320" i="3"/>
  <c r="AH327" i="3" s="1"/>
  <c r="AI3" i="3"/>
  <c r="AH300" i="3"/>
  <c r="AH307" i="3" s="1"/>
  <c r="AH330" i="3"/>
  <c r="AH337" i="3" s="1"/>
  <c r="AH290" i="3"/>
  <c r="AH297" i="3" s="1"/>
  <c r="AH340" i="3"/>
  <c r="AH347" i="3" s="1"/>
  <c r="AH4" i="3"/>
  <c r="AH310" i="3"/>
  <c r="AH317" i="3" s="1"/>
  <c r="AP4" i="4"/>
  <c r="AF213" i="3"/>
  <c r="AE353" i="3"/>
  <c r="AE359" i="3" a="1"/>
  <c r="AE359" i="3" s="1"/>
  <c r="AM6" i="4" s="1"/>
  <c r="AG7" i="3"/>
  <c r="AO17" i="4" s="1"/>
  <c r="AF346" i="3"/>
  <c r="AF236" i="3"/>
  <c r="AF306" i="3"/>
  <c r="AF196" i="3"/>
  <c r="AF276" i="3"/>
  <c r="AF246" i="3"/>
  <c r="AF66" i="3"/>
  <c r="AF286" i="3"/>
  <c r="AF186" i="3"/>
  <c r="AF56" i="3"/>
  <c r="AF326" i="3"/>
  <c r="AF76" i="3"/>
  <c r="AF156" i="3"/>
  <c r="AF146" i="3"/>
  <c r="AF256" i="3"/>
  <c r="AF126" i="3"/>
  <c r="AF26" i="3"/>
  <c r="AF296" i="3"/>
  <c r="AF86" i="3"/>
  <c r="AF266" i="3"/>
  <c r="AF216" i="3"/>
  <c r="AF336" i="3"/>
  <c r="AF96" i="3"/>
  <c r="AF226" i="3"/>
  <c r="AF46" i="3"/>
  <c r="AF166" i="3"/>
  <c r="AF316" i="3"/>
  <c r="AF116" i="3"/>
  <c r="AF36" i="3"/>
  <c r="AE356" i="3"/>
  <c r="AM12" i="4" s="1"/>
  <c r="AP21" i="4" l="1"/>
  <c r="AH4" i="10"/>
  <c r="AL16" i="4"/>
  <c r="X31" i="4"/>
  <c r="X32" i="4" s="1"/>
  <c r="X34" i="4" s="1"/>
  <c r="AL14" i="4"/>
  <c r="AL18" i="4" s="1"/>
  <c r="AN25" i="4"/>
  <c r="AM8" i="4"/>
  <c r="AM10" i="4" s="1"/>
  <c r="AM14" i="4" s="1"/>
  <c r="AG313" i="3"/>
  <c r="AG315" i="3" s="1"/>
  <c r="AG253" i="3"/>
  <c r="AG255" i="3" s="1"/>
  <c r="AG223" i="3"/>
  <c r="AG225" i="3" s="1"/>
  <c r="AK18" i="4"/>
  <c r="AK19" i="4" s="1"/>
  <c r="AG323" i="3"/>
  <c r="AG325" i="3" s="1"/>
  <c r="AG193" i="3"/>
  <c r="AG195" i="3" s="1"/>
  <c r="AG283" i="3"/>
  <c r="AG285" i="3" s="1"/>
  <c r="O48" i="4"/>
  <c r="P43" i="4" s="1"/>
  <c r="AI27" i="4"/>
  <c r="W31" i="4"/>
  <c r="AP3" i="4"/>
  <c r="AH3" i="10" s="1"/>
  <c r="AP22" i="4"/>
  <c r="AG65" i="3"/>
  <c r="AG155" i="3"/>
  <c r="AG143" i="3"/>
  <c r="AG145" i="3" s="1"/>
  <c r="AG75" i="3"/>
  <c r="AG185" i="3"/>
  <c r="AG263" i="3"/>
  <c r="AG265" i="3" s="1"/>
  <c r="AG293" i="3"/>
  <c r="AG295" i="3" s="1"/>
  <c r="AG25" i="3"/>
  <c r="AG303" i="3"/>
  <c r="AG305" i="3" s="1"/>
  <c r="AG131" i="3"/>
  <c r="AG135" i="3" s="1"/>
  <c r="AG136" i="3"/>
  <c r="AF215" i="3"/>
  <c r="AF353" i="3"/>
  <c r="AG46" i="3"/>
  <c r="AG41" i="3"/>
  <c r="AG45" i="3" s="1"/>
  <c r="AP13" i="4"/>
  <c r="AG171" i="3"/>
  <c r="AG175" i="3" s="1"/>
  <c r="AG176" i="3"/>
  <c r="AG11" i="3"/>
  <c r="AG16" i="3"/>
  <c r="AG358" i="3"/>
  <c r="AO24" i="4" s="1"/>
  <c r="AH218" i="3"/>
  <c r="AH267" i="3"/>
  <c r="AH304" i="3"/>
  <c r="AH272" i="3"/>
  <c r="AH28" i="3"/>
  <c r="AH282" i="3"/>
  <c r="AH92" i="3"/>
  <c r="AH93" i="3" s="1"/>
  <c r="AH24" i="3"/>
  <c r="AH87" i="3"/>
  <c r="AH287" i="3"/>
  <c r="AH274" i="3"/>
  <c r="AH252" i="3"/>
  <c r="AH58" i="3"/>
  <c r="AH132" i="3"/>
  <c r="AH133" i="3" s="1"/>
  <c r="AH150" i="3"/>
  <c r="AH151" i="3" s="1"/>
  <c r="AH78" i="3"/>
  <c r="AH277" i="3"/>
  <c r="AH334" i="3"/>
  <c r="AH180" i="3"/>
  <c r="AH181" i="3" s="1"/>
  <c r="AH222" i="3"/>
  <c r="AH70" i="3"/>
  <c r="AH71" i="3" s="1"/>
  <c r="AH144" i="3"/>
  <c r="AH38" i="3"/>
  <c r="AH54" i="3"/>
  <c r="AH324" i="3"/>
  <c r="AH184" i="3"/>
  <c r="AH60" i="3"/>
  <c r="AH61" i="3" s="1"/>
  <c r="AH27" i="3"/>
  <c r="AH342" i="3"/>
  <c r="AH298" i="3"/>
  <c r="AH178" i="3"/>
  <c r="AH268" i="3"/>
  <c r="AH52" i="3"/>
  <c r="AH53" i="3" s="1"/>
  <c r="AH174" i="3"/>
  <c r="AH312" i="3"/>
  <c r="AH100" i="3"/>
  <c r="AH124" i="3"/>
  <c r="AH332" i="3"/>
  <c r="AH40" i="3"/>
  <c r="AH258" i="3"/>
  <c r="AH244" i="3"/>
  <c r="AH288" i="3"/>
  <c r="AH97" i="3"/>
  <c r="AH187" i="3"/>
  <c r="AH134" i="3"/>
  <c r="AH248" i="3"/>
  <c r="AH128" i="3"/>
  <c r="AH122" i="3"/>
  <c r="AH123" i="3" s="1"/>
  <c r="AH77" i="3"/>
  <c r="AH118" i="3"/>
  <c r="AH214" i="3"/>
  <c r="AH137" i="3"/>
  <c r="AH32" i="3"/>
  <c r="AH57" i="3"/>
  <c r="AH102" i="3"/>
  <c r="AH103" i="3" s="1"/>
  <c r="AH37" i="3"/>
  <c r="AH172" i="3"/>
  <c r="AH173" i="3" s="1"/>
  <c r="AH167" i="3"/>
  <c r="AH90" i="3"/>
  <c r="AH91" i="3" s="1"/>
  <c r="AH120" i="3"/>
  <c r="AH121" i="3" s="1"/>
  <c r="AH130" i="3"/>
  <c r="AH22" i="3"/>
  <c r="AH23" i="3" s="1"/>
  <c r="AH284" i="3"/>
  <c r="AH94" i="3"/>
  <c r="AH294" i="3"/>
  <c r="AH190" i="3"/>
  <c r="AH191" i="3" s="1"/>
  <c r="AH68" i="3"/>
  <c r="AH82" i="3"/>
  <c r="AH147" i="3"/>
  <c r="AH212" i="3"/>
  <c r="AH160" i="3"/>
  <c r="AH161" i="3" s="1"/>
  <c r="AH177" i="3"/>
  <c r="AH104" i="3"/>
  <c r="AH42" i="3"/>
  <c r="AH43" i="3" s="1"/>
  <c r="AH192" i="3"/>
  <c r="AH318" i="3"/>
  <c r="AH198" i="3"/>
  <c r="AH338" i="3"/>
  <c r="AH80" i="3"/>
  <c r="AH81" i="3" s="1"/>
  <c r="AH314" i="3"/>
  <c r="AH182" i="3"/>
  <c r="AH183" i="3" s="1"/>
  <c r="AH50" i="3"/>
  <c r="AH51" i="3" s="1"/>
  <c r="AH67" i="3"/>
  <c r="AH114" i="3"/>
  <c r="AH232" i="3"/>
  <c r="AH72" i="3"/>
  <c r="AH73" i="3" s="1"/>
  <c r="AH242" i="3"/>
  <c r="AH257" i="3"/>
  <c r="AH238" i="3"/>
  <c r="AH217" i="3"/>
  <c r="AH98" i="3"/>
  <c r="AH108" i="3"/>
  <c r="AH148" i="3"/>
  <c r="AH237" i="3"/>
  <c r="AH10" i="3"/>
  <c r="AH140" i="3"/>
  <c r="AH141" i="3" s="1"/>
  <c r="AH170" i="3"/>
  <c r="AH262" i="3"/>
  <c r="AH74" i="3"/>
  <c r="AH110" i="3"/>
  <c r="AH111" i="3" s="1"/>
  <c r="AH278" i="3"/>
  <c r="AH302" i="3"/>
  <c r="AH344" i="3"/>
  <c r="AH188" i="3"/>
  <c r="AH34" i="3"/>
  <c r="AH64" i="3"/>
  <c r="AH158" i="3"/>
  <c r="AH164" i="3"/>
  <c r="AH168" i="3"/>
  <c r="AH308" i="3"/>
  <c r="AH107" i="3"/>
  <c r="AH88" i="3"/>
  <c r="AH224" i="3"/>
  <c r="AH142" i="3"/>
  <c r="AH228" i="3"/>
  <c r="AH47" i="3"/>
  <c r="AH157" i="3"/>
  <c r="AP5" i="4"/>
  <c r="AH5" i="10" s="1"/>
  <c r="AH62" i="3"/>
  <c r="AH63" i="3" s="1"/>
  <c r="AH162" i="3"/>
  <c r="AH163" i="3" s="1"/>
  <c r="AH197" i="3"/>
  <c r="AH227" i="3"/>
  <c r="AH264" i="3"/>
  <c r="AH117" i="3"/>
  <c r="AH44" i="3"/>
  <c r="AH48" i="3"/>
  <c r="AH127" i="3"/>
  <c r="AH152" i="3"/>
  <c r="AH153" i="3" s="1"/>
  <c r="AH348" i="3"/>
  <c r="AH138" i="3"/>
  <c r="AH20" i="3"/>
  <c r="AH21" i="3" s="1"/>
  <c r="AH328" i="3"/>
  <c r="AH254" i="3"/>
  <c r="AH194" i="3"/>
  <c r="AH84" i="3"/>
  <c r="AH292" i="3"/>
  <c r="AH234" i="3"/>
  <c r="AH154" i="3"/>
  <c r="AH30" i="3"/>
  <c r="AH31" i="3" s="1"/>
  <c r="AH247" i="3"/>
  <c r="AH322" i="3"/>
  <c r="AH112" i="3"/>
  <c r="AH113" i="3" s="1"/>
  <c r="AH6" i="3"/>
  <c r="AG233" i="3"/>
  <c r="AG235" i="3" s="1"/>
  <c r="AG125" i="3"/>
  <c r="AG243" i="3"/>
  <c r="AG245" i="3" s="1"/>
  <c r="AG95" i="3"/>
  <c r="AG106" i="3"/>
  <c r="AG101" i="3"/>
  <c r="AG105" i="3" s="1"/>
  <c r="AG115" i="3"/>
  <c r="AG343" i="3"/>
  <c r="AG345" i="3" s="1"/>
  <c r="AG33" i="3"/>
  <c r="AG35" i="3" s="1"/>
  <c r="AG213" i="3"/>
  <c r="AG215" i="3" s="1"/>
  <c r="AG55" i="3"/>
  <c r="AF15" i="3"/>
  <c r="AF352" i="3"/>
  <c r="AG165" i="3"/>
  <c r="AG83" i="3"/>
  <c r="AG85" i="3" s="1"/>
  <c r="AG354" i="3"/>
  <c r="AO9" i="4" s="1"/>
  <c r="AG357" i="3"/>
  <c r="AO23" i="4" s="1"/>
  <c r="AG273" i="3"/>
  <c r="AG275" i="3" s="1"/>
  <c r="AI4" i="3"/>
  <c r="AJ3" i="3"/>
  <c r="AI340" i="3"/>
  <c r="AI347" i="3" s="1"/>
  <c r="AI5" i="3"/>
  <c r="AI300" i="3"/>
  <c r="AI307" i="3" s="1"/>
  <c r="AI290" i="3"/>
  <c r="AI297" i="3" s="1"/>
  <c r="AI310" i="3"/>
  <c r="AI317" i="3" s="1"/>
  <c r="AQ4" i="4"/>
  <c r="AI330" i="3"/>
  <c r="AI337" i="3" s="1"/>
  <c r="AI320" i="3"/>
  <c r="AI327" i="3" s="1"/>
  <c r="AG333" i="3"/>
  <c r="AG335" i="3" s="1"/>
  <c r="AF356" i="3"/>
  <c r="AN12" i="4" s="1"/>
  <c r="AH7" i="3"/>
  <c r="AP17" i="4" s="1"/>
  <c r="AG196" i="3"/>
  <c r="AG256" i="3"/>
  <c r="AG326" i="3"/>
  <c r="AG96" i="3"/>
  <c r="AG306" i="3"/>
  <c r="AG216" i="3"/>
  <c r="AG246" i="3"/>
  <c r="AG66" i="3"/>
  <c r="AG286" i="3"/>
  <c r="AG166" i="3"/>
  <c r="AG346" i="3"/>
  <c r="AG56" i="3"/>
  <c r="AG76" i="3"/>
  <c r="AG186" i="3"/>
  <c r="AG316" i="3"/>
  <c r="AG236" i="3"/>
  <c r="AG86" i="3"/>
  <c r="AG276" i="3"/>
  <c r="AG126" i="3"/>
  <c r="AG156" i="3"/>
  <c r="AG266" i="3"/>
  <c r="AG116" i="3"/>
  <c r="AG36" i="3"/>
  <c r="AG336" i="3"/>
  <c r="AG26" i="3"/>
  <c r="AG296" i="3"/>
  <c r="AG226" i="3"/>
  <c r="AG146" i="3"/>
  <c r="AL19" i="4" l="1"/>
  <c r="AI4" i="10"/>
  <c r="AQ21" i="4"/>
  <c r="AM16" i="4"/>
  <c r="Y31" i="4"/>
  <c r="Y32" i="4" s="1"/>
  <c r="Y34" i="4" s="1"/>
  <c r="AK27" i="4"/>
  <c r="P45" i="4"/>
  <c r="P46" i="4" s="1"/>
  <c r="P50" i="4"/>
  <c r="AM18" i="4"/>
  <c r="AN8" i="4"/>
  <c r="AO25" i="4"/>
  <c r="X44" i="4"/>
  <c r="AL27" i="4"/>
  <c r="Z31" i="4"/>
  <c r="AQ3" i="4"/>
  <c r="AI3" i="10" s="1"/>
  <c r="AQ22" i="4"/>
  <c r="W32" i="4"/>
  <c r="W34" i="4" s="1"/>
  <c r="AH193" i="3"/>
  <c r="AH195" i="3" s="1"/>
  <c r="AH95" i="3"/>
  <c r="AH65" i="3"/>
  <c r="AH125" i="3"/>
  <c r="AH293" i="3"/>
  <c r="AH295" i="3" s="1"/>
  <c r="AH243" i="3"/>
  <c r="AH245" i="3" s="1"/>
  <c r="AH303" i="3"/>
  <c r="AH305" i="3" s="1"/>
  <c r="AH213" i="3"/>
  <c r="AH215" i="3" s="1"/>
  <c r="AH233" i="3"/>
  <c r="AH235" i="3" s="1"/>
  <c r="AH33" i="3"/>
  <c r="AH35" i="3" s="1"/>
  <c r="AH333" i="3"/>
  <c r="AH335" i="3" s="1"/>
  <c r="AH283" i="3"/>
  <c r="AH285" i="3" s="1"/>
  <c r="AH253" i="3"/>
  <c r="AH255" i="3" s="1"/>
  <c r="AH83" i="3"/>
  <c r="AH85" i="3" s="1"/>
  <c r="AH223" i="3"/>
  <c r="AH225" i="3" s="1"/>
  <c r="AH273" i="3"/>
  <c r="AH275" i="3" s="1"/>
  <c r="AF359" i="3" a="1"/>
  <c r="AF359" i="3" s="1"/>
  <c r="AN6" i="4" s="1"/>
  <c r="AH357" i="3"/>
  <c r="AP23" i="4" s="1"/>
  <c r="AH115" i="3"/>
  <c r="AF355" i="3"/>
  <c r="AH323" i="3"/>
  <c r="AH325" i="3" s="1"/>
  <c r="AH343" i="3"/>
  <c r="AH345" i="3" s="1"/>
  <c r="AH136" i="3"/>
  <c r="AH131" i="3"/>
  <c r="AH135" i="3" s="1"/>
  <c r="AH358" i="3"/>
  <c r="AP24" i="4" s="1"/>
  <c r="AH106" i="3"/>
  <c r="AH101" i="3"/>
  <c r="AH105" i="3" s="1"/>
  <c r="AH354" i="3"/>
  <c r="AP9" i="4" s="1"/>
  <c r="AJ300" i="3"/>
  <c r="AJ307" i="3" s="1"/>
  <c r="AK3" i="3"/>
  <c r="AJ290" i="3"/>
  <c r="AJ297" i="3" s="1"/>
  <c r="AJ310" i="3"/>
  <c r="AJ317" i="3" s="1"/>
  <c r="AR4" i="4"/>
  <c r="AJ340" i="3"/>
  <c r="AJ347" i="3" s="1"/>
  <c r="AJ320" i="3"/>
  <c r="AJ327" i="3" s="1"/>
  <c r="AJ5" i="3"/>
  <c r="AJ4" i="3"/>
  <c r="AJ330" i="3"/>
  <c r="AJ337" i="3" s="1"/>
  <c r="AH25" i="3"/>
  <c r="AH313" i="3"/>
  <c r="AH315" i="3" s="1"/>
  <c r="AH185" i="3"/>
  <c r="AH41" i="3"/>
  <c r="AH45" i="3" s="1"/>
  <c r="AH46" i="3"/>
  <c r="AH143" i="3"/>
  <c r="AH145" i="3" s="1"/>
  <c r="AH263" i="3"/>
  <c r="AH265" i="3" s="1"/>
  <c r="AH55" i="3"/>
  <c r="AH171" i="3"/>
  <c r="AH175" i="3" s="1"/>
  <c r="AH176" i="3"/>
  <c r="AH165" i="3"/>
  <c r="AH11" i="3"/>
  <c r="AH16" i="3"/>
  <c r="AH155" i="3"/>
  <c r="AG353" i="3"/>
  <c r="AQ13" i="4"/>
  <c r="AI287" i="3"/>
  <c r="AI47" i="3"/>
  <c r="AI302" i="3"/>
  <c r="AI134" i="3"/>
  <c r="AI252" i="3"/>
  <c r="AI22" i="3"/>
  <c r="AI23" i="3" s="1"/>
  <c r="AI88" i="3"/>
  <c r="AI262" i="3"/>
  <c r="AI192" i="3"/>
  <c r="AI97" i="3"/>
  <c r="AI158" i="3"/>
  <c r="AI42" i="3"/>
  <c r="AI43" i="3" s="1"/>
  <c r="AI30" i="3"/>
  <c r="AI31" i="3" s="1"/>
  <c r="AI114" i="3"/>
  <c r="AI24" i="3"/>
  <c r="AI112" i="3"/>
  <c r="AI113" i="3" s="1"/>
  <c r="AI227" i="3"/>
  <c r="AI282" i="3"/>
  <c r="AI217" i="3"/>
  <c r="AI27" i="3"/>
  <c r="AI298" i="3"/>
  <c r="AI162" i="3"/>
  <c r="AI163" i="3" s="1"/>
  <c r="AI150" i="3"/>
  <c r="AI151" i="3" s="1"/>
  <c r="AI278" i="3"/>
  <c r="AI28" i="3"/>
  <c r="AI292" i="3"/>
  <c r="AI94" i="3"/>
  <c r="AI120" i="3"/>
  <c r="AI121" i="3" s="1"/>
  <c r="AI117" i="3"/>
  <c r="AI257" i="3"/>
  <c r="AI197" i="3"/>
  <c r="AI100" i="3"/>
  <c r="AI248" i="3"/>
  <c r="AI187" i="3"/>
  <c r="AI182" i="3"/>
  <c r="AI183" i="3" s="1"/>
  <c r="AI168" i="3"/>
  <c r="AI80" i="3"/>
  <c r="AI81" i="3" s="1"/>
  <c r="AI67" i="3"/>
  <c r="AI50" i="3"/>
  <c r="AI51" i="3" s="1"/>
  <c r="AI64" i="3"/>
  <c r="AI198" i="3"/>
  <c r="AI338" i="3"/>
  <c r="AI312" i="3"/>
  <c r="AI10" i="3"/>
  <c r="AI247" i="3"/>
  <c r="AI122" i="3"/>
  <c r="AI123" i="3" s="1"/>
  <c r="AI277" i="3"/>
  <c r="AI254" i="3"/>
  <c r="AI140" i="3"/>
  <c r="AI141" i="3" s="1"/>
  <c r="AI74" i="3"/>
  <c r="AI188" i="3"/>
  <c r="AI167" i="3"/>
  <c r="AI334" i="3"/>
  <c r="AI108" i="3"/>
  <c r="AI77" i="3"/>
  <c r="AI110" i="3"/>
  <c r="AI111" i="3" s="1"/>
  <c r="AI102" i="3"/>
  <c r="AI103" i="3" s="1"/>
  <c r="AI164" i="3"/>
  <c r="AI177" i="3"/>
  <c r="AI54" i="3"/>
  <c r="AI172" i="3"/>
  <c r="AI157" i="3"/>
  <c r="AI34" i="3"/>
  <c r="AI328" i="3"/>
  <c r="AI180" i="3"/>
  <c r="AI181" i="3" s="1"/>
  <c r="AI144" i="3"/>
  <c r="AI107" i="3"/>
  <c r="AI237" i="3"/>
  <c r="AI40" i="3"/>
  <c r="AQ5" i="4"/>
  <c r="AI5" i="10" s="1"/>
  <c r="AI178" i="3"/>
  <c r="AI214" i="3"/>
  <c r="AI272" i="3"/>
  <c r="AI238" i="3"/>
  <c r="AI318" i="3"/>
  <c r="AI124" i="3"/>
  <c r="AI314" i="3"/>
  <c r="AI52" i="3"/>
  <c r="AI53" i="3" s="1"/>
  <c r="AI222" i="3"/>
  <c r="AI72" i="3"/>
  <c r="AI73" i="3" s="1"/>
  <c r="AI142" i="3"/>
  <c r="AI38" i="3"/>
  <c r="AI20" i="3"/>
  <c r="AI21" i="3" s="1"/>
  <c r="AI344" i="3"/>
  <c r="AI128" i="3"/>
  <c r="AI244" i="3"/>
  <c r="AI228" i="3"/>
  <c r="AI68" i="3"/>
  <c r="AI212" i="3"/>
  <c r="AI284" i="3"/>
  <c r="AI44" i="3"/>
  <c r="AI58" i="3"/>
  <c r="AI308" i="3"/>
  <c r="AI268" i="3"/>
  <c r="AI332" i="3"/>
  <c r="AI98" i="3"/>
  <c r="AI152" i="3"/>
  <c r="AI153" i="3" s="1"/>
  <c r="AI184" i="3"/>
  <c r="AI170" i="3"/>
  <c r="AI171" i="3" s="1"/>
  <c r="AI147" i="3"/>
  <c r="AI132" i="3"/>
  <c r="AI133" i="3" s="1"/>
  <c r="AI218" i="3"/>
  <c r="AI138" i="3"/>
  <c r="AI294" i="3"/>
  <c r="AI87" i="3"/>
  <c r="AI84" i="3"/>
  <c r="AI160" i="3"/>
  <c r="AI161" i="3" s="1"/>
  <c r="AI104" i="3"/>
  <c r="AI118" i="3"/>
  <c r="AI130" i="3"/>
  <c r="AI348" i="3"/>
  <c r="AI82" i="3"/>
  <c r="AI78" i="3"/>
  <c r="AI224" i="3"/>
  <c r="AI48" i="3"/>
  <c r="AI37" i="3"/>
  <c r="AI190" i="3"/>
  <c r="AI191" i="3" s="1"/>
  <c r="AI127" i="3"/>
  <c r="AI322" i="3"/>
  <c r="AI304" i="3"/>
  <c r="AI194" i="3"/>
  <c r="AI92" i="3"/>
  <c r="AI93" i="3" s="1"/>
  <c r="AI57" i="3"/>
  <c r="AI274" i="3"/>
  <c r="AI242" i="3"/>
  <c r="AI258" i="3"/>
  <c r="AI234" i="3"/>
  <c r="AI154" i="3"/>
  <c r="AI148" i="3"/>
  <c r="AI32" i="3"/>
  <c r="AI60" i="3"/>
  <c r="AI267" i="3"/>
  <c r="AI342" i="3"/>
  <c r="AI232" i="3"/>
  <c r="AI264" i="3"/>
  <c r="AI324" i="3"/>
  <c r="AI62" i="3"/>
  <c r="AI63" i="3" s="1"/>
  <c r="AI137" i="3"/>
  <c r="AI70" i="3"/>
  <c r="AI71" i="3" s="1"/>
  <c r="AI90" i="3"/>
  <c r="AI91" i="3" s="1"/>
  <c r="AI288" i="3"/>
  <c r="AI6" i="3"/>
  <c r="AH75" i="3"/>
  <c r="AG352" i="3"/>
  <c r="AG15" i="3"/>
  <c r="AG355" i="3" s="1"/>
  <c r="AG356" i="3"/>
  <c r="AO12" i="4" s="1"/>
  <c r="AI7" i="3"/>
  <c r="AQ17" i="4" s="1"/>
  <c r="AH346" i="3"/>
  <c r="AH256" i="3"/>
  <c r="AH336" i="3"/>
  <c r="AH286" i="3"/>
  <c r="AH326" i="3"/>
  <c r="AH306" i="3"/>
  <c r="AH216" i="3"/>
  <c r="AH246" i="3"/>
  <c r="AH66" i="3"/>
  <c r="AH56" i="3"/>
  <c r="AH86" i="3"/>
  <c r="AH156" i="3"/>
  <c r="AH296" i="3"/>
  <c r="AH266" i="3"/>
  <c r="AH76" i="3"/>
  <c r="AH196" i="3"/>
  <c r="AH116" i="3"/>
  <c r="AH276" i="3"/>
  <c r="AH26" i="3"/>
  <c r="AH316" i="3"/>
  <c r="AH146" i="3"/>
  <c r="AH36" i="3"/>
  <c r="AH96" i="3"/>
  <c r="AH126" i="3"/>
  <c r="AH186" i="3"/>
  <c r="AH236" i="3"/>
  <c r="AH166" i="3"/>
  <c r="AH226" i="3"/>
  <c r="AR21" i="4" l="1"/>
  <c r="AJ4" i="10"/>
  <c r="AM19" i="4"/>
  <c r="AM27" i="4" s="1"/>
  <c r="AI333" i="3"/>
  <c r="AI335" i="3" s="1"/>
  <c r="AI223" i="3"/>
  <c r="AI225" i="3" s="1"/>
  <c r="P47" i="4"/>
  <c r="P48" i="4" s="1"/>
  <c r="Q43" i="4" s="1"/>
  <c r="Q50" i="4" s="1"/>
  <c r="AO8" i="4"/>
  <c r="AO10" i="4" s="1"/>
  <c r="AO14" i="4" s="1"/>
  <c r="AN10" i="4"/>
  <c r="AN14" i="4" s="1"/>
  <c r="AN16" i="4"/>
  <c r="AP25" i="4"/>
  <c r="AI83" i="3"/>
  <c r="W44" i="4"/>
  <c r="Y44" i="4"/>
  <c r="AR3" i="4"/>
  <c r="AJ3" i="10" s="1"/>
  <c r="AR22" i="4"/>
  <c r="Z32" i="4"/>
  <c r="Z34" i="4" s="1"/>
  <c r="AI303" i="3"/>
  <c r="AI305" i="3" s="1"/>
  <c r="AI33" i="3"/>
  <c r="AI35" i="3" s="1"/>
  <c r="AI283" i="3"/>
  <c r="AI285" i="3" s="1"/>
  <c r="AI143" i="3"/>
  <c r="AI145" i="3" s="1"/>
  <c r="AI343" i="3"/>
  <c r="AI345" i="3" s="1"/>
  <c r="AI253" i="3"/>
  <c r="AI255" i="3" s="1"/>
  <c r="AI357" i="3"/>
  <c r="AQ23" i="4" s="1"/>
  <c r="AI25" i="3"/>
  <c r="AI46" i="3"/>
  <c r="AI41" i="3"/>
  <c r="AI45" i="3" s="1"/>
  <c r="AK300" i="3"/>
  <c r="AK307" i="3" s="1"/>
  <c r="AL3" i="3"/>
  <c r="AK4" i="3"/>
  <c r="AK310" i="3"/>
  <c r="AK317" i="3" s="1"/>
  <c r="AK340" i="3"/>
  <c r="AK347" i="3" s="1"/>
  <c r="AK290" i="3"/>
  <c r="AK297" i="3" s="1"/>
  <c r="AS4" i="4"/>
  <c r="AK330" i="3"/>
  <c r="AK337" i="3" s="1"/>
  <c r="AK5" i="3"/>
  <c r="AK320" i="3"/>
  <c r="AK327" i="3" s="1"/>
  <c r="AI61" i="3"/>
  <c r="AI65" i="3" s="1"/>
  <c r="AI66" i="3"/>
  <c r="AI243" i="3"/>
  <c r="AI245" i="3" s="1"/>
  <c r="AI95" i="3"/>
  <c r="AI11" i="3"/>
  <c r="AI16" i="3"/>
  <c r="AI125" i="3"/>
  <c r="AJ298" i="3"/>
  <c r="AJ157" i="3"/>
  <c r="AJ88" i="3"/>
  <c r="AJ254" i="3"/>
  <c r="AJ132" i="3"/>
  <c r="AJ190" i="3"/>
  <c r="AJ191" i="3" s="1"/>
  <c r="AJ164" i="3"/>
  <c r="AJ30" i="3"/>
  <c r="AJ31" i="3" s="1"/>
  <c r="AJ154" i="3"/>
  <c r="AJ147" i="3"/>
  <c r="AJ87" i="3"/>
  <c r="AJ232" i="3"/>
  <c r="AJ130" i="3"/>
  <c r="AJ131" i="3" s="1"/>
  <c r="AJ50" i="3"/>
  <c r="AJ51" i="3" s="1"/>
  <c r="AJ84" i="3"/>
  <c r="AJ194" i="3"/>
  <c r="AJ77" i="3"/>
  <c r="AJ177" i="3"/>
  <c r="AJ272" i="3"/>
  <c r="AJ238" i="3"/>
  <c r="AJ58" i="3"/>
  <c r="AJ120" i="3"/>
  <c r="AJ121" i="3" s="1"/>
  <c r="AJ122" i="3"/>
  <c r="AJ123" i="3" s="1"/>
  <c r="AJ52" i="3"/>
  <c r="AJ53" i="3" s="1"/>
  <c r="AJ237" i="3"/>
  <c r="AJ252" i="3"/>
  <c r="AJ267" i="3"/>
  <c r="AJ197" i="3"/>
  <c r="AJ57" i="3"/>
  <c r="AJ144" i="3"/>
  <c r="AJ37" i="3"/>
  <c r="AJ42" i="3"/>
  <c r="AJ43" i="3" s="1"/>
  <c r="AJ167" i="3"/>
  <c r="AJ342" i="3"/>
  <c r="AJ294" i="3"/>
  <c r="AJ180" i="3"/>
  <c r="AJ181" i="3" s="1"/>
  <c r="AJ287" i="3"/>
  <c r="AJ72" i="3"/>
  <c r="AJ73" i="3" s="1"/>
  <c r="AJ67" i="3"/>
  <c r="AJ70" i="3"/>
  <c r="AJ71" i="3" s="1"/>
  <c r="AJ97" i="3"/>
  <c r="AJ308" i="3"/>
  <c r="AJ137" i="3"/>
  <c r="AJ38" i="3"/>
  <c r="AJ198" i="3"/>
  <c r="AJ10" i="3"/>
  <c r="AJ222" i="3"/>
  <c r="AJ64" i="3"/>
  <c r="AJ262" i="3"/>
  <c r="AJ192" i="3"/>
  <c r="AJ74" i="3"/>
  <c r="AJ268" i="3"/>
  <c r="AJ318" i="3"/>
  <c r="AJ94" i="3"/>
  <c r="AJ82" i="3"/>
  <c r="AJ257" i="3"/>
  <c r="AJ258" i="3"/>
  <c r="AJ227" i="3"/>
  <c r="AJ158" i="3"/>
  <c r="AJ98" i="3"/>
  <c r="AJ277" i="3"/>
  <c r="AJ40" i="3"/>
  <c r="AJ152" i="3"/>
  <c r="AJ153" i="3" s="1"/>
  <c r="AJ100" i="3"/>
  <c r="AJ117" i="3"/>
  <c r="AJ118" i="3"/>
  <c r="AR5" i="4"/>
  <c r="AJ5" i="10" s="1"/>
  <c r="AJ348" i="3"/>
  <c r="AJ148" i="3"/>
  <c r="AJ68" i="3"/>
  <c r="AJ334" i="3"/>
  <c r="AJ264" i="3"/>
  <c r="AJ234" i="3"/>
  <c r="AJ34" i="3"/>
  <c r="AJ142" i="3"/>
  <c r="AJ60" i="3"/>
  <c r="AJ302" i="3"/>
  <c r="AJ20" i="3"/>
  <c r="AJ112" i="3"/>
  <c r="AJ113" i="3" s="1"/>
  <c r="AJ228" i="3"/>
  <c r="AJ47" i="3"/>
  <c r="AJ168" i="3"/>
  <c r="AJ322" i="3"/>
  <c r="AJ224" i="3"/>
  <c r="AJ214" i="3"/>
  <c r="AJ62" i="3"/>
  <c r="AJ63" i="3" s="1"/>
  <c r="AJ44" i="3"/>
  <c r="AJ114" i="3"/>
  <c r="AJ248" i="3"/>
  <c r="AJ28" i="3"/>
  <c r="AJ27" i="3"/>
  <c r="AJ170" i="3"/>
  <c r="AJ171" i="3" s="1"/>
  <c r="AJ32" i="3"/>
  <c r="AJ188" i="3"/>
  <c r="AJ92" i="3"/>
  <c r="AJ93" i="3" s="1"/>
  <c r="AJ324" i="3"/>
  <c r="AJ278" i="3"/>
  <c r="AJ344" i="3"/>
  <c r="AJ54" i="3"/>
  <c r="AJ22" i="3"/>
  <c r="AJ23" i="3" s="1"/>
  <c r="AJ90" i="3"/>
  <c r="AJ91" i="3" s="1"/>
  <c r="AJ187" i="3"/>
  <c r="AJ24" i="3"/>
  <c r="AJ140" i="3"/>
  <c r="AJ141" i="3" s="1"/>
  <c r="AJ292" i="3"/>
  <c r="AJ182" i="3"/>
  <c r="AJ183" i="3" s="1"/>
  <c r="AJ314" i="3"/>
  <c r="AJ242" i="3"/>
  <c r="AJ78" i="3"/>
  <c r="AJ274" i="3"/>
  <c r="AJ212" i="3"/>
  <c r="AJ184" i="3"/>
  <c r="AJ332" i="3"/>
  <c r="AJ172" i="3"/>
  <c r="AJ328" i="3"/>
  <c r="AJ127" i="3"/>
  <c r="AJ312" i="3"/>
  <c r="AJ48" i="3"/>
  <c r="AJ282" i="3"/>
  <c r="AJ110" i="3"/>
  <c r="AJ111" i="3" s="1"/>
  <c r="AJ218" i="3"/>
  <c r="AJ150" i="3"/>
  <c r="AJ151" i="3" s="1"/>
  <c r="AJ107" i="3"/>
  <c r="AJ338" i="3"/>
  <c r="AJ217" i="3"/>
  <c r="AJ162" i="3"/>
  <c r="AJ163" i="3" s="1"/>
  <c r="AJ128" i="3"/>
  <c r="AJ160" i="3"/>
  <c r="AJ161" i="3" s="1"/>
  <c r="AJ247" i="3"/>
  <c r="AJ178" i="3"/>
  <c r="AJ288" i="3"/>
  <c r="AJ284" i="3"/>
  <c r="AJ304" i="3"/>
  <c r="AJ124" i="3"/>
  <c r="AJ102" i="3"/>
  <c r="AJ80" i="3"/>
  <c r="AJ81" i="3" s="1"/>
  <c r="AJ138" i="3"/>
  <c r="AJ108" i="3"/>
  <c r="AJ244" i="3"/>
  <c r="AJ6" i="3"/>
  <c r="AG359" i="3" a="1"/>
  <c r="AG359" i="3" s="1"/>
  <c r="AO6" i="4" s="1"/>
  <c r="AI173" i="3"/>
  <c r="AI174" i="3" s="1"/>
  <c r="AI354" i="3" s="1"/>
  <c r="AQ9" i="4" s="1"/>
  <c r="AI75" i="3"/>
  <c r="AI165" i="3"/>
  <c r="AI313" i="3"/>
  <c r="AI315" i="3" s="1"/>
  <c r="AR13" i="4"/>
  <c r="AI185" i="3"/>
  <c r="AI85" i="3"/>
  <c r="AI293" i="3"/>
  <c r="AI295" i="3" s="1"/>
  <c r="AH15" i="3"/>
  <c r="AH355" i="3" s="1"/>
  <c r="AH352" i="3"/>
  <c r="AI106" i="3"/>
  <c r="AI101" i="3"/>
  <c r="AI105" i="3" s="1"/>
  <c r="AI213" i="3"/>
  <c r="AI215" i="3" s="1"/>
  <c r="AI273" i="3"/>
  <c r="AI275" i="3" s="1"/>
  <c r="AI358" i="3"/>
  <c r="AQ24" i="4" s="1"/>
  <c r="AI193" i="3"/>
  <c r="AI195" i="3" s="1"/>
  <c r="AI115" i="3"/>
  <c r="AI263" i="3"/>
  <c r="AI265" i="3" s="1"/>
  <c r="AI55" i="3"/>
  <c r="AI155" i="3"/>
  <c r="AI136" i="3"/>
  <c r="AI131" i="3"/>
  <c r="AI135" i="3" s="1"/>
  <c r="AI323" i="3"/>
  <c r="AI325" i="3" s="1"/>
  <c r="AI233" i="3"/>
  <c r="AI235" i="3" s="1"/>
  <c r="AH353" i="3"/>
  <c r="AH356" i="3"/>
  <c r="AP12" i="4" s="1"/>
  <c r="AJ7" i="3"/>
  <c r="AR17" i="4" s="1"/>
  <c r="AI346" i="3"/>
  <c r="AI286" i="3"/>
  <c r="AI196" i="3"/>
  <c r="AI116" i="3"/>
  <c r="AI216" i="3"/>
  <c r="AI326" i="3"/>
  <c r="AI246" i="3"/>
  <c r="AI126" i="3"/>
  <c r="AI256" i="3"/>
  <c r="AI76" i="3"/>
  <c r="AI146" i="3"/>
  <c r="AI96" i="3"/>
  <c r="AI56" i="3"/>
  <c r="AI276" i="3"/>
  <c r="AI176" i="3"/>
  <c r="AI296" i="3"/>
  <c r="AI26" i="3"/>
  <c r="AI86" i="3"/>
  <c r="AI226" i="3"/>
  <c r="AI236" i="3"/>
  <c r="AI186" i="3"/>
  <c r="AI306" i="3"/>
  <c r="AI316" i="3"/>
  <c r="AI166" i="3"/>
  <c r="AI266" i="3"/>
  <c r="AI36" i="3"/>
  <c r="AI336" i="3"/>
  <c r="AI156" i="3"/>
  <c r="AK4" i="10" l="1"/>
  <c r="AS21" i="4"/>
  <c r="AJ213" i="3"/>
  <c r="AJ215" i="3" s="1"/>
  <c r="AO16" i="4"/>
  <c r="AA31" i="4"/>
  <c r="AA32" i="4" s="1"/>
  <c r="AA34" i="4" s="1"/>
  <c r="AA44" i="4" s="1"/>
  <c r="Q45" i="4"/>
  <c r="Q46" i="4" s="1"/>
  <c r="AP8" i="4"/>
  <c r="AP10" i="4" s="1"/>
  <c r="AP14" i="4" s="1"/>
  <c r="AQ25" i="4"/>
  <c r="AN18" i="4"/>
  <c r="AN19" i="4" s="1"/>
  <c r="Z44" i="4"/>
  <c r="AS3" i="4"/>
  <c r="AK3" i="10" s="1"/>
  <c r="AS22" i="4"/>
  <c r="AJ223" i="3"/>
  <c r="AJ225" i="3" s="1"/>
  <c r="AJ33" i="3"/>
  <c r="AJ35" i="3" s="1"/>
  <c r="AJ303" i="3"/>
  <c r="AJ305" i="3" s="1"/>
  <c r="AJ103" i="3"/>
  <c r="AJ104" i="3" s="1"/>
  <c r="AJ173" i="3"/>
  <c r="AJ174" i="3" s="1"/>
  <c r="AJ175" i="3" s="1"/>
  <c r="AJ273" i="3"/>
  <c r="AJ275" i="3" s="1"/>
  <c r="AJ333" i="3"/>
  <c r="AJ335" i="3" s="1"/>
  <c r="AJ193" i="3"/>
  <c r="AJ195" i="3" s="1"/>
  <c r="AJ343" i="3"/>
  <c r="AJ345" i="3" s="1"/>
  <c r="AJ263" i="3"/>
  <c r="AJ265" i="3" s="1"/>
  <c r="AJ83" i="3"/>
  <c r="AJ85" i="3" s="1"/>
  <c r="AJ133" i="3"/>
  <c r="AJ134" i="3" s="1"/>
  <c r="AJ313" i="3"/>
  <c r="AJ315" i="3" s="1"/>
  <c r="AJ323" i="3"/>
  <c r="AJ325" i="3" s="1"/>
  <c r="AH359" i="3" a="1"/>
  <c r="AH359" i="3" s="1"/>
  <c r="AP6" i="4" s="1"/>
  <c r="AP16" i="4" s="1"/>
  <c r="AJ293" i="3"/>
  <c r="AJ295" i="3" s="1"/>
  <c r="AJ253" i="3"/>
  <c r="AJ255" i="3" s="1"/>
  <c r="AI175" i="3"/>
  <c r="AO18" i="4"/>
  <c r="AJ115" i="3"/>
  <c r="AJ155" i="3"/>
  <c r="AJ283" i="3"/>
  <c r="AJ285" i="3" s="1"/>
  <c r="AJ75" i="3"/>
  <c r="AJ125" i="3"/>
  <c r="AI353" i="3"/>
  <c r="AJ165" i="3"/>
  <c r="AJ106" i="3"/>
  <c r="AJ101" i="3"/>
  <c r="AK308" i="3"/>
  <c r="AK128" i="3"/>
  <c r="AK108" i="3"/>
  <c r="AK48" i="3"/>
  <c r="AK332" i="3"/>
  <c r="AK174" i="3"/>
  <c r="AK88" i="3"/>
  <c r="AK180" i="3"/>
  <c r="AK181" i="3" s="1"/>
  <c r="AK112" i="3"/>
  <c r="AK113" i="3" s="1"/>
  <c r="AK298" i="3"/>
  <c r="AK142" i="3"/>
  <c r="AK254" i="3"/>
  <c r="AK64" i="3"/>
  <c r="AK60" i="3"/>
  <c r="AK277" i="3"/>
  <c r="AK157" i="3"/>
  <c r="AK38" i="3"/>
  <c r="AK120" i="3"/>
  <c r="AK121" i="3" s="1"/>
  <c r="AK272" i="3"/>
  <c r="AK234" i="3"/>
  <c r="AK194" i="3"/>
  <c r="AK77" i="3"/>
  <c r="AK258" i="3"/>
  <c r="AK334" i="3"/>
  <c r="AK98" i="3"/>
  <c r="AK188" i="3"/>
  <c r="AK42" i="3"/>
  <c r="AK43" i="3" s="1"/>
  <c r="AK264" i="3"/>
  <c r="AK100" i="3"/>
  <c r="AK101" i="3" s="1"/>
  <c r="AK67" i="3"/>
  <c r="AK252" i="3"/>
  <c r="AK62" i="3"/>
  <c r="AK63" i="3" s="1"/>
  <c r="AK344" i="3"/>
  <c r="AK34" i="3"/>
  <c r="AK117" i="3"/>
  <c r="AK262" i="3"/>
  <c r="AK322" i="3"/>
  <c r="AK324" i="3"/>
  <c r="AK284" i="3"/>
  <c r="AK267" i="3"/>
  <c r="AK244" i="3"/>
  <c r="AK130" i="3"/>
  <c r="AK131" i="3" s="1"/>
  <c r="AK257" i="3"/>
  <c r="AK118" i="3"/>
  <c r="AK198" i="3"/>
  <c r="AS5" i="4"/>
  <c r="AK5" i="10" s="1"/>
  <c r="AK110" i="3"/>
  <c r="AK111" i="3" s="1"/>
  <c r="AK50" i="3"/>
  <c r="AK51" i="3" s="1"/>
  <c r="AK84" i="3"/>
  <c r="AK30" i="3"/>
  <c r="AK31" i="3" s="1"/>
  <c r="AK102" i="3"/>
  <c r="AK218" i="3"/>
  <c r="AK24" i="3"/>
  <c r="AK10" i="3"/>
  <c r="AK147" i="3"/>
  <c r="AK214" i="3"/>
  <c r="AK237" i="3"/>
  <c r="AK247" i="3"/>
  <c r="AK122" i="3"/>
  <c r="AK123" i="3" s="1"/>
  <c r="AK167" i="3"/>
  <c r="AK72" i="3"/>
  <c r="AK73" i="3" s="1"/>
  <c r="AK90" i="3"/>
  <c r="AK227" i="3"/>
  <c r="AK152" i="3"/>
  <c r="AK153" i="3" s="1"/>
  <c r="AK68" i="3"/>
  <c r="AK57" i="3"/>
  <c r="AK238" i="3"/>
  <c r="AK37" i="3"/>
  <c r="AK27" i="3"/>
  <c r="AK170" i="3"/>
  <c r="AK171" i="3" s="1"/>
  <c r="AK78" i="3"/>
  <c r="AK278" i="3"/>
  <c r="AK292" i="3"/>
  <c r="AK162" i="3"/>
  <c r="AK163" i="3" s="1"/>
  <c r="AK154" i="3"/>
  <c r="AK294" i="3"/>
  <c r="AK268" i="3"/>
  <c r="AK182" i="3"/>
  <c r="AK183" i="3" s="1"/>
  <c r="AK274" i="3"/>
  <c r="AK328" i="3"/>
  <c r="AK288" i="3"/>
  <c r="AK190" i="3"/>
  <c r="AK191" i="3" s="1"/>
  <c r="AK94" i="3"/>
  <c r="AK107" i="3"/>
  <c r="AK82" i="3"/>
  <c r="AK22" i="3"/>
  <c r="AK23" i="3" s="1"/>
  <c r="AK232" i="3"/>
  <c r="AK158" i="3"/>
  <c r="AK168" i="3"/>
  <c r="AK348" i="3"/>
  <c r="AK40" i="3"/>
  <c r="AK74" i="3"/>
  <c r="AK304" i="3"/>
  <c r="AK217" i="3"/>
  <c r="AK302" i="3"/>
  <c r="AK44" i="3"/>
  <c r="AK222" i="3"/>
  <c r="AK58" i="3"/>
  <c r="AK87" i="3"/>
  <c r="AK92" i="3"/>
  <c r="AK93" i="3" s="1"/>
  <c r="AK228" i="3"/>
  <c r="AK137" i="3"/>
  <c r="AK242" i="3"/>
  <c r="AK197" i="3"/>
  <c r="AK318" i="3"/>
  <c r="AK338" i="3"/>
  <c r="AK124" i="3"/>
  <c r="AK97" i="3"/>
  <c r="AK212" i="3"/>
  <c r="AK287" i="3"/>
  <c r="AK47" i="3"/>
  <c r="AK150" i="3"/>
  <c r="AK151" i="3" s="1"/>
  <c r="AK138" i="3"/>
  <c r="AK224" i="3"/>
  <c r="AK192" i="3"/>
  <c r="AK80" i="3"/>
  <c r="AK81" i="3" s="1"/>
  <c r="AK184" i="3"/>
  <c r="AK114" i="3"/>
  <c r="AK248" i="3"/>
  <c r="AK28" i="3"/>
  <c r="AK140" i="3"/>
  <c r="AK141" i="3" s="1"/>
  <c r="AK342" i="3"/>
  <c r="AK54" i="3"/>
  <c r="AK164" i="3"/>
  <c r="AK20" i="3"/>
  <c r="AK70" i="3"/>
  <c r="AK71" i="3" s="1"/>
  <c r="AK160" i="3"/>
  <c r="AK161" i="3" s="1"/>
  <c r="AK148" i="3"/>
  <c r="AK282" i="3"/>
  <c r="AK52" i="3"/>
  <c r="AK53" i="3" s="1"/>
  <c r="AK314" i="3"/>
  <c r="AK127" i="3"/>
  <c r="AK172" i="3"/>
  <c r="AK144" i="3"/>
  <c r="AK178" i="3"/>
  <c r="AK312" i="3"/>
  <c r="AK187" i="3"/>
  <c r="AK32" i="3"/>
  <c r="AK177" i="3"/>
  <c r="AK132" i="3"/>
  <c r="AK6" i="3"/>
  <c r="AJ26" i="3"/>
  <c r="AJ21" i="3"/>
  <c r="AJ25" i="3" s="1"/>
  <c r="AL300" i="3"/>
  <c r="AL307" i="3" s="1"/>
  <c r="AL310" i="3"/>
  <c r="AL317" i="3" s="1"/>
  <c r="AL320" i="3"/>
  <c r="AL327" i="3" s="1"/>
  <c r="AL330" i="3"/>
  <c r="AL337" i="3" s="1"/>
  <c r="AT4" i="4"/>
  <c r="AL5" i="3"/>
  <c r="AL340" i="3"/>
  <c r="AL347" i="3" s="1"/>
  <c r="AL4" i="3"/>
  <c r="AM3" i="3"/>
  <c r="AL290" i="3"/>
  <c r="AL297" i="3" s="1"/>
  <c r="AJ46" i="3"/>
  <c r="AJ41" i="3"/>
  <c r="AJ45" i="3" s="1"/>
  <c r="AJ55" i="3"/>
  <c r="AI352" i="3"/>
  <c r="AI15" i="3"/>
  <c r="AJ358" i="3"/>
  <c r="AR24" i="4" s="1"/>
  <c r="AS13" i="4"/>
  <c r="AJ16" i="3"/>
  <c r="AJ11" i="3"/>
  <c r="AJ243" i="3"/>
  <c r="AJ245" i="3" s="1"/>
  <c r="AJ66" i="3"/>
  <c r="AJ61" i="3"/>
  <c r="AJ65" i="3" s="1"/>
  <c r="AJ95" i="3"/>
  <c r="AJ185" i="3"/>
  <c r="AJ357" i="3"/>
  <c r="AR23" i="4" s="1"/>
  <c r="AJ143" i="3"/>
  <c r="AJ145" i="3" s="1"/>
  <c r="AJ233" i="3"/>
  <c r="AJ235" i="3" s="1"/>
  <c r="AK7" i="3"/>
  <c r="AS17" i="4" s="1"/>
  <c r="AJ336" i="3"/>
  <c r="AJ326" i="3"/>
  <c r="AJ346" i="3"/>
  <c r="AJ246" i="3"/>
  <c r="AJ286" i="3"/>
  <c r="AJ116" i="3"/>
  <c r="AJ216" i="3"/>
  <c r="AJ76" i="3"/>
  <c r="AJ256" i="3"/>
  <c r="AJ166" i="3"/>
  <c r="AJ276" i="3"/>
  <c r="AJ146" i="3"/>
  <c r="AJ296" i="3"/>
  <c r="AJ56" i="3"/>
  <c r="AJ236" i="3"/>
  <c r="AJ176" i="3"/>
  <c r="AJ266" i="3"/>
  <c r="AJ136" i="3"/>
  <c r="AJ316" i="3"/>
  <c r="AJ36" i="3"/>
  <c r="AJ96" i="3"/>
  <c r="AJ226" i="3"/>
  <c r="AJ196" i="3"/>
  <c r="AJ126" i="3"/>
  <c r="AJ306" i="3"/>
  <c r="AJ186" i="3"/>
  <c r="AJ156" i="3"/>
  <c r="AJ86" i="3"/>
  <c r="AI356" i="3"/>
  <c r="AQ12" i="4" s="1"/>
  <c r="AL4" i="10" l="1"/>
  <c r="AT21" i="4"/>
  <c r="AO19" i="4"/>
  <c r="AO27" i="4" s="1"/>
  <c r="Q47" i="4"/>
  <c r="Q48" i="4" s="1"/>
  <c r="R43" i="4" s="1"/>
  <c r="R50" i="4" s="1"/>
  <c r="AQ8" i="4"/>
  <c r="AQ10" i="4" s="1"/>
  <c r="AK303" i="3"/>
  <c r="AK305" i="3" s="1"/>
  <c r="AR25" i="4"/>
  <c r="AJ105" i="3"/>
  <c r="AJ354" i="3"/>
  <c r="AR9" i="4" s="1"/>
  <c r="AT3" i="4"/>
  <c r="AL3" i="10" s="1"/>
  <c r="AT22" i="4"/>
  <c r="AN27" i="4"/>
  <c r="AB31" i="4"/>
  <c r="AK253" i="3"/>
  <c r="AK255" i="3" s="1"/>
  <c r="AK263" i="3"/>
  <c r="AK265" i="3" s="1"/>
  <c r="AK193" i="3"/>
  <c r="AK195" i="3" s="1"/>
  <c r="AK223" i="3"/>
  <c r="AK225" i="3" s="1"/>
  <c r="AK103" i="3"/>
  <c r="AK104" i="3" s="1"/>
  <c r="AK105" i="3" s="1"/>
  <c r="AK273" i="3"/>
  <c r="AK275" i="3" s="1"/>
  <c r="AK283" i="3"/>
  <c r="AK285" i="3" s="1"/>
  <c r="AK125" i="3"/>
  <c r="AK165" i="3"/>
  <c r="AK75" i="3"/>
  <c r="AI355" i="3"/>
  <c r="AJ135" i="3"/>
  <c r="AI359" i="3" a="1"/>
  <c r="AI359" i="3" s="1"/>
  <c r="AQ6" i="4" s="1"/>
  <c r="AQ16" i="4" s="1"/>
  <c r="AP18" i="4"/>
  <c r="AP19" i="4" s="1"/>
  <c r="AK115" i="3"/>
  <c r="AK96" i="3"/>
  <c r="AK91" i="3"/>
  <c r="AK95" i="3" s="1"/>
  <c r="AK61" i="3"/>
  <c r="AK65" i="3" s="1"/>
  <c r="AK66" i="3"/>
  <c r="AK213" i="3"/>
  <c r="AK215" i="3" s="1"/>
  <c r="AK143" i="3"/>
  <c r="AK145" i="3" s="1"/>
  <c r="AK21" i="3"/>
  <c r="AK25" i="3" s="1"/>
  <c r="AK26" i="3"/>
  <c r="AK133" i="3"/>
  <c r="AK134" i="3" s="1"/>
  <c r="AK135" i="3" s="1"/>
  <c r="AK41" i="3"/>
  <c r="AK45" i="3" s="1"/>
  <c r="AK46" i="3"/>
  <c r="AN3" i="3"/>
  <c r="AM340" i="3"/>
  <c r="AM347" i="3" s="1"/>
  <c r="AM330" i="3"/>
  <c r="AM337" i="3" s="1"/>
  <c r="AU4" i="4"/>
  <c r="AM290" i="3"/>
  <c r="AM297" i="3" s="1"/>
  <c r="AM300" i="3"/>
  <c r="AM307" i="3" s="1"/>
  <c r="AM320" i="3"/>
  <c r="AM327" i="3" s="1"/>
  <c r="AM5" i="3"/>
  <c r="AM310" i="3"/>
  <c r="AM317" i="3" s="1"/>
  <c r="AM4" i="3"/>
  <c r="AK33" i="3"/>
  <c r="AK343" i="3"/>
  <c r="AK345" i="3" s="1"/>
  <c r="AL137" i="3"/>
  <c r="AL177" i="3"/>
  <c r="AL140" i="3"/>
  <c r="AL141" i="3" s="1"/>
  <c r="AL257" i="3"/>
  <c r="AL114" i="3"/>
  <c r="AL112" i="3"/>
  <c r="AL113" i="3" s="1"/>
  <c r="AL72" i="3"/>
  <c r="AL73" i="3" s="1"/>
  <c r="AL82" i="3"/>
  <c r="AL298" i="3"/>
  <c r="AL324" i="3"/>
  <c r="AL122" i="3"/>
  <c r="AL123" i="3" s="1"/>
  <c r="AL190" i="3"/>
  <c r="AL191" i="3" s="1"/>
  <c r="AL100" i="3"/>
  <c r="AL101" i="3" s="1"/>
  <c r="AL64" i="3"/>
  <c r="AL22" i="3"/>
  <c r="AL23" i="3" s="1"/>
  <c r="AL134" i="3"/>
  <c r="AL344" i="3"/>
  <c r="AL70" i="3"/>
  <c r="AL71" i="3" s="1"/>
  <c r="AL52" i="3"/>
  <c r="AL53" i="3" s="1"/>
  <c r="AL314" i="3"/>
  <c r="AL30" i="3"/>
  <c r="AL31" i="3" s="1"/>
  <c r="AL288" i="3"/>
  <c r="AL184" i="3"/>
  <c r="AL154" i="3"/>
  <c r="AL198" i="3"/>
  <c r="AL138" i="3"/>
  <c r="AL174" i="3"/>
  <c r="AL262" i="3"/>
  <c r="AL212" i="3"/>
  <c r="AL187" i="3"/>
  <c r="AL214" i="3"/>
  <c r="AL170" i="3"/>
  <c r="AL171" i="3" s="1"/>
  <c r="AL168" i="3"/>
  <c r="AL197" i="3"/>
  <c r="AL162" i="3"/>
  <c r="AL163" i="3" s="1"/>
  <c r="AL10" i="3"/>
  <c r="AL258" i="3"/>
  <c r="AL128" i="3"/>
  <c r="AL38" i="3"/>
  <c r="AL87" i="3"/>
  <c r="AL182" i="3"/>
  <c r="AL183" i="3" s="1"/>
  <c r="AL328" i="3"/>
  <c r="AL294" i="3"/>
  <c r="AL130" i="3"/>
  <c r="AL131" i="3" s="1"/>
  <c r="AL282" i="3"/>
  <c r="AL97" i="3"/>
  <c r="AL264" i="3"/>
  <c r="AL194" i="3"/>
  <c r="AL218" i="3"/>
  <c r="AL302" i="3"/>
  <c r="AL148" i="3"/>
  <c r="AL267" i="3"/>
  <c r="AL74" i="3"/>
  <c r="AL120" i="3"/>
  <c r="AL121" i="3" s="1"/>
  <c r="AL274" i="3"/>
  <c r="AL132" i="3"/>
  <c r="AL334" i="3"/>
  <c r="AL67" i="3"/>
  <c r="AL127" i="3"/>
  <c r="AL68" i="3"/>
  <c r="AL62" i="3"/>
  <c r="AL63" i="3" s="1"/>
  <c r="AL84" i="3"/>
  <c r="AL172" i="3"/>
  <c r="AL332" i="3"/>
  <c r="AL322" i="3"/>
  <c r="AL90" i="3"/>
  <c r="AL107" i="3"/>
  <c r="AL54" i="3"/>
  <c r="AL94" i="3"/>
  <c r="AL248" i="3"/>
  <c r="AL188" i="3"/>
  <c r="AL157" i="3"/>
  <c r="AL268" i="3"/>
  <c r="AL338" i="3"/>
  <c r="AL318" i="3"/>
  <c r="AL58" i="3"/>
  <c r="AL42" i="3"/>
  <c r="AL24" i="3"/>
  <c r="AL254" i="3"/>
  <c r="AL144" i="3"/>
  <c r="AL37" i="3"/>
  <c r="AL78" i="3"/>
  <c r="AL20" i="3"/>
  <c r="AL312" i="3"/>
  <c r="AL142" i="3"/>
  <c r="AL27" i="3"/>
  <c r="AL287" i="3"/>
  <c r="AL238" i="3"/>
  <c r="AL77" i="3"/>
  <c r="AL292" i="3"/>
  <c r="AL47" i="3"/>
  <c r="AL167" i="3"/>
  <c r="AL48" i="3"/>
  <c r="AL92" i="3"/>
  <c r="AL93" i="3" s="1"/>
  <c r="AL234" i="3"/>
  <c r="AL178" i="3"/>
  <c r="AL57" i="3"/>
  <c r="AL252" i="3"/>
  <c r="AL284" i="3"/>
  <c r="AL272" i="3"/>
  <c r="AL32" i="3"/>
  <c r="AL192" i="3"/>
  <c r="AL308" i="3"/>
  <c r="AL244" i="3"/>
  <c r="AL50" i="3"/>
  <c r="AL51" i="3" s="1"/>
  <c r="AL164" i="3"/>
  <c r="AL160" i="3"/>
  <c r="AL161" i="3" s="1"/>
  <c r="AL227" i="3"/>
  <c r="AL242" i="3"/>
  <c r="AL98" i="3"/>
  <c r="AL222" i="3"/>
  <c r="AL342" i="3"/>
  <c r="AL217" i="3"/>
  <c r="AL150" i="3"/>
  <c r="AL151" i="3" s="1"/>
  <c r="AL102" i="3"/>
  <c r="AT5" i="4"/>
  <c r="AL5" i="10" s="1"/>
  <c r="AL348" i="3"/>
  <c r="AL158" i="3"/>
  <c r="AL237" i="3"/>
  <c r="AL28" i="3"/>
  <c r="AL304" i="3"/>
  <c r="AL34" i="3"/>
  <c r="AL277" i="3"/>
  <c r="AL247" i="3"/>
  <c r="AL117" i="3"/>
  <c r="AL224" i="3"/>
  <c r="AL40" i="3"/>
  <c r="AL41" i="3" s="1"/>
  <c r="AL180" i="3"/>
  <c r="AL181" i="3" s="1"/>
  <c r="AL108" i="3"/>
  <c r="AL232" i="3"/>
  <c r="AL118" i="3"/>
  <c r="AL80" i="3"/>
  <c r="AL81" i="3" s="1"/>
  <c r="AL228" i="3"/>
  <c r="AL88" i="3"/>
  <c r="AL152" i="3"/>
  <c r="AL153" i="3" s="1"/>
  <c r="AL60" i="3"/>
  <c r="AL147" i="3"/>
  <c r="AL278" i="3"/>
  <c r="AL124" i="3"/>
  <c r="AL110" i="3"/>
  <c r="AL111" i="3" s="1"/>
  <c r="AL6" i="3"/>
  <c r="AK293" i="3"/>
  <c r="AK295" i="3" s="1"/>
  <c r="AK313" i="3"/>
  <c r="AK315" i="3" s="1"/>
  <c r="AK358" i="3"/>
  <c r="AS24" i="4" s="1"/>
  <c r="AK185" i="3"/>
  <c r="AT13" i="4"/>
  <c r="AK243" i="3"/>
  <c r="AK245" i="3" s="1"/>
  <c r="AK233" i="3"/>
  <c r="AK235" i="3" s="1"/>
  <c r="AK16" i="3"/>
  <c r="AK11" i="3"/>
  <c r="AK155" i="3"/>
  <c r="AK55" i="3"/>
  <c r="AJ15" i="3"/>
  <c r="AJ352" i="3"/>
  <c r="AK173" i="3"/>
  <c r="AK175" i="3" s="1"/>
  <c r="AK83" i="3"/>
  <c r="AK85" i="3" s="1"/>
  <c r="AK357" i="3"/>
  <c r="AS23" i="4" s="1"/>
  <c r="AK323" i="3"/>
  <c r="AK325" i="3" s="1"/>
  <c r="AK333" i="3"/>
  <c r="AK335" i="3" s="1"/>
  <c r="AJ353" i="3"/>
  <c r="AJ356" i="3"/>
  <c r="AR12" i="4" s="1"/>
  <c r="AL7" i="3"/>
  <c r="AT17" i="4" s="1"/>
  <c r="AK336" i="3"/>
  <c r="AK346" i="3"/>
  <c r="AK266" i="3"/>
  <c r="AK86" i="3"/>
  <c r="AK226" i="3"/>
  <c r="AK216" i="3"/>
  <c r="AK196" i="3"/>
  <c r="AK106" i="3"/>
  <c r="AK166" i="3"/>
  <c r="AK256" i="3"/>
  <c r="AK316" i="3"/>
  <c r="AK236" i="3"/>
  <c r="AK296" i="3"/>
  <c r="AK76" i="3"/>
  <c r="AK276" i="3"/>
  <c r="AK146" i="3"/>
  <c r="AK176" i="3"/>
  <c r="AK36" i="3"/>
  <c r="AK136" i="3"/>
  <c r="AK116" i="3"/>
  <c r="AK286" i="3"/>
  <c r="AK246" i="3"/>
  <c r="AK56" i="3"/>
  <c r="AK326" i="3"/>
  <c r="AK306" i="3"/>
  <c r="AK126" i="3"/>
  <c r="AK156" i="3"/>
  <c r="AK186" i="3"/>
  <c r="AM4" i="10" l="1"/>
  <c r="AU21" i="4"/>
  <c r="AC31" i="4"/>
  <c r="AC32" i="4" s="1"/>
  <c r="AC34" i="4" s="1"/>
  <c r="AQ14" i="4"/>
  <c r="AQ18" i="4" s="1"/>
  <c r="AQ19" i="4" s="1"/>
  <c r="R45" i="4"/>
  <c r="R46" i="4" s="1"/>
  <c r="AS25" i="4"/>
  <c r="AR8" i="4"/>
  <c r="AL173" i="3"/>
  <c r="AL175" i="3" s="1"/>
  <c r="AL223" i="3"/>
  <c r="AL225" i="3" s="1"/>
  <c r="AB32" i="4"/>
  <c r="AB34" i="4" s="1"/>
  <c r="AP27" i="4"/>
  <c r="AD31" i="4"/>
  <c r="AU22" i="4"/>
  <c r="AU3" i="4"/>
  <c r="AM3" i="10" s="1"/>
  <c r="AJ355" i="3"/>
  <c r="AL323" i="3"/>
  <c r="AL325" i="3" s="1"/>
  <c r="AL185" i="3"/>
  <c r="AL343" i="3"/>
  <c r="AL345" i="3" s="1"/>
  <c r="AL333" i="3"/>
  <c r="AL335" i="3" s="1"/>
  <c r="AL155" i="3"/>
  <c r="AL233" i="3"/>
  <c r="AL235" i="3" s="1"/>
  <c r="AL253" i="3"/>
  <c r="AL255" i="3" s="1"/>
  <c r="AL303" i="3"/>
  <c r="AL305" i="3" s="1"/>
  <c r="AL125" i="3"/>
  <c r="AL115" i="3"/>
  <c r="AJ359" i="3" a="1"/>
  <c r="AJ359" i="3" s="1"/>
  <c r="AR6" i="4" s="1"/>
  <c r="AL33" i="3"/>
  <c r="AL35" i="3" s="1"/>
  <c r="AL143" i="3"/>
  <c r="AL145" i="3" s="1"/>
  <c r="AL357" i="3"/>
  <c r="AT23" i="4" s="1"/>
  <c r="AL273" i="3"/>
  <c r="AL275" i="3" s="1"/>
  <c r="AL313" i="3"/>
  <c r="AL315" i="3" s="1"/>
  <c r="AL193" i="3"/>
  <c r="AL195" i="3" s="1"/>
  <c r="AL103" i="3"/>
  <c r="AL104" i="3" s="1"/>
  <c r="AL105" i="3" s="1"/>
  <c r="AL21" i="3"/>
  <c r="AL25" i="3" s="1"/>
  <c r="AL26" i="3"/>
  <c r="AM257" i="3"/>
  <c r="AM137" i="3"/>
  <c r="AM88" i="3"/>
  <c r="AM132" i="3"/>
  <c r="AM284" i="3"/>
  <c r="AM232" i="3"/>
  <c r="AM84" i="3"/>
  <c r="AM342" i="3"/>
  <c r="AM182" i="3"/>
  <c r="AM183" i="3" s="1"/>
  <c r="AM287" i="3"/>
  <c r="AM298" i="3"/>
  <c r="AM334" i="3"/>
  <c r="AM102" i="3"/>
  <c r="AM247" i="3"/>
  <c r="AM224" i="3"/>
  <c r="AM40" i="3"/>
  <c r="AM41" i="3" s="1"/>
  <c r="AM82" i="3"/>
  <c r="AM282" i="3"/>
  <c r="AM70" i="3"/>
  <c r="AM71" i="3" s="1"/>
  <c r="AM222" i="3"/>
  <c r="AM254" i="3"/>
  <c r="AM194" i="3"/>
  <c r="AM120" i="3"/>
  <c r="AM121" i="3" s="1"/>
  <c r="AM187" i="3"/>
  <c r="AM138" i="3"/>
  <c r="AM74" i="3"/>
  <c r="AM92" i="3"/>
  <c r="AM93" i="3" s="1"/>
  <c r="AM110" i="3"/>
  <c r="AM111" i="3" s="1"/>
  <c r="AM168" i="3"/>
  <c r="AM190" i="3"/>
  <c r="AM191" i="3" s="1"/>
  <c r="AM32" i="3"/>
  <c r="AM57" i="3"/>
  <c r="AM144" i="3"/>
  <c r="AM164" i="3"/>
  <c r="AM158" i="3"/>
  <c r="AM242" i="3"/>
  <c r="AM47" i="3"/>
  <c r="AM10" i="3"/>
  <c r="AM217" i="3"/>
  <c r="AM278" i="3"/>
  <c r="AM228" i="3"/>
  <c r="AM318" i="3"/>
  <c r="AM264" i="3"/>
  <c r="AM37" i="3"/>
  <c r="AM248" i="3"/>
  <c r="AM148" i="3"/>
  <c r="AM147" i="3"/>
  <c r="AM77" i="3"/>
  <c r="AM104" i="3"/>
  <c r="AM160" i="3"/>
  <c r="AM161" i="3" s="1"/>
  <c r="AM150" i="3"/>
  <c r="AM151" i="3" s="1"/>
  <c r="AM234" i="3"/>
  <c r="AM152" i="3"/>
  <c r="AM153" i="3" s="1"/>
  <c r="AM22" i="3"/>
  <c r="AM23" i="3" s="1"/>
  <c r="AM107" i="3"/>
  <c r="AM112" i="3"/>
  <c r="AM113" i="3" s="1"/>
  <c r="AM34" i="3"/>
  <c r="AM118" i="3"/>
  <c r="AM170" i="3"/>
  <c r="AM171" i="3" s="1"/>
  <c r="AU5" i="4"/>
  <c r="AM5" i="10" s="1"/>
  <c r="AM308" i="3"/>
  <c r="AM328" i="3"/>
  <c r="AM238" i="3"/>
  <c r="AM67" i="3"/>
  <c r="AM272" i="3"/>
  <c r="AM58" i="3"/>
  <c r="AM178" i="3"/>
  <c r="AM197" i="3"/>
  <c r="AM20" i="3"/>
  <c r="AM157" i="3"/>
  <c r="AM274" i="3"/>
  <c r="AM52" i="3"/>
  <c r="AM53" i="3" s="1"/>
  <c r="AM268" i="3"/>
  <c r="AM124" i="3"/>
  <c r="AM288" i="3"/>
  <c r="AM348" i="3"/>
  <c r="AM127" i="3"/>
  <c r="AM174" i="3"/>
  <c r="AM324" i="3"/>
  <c r="AM302" i="3"/>
  <c r="AM188" i="3"/>
  <c r="AM244" i="3"/>
  <c r="AM142" i="3"/>
  <c r="AM192" i="3"/>
  <c r="AM98" i="3"/>
  <c r="AM277" i="3"/>
  <c r="AM212" i="3"/>
  <c r="AM114" i="3"/>
  <c r="AM172" i="3"/>
  <c r="AM68" i="3"/>
  <c r="AM322" i="3"/>
  <c r="AM198" i="3"/>
  <c r="AM214" i="3"/>
  <c r="AM72" i="3"/>
  <c r="AM73" i="3" s="1"/>
  <c r="AM267" i="3"/>
  <c r="AM78" i="3"/>
  <c r="AM117" i="3"/>
  <c r="AM38" i="3"/>
  <c r="AM30" i="3"/>
  <c r="AM31" i="3" s="1"/>
  <c r="AM140" i="3"/>
  <c r="AM141" i="3" s="1"/>
  <c r="AM27" i="3"/>
  <c r="AM122" i="3"/>
  <c r="AM123" i="3" s="1"/>
  <c r="AM128" i="3"/>
  <c r="AM344" i="3"/>
  <c r="AM42" i="3"/>
  <c r="AM167" i="3"/>
  <c r="AM48" i="3"/>
  <c r="AM252" i="3"/>
  <c r="AM97" i="3"/>
  <c r="AM292" i="3"/>
  <c r="AM80" i="3"/>
  <c r="AM81" i="3" s="1"/>
  <c r="AM162" i="3"/>
  <c r="AM163" i="3" s="1"/>
  <c r="AM154" i="3"/>
  <c r="AM314" i="3"/>
  <c r="AM90" i="3"/>
  <c r="AM237" i="3"/>
  <c r="AM60" i="3"/>
  <c r="AM100" i="3"/>
  <c r="AM101" i="3" s="1"/>
  <c r="AM108" i="3"/>
  <c r="AM184" i="3"/>
  <c r="AM50" i="3"/>
  <c r="AM51" i="3" s="1"/>
  <c r="AM258" i="3"/>
  <c r="AM62" i="3"/>
  <c r="AM24" i="3"/>
  <c r="AM177" i="3"/>
  <c r="AM54" i="3"/>
  <c r="AM87" i="3"/>
  <c r="AM130" i="3"/>
  <c r="AM131" i="3" s="1"/>
  <c r="AM304" i="3"/>
  <c r="AM262" i="3"/>
  <c r="AM94" i="3"/>
  <c r="AM338" i="3"/>
  <c r="AM227" i="3"/>
  <c r="AM180" i="3"/>
  <c r="AM181" i="3" s="1"/>
  <c r="AM28" i="3"/>
  <c r="AM332" i="3"/>
  <c r="AM294" i="3"/>
  <c r="AM218" i="3"/>
  <c r="AM312" i="3"/>
  <c r="AM134" i="3"/>
  <c r="AM6" i="3"/>
  <c r="AL243" i="3"/>
  <c r="AL245" i="3" s="1"/>
  <c r="AL43" i="3"/>
  <c r="AL44" i="3" s="1"/>
  <c r="AL283" i="3"/>
  <c r="AL285" i="3" s="1"/>
  <c r="AL91" i="3"/>
  <c r="AL95" i="3" s="1"/>
  <c r="AL96" i="3"/>
  <c r="AK353" i="3"/>
  <c r="AL213" i="3"/>
  <c r="AL215" i="3" s="1"/>
  <c r="AK354" i="3"/>
  <c r="AS9" i="4" s="1"/>
  <c r="AL263" i="3"/>
  <c r="AL265" i="3" s="1"/>
  <c r="AU13" i="4"/>
  <c r="AL11" i="3"/>
  <c r="AL16" i="3"/>
  <c r="AK15" i="3"/>
  <c r="AK352" i="3"/>
  <c r="AL165" i="3"/>
  <c r="AL75" i="3"/>
  <c r="AL293" i="3"/>
  <c r="AL295" i="3" s="1"/>
  <c r="AL55" i="3"/>
  <c r="AL358" i="3"/>
  <c r="AT24" i="4" s="1"/>
  <c r="AL133" i="3"/>
  <c r="AL135" i="3" s="1"/>
  <c r="AL83" i="3"/>
  <c r="AL85" i="3" s="1"/>
  <c r="AV4" i="4"/>
  <c r="AN4" i="3"/>
  <c r="AN300" i="3"/>
  <c r="AN307" i="3" s="1"/>
  <c r="AN340" i="3"/>
  <c r="AN347" i="3" s="1"/>
  <c r="AN290" i="3"/>
  <c r="AN297" i="3" s="1"/>
  <c r="AN330" i="3"/>
  <c r="AN337" i="3" s="1"/>
  <c r="AO3" i="3"/>
  <c r="AN320" i="3"/>
  <c r="AN327" i="3" s="1"/>
  <c r="AN5" i="3"/>
  <c r="AN310" i="3"/>
  <c r="AN317" i="3" s="1"/>
  <c r="AL66" i="3"/>
  <c r="AL61" i="3"/>
  <c r="AL65" i="3" s="1"/>
  <c r="AK35" i="3"/>
  <c r="AK356" i="3"/>
  <c r="AS12" i="4" s="1"/>
  <c r="AM7" i="3"/>
  <c r="AU17" i="4" s="1"/>
  <c r="AL346" i="3"/>
  <c r="AL266" i="3"/>
  <c r="AL226" i="3"/>
  <c r="AL216" i="3"/>
  <c r="AL256" i="3"/>
  <c r="AL86" i="3"/>
  <c r="AL76" i="3"/>
  <c r="AL196" i="3"/>
  <c r="AL46" i="3"/>
  <c r="AL296" i="3"/>
  <c r="AL316" i="3"/>
  <c r="AL156" i="3"/>
  <c r="AL106" i="3"/>
  <c r="AL276" i="3"/>
  <c r="AL286" i="3"/>
  <c r="AL56" i="3"/>
  <c r="AL166" i="3"/>
  <c r="AL176" i="3"/>
  <c r="AL306" i="3"/>
  <c r="AL36" i="3"/>
  <c r="AL246" i="3"/>
  <c r="AL236" i="3"/>
  <c r="AL136" i="3"/>
  <c r="AL326" i="3"/>
  <c r="AL126" i="3"/>
  <c r="AL146" i="3"/>
  <c r="AL116" i="3"/>
  <c r="AL186" i="3"/>
  <c r="AL336" i="3"/>
  <c r="AN4" i="10" l="1"/>
  <c r="AV21" i="4"/>
  <c r="AS8" i="4"/>
  <c r="AS10" i="4" s="1"/>
  <c r="AL45" i="3"/>
  <c r="R47" i="4"/>
  <c r="AT25" i="4"/>
  <c r="AR16" i="4"/>
  <c r="AR10" i="4"/>
  <c r="AR14" i="4" s="1"/>
  <c r="AC44" i="4"/>
  <c r="AB44" i="4"/>
  <c r="AV22" i="4"/>
  <c r="AV3" i="4"/>
  <c r="AN3" i="10" s="1"/>
  <c r="AQ27" i="4"/>
  <c r="AE31" i="4"/>
  <c r="AD32" i="4"/>
  <c r="AD34" i="4" s="1"/>
  <c r="AM63" i="3"/>
  <c r="AM64" i="3" s="1"/>
  <c r="AM115" i="3"/>
  <c r="AM323" i="3"/>
  <c r="AM325" i="3" s="1"/>
  <c r="AM55" i="3"/>
  <c r="AM333" i="3"/>
  <c r="AM335" i="3" s="1"/>
  <c r="AM43" i="3"/>
  <c r="AM44" i="3" s="1"/>
  <c r="AM213" i="3"/>
  <c r="AM215" i="3" s="1"/>
  <c r="AM155" i="3"/>
  <c r="AM263" i="3"/>
  <c r="AM265" i="3" s="1"/>
  <c r="AM343" i="3"/>
  <c r="AM345" i="3" s="1"/>
  <c r="AM233" i="3"/>
  <c r="AM235" i="3" s="1"/>
  <c r="AM193" i="3"/>
  <c r="AM195" i="3" s="1"/>
  <c r="AM133" i="3"/>
  <c r="AM135" i="3" s="1"/>
  <c r="AM273" i="3"/>
  <c r="AM275" i="3" s="1"/>
  <c r="AM83" i="3"/>
  <c r="AM85" i="3" s="1"/>
  <c r="AM253" i="3"/>
  <c r="AM255" i="3" s="1"/>
  <c r="AK359" i="3" a="1"/>
  <c r="AK359" i="3" s="1"/>
  <c r="AS6" i="4" s="1"/>
  <c r="AM223" i="3"/>
  <c r="AM225" i="3" s="1"/>
  <c r="AL354" i="3"/>
  <c r="AT9" i="4" s="1"/>
  <c r="AM303" i="3"/>
  <c r="AM305" i="3" s="1"/>
  <c r="AM313" i="3"/>
  <c r="AM315" i="3" s="1"/>
  <c r="AM173" i="3"/>
  <c r="AM175" i="3" s="1"/>
  <c r="AM243" i="3"/>
  <c r="AM245" i="3" s="1"/>
  <c r="AM143" i="3"/>
  <c r="AM145" i="3" s="1"/>
  <c r="AM33" i="3"/>
  <c r="AM35" i="3" s="1"/>
  <c r="AM61" i="3"/>
  <c r="AM66" i="3"/>
  <c r="AM357" i="3"/>
  <c r="AU23" i="4" s="1"/>
  <c r="AM21" i="3"/>
  <c r="AM25" i="3" s="1"/>
  <c r="AM26" i="3"/>
  <c r="AM125" i="3"/>
  <c r="AM185" i="3"/>
  <c r="AM96" i="3"/>
  <c r="AM91" i="3"/>
  <c r="AM95" i="3" s="1"/>
  <c r="AM75" i="3"/>
  <c r="AV13" i="4"/>
  <c r="AM165" i="3"/>
  <c r="AM283" i="3"/>
  <c r="AM285" i="3" s="1"/>
  <c r="AM16" i="3"/>
  <c r="AM11" i="3"/>
  <c r="AM358" i="3"/>
  <c r="AU24" i="4" s="1"/>
  <c r="AW4" i="4"/>
  <c r="AO5" i="3"/>
  <c r="AP3" i="3"/>
  <c r="AO340" i="3"/>
  <c r="AO347" i="3" s="1"/>
  <c r="AO300" i="3"/>
  <c r="AO307" i="3" s="1"/>
  <c r="AO330" i="3"/>
  <c r="AO337" i="3" s="1"/>
  <c r="AO310" i="3"/>
  <c r="AO317" i="3" s="1"/>
  <c r="AO320" i="3"/>
  <c r="AO327" i="3" s="1"/>
  <c r="AO290" i="3"/>
  <c r="AO297" i="3" s="1"/>
  <c r="AO4" i="3"/>
  <c r="AM293" i="3"/>
  <c r="AM295" i="3" s="1"/>
  <c r="AN118" i="3"/>
  <c r="AN228" i="3"/>
  <c r="AN272" i="3"/>
  <c r="AN212" i="3"/>
  <c r="AN184" i="3"/>
  <c r="AN344" i="3"/>
  <c r="AN90" i="3"/>
  <c r="AN82" i="3"/>
  <c r="AN268" i="3"/>
  <c r="AN87" i="3"/>
  <c r="AN174" i="3"/>
  <c r="AN72" i="3"/>
  <c r="AN73" i="3" s="1"/>
  <c r="AN110" i="3"/>
  <c r="AN287" i="3"/>
  <c r="AN342" i="3"/>
  <c r="AN10" i="3"/>
  <c r="AN227" i="3"/>
  <c r="AN78" i="3"/>
  <c r="AN334" i="3"/>
  <c r="AN70" i="3"/>
  <c r="AN71" i="3" s="1"/>
  <c r="AN32" i="3"/>
  <c r="AN238" i="3"/>
  <c r="AN50" i="3"/>
  <c r="AN51" i="3" s="1"/>
  <c r="AN48" i="3"/>
  <c r="AN282" i="3"/>
  <c r="AN324" i="3"/>
  <c r="AN102" i="3"/>
  <c r="AN262" i="3"/>
  <c r="AN322" i="3"/>
  <c r="AN217" i="3"/>
  <c r="AN97" i="3"/>
  <c r="AN60" i="3"/>
  <c r="AN61" i="3" s="1"/>
  <c r="AN187" i="3"/>
  <c r="AN98" i="3"/>
  <c r="AN188" i="3"/>
  <c r="AN44" i="3"/>
  <c r="AN178" i="3"/>
  <c r="AN298" i="3"/>
  <c r="AN234" i="3"/>
  <c r="AN132" i="3"/>
  <c r="AN148" i="3"/>
  <c r="AN177" i="3"/>
  <c r="AN40" i="3"/>
  <c r="AN41" i="3" s="1"/>
  <c r="AN47" i="3"/>
  <c r="AN292" i="3"/>
  <c r="AN158" i="3"/>
  <c r="AN117" i="3"/>
  <c r="AN278" i="3"/>
  <c r="AN254" i="3"/>
  <c r="AN328" i="3"/>
  <c r="AN294" i="3"/>
  <c r="AN114" i="3"/>
  <c r="AN122" i="3"/>
  <c r="AN123" i="3" s="1"/>
  <c r="AN172" i="3"/>
  <c r="AN52" i="3"/>
  <c r="AN53" i="3" s="1"/>
  <c r="AN218" i="3"/>
  <c r="AN128" i="3"/>
  <c r="AN258" i="3"/>
  <c r="AN157" i="3"/>
  <c r="AN198" i="3"/>
  <c r="AN134" i="3"/>
  <c r="AN28" i="3"/>
  <c r="AN338" i="3"/>
  <c r="AN137" i="3"/>
  <c r="AN58" i="3"/>
  <c r="AN214" i="3"/>
  <c r="AN22" i="3"/>
  <c r="AN27" i="3"/>
  <c r="AN284" i="3"/>
  <c r="AN130" i="3"/>
  <c r="AN131" i="3" s="1"/>
  <c r="AN112" i="3"/>
  <c r="AN113" i="3" s="1"/>
  <c r="AN308" i="3"/>
  <c r="AN277" i="3"/>
  <c r="AN264" i="3"/>
  <c r="AN42" i="3"/>
  <c r="AN242" i="3"/>
  <c r="AN150" i="3"/>
  <c r="AN151" i="3" s="1"/>
  <c r="AN92" i="3"/>
  <c r="AN93" i="3" s="1"/>
  <c r="AN140" i="3"/>
  <c r="AN141" i="3" s="1"/>
  <c r="AN318" i="3"/>
  <c r="AN147" i="3"/>
  <c r="AN127" i="3"/>
  <c r="AN34" i="3"/>
  <c r="AN107" i="3"/>
  <c r="AN257" i="3"/>
  <c r="AN197" i="3"/>
  <c r="AN332" i="3"/>
  <c r="AN192" i="3"/>
  <c r="AN62" i="3"/>
  <c r="AN182" i="3"/>
  <c r="AN183" i="3" s="1"/>
  <c r="AN80" i="3"/>
  <c r="AN81" i="3" s="1"/>
  <c r="AN74" i="3"/>
  <c r="AN194" i="3"/>
  <c r="AN288" i="3"/>
  <c r="AN167" i="3"/>
  <c r="AN190" i="3"/>
  <c r="AN191" i="3" s="1"/>
  <c r="AN152" i="3"/>
  <c r="AN153" i="3" s="1"/>
  <c r="AN164" i="3"/>
  <c r="AN222" i="3"/>
  <c r="AN68" i="3"/>
  <c r="AN144" i="3"/>
  <c r="AN88" i="3"/>
  <c r="AN94" i="3"/>
  <c r="AN232" i="3"/>
  <c r="AN180" i="3"/>
  <c r="AN181" i="3" s="1"/>
  <c r="AN314" i="3"/>
  <c r="AN30" i="3"/>
  <c r="AN31" i="3" s="1"/>
  <c r="AN274" i="3"/>
  <c r="AN224" i="3"/>
  <c r="AV5" i="4"/>
  <c r="AN5" i="10" s="1"/>
  <c r="AN302" i="3"/>
  <c r="AN100" i="3"/>
  <c r="AN101" i="3" s="1"/>
  <c r="AN124" i="3"/>
  <c r="AN168" i="3"/>
  <c r="AN77" i="3"/>
  <c r="AN108" i="3"/>
  <c r="AN154" i="3"/>
  <c r="AN67" i="3"/>
  <c r="AN247" i="3"/>
  <c r="AN248" i="3"/>
  <c r="AN244" i="3"/>
  <c r="AN20" i="3"/>
  <c r="AN21" i="3" s="1"/>
  <c r="AN120" i="3"/>
  <c r="AN121" i="3" s="1"/>
  <c r="AN348" i="3"/>
  <c r="AN252" i="3"/>
  <c r="AN104" i="3"/>
  <c r="AN37" i="3"/>
  <c r="AN84" i="3"/>
  <c r="AN237" i="3"/>
  <c r="AN57" i="3"/>
  <c r="AN304" i="3"/>
  <c r="AN267" i="3"/>
  <c r="AN160" i="3"/>
  <c r="AN161" i="3" s="1"/>
  <c r="AN162" i="3"/>
  <c r="AN163" i="3" s="1"/>
  <c r="AN142" i="3"/>
  <c r="AN38" i="3"/>
  <c r="AN138" i="3"/>
  <c r="AN312" i="3"/>
  <c r="AN170" i="3"/>
  <c r="AN171" i="3" s="1"/>
  <c r="AN54" i="3"/>
  <c r="AN6" i="3"/>
  <c r="AK355" i="3"/>
  <c r="AL352" i="3"/>
  <c r="AL15" i="3"/>
  <c r="AM103" i="3"/>
  <c r="AM105" i="3" s="1"/>
  <c r="AL353" i="3"/>
  <c r="AL356" i="3"/>
  <c r="AT12" i="4" s="1"/>
  <c r="AN7" i="3"/>
  <c r="AV17" i="4" s="1"/>
  <c r="AM136" i="3"/>
  <c r="AM216" i="3"/>
  <c r="AM86" i="3"/>
  <c r="AM226" i="3"/>
  <c r="AM76" i="3"/>
  <c r="AM266" i="3"/>
  <c r="AM146" i="3"/>
  <c r="AM106" i="3"/>
  <c r="AM46" i="3"/>
  <c r="AM256" i="3"/>
  <c r="AM36" i="3"/>
  <c r="AM286" i="3"/>
  <c r="AM166" i="3"/>
  <c r="AM156" i="3"/>
  <c r="AM346" i="3"/>
  <c r="AM186" i="3"/>
  <c r="AM316" i="3"/>
  <c r="AM236" i="3"/>
  <c r="AM306" i="3"/>
  <c r="AM176" i="3"/>
  <c r="AM196" i="3"/>
  <c r="AM246" i="3"/>
  <c r="AM56" i="3"/>
  <c r="AM276" i="3"/>
  <c r="AM326" i="3"/>
  <c r="AM336" i="3"/>
  <c r="AM116" i="3"/>
  <c r="AM296" i="3"/>
  <c r="AM126" i="3"/>
  <c r="AS16" i="4" l="1"/>
  <c r="AO4" i="10"/>
  <c r="AW21" i="4"/>
  <c r="AL359" i="3" a="1"/>
  <c r="AL359" i="3" s="1"/>
  <c r="AT6" i="4" s="1"/>
  <c r="AS14" i="4"/>
  <c r="AS18" i="4" s="1"/>
  <c r="AS19" i="4" s="1"/>
  <c r="R48" i="4"/>
  <c r="S43" i="4" s="1"/>
  <c r="S50" i="4" s="1"/>
  <c r="AT8" i="4"/>
  <c r="AT10" i="4" s="1"/>
  <c r="AR18" i="4"/>
  <c r="AR19" i="4" s="1"/>
  <c r="AF31" i="4" s="1"/>
  <c r="AU25" i="4"/>
  <c r="AM45" i="3"/>
  <c r="AM65" i="3"/>
  <c r="AM354" i="3"/>
  <c r="AU9" i="4" s="1"/>
  <c r="AD44" i="4"/>
  <c r="AE32" i="4"/>
  <c r="AE34" i="4" s="1"/>
  <c r="AW3" i="4"/>
  <c r="AO3" i="10" s="1"/>
  <c r="AW22" i="4"/>
  <c r="AN303" i="3"/>
  <c r="AN305" i="3" s="1"/>
  <c r="AN343" i="3"/>
  <c r="AN345" i="3" s="1"/>
  <c r="AN253" i="3"/>
  <c r="AN255" i="3" s="1"/>
  <c r="AN165" i="3"/>
  <c r="AN33" i="3"/>
  <c r="AN35" i="3" s="1"/>
  <c r="AN75" i="3"/>
  <c r="AN213" i="3"/>
  <c r="AN215" i="3" s="1"/>
  <c r="AN223" i="3"/>
  <c r="AN225" i="3" s="1"/>
  <c r="AN23" i="3"/>
  <c r="AN24" i="3" s="1"/>
  <c r="AN273" i="3"/>
  <c r="AN275" i="3" s="1"/>
  <c r="AN357" i="3"/>
  <c r="AV23" i="4" s="1"/>
  <c r="AN358" i="3"/>
  <c r="AV24" i="4" s="1"/>
  <c r="AN293" i="3"/>
  <c r="AN295" i="3" s="1"/>
  <c r="AN323" i="3"/>
  <c r="AN325" i="3" s="1"/>
  <c r="AN116" i="3"/>
  <c r="AN111" i="3"/>
  <c r="AN115" i="3" s="1"/>
  <c r="AM352" i="3"/>
  <c r="AM15" i="3"/>
  <c r="AL355" i="3"/>
  <c r="AN243" i="3"/>
  <c r="AN245" i="3" s="1"/>
  <c r="AN263" i="3"/>
  <c r="AN265" i="3" s="1"/>
  <c r="AN125" i="3"/>
  <c r="AN43" i="3"/>
  <c r="AN45" i="3" s="1"/>
  <c r="AN103" i="3"/>
  <c r="AN105" i="3" s="1"/>
  <c r="AN16" i="3"/>
  <c r="AN11" i="3"/>
  <c r="AN313" i="3"/>
  <c r="AN315" i="3" s="1"/>
  <c r="AO107" i="3"/>
  <c r="AO332" i="3"/>
  <c r="AO314" i="3"/>
  <c r="AO102" i="3"/>
  <c r="AO152" i="3"/>
  <c r="AO153" i="3" s="1"/>
  <c r="AO132" i="3"/>
  <c r="AO42" i="3"/>
  <c r="AO30" i="3"/>
  <c r="AO31" i="3" s="1"/>
  <c r="AO158" i="3"/>
  <c r="AO257" i="3"/>
  <c r="AO252" i="3"/>
  <c r="AO92" i="3"/>
  <c r="AO144" i="3"/>
  <c r="AO287" i="3"/>
  <c r="AO184" i="3"/>
  <c r="AO278" i="3"/>
  <c r="AO118" i="3"/>
  <c r="AO224" i="3"/>
  <c r="AO74" i="3"/>
  <c r="AO114" i="3"/>
  <c r="AO150" i="3"/>
  <c r="AO151" i="3" s="1"/>
  <c r="AO110" i="3"/>
  <c r="AO148" i="3"/>
  <c r="AO20" i="3"/>
  <c r="AO21" i="3" s="1"/>
  <c r="AO90" i="3"/>
  <c r="AO182" i="3"/>
  <c r="AO183" i="3" s="1"/>
  <c r="AO168" i="3"/>
  <c r="AO344" i="3"/>
  <c r="AW5" i="4"/>
  <c r="AO5" i="10" s="1"/>
  <c r="AO194" i="3"/>
  <c r="AO72" i="3"/>
  <c r="AO73" i="3" s="1"/>
  <c r="AO127" i="3"/>
  <c r="AO47" i="3"/>
  <c r="AO190" i="3"/>
  <c r="AO191" i="3" s="1"/>
  <c r="AO164" i="3"/>
  <c r="AO122" i="3"/>
  <c r="AO123" i="3" s="1"/>
  <c r="AO98" i="3"/>
  <c r="AO274" i="3"/>
  <c r="AO120" i="3"/>
  <c r="AO121" i="3" s="1"/>
  <c r="AO28" i="3"/>
  <c r="AO78" i="3"/>
  <c r="AO218" i="3"/>
  <c r="AO84" i="3"/>
  <c r="AO282" i="3"/>
  <c r="AO124" i="3"/>
  <c r="AO198" i="3"/>
  <c r="AO82" i="3"/>
  <c r="AO100" i="3"/>
  <c r="AO101" i="3" s="1"/>
  <c r="AO167" i="3"/>
  <c r="AO140" i="3"/>
  <c r="AO141" i="3" s="1"/>
  <c r="AO277" i="3"/>
  <c r="AO294" i="3"/>
  <c r="AO322" i="3"/>
  <c r="AO338" i="3"/>
  <c r="AO80" i="3"/>
  <c r="AO81" i="3" s="1"/>
  <c r="AO268" i="3"/>
  <c r="AO234" i="3"/>
  <c r="AO180" i="3"/>
  <c r="AO181" i="3" s="1"/>
  <c r="AO334" i="3"/>
  <c r="AO170" i="3"/>
  <c r="AO171" i="3" s="1"/>
  <c r="AO70" i="3"/>
  <c r="AO71" i="3" s="1"/>
  <c r="AO154" i="3"/>
  <c r="AO88" i="3"/>
  <c r="AO288" i="3"/>
  <c r="AO97" i="3"/>
  <c r="AO162" i="3"/>
  <c r="AO163" i="3" s="1"/>
  <c r="AO22" i="3"/>
  <c r="AO222" i="3"/>
  <c r="AO117" i="3"/>
  <c r="AO217" i="3"/>
  <c r="AO308" i="3"/>
  <c r="AO34" i="3"/>
  <c r="AO57" i="3"/>
  <c r="AO172" i="3"/>
  <c r="AO258" i="3"/>
  <c r="AO87" i="3"/>
  <c r="AO58" i="3"/>
  <c r="AO134" i="3"/>
  <c r="AO188" i="3"/>
  <c r="AO267" i="3"/>
  <c r="AO104" i="3"/>
  <c r="AO77" i="3"/>
  <c r="AO214" i="3"/>
  <c r="AO60" i="3"/>
  <c r="AO61" i="3" s="1"/>
  <c r="AO52" i="3"/>
  <c r="AO53" i="3" s="1"/>
  <c r="AO262" i="3"/>
  <c r="AO237" i="3"/>
  <c r="AO38" i="3"/>
  <c r="AO128" i="3"/>
  <c r="AO318" i="3"/>
  <c r="AO138" i="3"/>
  <c r="AO248" i="3"/>
  <c r="AO324" i="3"/>
  <c r="AO67" i="3"/>
  <c r="AO10" i="3"/>
  <c r="AO197" i="3"/>
  <c r="AO177" i="3"/>
  <c r="AO112" i="3"/>
  <c r="AO113" i="3" s="1"/>
  <c r="AO238" i="3"/>
  <c r="AO174" i="3"/>
  <c r="AO292" i="3"/>
  <c r="AO247" i="3"/>
  <c r="AO108" i="3"/>
  <c r="AO284" i="3"/>
  <c r="AO348" i="3"/>
  <c r="AO212" i="3"/>
  <c r="AO48" i="3"/>
  <c r="AO54" i="3"/>
  <c r="AO157" i="3"/>
  <c r="AO328" i="3"/>
  <c r="AO27" i="3"/>
  <c r="AO342" i="3"/>
  <c r="AO147" i="3"/>
  <c r="AO304" i="3"/>
  <c r="AO228" i="3"/>
  <c r="AO312" i="3"/>
  <c r="AO192" i="3"/>
  <c r="AO302" i="3"/>
  <c r="AO272" i="3"/>
  <c r="AO32" i="3"/>
  <c r="AO244" i="3"/>
  <c r="AO137" i="3"/>
  <c r="AO264" i="3"/>
  <c r="AO68" i="3"/>
  <c r="AO242" i="3"/>
  <c r="AO37" i="3"/>
  <c r="AO160" i="3"/>
  <c r="AO161" i="3" s="1"/>
  <c r="AO50" i="3"/>
  <c r="AO51" i="3" s="1"/>
  <c r="AO130" i="3"/>
  <c r="AO131" i="3" s="1"/>
  <c r="AO187" i="3"/>
  <c r="AO142" i="3"/>
  <c r="AO44" i="3"/>
  <c r="AO298" i="3"/>
  <c r="AO178" i="3"/>
  <c r="AO254" i="3"/>
  <c r="AO232" i="3"/>
  <c r="AO227" i="3"/>
  <c r="AO40" i="3"/>
  <c r="AO41" i="3" s="1"/>
  <c r="AO62" i="3"/>
  <c r="AO6" i="3"/>
  <c r="AN193" i="3"/>
  <c r="AN195" i="3" s="1"/>
  <c r="AN133" i="3"/>
  <c r="AN135" i="3" s="1"/>
  <c r="AN83" i="3"/>
  <c r="AN85" i="3" s="1"/>
  <c r="AN63" i="3"/>
  <c r="AN64" i="3" s="1"/>
  <c r="AN65" i="3" s="1"/>
  <c r="AN283" i="3"/>
  <c r="AN285" i="3" s="1"/>
  <c r="AN233" i="3"/>
  <c r="AN235" i="3" s="1"/>
  <c r="AN143" i="3"/>
  <c r="AN145" i="3" s="1"/>
  <c r="AN333" i="3"/>
  <c r="AN335" i="3" s="1"/>
  <c r="AN55" i="3"/>
  <c r="AN91" i="3"/>
  <c r="AN95" i="3" s="1"/>
  <c r="AN96" i="3"/>
  <c r="AP4" i="3"/>
  <c r="AP330" i="3"/>
  <c r="AP337" i="3" s="1"/>
  <c r="AP320" i="3"/>
  <c r="AP327" i="3" s="1"/>
  <c r="AP310" i="3"/>
  <c r="AP317" i="3" s="1"/>
  <c r="AP340" i="3"/>
  <c r="AP347" i="3" s="1"/>
  <c r="AX4" i="4"/>
  <c r="AP5" i="3"/>
  <c r="AP290" i="3"/>
  <c r="AP297" i="3" s="1"/>
  <c r="AQ3" i="3"/>
  <c r="AP300" i="3"/>
  <c r="AP307" i="3" s="1"/>
  <c r="AN155" i="3"/>
  <c r="AN185" i="3"/>
  <c r="AN173" i="3"/>
  <c r="AN175" i="3" s="1"/>
  <c r="AW13" i="4"/>
  <c r="AM353" i="3"/>
  <c r="AM356" i="3"/>
  <c r="AU12" i="4" s="1"/>
  <c r="AO7" i="3"/>
  <c r="AW17" i="4" s="1"/>
  <c r="AN216" i="3"/>
  <c r="AN156" i="3"/>
  <c r="AN86" i="3"/>
  <c r="AN76" i="3"/>
  <c r="AN226" i="3"/>
  <c r="AN106" i="3"/>
  <c r="AN256" i="3"/>
  <c r="AN266" i="3"/>
  <c r="AN56" i="3"/>
  <c r="AN166" i="3"/>
  <c r="AN306" i="3"/>
  <c r="AN36" i="3"/>
  <c r="AN346" i="3"/>
  <c r="AN26" i="3"/>
  <c r="AN236" i="3"/>
  <c r="AN336" i="3"/>
  <c r="AN296" i="3"/>
  <c r="AN66" i="3"/>
  <c r="AN176" i="3"/>
  <c r="AN186" i="3"/>
  <c r="AN276" i="3"/>
  <c r="AN146" i="3"/>
  <c r="AN326" i="3"/>
  <c r="AN136" i="3"/>
  <c r="AN46" i="3"/>
  <c r="AN286" i="3"/>
  <c r="AN316" i="3"/>
  <c r="AN246" i="3"/>
  <c r="AN196" i="3"/>
  <c r="AN126" i="3"/>
  <c r="AP4" i="10" l="1"/>
  <c r="AX21" i="4"/>
  <c r="S45" i="4"/>
  <c r="S46" i="4" s="1"/>
  <c r="AT16" i="4"/>
  <c r="AT14" i="4"/>
  <c r="AT18" i="4" s="1"/>
  <c r="AR27" i="4"/>
  <c r="AU8" i="4"/>
  <c r="AM359" i="3" a="1"/>
  <c r="AM359" i="3" s="1"/>
  <c r="AU6" i="4" s="1"/>
  <c r="AV25" i="4"/>
  <c r="AM355" i="3"/>
  <c r="AN354" i="3"/>
  <c r="AV9" i="4" s="1"/>
  <c r="AE44" i="4"/>
  <c r="AF32" i="4"/>
  <c r="AF34" i="4" s="1"/>
  <c r="AX22" i="4"/>
  <c r="AX3" i="4"/>
  <c r="AP3" i="10" s="1"/>
  <c r="AS27" i="4"/>
  <c r="AG31" i="4"/>
  <c r="AO243" i="3"/>
  <c r="AO245" i="3" s="1"/>
  <c r="AO93" i="3"/>
  <c r="AO94" i="3" s="1"/>
  <c r="AN25" i="3"/>
  <c r="AO213" i="3"/>
  <c r="AO215" i="3" s="1"/>
  <c r="AO125" i="3"/>
  <c r="AO43" i="3"/>
  <c r="AO45" i="3" s="1"/>
  <c r="AO193" i="3"/>
  <c r="AO195" i="3" s="1"/>
  <c r="AO293" i="3"/>
  <c r="AO295" i="3" s="1"/>
  <c r="AO323" i="3"/>
  <c r="AO325" i="3" s="1"/>
  <c r="AO155" i="3"/>
  <c r="AO133" i="3"/>
  <c r="AO135" i="3" s="1"/>
  <c r="AO253" i="3"/>
  <c r="AO255" i="3" s="1"/>
  <c r="AO233" i="3"/>
  <c r="AO235" i="3" s="1"/>
  <c r="AO173" i="3"/>
  <c r="AO175" i="3" s="1"/>
  <c r="AO143" i="3"/>
  <c r="AO145" i="3" s="1"/>
  <c r="AO103" i="3"/>
  <c r="AO105" i="3" s="1"/>
  <c r="AO273" i="3"/>
  <c r="AO275" i="3" s="1"/>
  <c r="AO263" i="3"/>
  <c r="AO265" i="3" s="1"/>
  <c r="AO185" i="3"/>
  <c r="AO33" i="3"/>
  <c r="AO35" i="3" s="1"/>
  <c r="AO313" i="3"/>
  <c r="AO315" i="3" s="1"/>
  <c r="AO223" i="3"/>
  <c r="AO225" i="3" s="1"/>
  <c r="AO333" i="3"/>
  <c r="AO335" i="3" s="1"/>
  <c r="AO303" i="3"/>
  <c r="AO305" i="3" s="1"/>
  <c r="AO23" i="3"/>
  <c r="AO24" i="3" s="1"/>
  <c r="AN353" i="3"/>
  <c r="AX13" i="4"/>
  <c r="AO55" i="3"/>
  <c r="AO343" i="3"/>
  <c r="AO345" i="3" s="1"/>
  <c r="AO116" i="3"/>
  <c r="AO111" i="3"/>
  <c r="AO115" i="3" s="1"/>
  <c r="AO165" i="3"/>
  <c r="AO357" i="3"/>
  <c r="AW23" i="4" s="1"/>
  <c r="AO16" i="3"/>
  <c r="AO11" i="3"/>
  <c r="AO83" i="3"/>
  <c r="AO85" i="3" s="1"/>
  <c r="AO358" i="3"/>
  <c r="AW24" i="4" s="1"/>
  <c r="AN352" i="3"/>
  <c r="AN15" i="3"/>
  <c r="AO75" i="3"/>
  <c r="AO283" i="3"/>
  <c r="AO285" i="3" s="1"/>
  <c r="AP338" i="3"/>
  <c r="AP348" i="3"/>
  <c r="AP78" i="3"/>
  <c r="AP287" i="3"/>
  <c r="AP74" i="3"/>
  <c r="AP158" i="3"/>
  <c r="AP312" i="3"/>
  <c r="AP332" i="3"/>
  <c r="AP152" i="3"/>
  <c r="AP153" i="3" s="1"/>
  <c r="AP318" i="3"/>
  <c r="AP87" i="3"/>
  <c r="AP324" i="3"/>
  <c r="AP242" i="3"/>
  <c r="AP188" i="3"/>
  <c r="AP62" i="3"/>
  <c r="AP44" i="3"/>
  <c r="AP104" i="3"/>
  <c r="AP288" i="3"/>
  <c r="AP268" i="3"/>
  <c r="AP38" i="3"/>
  <c r="AP144" i="3"/>
  <c r="AP182" i="3"/>
  <c r="AP183" i="3" s="1"/>
  <c r="AP138" i="3"/>
  <c r="AP42" i="3"/>
  <c r="AP137" i="3"/>
  <c r="AP194" i="3"/>
  <c r="AP238" i="3"/>
  <c r="AP27" i="3"/>
  <c r="AP198" i="3"/>
  <c r="AP110" i="3"/>
  <c r="AP237" i="3"/>
  <c r="AP60" i="3"/>
  <c r="AP61" i="3" s="1"/>
  <c r="AP50" i="3"/>
  <c r="AP51" i="3" s="1"/>
  <c r="AP217" i="3"/>
  <c r="AP264" i="3"/>
  <c r="AP234" i="3"/>
  <c r="AP177" i="3"/>
  <c r="AX5" i="4"/>
  <c r="AP5" i="10" s="1"/>
  <c r="AP302" i="3"/>
  <c r="AP344" i="3"/>
  <c r="AP108" i="3"/>
  <c r="AP254" i="3"/>
  <c r="AP328" i="3"/>
  <c r="AP82" i="3"/>
  <c r="AP342" i="3"/>
  <c r="AP334" i="3"/>
  <c r="AP52" i="3"/>
  <c r="AP53" i="3" s="1"/>
  <c r="AP28" i="3"/>
  <c r="AP54" i="3"/>
  <c r="AP68" i="3"/>
  <c r="AP232" i="3"/>
  <c r="AP218" i="3"/>
  <c r="AP252" i="3"/>
  <c r="AP80" i="3"/>
  <c r="AP81" i="3" s="1"/>
  <c r="AP10" i="3"/>
  <c r="AP278" i="3"/>
  <c r="AP107" i="3"/>
  <c r="AP157" i="3"/>
  <c r="AP102" i="3"/>
  <c r="AP114" i="3"/>
  <c r="AP267" i="3"/>
  <c r="AP97" i="3"/>
  <c r="AP98" i="3"/>
  <c r="AP244" i="3"/>
  <c r="AP100" i="3"/>
  <c r="AP101" i="3" s="1"/>
  <c r="AP292" i="3"/>
  <c r="AP293" i="3" s="1"/>
  <c r="AP272" i="3"/>
  <c r="AP150" i="3"/>
  <c r="AP151" i="3" s="1"/>
  <c r="AP32" i="3"/>
  <c r="AP120" i="3"/>
  <c r="AP121" i="3" s="1"/>
  <c r="AP84" i="3"/>
  <c r="AP262" i="3"/>
  <c r="AP58" i="3"/>
  <c r="AP132" i="3"/>
  <c r="AP298" i="3"/>
  <c r="AP22" i="3"/>
  <c r="AP224" i="3"/>
  <c r="AP118" i="3"/>
  <c r="AP24" i="3"/>
  <c r="AP57" i="3"/>
  <c r="AP308" i="3"/>
  <c r="AP248" i="3"/>
  <c r="AP130" i="3"/>
  <c r="AP131" i="3" s="1"/>
  <c r="AP127" i="3"/>
  <c r="AP37" i="3"/>
  <c r="AP197" i="3"/>
  <c r="AP172" i="3"/>
  <c r="AP147" i="3"/>
  <c r="AP294" i="3"/>
  <c r="AP277" i="3"/>
  <c r="AP180" i="3"/>
  <c r="AP181" i="3" s="1"/>
  <c r="AP214" i="3"/>
  <c r="AP20" i="3"/>
  <c r="AP21" i="3" s="1"/>
  <c r="AP40" i="3"/>
  <c r="AP41" i="3" s="1"/>
  <c r="AP142" i="3"/>
  <c r="AP274" i="3"/>
  <c r="AP112" i="3"/>
  <c r="AP113" i="3" s="1"/>
  <c r="AP178" i="3"/>
  <c r="AP247" i="3"/>
  <c r="AP258" i="3"/>
  <c r="AP284" i="3"/>
  <c r="AP92" i="3"/>
  <c r="AP304" i="3"/>
  <c r="AP228" i="3"/>
  <c r="AP48" i="3"/>
  <c r="AP117" i="3"/>
  <c r="AP122" i="3"/>
  <c r="AP123" i="3" s="1"/>
  <c r="AP257" i="3"/>
  <c r="AP174" i="3"/>
  <c r="AP160" i="3"/>
  <c r="AP161" i="3" s="1"/>
  <c r="AP190" i="3"/>
  <c r="AP191" i="3" s="1"/>
  <c r="AP30" i="3"/>
  <c r="AP31" i="3" s="1"/>
  <c r="AP77" i="3"/>
  <c r="AP162" i="3"/>
  <c r="AP163" i="3" s="1"/>
  <c r="AP34" i="3"/>
  <c r="AP67" i="3"/>
  <c r="AP47" i="3"/>
  <c r="AP140" i="3"/>
  <c r="AP141" i="3" s="1"/>
  <c r="AP227" i="3"/>
  <c r="AP128" i="3"/>
  <c r="AP187" i="3"/>
  <c r="AP148" i="3"/>
  <c r="AP282" i="3"/>
  <c r="AP134" i="3"/>
  <c r="AP88" i="3"/>
  <c r="AP154" i="3"/>
  <c r="AP72" i="3"/>
  <c r="AP73" i="3" s="1"/>
  <c r="AP222" i="3"/>
  <c r="AP167" i="3"/>
  <c r="AP168" i="3"/>
  <c r="AP170" i="3"/>
  <c r="AP171" i="3" s="1"/>
  <c r="AP322" i="3"/>
  <c r="AP212" i="3"/>
  <c r="AP90" i="3"/>
  <c r="AP91" i="3" s="1"/>
  <c r="AP164" i="3"/>
  <c r="AP192" i="3"/>
  <c r="AP70" i="3"/>
  <c r="AP71" i="3" s="1"/>
  <c r="AP64" i="3"/>
  <c r="AP184" i="3"/>
  <c r="AP314" i="3"/>
  <c r="AP124" i="3"/>
  <c r="AP6" i="3"/>
  <c r="AO91" i="3"/>
  <c r="AO96" i="3"/>
  <c r="AQ290" i="3"/>
  <c r="AQ297" i="3" s="1"/>
  <c r="AQ5" i="3"/>
  <c r="AQ300" i="3"/>
  <c r="AQ307" i="3" s="1"/>
  <c r="AY4" i="4"/>
  <c r="AQ340" i="3"/>
  <c r="AQ347" i="3" s="1"/>
  <c r="AQ310" i="3"/>
  <c r="AQ317" i="3" s="1"/>
  <c r="AQ320" i="3"/>
  <c r="AQ327" i="3" s="1"/>
  <c r="AR3" i="3"/>
  <c r="AQ4" i="3"/>
  <c r="AQ330" i="3"/>
  <c r="AQ337" i="3" s="1"/>
  <c r="AO63" i="3"/>
  <c r="AO64" i="3" s="1"/>
  <c r="AO65" i="3" s="1"/>
  <c r="AN356" i="3"/>
  <c r="AV12" i="4" s="1"/>
  <c r="AP7" i="3"/>
  <c r="AX17" i="4" s="1"/>
  <c r="AO276" i="3"/>
  <c r="AO236" i="3"/>
  <c r="AO266" i="3"/>
  <c r="AO226" i="3"/>
  <c r="AO86" i="3"/>
  <c r="AO76" i="3"/>
  <c r="AO46" i="3"/>
  <c r="AO346" i="3"/>
  <c r="AO246" i="3"/>
  <c r="AO336" i="3"/>
  <c r="AO256" i="3"/>
  <c r="AO216" i="3"/>
  <c r="AO196" i="3"/>
  <c r="AO166" i="3"/>
  <c r="AO296" i="3"/>
  <c r="AO176" i="3"/>
  <c r="AO126" i="3"/>
  <c r="AO286" i="3"/>
  <c r="AO306" i="3"/>
  <c r="AO316" i="3"/>
  <c r="AO186" i="3"/>
  <c r="AO26" i="3"/>
  <c r="AO136" i="3"/>
  <c r="AO156" i="3"/>
  <c r="AO326" i="3"/>
  <c r="AO66" i="3"/>
  <c r="AO146" i="3"/>
  <c r="AO106" i="3"/>
  <c r="AO56" i="3"/>
  <c r="AO36" i="3"/>
  <c r="AQ4" i="10" l="1"/>
  <c r="AY21" i="4"/>
  <c r="AT19" i="4"/>
  <c r="AT27" i="4" s="1"/>
  <c r="S47" i="4"/>
  <c r="S48" i="4" s="1"/>
  <c r="T43" i="4" s="1"/>
  <c r="T50" i="4" s="1"/>
  <c r="AU16" i="4"/>
  <c r="AV8" i="4"/>
  <c r="AN355" i="3"/>
  <c r="AO354" i="3"/>
  <c r="AW9" i="4" s="1"/>
  <c r="AU10" i="4"/>
  <c r="AU14" i="4" s="1"/>
  <c r="AW25" i="4"/>
  <c r="AN359" i="3" a="1"/>
  <c r="AN359" i="3" s="1"/>
  <c r="AV6" i="4" s="1"/>
  <c r="AO95" i="3"/>
  <c r="AF44" i="4"/>
  <c r="AG32" i="4"/>
  <c r="AG34" i="4" s="1"/>
  <c r="AY22" i="4"/>
  <c r="AY3" i="4"/>
  <c r="AQ3" i="10" s="1"/>
  <c r="AP223" i="3"/>
  <c r="AP225" i="3" s="1"/>
  <c r="AP193" i="3"/>
  <c r="AP195" i="3" s="1"/>
  <c r="AP263" i="3"/>
  <c r="AP265" i="3" s="1"/>
  <c r="AP43" i="3"/>
  <c r="AP45" i="3" s="1"/>
  <c r="AP333" i="3"/>
  <c r="AP335" i="3" s="1"/>
  <c r="AP303" i="3"/>
  <c r="AP305" i="3" s="1"/>
  <c r="AO25" i="3"/>
  <c r="AP283" i="3"/>
  <c r="AP285" i="3" s="1"/>
  <c r="AP103" i="3"/>
  <c r="AP105" i="3" s="1"/>
  <c r="AP133" i="3"/>
  <c r="AP135" i="3" s="1"/>
  <c r="AP75" i="3"/>
  <c r="AP313" i="3"/>
  <c r="AP315" i="3" s="1"/>
  <c r="AP33" i="3"/>
  <c r="AP35" i="3" s="1"/>
  <c r="AP253" i="3"/>
  <c r="AP255" i="3" s="1"/>
  <c r="AP323" i="3"/>
  <c r="AP325" i="3" s="1"/>
  <c r="AP173" i="3"/>
  <c r="AP175" i="3" s="1"/>
  <c r="AP93" i="3"/>
  <c r="AP94" i="3" s="1"/>
  <c r="AP354" i="3" s="1"/>
  <c r="AX9" i="4" s="1"/>
  <c r="AP213" i="3"/>
  <c r="AP215" i="3" s="1"/>
  <c r="AP273" i="3"/>
  <c r="AP275" i="3" s="1"/>
  <c r="AP233" i="3"/>
  <c r="AP235" i="3" s="1"/>
  <c r="AP155" i="3"/>
  <c r="AR300" i="3"/>
  <c r="AR307" i="3" s="1"/>
  <c r="AR290" i="3"/>
  <c r="AR297" i="3" s="1"/>
  <c r="AR330" i="3"/>
  <c r="AR337" i="3" s="1"/>
  <c r="AR340" i="3"/>
  <c r="AR347" i="3" s="1"/>
  <c r="AR320" i="3"/>
  <c r="AR327" i="3" s="1"/>
  <c r="AR5" i="3"/>
  <c r="AR4" i="3"/>
  <c r="AS3" i="3"/>
  <c r="AZ4" i="4"/>
  <c r="AR310" i="3"/>
  <c r="AR317" i="3" s="1"/>
  <c r="AO15" i="3"/>
  <c r="AO352" i="3"/>
  <c r="AP295" i="3"/>
  <c r="AP55" i="3"/>
  <c r="AP358" i="3"/>
  <c r="AX24" i="4" s="1"/>
  <c r="AP143" i="3"/>
  <c r="AP145" i="3" s="1"/>
  <c r="AP63" i="3"/>
  <c r="AP65" i="3" s="1"/>
  <c r="AP16" i="3"/>
  <c r="AP11" i="3"/>
  <c r="AP165" i="3"/>
  <c r="AP111" i="3"/>
  <c r="AP115" i="3" s="1"/>
  <c r="AP116" i="3"/>
  <c r="AQ287" i="3"/>
  <c r="AQ187" i="3"/>
  <c r="AQ37" i="3"/>
  <c r="AQ234" i="3"/>
  <c r="AQ262" i="3"/>
  <c r="AQ52" i="3"/>
  <c r="AQ53" i="3" s="1"/>
  <c r="AQ124" i="3"/>
  <c r="AQ232" i="3"/>
  <c r="AQ228" i="3"/>
  <c r="AQ257" i="3"/>
  <c r="AQ88" i="3"/>
  <c r="AQ112" i="3"/>
  <c r="AQ113" i="3" s="1"/>
  <c r="AQ180" i="3"/>
  <c r="AQ181" i="3" s="1"/>
  <c r="AQ157" i="3"/>
  <c r="AQ237" i="3"/>
  <c r="AQ72" i="3"/>
  <c r="AQ73" i="3" s="1"/>
  <c r="AQ10" i="3"/>
  <c r="AQ258" i="3"/>
  <c r="AQ252" i="3"/>
  <c r="AQ120" i="3"/>
  <c r="AQ121" i="3" s="1"/>
  <c r="AQ302" i="3"/>
  <c r="AQ78" i="3"/>
  <c r="AQ247" i="3"/>
  <c r="AQ20" i="3"/>
  <c r="AQ21" i="3" s="1"/>
  <c r="AQ214" i="3"/>
  <c r="AQ272" i="3"/>
  <c r="AQ64" i="3"/>
  <c r="AQ192" i="3"/>
  <c r="AQ224" i="3"/>
  <c r="AQ38" i="3"/>
  <c r="AQ148" i="3"/>
  <c r="AQ164" i="3"/>
  <c r="AQ190" i="3"/>
  <c r="AQ191" i="3" s="1"/>
  <c r="AQ188" i="3"/>
  <c r="AQ342" i="3"/>
  <c r="AQ28" i="3"/>
  <c r="AQ68" i="3"/>
  <c r="AQ177" i="3"/>
  <c r="AQ24" i="3"/>
  <c r="AQ284" i="3"/>
  <c r="AQ138" i="3"/>
  <c r="AQ34" i="3"/>
  <c r="AQ132" i="3"/>
  <c r="AQ274" i="3"/>
  <c r="AQ267" i="3"/>
  <c r="AQ77" i="3"/>
  <c r="AQ324" i="3"/>
  <c r="AQ218" i="3"/>
  <c r="AQ108" i="3"/>
  <c r="AQ62" i="3"/>
  <c r="AQ140" i="3"/>
  <c r="AQ141" i="3" s="1"/>
  <c r="AQ338" i="3"/>
  <c r="AQ198" i="3"/>
  <c r="AQ294" i="3"/>
  <c r="AQ47" i="3"/>
  <c r="AQ42" i="3"/>
  <c r="AQ308" i="3"/>
  <c r="AQ217" i="3"/>
  <c r="AQ82" i="3"/>
  <c r="AQ314" i="3"/>
  <c r="AY5" i="4"/>
  <c r="AQ5" i="10" s="1"/>
  <c r="AQ100" i="3"/>
  <c r="AQ101" i="3" s="1"/>
  <c r="AQ74" i="3"/>
  <c r="AQ227" i="3"/>
  <c r="AQ344" i="3"/>
  <c r="AQ130" i="3"/>
  <c r="AQ131" i="3" s="1"/>
  <c r="AQ172" i="3"/>
  <c r="AQ264" i="3"/>
  <c r="AQ137" i="3"/>
  <c r="AQ197" i="3"/>
  <c r="AQ288" i="3"/>
  <c r="AQ304" i="3"/>
  <c r="AQ92" i="3"/>
  <c r="AQ312" i="3"/>
  <c r="AQ174" i="3"/>
  <c r="AQ242" i="3"/>
  <c r="AQ178" i="3"/>
  <c r="AQ292" i="3"/>
  <c r="AQ57" i="3"/>
  <c r="AQ277" i="3"/>
  <c r="AQ67" i="3"/>
  <c r="AQ167" i="3"/>
  <c r="AQ107" i="3"/>
  <c r="AQ158" i="3"/>
  <c r="AQ184" i="3"/>
  <c r="AQ278" i="3"/>
  <c r="AQ114" i="3"/>
  <c r="AQ162" i="3"/>
  <c r="AQ163" i="3" s="1"/>
  <c r="AQ70" i="3"/>
  <c r="AQ71" i="3" s="1"/>
  <c r="AQ60" i="3"/>
  <c r="AQ61" i="3" s="1"/>
  <c r="AQ160" i="3"/>
  <c r="AQ161" i="3" s="1"/>
  <c r="AQ147" i="3"/>
  <c r="AQ117" i="3"/>
  <c r="AQ318" i="3"/>
  <c r="AQ97" i="3"/>
  <c r="AQ212" i="3"/>
  <c r="AQ170" i="3"/>
  <c r="AQ171" i="3" s="1"/>
  <c r="AQ102" i="3"/>
  <c r="AQ30" i="3"/>
  <c r="AQ31" i="3" s="1"/>
  <c r="AQ44" i="3"/>
  <c r="AQ332" i="3"/>
  <c r="AQ32" i="3"/>
  <c r="AQ87" i="3"/>
  <c r="AQ150" i="3"/>
  <c r="AQ151" i="3" s="1"/>
  <c r="AQ22" i="3"/>
  <c r="AQ244" i="3"/>
  <c r="AQ328" i="3"/>
  <c r="AQ27" i="3"/>
  <c r="AQ152" i="3"/>
  <c r="AQ153" i="3" s="1"/>
  <c r="AQ127" i="3"/>
  <c r="AQ104" i="3"/>
  <c r="AQ122" i="3"/>
  <c r="AQ123" i="3" s="1"/>
  <c r="AQ48" i="3"/>
  <c r="AQ110" i="3"/>
  <c r="AQ58" i="3"/>
  <c r="AQ84" i="3"/>
  <c r="AQ282" i="3"/>
  <c r="AQ80" i="3"/>
  <c r="AQ81" i="3" s="1"/>
  <c r="AQ222" i="3"/>
  <c r="AQ90" i="3"/>
  <c r="AQ91" i="3" s="1"/>
  <c r="AQ182" i="3"/>
  <c r="AQ183" i="3" s="1"/>
  <c r="AQ268" i="3"/>
  <c r="AQ238" i="3"/>
  <c r="AQ154" i="3"/>
  <c r="AQ298" i="3"/>
  <c r="AQ142" i="3"/>
  <c r="AQ348" i="3"/>
  <c r="AQ248" i="3"/>
  <c r="AQ118" i="3"/>
  <c r="AQ98" i="3"/>
  <c r="AQ50" i="3"/>
  <c r="AQ51" i="3" s="1"/>
  <c r="AQ128" i="3"/>
  <c r="AQ144" i="3"/>
  <c r="AQ334" i="3"/>
  <c r="AQ194" i="3"/>
  <c r="AQ254" i="3"/>
  <c r="AQ168" i="3"/>
  <c r="AQ322" i="3"/>
  <c r="AQ54" i="3"/>
  <c r="AQ40" i="3"/>
  <c r="AQ41" i="3" s="1"/>
  <c r="AQ134" i="3"/>
  <c r="AQ6" i="3"/>
  <c r="AY13" i="4"/>
  <c r="AP343" i="3"/>
  <c r="AP345" i="3" s="1"/>
  <c r="AP243" i="3"/>
  <c r="AP245" i="3" s="1"/>
  <c r="AP185" i="3"/>
  <c r="AP125" i="3"/>
  <c r="AP23" i="3"/>
  <c r="AP83" i="3"/>
  <c r="AP85" i="3" s="1"/>
  <c r="AP357" i="3"/>
  <c r="AX23" i="4" s="1"/>
  <c r="AO353" i="3"/>
  <c r="AO356" i="3"/>
  <c r="AW12" i="4" s="1"/>
  <c r="AQ7" i="3"/>
  <c r="AY17" i="4" s="1"/>
  <c r="AP266" i="3"/>
  <c r="AP226" i="3"/>
  <c r="AP276" i="3"/>
  <c r="AP236" i="3"/>
  <c r="AP96" i="3"/>
  <c r="AP106" i="3"/>
  <c r="AP66" i="3"/>
  <c r="AP246" i="3"/>
  <c r="AP326" i="3"/>
  <c r="AP196" i="3"/>
  <c r="AP176" i="3"/>
  <c r="AP306" i="3"/>
  <c r="AP156" i="3"/>
  <c r="AP86" i="3"/>
  <c r="AP286" i="3"/>
  <c r="AP296" i="3"/>
  <c r="AP46" i="3"/>
  <c r="AP256" i="3"/>
  <c r="AP126" i="3"/>
  <c r="AP216" i="3"/>
  <c r="AP56" i="3"/>
  <c r="AP316" i="3"/>
  <c r="AP336" i="3"/>
  <c r="AP76" i="3"/>
  <c r="AP26" i="3"/>
  <c r="AP166" i="3"/>
  <c r="AP346" i="3"/>
  <c r="AP36" i="3"/>
  <c r="AP186" i="3"/>
  <c r="AP136" i="3"/>
  <c r="AP146" i="3"/>
  <c r="AR4" i="10" l="1"/>
  <c r="AZ21" i="4"/>
  <c r="AH31" i="4"/>
  <c r="AH32" i="4" s="1"/>
  <c r="AH34" i="4" s="1"/>
  <c r="T45" i="4"/>
  <c r="T46" i="4" s="1"/>
  <c r="AU18" i="4"/>
  <c r="AU19" i="4" s="1"/>
  <c r="AV10" i="4"/>
  <c r="AV14" i="4" s="1"/>
  <c r="AV16" i="4"/>
  <c r="AW8" i="4"/>
  <c r="AQ213" i="3"/>
  <c r="AQ215" i="3" s="1"/>
  <c r="AX25" i="4"/>
  <c r="AO359" i="3" a="1"/>
  <c r="AO359" i="3" s="1"/>
  <c r="AW6" i="4" s="1"/>
  <c r="AG44" i="4"/>
  <c r="AZ22" i="4"/>
  <c r="AZ3" i="4"/>
  <c r="AR3" i="10" s="1"/>
  <c r="AQ55" i="3"/>
  <c r="AQ173" i="3"/>
  <c r="AQ175" i="3" s="1"/>
  <c r="AQ343" i="3"/>
  <c r="AQ345" i="3" s="1"/>
  <c r="AQ253" i="3"/>
  <c r="AQ255" i="3" s="1"/>
  <c r="AP95" i="3"/>
  <c r="AQ143" i="3"/>
  <c r="AQ145" i="3" s="1"/>
  <c r="AQ63" i="3"/>
  <c r="AQ65" i="3" s="1"/>
  <c r="AQ103" i="3"/>
  <c r="AQ105" i="3" s="1"/>
  <c r="AQ125" i="3"/>
  <c r="AQ283" i="3"/>
  <c r="AQ285" i="3" s="1"/>
  <c r="AQ333" i="3"/>
  <c r="AQ335" i="3" s="1"/>
  <c r="AQ303" i="3"/>
  <c r="AQ305" i="3" s="1"/>
  <c r="AQ263" i="3"/>
  <c r="AQ265" i="3" s="1"/>
  <c r="AO355" i="3"/>
  <c r="AQ11" i="3"/>
  <c r="AQ16" i="3"/>
  <c r="AP15" i="3"/>
  <c r="AP352" i="3"/>
  <c r="AQ357" i="3"/>
  <c r="AY23" i="4" s="1"/>
  <c r="AQ243" i="3"/>
  <c r="AQ245" i="3" s="1"/>
  <c r="AQ193" i="3"/>
  <c r="AQ195" i="3" s="1"/>
  <c r="AQ111" i="3"/>
  <c r="AQ115" i="3" s="1"/>
  <c r="AQ116" i="3"/>
  <c r="BA4" i="4"/>
  <c r="AT3" i="3"/>
  <c r="AS300" i="3"/>
  <c r="AS307" i="3" s="1"/>
  <c r="AS290" i="3"/>
  <c r="AS297" i="3" s="1"/>
  <c r="AS340" i="3"/>
  <c r="AS347" i="3" s="1"/>
  <c r="AS310" i="3"/>
  <c r="AS317" i="3" s="1"/>
  <c r="AS4" i="3"/>
  <c r="AS320" i="3"/>
  <c r="AS327" i="3" s="1"/>
  <c r="AS5" i="3"/>
  <c r="AS330" i="3"/>
  <c r="AS337" i="3" s="1"/>
  <c r="AQ293" i="3"/>
  <c r="AQ295" i="3" s="1"/>
  <c r="AZ13" i="4"/>
  <c r="AQ185" i="3"/>
  <c r="AQ165" i="3"/>
  <c r="AQ83" i="3"/>
  <c r="AQ85" i="3" s="1"/>
  <c r="AQ133" i="3"/>
  <c r="AQ135" i="3" s="1"/>
  <c r="AQ323" i="3"/>
  <c r="AQ325" i="3" s="1"/>
  <c r="AQ313" i="3"/>
  <c r="AQ315" i="3" s="1"/>
  <c r="AQ273" i="3"/>
  <c r="AQ275" i="3" s="1"/>
  <c r="AQ358" i="3"/>
  <c r="AY24" i="4" s="1"/>
  <c r="AQ93" i="3"/>
  <c r="AQ94" i="3" s="1"/>
  <c r="AQ354" i="3" s="1"/>
  <c r="AY9" i="4" s="1"/>
  <c r="AQ155" i="3"/>
  <c r="AQ43" i="3"/>
  <c r="AQ45" i="3" s="1"/>
  <c r="AQ233" i="3"/>
  <c r="AQ235" i="3" s="1"/>
  <c r="AP25" i="3"/>
  <c r="AP353" i="3"/>
  <c r="AR278" i="3"/>
  <c r="AR217" i="3"/>
  <c r="AR168" i="3"/>
  <c r="AR124" i="3"/>
  <c r="AR92" i="3"/>
  <c r="AR302" i="3"/>
  <c r="AR170" i="3"/>
  <c r="AR171" i="3" s="1"/>
  <c r="AR32" i="3"/>
  <c r="AR224" i="3"/>
  <c r="AR117" i="3"/>
  <c r="AR118" i="3"/>
  <c r="AR107" i="3"/>
  <c r="AR48" i="3"/>
  <c r="AR234" i="3"/>
  <c r="AR104" i="3"/>
  <c r="AR162" i="3"/>
  <c r="AR163" i="3" s="1"/>
  <c r="AR74" i="3"/>
  <c r="AR244" i="3"/>
  <c r="AR188" i="3"/>
  <c r="AR262" i="3"/>
  <c r="AR157" i="3"/>
  <c r="AR72" i="3"/>
  <c r="AR73" i="3" s="1"/>
  <c r="AR292" i="3"/>
  <c r="AR318" i="3"/>
  <c r="AR138" i="3"/>
  <c r="AR158" i="3"/>
  <c r="AR88" i="3"/>
  <c r="AR47" i="3"/>
  <c r="AR222" i="3"/>
  <c r="AR194" i="3"/>
  <c r="AR178" i="3"/>
  <c r="AR172" i="3"/>
  <c r="AR34" i="3"/>
  <c r="AR42" i="3"/>
  <c r="AR70" i="3"/>
  <c r="AR71" i="3" s="1"/>
  <c r="AR30" i="3"/>
  <c r="AR31" i="3" s="1"/>
  <c r="AR132" i="3"/>
  <c r="AR57" i="3"/>
  <c r="AR324" i="3"/>
  <c r="AR180" i="3"/>
  <c r="AR94" i="3"/>
  <c r="AR252" i="3"/>
  <c r="AR68" i="3"/>
  <c r="AR264" i="3"/>
  <c r="AR237" i="3"/>
  <c r="AR40" i="3"/>
  <c r="AR41" i="3" s="1"/>
  <c r="AR128" i="3"/>
  <c r="AR37" i="3"/>
  <c r="AR212" i="3"/>
  <c r="AR142" i="3"/>
  <c r="AR258" i="3"/>
  <c r="AR97" i="3"/>
  <c r="AR64" i="3"/>
  <c r="AR100" i="3"/>
  <c r="AR101" i="3" s="1"/>
  <c r="AR150" i="3"/>
  <c r="AR151" i="3" s="1"/>
  <c r="AR10" i="3"/>
  <c r="AR242" i="3"/>
  <c r="AR277" i="3"/>
  <c r="AR90" i="3"/>
  <c r="AR91" i="3" s="1"/>
  <c r="AR112" i="3"/>
  <c r="AR113" i="3" s="1"/>
  <c r="AR308" i="3"/>
  <c r="AR28" i="3"/>
  <c r="AR192" i="3"/>
  <c r="AR134" i="3"/>
  <c r="AR87" i="3"/>
  <c r="AR228" i="3"/>
  <c r="AR60" i="3"/>
  <c r="AR61" i="3" s="1"/>
  <c r="AR44" i="3"/>
  <c r="AR52" i="3"/>
  <c r="AR53" i="3" s="1"/>
  <c r="AR110" i="3"/>
  <c r="AR254" i="3"/>
  <c r="AR177" i="3"/>
  <c r="AR322" i="3"/>
  <c r="AR62" i="3"/>
  <c r="AR190" i="3"/>
  <c r="AR191" i="3" s="1"/>
  <c r="AR108" i="3"/>
  <c r="AR147" i="3"/>
  <c r="AZ5" i="4"/>
  <c r="AR5" i="10" s="1"/>
  <c r="AR154" i="3"/>
  <c r="AR294" i="3"/>
  <c r="AR304" i="3"/>
  <c r="AR160" i="3"/>
  <c r="AR161" i="3" s="1"/>
  <c r="AR284" i="3"/>
  <c r="AR122" i="3"/>
  <c r="AR123" i="3" s="1"/>
  <c r="AR27" i="3"/>
  <c r="AR312" i="3"/>
  <c r="AR152" i="3"/>
  <c r="AR153" i="3" s="1"/>
  <c r="AR20" i="3"/>
  <c r="AR21" i="3" s="1"/>
  <c r="AR120" i="3"/>
  <c r="AR121" i="3" s="1"/>
  <c r="AR174" i="3"/>
  <c r="AR148" i="3"/>
  <c r="AR332" i="3"/>
  <c r="AR328" i="3"/>
  <c r="AR248" i="3"/>
  <c r="AR348" i="3"/>
  <c r="AR38" i="3"/>
  <c r="AR342" i="3"/>
  <c r="AR82" i="3"/>
  <c r="AR58" i="3"/>
  <c r="AR334" i="3"/>
  <c r="AR102" i="3"/>
  <c r="AR232" i="3"/>
  <c r="AR268" i="3"/>
  <c r="AR197" i="3"/>
  <c r="AR184" i="3"/>
  <c r="AR214" i="3"/>
  <c r="AR78" i="3"/>
  <c r="AR50" i="3"/>
  <c r="AR51" i="3" s="1"/>
  <c r="AR114" i="3"/>
  <c r="AR137" i="3"/>
  <c r="AR77" i="3"/>
  <c r="AR274" i="3"/>
  <c r="AR257" i="3"/>
  <c r="AR338" i="3"/>
  <c r="AR198" i="3"/>
  <c r="AR182" i="3"/>
  <c r="AR183" i="3" s="1"/>
  <c r="AR272" i="3"/>
  <c r="AR164" i="3"/>
  <c r="AR287" i="3"/>
  <c r="AR98" i="3"/>
  <c r="AR130" i="3"/>
  <c r="AR131" i="3" s="1"/>
  <c r="AR344" i="3"/>
  <c r="AR67" i="3"/>
  <c r="AR298" i="3"/>
  <c r="AR54" i="3"/>
  <c r="AR267" i="3"/>
  <c r="AR238" i="3"/>
  <c r="AR24" i="3"/>
  <c r="AR314" i="3"/>
  <c r="AR288" i="3"/>
  <c r="AR187" i="3"/>
  <c r="AR127" i="3"/>
  <c r="AR247" i="3"/>
  <c r="AR84" i="3"/>
  <c r="AR144" i="3"/>
  <c r="AR227" i="3"/>
  <c r="AR282" i="3"/>
  <c r="AR80" i="3"/>
  <c r="AR81" i="3" s="1"/>
  <c r="AR167" i="3"/>
  <c r="AR218" i="3"/>
  <c r="AR140" i="3"/>
  <c r="AR141" i="3" s="1"/>
  <c r="AR22" i="3"/>
  <c r="AR6" i="3"/>
  <c r="AQ23" i="3"/>
  <c r="AQ75" i="3"/>
  <c r="AQ223" i="3"/>
  <c r="AQ225" i="3" s="1"/>
  <c r="AQ33" i="3"/>
  <c r="AQ35" i="3" s="1"/>
  <c r="AP356" i="3"/>
  <c r="AX12" i="4" s="1"/>
  <c r="AR7" i="3"/>
  <c r="AZ17" i="4" s="1"/>
  <c r="AQ226" i="3"/>
  <c r="AQ236" i="3"/>
  <c r="AQ126" i="3"/>
  <c r="AQ276" i="3"/>
  <c r="AQ106" i="3"/>
  <c r="AQ56" i="3"/>
  <c r="AQ76" i="3"/>
  <c r="AQ266" i="3"/>
  <c r="AQ216" i="3"/>
  <c r="AQ326" i="3"/>
  <c r="AQ306" i="3"/>
  <c r="AQ316" i="3"/>
  <c r="AQ26" i="3"/>
  <c r="AQ176" i="3"/>
  <c r="AQ296" i="3"/>
  <c r="AQ286" i="3"/>
  <c r="AQ86" i="3"/>
  <c r="AQ66" i="3"/>
  <c r="AQ166" i="3"/>
  <c r="AQ256" i="3"/>
  <c r="AQ346" i="3"/>
  <c r="AQ146" i="3"/>
  <c r="AQ46" i="3"/>
  <c r="AQ196" i="3"/>
  <c r="AQ156" i="3"/>
  <c r="AQ336" i="3"/>
  <c r="AQ136" i="3"/>
  <c r="AQ186" i="3"/>
  <c r="AQ246" i="3"/>
  <c r="AQ36" i="3"/>
  <c r="AQ96" i="3"/>
  <c r="BA21" i="4" l="1"/>
  <c r="AS4" i="10"/>
  <c r="T47" i="4"/>
  <c r="T48" i="4" s="1"/>
  <c r="U43" i="4" s="1"/>
  <c r="U50" i="4" s="1"/>
  <c r="AX8" i="4"/>
  <c r="AX10" i="4" s="1"/>
  <c r="AI31" i="4"/>
  <c r="AI32" i="4" s="1"/>
  <c r="AI34" i="4" s="1"/>
  <c r="AI44" i="4" s="1"/>
  <c r="AU27" i="4"/>
  <c r="AV18" i="4"/>
  <c r="AV19" i="4" s="1"/>
  <c r="AV27" i="4" s="1"/>
  <c r="AW10" i="4"/>
  <c r="AW14" i="4" s="1"/>
  <c r="AW16" i="4"/>
  <c r="AY25" i="4"/>
  <c r="AH44" i="4"/>
  <c r="BA3" i="4"/>
  <c r="AS3" i="10" s="1"/>
  <c r="BA22" i="4"/>
  <c r="AP359" i="3" a="1"/>
  <c r="AP359" i="3" s="1"/>
  <c r="AX6" i="4" s="1"/>
  <c r="AX16" i="4" s="1"/>
  <c r="AR83" i="3"/>
  <c r="AR85" i="3" s="1"/>
  <c r="AR143" i="3"/>
  <c r="AR145" i="3" s="1"/>
  <c r="AR43" i="3"/>
  <c r="AR45" i="3" s="1"/>
  <c r="AR93" i="3"/>
  <c r="AR95" i="3" s="1"/>
  <c r="AR103" i="3"/>
  <c r="AR105" i="3" s="1"/>
  <c r="AR133" i="3"/>
  <c r="AR135" i="3" s="1"/>
  <c r="AQ95" i="3"/>
  <c r="AR263" i="3"/>
  <c r="AR265" i="3" s="1"/>
  <c r="AR273" i="3"/>
  <c r="AR275" i="3" s="1"/>
  <c r="AR323" i="3"/>
  <c r="AR325" i="3" s="1"/>
  <c r="AR63" i="3"/>
  <c r="AR65" i="3" s="1"/>
  <c r="AR283" i="3"/>
  <c r="AR285" i="3" s="1"/>
  <c r="AR243" i="3"/>
  <c r="AR245" i="3" s="1"/>
  <c r="AR33" i="3"/>
  <c r="AR35" i="3" s="1"/>
  <c r="AR155" i="3"/>
  <c r="AR293" i="3"/>
  <c r="AR295" i="3" s="1"/>
  <c r="AR253" i="3"/>
  <c r="AR255" i="3" s="1"/>
  <c r="AR125" i="3"/>
  <c r="AR233" i="3"/>
  <c r="AR235" i="3" s="1"/>
  <c r="AR313" i="3"/>
  <c r="AR315" i="3" s="1"/>
  <c r="AR303" i="3"/>
  <c r="AR305" i="3" s="1"/>
  <c r="AR186" i="3"/>
  <c r="AR181" i="3"/>
  <c r="AR185" i="3" s="1"/>
  <c r="AR343" i="3"/>
  <c r="AR345" i="3" s="1"/>
  <c r="AR213" i="3"/>
  <c r="AR215" i="3" s="1"/>
  <c r="AT4" i="3"/>
  <c r="AU3" i="3"/>
  <c r="AT330" i="3"/>
  <c r="AT337" i="3" s="1"/>
  <c r="AT300" i="3"/>
  <c r="AT307" i="3" s="1"/>
  <c r="AT320" i="3"/>
  <c r="AT327" i="3" s="1"/>
  <c r="BB4" i="4"/>
  <c r="AT290" i="3"/>
  <c r="AT297" i="3" s="1"/>
  <c r="AT5" i="3"/>
  <c r="AT310" i="3"/>
  <c r="AT317" i="3" s="1"/>
  <c r="AT340" i="3"/>
  <c r="AT347" i="3" s="1"/>
  <c r="AR165" i="3"/>
  <c r="AQ25" i="3"/>
  <c r="AQ353" i="3"/>
  <c r="AR354" i="3"/>
  <c r="AZ9" i="4" s="1"/>
  <c r="AR173" i="3"/>
  <c r="AR175" i="3" s="1"/>
  <c r="AR193" i="3"/>
  <c r="AR195" i="3" s="1"/>
  <c r="AR357" i="3"/>
  <c r="AZ23" i="4" s="1"/>
  <c r="AR23" i="3"/>
  <c r="AR358" i="3"/>
  <c r="AZ24" i="4" s="1"/>
  <c r="AR75" i="3"/>
  <c r="AR223" i="3"/>
  <c r="AR225" i="3" s="1"/>
  <c r="BA13" i="4"/>
  <c r="AP355" i="3"/>
  <c r="AR16" i="3"/>
  <c r="AR11" i="3"/>
  <c r="AR116" i="3"/>
  <c r="AR111" i="3"/>
  <c r="AR115" i="3" s="1"/>
  <c r="AR333" i="3"/>
  <c r="AR335" i="3" s="1"/>
  <c r="AR55" i="3"/>
  <c r="AS117" i="3"/>
  <c r="AS228" i="3"/>
  <c r="AS168" i="3"/>
  <c r="AS140" i="3"/>
  <c r="AS141" i="3" s="1"/>
  <c r="AS10" i="3"/>
  <c r="AS100" i="3"/>
  <c r="AS101" i="3" s="1"/>
  <c r="AS44" i="3"/>
  <c r="AS292" i="3"/>
  <c r="AS22" i="3"/>
  <c r="AS212" i="3"/>
  <c r="AS70" i="3"/>
  <c r="AS71" i="3" s="1"/>
  <c r="AS58" i="3"/>
  <c r="AS137" i="3"/>
  <c r="AS294" i="3"/>
  <c r="AS110" i="3"/>
  <c r="AS111" i="3" s="1"/>
  <c r="AS94" i="3"/>
  <c r="AS328" i="3"/>
  <c r="AS97" i="3"/>
  <c r="AS37" i="3"/>
  <c r="AS222" i="3"/>
  <c r="AS54" i="3"/>
  <c r="AS298" i="3"/>
  <c r="AS20" i="3"/>
  <c r="AS21" i="3" s="1"/>
  <c r="AS30" i="3"/>
  <c r="AS31" i="3" s="1"/>
  <c r="AS238" i="3"/>
  <c r="AS177" i="3"/>
  <c r="AS302" i="3"/>
  <c r="AS344" i="3"/>
  <c r="AS47" i="3"/>
  <c r="AS272" i="3"/>
  <c r="AS42" i="3"/>
  <c r="AS172" i="3"/>
  <c r="AS188" i="3"/>
  <c r="AS107" i="3"/>
  <c r="AS324" i="3"/>
  <c r="AS50" i="3"/>
  <c r="AS51" i="3" s="1"/>
  <c r="AS274" i="3"/>
  <c r="AS74" i="3"/>
  <c r="AS338" i="3"/>
  <c r="AS150" i="3"/>
  <c r="AS128" i="3"/>
  <c r="AS32" i="3"/>
  <c r="AS182" i="3"/>
  <c r="AS183" i="3" s="1"/>
  <c r="AS104" i="3"/>
  <c r="AS92" i="3"/>
  <c r="AS192" i="3"/>
  <c r="AS130" i="3"/>
  <c r="AS131" i="3" s="1"/>
  <c r="AS252" i="3"/>
  <c r="AS72" i="3"/>
  <c r="AS73" i="3" s="1"/>
  <c r="AS198" i="3"/>
  <c r="AS284" i="3"/>
  <c r="AS348" i="3"/>
  <c r="AS48" i="3"/>
  <c r="AS87" i="3"/>
  <c r="AS90" i="3"/>
  <c r="AS91" i="3" s="1"/>
  <c r="AS82" i="3"/>
  <c r="AS164" i="3"/>
  <c r="AS257" i="3"/>
  <c r="AS28" i="3"/>
  <c r="AS40" i="3"/>
  <c r="AS41" i="3" s="1"/>
  <c r="AS57" i="3"/>
  <c r="AS214" i="3"/>
  <c r="AS267" i="3"/>
  <c r="AS312" i="3"/>
  <c r="AS170" i="3"/>
  <c r="AS171" i="3" s="1"/>
  <c r="AS67" i="3"/>
  <c r="AS342" i="3"/>
  <c r="AS154" i="3"/>
  <c r="AS147" i="3"/>
  <c r="AS237" i="3"/>
  <c r="AS277" i="3"/>
  <c r="AS304" i="3"/>
  <c r="AS124" i="3"/>
  <c r="AS232" i="3"/>
  <c r="AS38" i="3"/>
  <c r="AS98" i="3"/>
  <c r="AS244" i="3"/>
  <c r="AS108" i="3"/>
  <c r="AS27" i="3"/>
  <c r="AS142" i="3"/>
  <c r="AS34" i="3"/>
  <c r="AS268" i="3"/>
  <c r="AS248" i="3"/>
  <c r="AS64" i="3"/>
  <c r="AS247" i="3"/>
  <c r="AS158" i="3"/>
  <c r="AS162" i="3"/>
  <c r="AS163" i="3" s="1"/>
  <c r="AS254" i="3"/>
  <c r="AS194" i="3"/>
  <c r="AS84" i="3"/>
  <c r="AS234" i="3"/>
  <c r="AS197" i="3"/>
  <c r="AS218" i="3"/>
  <c r="AS78" i="3"/>
  <c r="AS318" i="3"/>
  <c r="AS118" i="3"/>
  <c r="AS134" i="3"/>
  <c r="AS102" i="3"/>
  <c r="AS308" i="3"/>
  <c r="AS258" i="3"/>
  <c r="BA5" i="4"/>
  <c r="AS5" i="10" s="1"/>
  <c r="AS24" i="3"/>
  <c r="AS288" i="3"/>
  <c r="AS178" i="3"/>
  <c r="AS314" i="3"/>
  <c r="AS224" i="3"/>
  <c r="AS322" i="3"/>
  <c r="AS264" i="3"/>
  <c r="AS160" i="3"/>
  <c r="AS161" i="3" s="1"/>
  <c r="AS287" i="3"/>
  <c r="AS144" i="3"/>
  <c r="AS77" i="3"/>
  <c r="AS180" i="3"/>
  <c r="AS120" i="3"/>
  <c r="AS121" i="3" s="1"/>
  <c r="AS148" i="3"/>
  <c r="AS174" i="3"/>
  <c r="AS68" i="3"/>
  <c r="AS262" i="3"/>
  <c r="AS152" i="3"/>
  <c r="AS153" i="3" s="1"/>
  <c r="AS112" i="3"/>
  <c r="AS88" i="3"/>
  <c r="AS217" i="3"/>
  <c r="AS282" i="3"/>
  <c r="AS80" i="3"/>
  <c r="AS81" i="3" s="1"/>
  <c r="AS227" i="3"/>
  <c r="AS187" i="3"/>
  <c r="AS184" i="3"/>
  <c r="AS127" i="3"/>
  <c r="AS138" i="3"/>
  <c r="AS157" i="3"/>
  <c r="AS332" i="3"/>
  <c r="AS167" i="3"/>
  <c r="AS190" i="3"/>
  <c r="AS191" i="3" s="1"/>
  <c r="AS60" i="3"/>
  <c r="AS61" i="3" s="1"/>
  <c r="AS52" i="3"/>
  <c r="AS53" i="3" s="1"/>
  <c r="AS62" i="3"/>
  <c r="AS242" i="3"/>
  <c r="AS334" i="3"/>
  <c r="AS278" i="3"/>
  <c r="AS122" i="3"/>
  <c r="AS123" i="3" s="1"/>
  <c r="AS132" i="3"/>
  <c r="AS6" i="3"/>
  <c r="AQ352" i="3"/>
  <c r="AQ15" i="3"/>
  <c r="AS7" i="3"/>
  <c r="BA17" i="4" s="1"/>
  <c r="AR236" i="3"/>
  <c r="AR266" i="3"/>
  <c r="AR156" i="3"/>
  <c r="AR226" i="3"/>
  <c r="AR276" i="3"/>
  <c r="AR46" i="3"/>
  <c r="AR136" i="3"/>
  <c r="AR96" i="3"/>
  <c r="AR66" i="3"/>
  <c r="AR36" i="3"/>
  <c r="AR196" i="3"/>
  <c r="AR286" i="3"/>
  <c r="AR326" i="3"/>
  <c r="AR216" i="3"/>
  <c r="AR86" i="3"/>
  <c r="AR56" i="3"/>
  <c r="AR346" i="3"/>
  <c r="AR336" i="3"/>
  <c r="AR176" i="3"/>
  <c r="AR256" i="3"/>
  <c r="AR106" i="3"/>
  <c r="AR76" i="3"/>
  <c r="AR246" i="3"/>
  <c r="AR296" i="3"/>
  <c r="AR146" i="3"/>
  <c r="AR166" i="3"/>
  <c r="AR316" i="3"/>
  <c r="AR306" i="3"/>
  <c r="AR26" i="3"/>
  <c r="AR126" i="3"/>
  <c r="AQ356" i="3"/>
  <c r="AY12" i="4" s="1"/>
  <c r="BB21" i="4" l="1"/>
  <c r="AT4" i="10"/>
  <c r="U45" i="4"/>
  <c r="U46" i="4" s="1"/>
  <c r="AY8" i="4"/>
  <c r="AY10" i="4" s="1"/>
  <c r="AS43" i="3"/>
  <c r="AS45" i="3" s="1"/>
  <c r="AW18" i="4"/>
  <c r="AW19" i="4" s="1"/>
  <c r="AX14" i="4"/>
  <c r="AX18" i="4" s="1"/>
  <c r="AJ31" i="4"/>
  <c r="AJ32" i="4" s="1"/>
  <c r="AJ34" i="4" s="1"/>
  <c r="AJ44" i="4" s="1"/>
  <c r="AZ25" i="4"/>
  <c r="AS103" i="3"/>
  <c r="AS105" i="3" s="1"/>
  <c r="BB3" i="4"/>
  <c r="AT3" i="10" s="1"/>
  <c r="BB22" i="4"/>
  <c r="AQ359" i="3" a="1"/>
  <c r="AQ359" i="3" s="1"/>
  <c r="AY6" i="4" s="1"/>
  <c r="AY16" i="4" s="1"/>
  <c r="AS143" i="3"/>
  <c r="AS145" i="3" s="1"/>
  <c r="AS313" i="3"/>
  <c r="AS315" i="3" s="1"/>
  <c r="AS253" i="3"/>
  <c r="AS255" i="3" s="1"/>
  <c r="AS173" i="3"/>
  <c r="AS175" i="3" s="1"/>
  <c r="AS165" i="3"/>
  <c r="AR353" i="3"/>
  <c r="AS125" i="3"/>
  <c r="AS358" i="3"/>
  <c r="BA24" i="4" s="1"/>
  <c r="AS303" i="3"/>
  <c r="AS305" i="3" s="1"/>
  <c r="AS75" i="3"/>
  <c r="AS273" i="3"/>
  <c r="AS275" i="3" s="1"/>
  <c r="AS323" i="3"/>
  <c r="AS325" i="3" s="1"/>
  <c r="AS233" i="3"/>
  <c r="AS235" i="3" s="1"/>
  <c r="AS33" i="3"/>
  <c r="AS35" i="3" s="1"/>
  <c r="AS243" i="3"/>
  <c r="AS245" i="3" s="1"/>
  <c r="AS63" i="3"/>
  <c r="AS65" i="3" s="1"/>
  <c r="AS113" i="3"/>
  <c r="AS114" i="3" s="1"/>
  <c r="AS354" i="3" s="1"/>
  <c r="BA9" i="4" s="1"/>
  <c r="AS83" i="3"/>
  <c r="AS85" i="3" s="1"/>
  <c r="AS151" i="3"/>
  <c r="AS155" i="3" s="1"/>
  <c r="AS156" i="3"/>
  <c r="AS293" i="3"/>
  <c r="AS295" i="3" s="1"/>
  <c r="AQ355" i="3"/>
  <c r="AS93" i="3"/>
  <c r="AS95" i="3" s="1"/>
  <c r="AS186" i="3"/>
  <c r="AS181" i="3"/>
  <c r="AS185" i="3" s="1"/>
  <c r="AS213" i="3"/>
  <c r="AS215" i="3" s="1"/>
  <c r="AS23" i="3"/>
  <c r="AS263" i="3"/>
  <c r="AS265" i="3" s="1"/>
  <c r="AR15" i="3"/>
  <c r="AR352" i="3"/>
  <c r="AS11" i="3"/>
  <c r="AS16" i="3"/>
  <c r="BB13" i="4"/>
  <c r="AS357" i="3"/>
  <c r="BA23" i="4" s="1"/>
  <c r="AS55" i="3"/>
  <c r="AS223" i="3"/>
  <c r="AS225" i="3" s="1"/>
  <c r="AS193" i="3"/>
  <c r="AS195" i="3" s="1"/>
  <c r="AU5" i="3"/>
  <c r="AU310" i="3"/>
  <c r="AU317" i="3" s="1"/>
  <c r="AU320" i="3"/>
  <c r="AU327" i="3" s="1"/>
  <c r="AU300" i="3"/>
  <c r="AU307" i="3" s="1"/>
  <c r="BC4" i="4"/>
  <c r="AV3" i="3"/>
  <c r="AU330" i="3"/>
  <c r="AU337" i="3" s="1"/>
  <c r="AU290" i="3"/>
  <c r="AU297" i="3" s="1"/>
  <c r="AU4" i="3"/>
  <c r="AU340" i="3"/>
  <c r="AU347" i="3" s="1"/>
  <c r="AS133" i="3"/>
  <c r="AS135" i="3" s="1"/>
  <c r="AT288" i="3"/>
  <c r="AT48" i="3"/>
  <c r="AT137" i="3"/>
  <c r="AT107" i="3"/>
  <c r="AT322" i="3"/>
  <c r="AT304" i="3"/>
  <c r="AT182" i="3"/>
  <c r="AT183" i="3" s="1"/>
  <c r="AT22" i="3"/>
  <c r="AT54" i="3"/>
  <c r="AT212" i="3"/>
  <c r="AT247" i="3"/>
  <c r="AT222" i="3"/>
  <c r="AT100" i="3"/>
  <c r="AT101" i="3" s="1"/>
  <c r="AT314" i="3"/>
  <c r="AT38" i="3"/>
  <c r="AT128" i="3"/>
  <c r="AT162" i="3"/>
  <c r="AT163" i="3" s="1"/>
  <c r="AT160" i="3"/>
  <c r="AT161" i="3" s="1"/>
  <c r="AT104" i="3"/>
  <c r="AT124" i="3"/>
  <c r="AT24" i="3"/>
  <c r="AT248" i="3"/>
  <c r="AT257" i="3"/>
  <c r="AT282" i="3"/>
  <c r="AT190" i="3"/>
  <c r="AT191" i="3" s="1"/>
  <c r="AT302" i="3"/>
  <c r="AT274" i="3"/>
  <c r="AT110" i="3"/>
  <c r="AT111" i="3" s="1"/>
  <c r="AT232" i="3"/>
  <c r="AT144" i="3"/>
  <c r="AT268" i="3"/>
  <c r="AT68" i="3"/>
  <c r="AT262" i="3"/>
  <c r="AT344" i="3"/>
  <c r="AT244" i="3"/>
  <c r="AT158" i="3"/>
  <c r="AT92" i="3"/>
  <c r="AT134" i="3"/>
  <c r="AT67" i="3"/>
  <c r="AT140" i="3"/>
  <c r="AT141" i="3" s="1"/>
  <c r="AT242" i="3"/>
  <c r="AT10" i="3"/>
  <c r="BB5" i="4"/>
  <c r="AT5" i="10" s="1"/>
  <c r="AT47" i="3"/>
  <c r="AT78" i="3"/>
  <c r="AT28" i="3"/>
  <c r="AT180" i="3"/>
  <c r="AT118" i="3"/>
  <c r="AT234" i="3"/>
  <c r="AT64" i="3"/>
  <c r="AT97" i="3"/>
  <c r="AT102" i="3"/>
  <c r="AT152" i="3"/>
  <c r="AT153" i="3" s="1"/>
  <c r="AT218" i="3"/>
  <c r="AT44" i="3"/>
  <c r="AT238" i="3"/>
  <c r="AT84" i="3"/>
  <c r="AT264" i="3"/>
  <c r="AT77" i="3"/>
  <c r="AT187" i="3"/>
  <c r="AT272" i="3"/>
  <c r="AT94" i="3"/>
  <c r="AT58" i="3"/>
  <c r="AT30" i="3"/>
  <c r="AT31" i="3" s="1"/>
  <c r="AT20" i="3"/>
  <c r="AT21" i="3" s="1"/>
  <c r="AT217" i="3"/>
  <c r="AT254" i="3"/>
  <c r="AT40" i="3"/>
  <c r="AT41" i="3" s="1"/>
  <c r="AT332" i="3"/>
  <c r="AT150" i="3"/>
  <c r="AT178" i="3"/>
  <c r="AT338" i="3"/>
  <c r="AT120" i="3"/>
  <c r="AT121" i="3" s="1"/>
  <c r="AT122" i="3"/>
  <c r="AT123" i="3" s="1"/>
  <c r="AT188" i="3"/>
  <c r="AT328" i="3"/>
  <c r="AT168" i="3"/>
  <c r="AT62" i="3"/>
  <c r="AT278" i="3"/>
  <c r="AT287" i="3"/>
  <c r="AT184" i="3"/>
  <c r="AT148" i="3"/>
  <c r="AT50" i="3"/>
  <c r="AT51" i="3" s="1"/>
  <c r="AT80" i="3"/>
  <c r="AT81" i="3" s="1"/>
  <c r="AT177" i="3"/>
  <c r="AT194" i="3"/>
  <c r="AT72" i="3"/>
  <c r="AT73" i="3" s="1"/>
  <c r="AT312" i="3"/>
  <c r="AT37" i="3"/>
  <c r="AT70" i="3"/>
  <c r="AT71" i="3" s="1"/>
  <c r="AT298" i="3"/>
  <c r="AT237" i="3"/>
  <c r="AT127" i="3"/>
  <c r="AT27" i="3"/>
  <c r="AT227" i="3"/>
  <c r="AT147" i="3"/>
  <c r="AT172" i="3"/>
  <c r="AT57" i="3"/>
  <c r="AT32" i="3"/>
  <c r="AT74" i="3"/>
  <c r="AT88" i="3"/>
  <c r="AT34" i="3"/>
  <c r="AT192" i="3"/>
  <c r="AT342" i="3"/>
  <c r="AT324" i="3"/>
  <c r="AT117" i="3"/>
  <c r="AT174" i="3"/>
  <c r="AT228" i="3"/>
  <c r="AT112" i="3"/>
  <c r="AT52" i="3"/>
  <c r="AT53" i="3" s="1"/>
  <c r="AT267" i="3"/>
  <c r="AT87" i="3"/>
  <c r="AT108" i="3"/>
  <c r="AT164" i="3"/>
  <c r="AT334" i="3"/>
  <c r="AT308" i="3"/>
  <c r="AT198" i="3"/>
  <c r="AT170" i="3"/>
  <c r="AT171" i="3" s="1"/>
  <c r="AT258" i="3"/>
  <c r="AT42" i="3"/>
  <c r="AT348" i="3"/>
  <c r="AT294" i="3"/>
  <c r="AT214" i="3"/>
  <c r="AT224" i="3"/>
  <c r="AT98" i="3"/>
  <c r="AT132" i="3"/>
  <c r="AT167" i="3"/>
  <c r="AT157" i="3"/>
  <c r="AT252" i="3"/>
  <c r="AT253" i="3" s="1"/>
  <c r="AT142" i="3"/>
  <c r="AT82" i="3"/>
  <c r="AT292" i="3"/>
  <c r="AT130" i="3"/>
  <c r="AT131" i="3" s="1"/>
  <c r="AT154" i="3"/>
  <c r="AT197" i="3"/>
  <c r="AT277" i="3"/>
  <c r="AT90" i="3"/>
  <c r="AT91" i="3" s="1"/>
  <c r="AT284" i="3"/>
  <c r="AT318" i="3"/>
  <c r="AT138" i="3"/>
  <c r="AT60" i="3"/>
  <c r="AT61" i="3" s="1"/>
  <c r="AT6" i="3"/>
  <c r="AS283" i="3"/>
  <c r="AS285" i="3" s="1"/>
  <c r="AS333" i="3"/>
  <c r="AS335" i="3" s="1"/>
  <c r="AS343" i="3"/>
  <c r="AS345" i="3" s="1"/>
  <c r="AR25" i="3"/>
  <c r="AT7" i="3"/>
  <c r="BB17" i="4" s="1"/>
  <c r="AS276" i="3"/>
  <c r="AS286" i="3"/>
  <c r="AS246" i="3"/>
  <c r="AS166" i="3"/>
  <c r="AS236" i="3"/>
  <c r="AS106" i="3"/>
  <c r="AS46" i="3"/>
  <c r="AS66" i="3"/>
  <c r="AS36" i="3"/>
  <c r="AS256" i="3"/>
  <c r="AS306" i="3"/>
  <c r="AS326" i="3"/>
  <c r="AS26" i="3"/>
  <c r="AS76" i="3"/>
  <c r="AS346" i="3"/>
  <c r="AS136" i="3"/>
  <c r="AS176" i="3"/>
  <c r="AS146" i="3"/>
  <c r="AS266" i="3"/>
  <c r="AS56" i="3"/>
  <c r="AS336" i="3"/>
  <c r="AS226" i="3"/>
  <c r="AS86" i="3"/>
  <c r="AS296" i="3"/>
  <c r="AS316" i="3"/>
  <c r="AS96" i="3"/>
  <c r="AS216" i="3"/>
  <c r="AS196" i="3"/>
  <c r="AS126" i="3"/>
  <c r="AS116" i="3"/>
  <c r="AR356" i="3"/>
  <c r="AZ12" i="4" s="1"/>
  <c r="AU4" i="10" l="1"/>
  <c r="BC21" i="4"/>
  <c r="AY14" i="4"/>
  <c r="AY18" i="4" s="1"/>
  <c r="AY19" i="4" s="1"/>
  <c r="AT143" i="3"/>
  <c r="AT145" i="3" s="1"/>
  <c r="U47" i="4"/>
  <c r="U48" i="4" s="1"/>
  <c r="V43" i="4" s="1"/>
  <c r="V50" i="4" s="1"/>
  <c r="AZ8" i="4"/>
  <c r="AZ10" i="4" s="1"/>
  <c r="AX19" i="4"/>
  <c r="AX27" i="4" s="1"/>
  <c r="BA25" i="4"/>
  <c r="AR359" i="3" a="1"/>
  <c r="AR359" i="3" s="1"/>
  <c r="AZ6" i="4" s="1"/>
  <c r="AW27" i="4"/>
  <c r="AK31" i="4"/>
  <c r="BC22" i="4"/>
  <c r="BC3" i="4"/>
  <c r="AU3" i="10" s="1"/>
  <c r="AT173" i="3"/>
  <c r="AT175" i="3" s="1"/>
  <c r="AT263" i="3"/>
  <c r="AT265" i="3" s="1"/>
  <c r="AT255" i="3"/>
  <c r="AT75" i="3"/>
  <c r="AT358" i="3"/>
  <c r="BB24" i="4" s="1"/>
  <c r="AT273" i="3"/>
  <c r="AT275" i="3" s="1"/>
  <c r="AT223" i="3"/>
  <c r="AT225" i="3" s="1"/>
  <c r="AV330" i="3"/>
  <c r="AV337" i="3" s="1"/>
  <c r="AV320" i="3"/>
  <c r="AV327" i="3" s="1"/>
  <c r="AV300" i="3"/>
  <c r="AV307" i="3" s="1"/>
  <c r="AV310" i="3"/>
  <c r="AV317" i="3" s="1"/>
  <c r="AV4" i="3"/>
  <c r="AV340" i="3"/>
  <c r="AV347" i="3" s="1"/>
  <c r="BD4" i="4"/>
  <c r="AW3" i="3"/>
  <c r="AV5" i="3"/>
  <c r="AV290" i="3"/>
  <c r="AV297" i="3" s="1"/>
  <c r="AT125" i="3"/>
  <c r="AT43" i="3"/>
  <c r="AT45" i="3" s="1"/>
  <c r="AT343" i="3"/>
  <c r="AT345" i="3" s="1"/>
  <c r="AT313" i="3"/>
  <c r="AT315" i="3" s="1"/>
  <c r="AT283" i="3"/>
  <c r="AT285" i="3" s="1"/>
  <c r="AT23" i="3"/>
  <c r="AT193" i="3"/>
  <c r="AT195" i="3" s="1"/>
  <c r="AS353" i="3"/>
  <c r="AS25" i="3"/>
  <c r="AT165" i="3"/>
  <c r="AT181" i="3"/>
  <c r="AT185" i="3" s="1"/>
  <c r="AT186" i="3"/>
  <c r="AT213" i="3"/>
  <c r="AT215" i="3" s="1"/>
  <c r="AT243" i="3"/>
  <c r="AT245" i="3" s="1"/>
  <c r="AT151" i="3"/>
  <c r="AT155" i="3" s="1"/>
  <c r="AT156" i="3"/>
  <c r="AT357" i="3"/>
  <c r="BB23" i="4" s="1"/>
  <c r="AU157" i="3"/>
  <c r="AU67" i="3"/>
  <c r="AU114" i="3"/>
  <c r="AU162" i="3"/>
  <c r="AU163" i="3" s="1"/>
  <c r="AU142" i="3"/>
  <c r="AU252" i="3"/>
  <c r="AU124" i="3"/>
  <c r="AU10" i="3"/>
  <c r="AU194" i="3"/>
  <c r="AU348" i="3"/>
  <c r="AU28" i="3"/>
  <c r="AU130" i="3"/>
  <c r="AU131" i="3" s="1"/>
  <c r="AU22" i="3"/>
  <c r="AU97" i="3"/>
  <c r="AU218" i="3"/>
  <c r="AU112" i="3"/>
  <c r="AU170" i="3"/>
  <c r="AU171" i="3" s="1"/>
  <c r="AU192" i="3"/>
  <c r="AU334" i="3"/>
  <c r="AU54" i="3"/>
  <c r="AU322" i="3"/>
  <c r="AU277" i="3"/>
  <c r="AU152" i="3"/>
  <c r="AU153" i="3" s="1"/>
  <c r="AU248" i="3"/>
  <c r="AU44" i="3"/>
  <c r="AU244" i="3"/>
  <c r="AU52" i="3"/>
  <c r="AU53" i="3" s="1"/>
  <c r="AU254" i="3"/>
  <c r="AU288" i="3"/>
  <c r="AU262" i="3"/>
  <c r="AU267" i="3"/>
  <c r="AU80" i="3"/>
  <c r="AU81" i="3" s="1"/>
  <c r="AU222" i="3"/>
  <c r="AU344" i="3"/>
  <c r="AU278" i="3"/>
  <c r="AU188" i="3"/>
  <c r="AU184" i="3"/>
  <c r="AU177" i="3"/>
  <c r="AU298" i="3"/>
  <c r="AU127" i="3"/>
  <c r="AU304" i="3"/>
  <c r="AU110" i="3"/>
  <c r="AU111" i="3" s="1"/>
  <c r="AU62" i="3"/>
  <c r="AU187" i="3"/>
  <c r="AU92" i="3"/>
  <c r="AU238" i="3"/>
  <c r="AU27" i="3"/>
  <c r="AU314" i="3"/>
  <c r="AU87" i="3"/>
  <c r="AU247" i="3"/>
  <c r="AU47" i="3"/>
  <c r="AU134" i="3"/>
  <c r="AU122" i="3"/>
  <c r="AU123" i="3" s="1"/>
  <c r="AU224" i="3"/>
  <c r="AU108" i="3"/>
  <c r="AU198" i="3"/>
  <c r="AU167" i="3"/>
  <c r="AU128" i="3"/>
  <c r="AU60" i="3"/>
  <c r="AU61" i="3" s="1"/>
  <c r="AU102" i="3"/>
  <c r="AU88" i="3"/>
  <c r="AU147" i="3"/>
  <c r="AU312" i="3"/>
  <c r="BC5" i="4"/>
  <c r="AU5" i="10" s="1"/>
  <c r="AU104" i="3"/>
  <c r="AU132" i="3"/>
  <c r="AU197" i="3"/>
  <c r="AU70" i="3"/>
  <c r="AU71" i="3" s="1"/>
  <c r="AU328" i="3"/>
  <c r="AU272" i="3"/>
  <c r="AU24" i="3"/>
  <c r="AU268" i="3"/>
  <c r="AU178" i="3"/>
  <c r="AU214" i="3"/>
  <c r="AU94" i="3"/>
  <c r="AU292" i="3"/>
  <c r="AU302" i="3"/>
  <c r="AU338" i="3"/>
  <c r="AU140" i="3"/>
  <c r="AU141" i="3" s="1"/>
  <c r="AU232" i="3"/>
  <c r="AU242" i="3"/>
  <c r="AU324" i="3"/>
  <c r="AU120" i="3"/>
  <c r="AU121" i="3" s="1"/>
  <c r="AU284" i="3"/>
  <c r="AU164" i="3"/>
  <c r="AU264" i="3"/>
  <c r="AU294" i="3"/>
  <c r="AU228" i="3"/>
  <c r="AU137" i="3"/>
  <c r="AU82" i="3"/>
  <c r="AU42" i="3"/>
  <c r="AU172" i="3"/>
  <c r="AU158" i="3"/>
  <c r="AU98" i="3"/>
  <c r="AU90" i="3"/>
  <c r="AU91" i="3" s="1"/>
  <c r="AU174" i="3"/>
  <c r="AU64" i="3"/>
  <c r="AU308" i="3"/>
  <c r="AU234" i="3"/>
  <c r="AU84" i="3"/>
  <c r="AU58" i="3"/>
  <c r="AU237" i="3"/>
  <c r="AU227" i="3"/>
  <c r="AU217" i="3"/>
  <c r="AU78" i="3"/>
  <c r="AU30" i="3"/>
  <c r="AU31" i="3" s="1"/>
  <c r="AU107" i="3"/>
  <c r="AU34" i="3"/>
  <c r="AU40" i="3"/>
  <c r="AU41" i="3" s="1"/>
  <c r="AU68" i="3"/>
  <c r="AU37" i="3"/>
  <c r="AU274" i="3"/>
  <c r="AU118" i="3"/>
  <c r="AU318" i="3"/>
  <c r="AU342" i="3"/>
  <c r="AU32" i="3"/>
  <c r="AU144" i="3"/>
  <c r="AU72" i="3"/>
  <c r="AU73" i="3" s="1"/>
  <c r="AU332" i="3"/>
  <c r="AU190" i="3"/>
  <c r="AU191" i="3" s="1"/>
  <c r="AU77" i="3"/>
  <c r="AU160" i="3"/>
  <c r="AU161" i="3" s="1"/>
  <c r="AU100" i="3"/>
  <c r="AU101" i="3" s="1"/>
  <c r="AU150" i="3"/>
  <c r="AU282" i="3"/>
  <c r="AU74" i="3"/>
  <c r="AU48" i="3"/>
  <c r="AU50" i="3"/>
  <c r="AU51" i="3" s="1"/>
  <c r="AU20" i="3"/>
  <c r="AU21" i="3" s="1"/>
  <c r="AU257" i="3"/>
  <c r="AU258" i="3"/>
  <c r="AU182" i="3"/>
  <c r="AU183" i="3" s="1"/>
  <c r="AU138" i="3"/>
  <c r="AU148" i="3"/>
  <c r="AU212" i="3"/>
  <c r="AU287" i="3"/>
  <c r="AU57" i="3"/>
  <c r="AU38" i="3"/>
  <c r="AU154" i="3"/>
  <c r="AU168" i="3"/>
  <c r="AU180" i="3"/>
  <c r="AU117" i="3"/>
  <c r="AU6" i="3"/>
  <c r="AT333" i="3"/>
  <c r="AT335" i="3" s="1"/>
  <c r="AT93" i="3"/>
  <c r="AT95" i="3" s="1"/>
  <c r="AT323" i="3"/>
  <c r="AT325" i="3" s="1"/>
  <c r="BC13" i="4"/>
  <c r="AT133" i="3"/>
  <c r="AT135" i="3" s="1"/>
  <c r="AT113" i="3"/>
  <c r="AT233" i="3"/>
  <c r="AT235" i="3" s="1"/>
  <c r="AS115" i="3"/>
  <c r="AT303" i="3"/>
  <c r="AT305" i="3" s="1"/>
  <c r="AR355" i="3"/>
  <c r="AT293" i="3"/>
  <c r="AT295" i="3" s="1"/>
  <c r="AT103" i="3"/>
  <c r="AT105" i="3" s="1"/>
  <c r="AT63" i="3"/>
  <c r="AT65" i="3" s="1"/>
  <c r="AS15" i="3"/>
  <c r="AS352" i="3"/>
  <c r="AT16" i="3"/>
  <c r="AT11" i="3"/>
  <c r="AT83" i="3"/>
  <c r="AT85" i="3" s="1"/>
  <c r="AT33" i="3"/>
  <c r="AT35" i="3" s="1"/>
  <c r="AT55" i="3"/>
  <c r="AS356" i="3"/>
  <c r="BA12" i="4" s="1"/>
  <c r="AU7" i="3"/>
  <c r="BC17" i="4" s="1"/>
  <c r="AT246" i="3"/>
  <c r="AT236" i="3"/>
  <c r="AT286" i="3"/>
  <c r="AT276" i="3"/>
  <c r="AT116" i="3"/>
  <c r="AT36" i="3"/>
  <c r="AT106" i="3"/>
  <c r="AT46" i="3"/>
  <c r="AT136" i="3"/>
  <c r="AT166" i="3"/>
  <c r="AT266" i="3"/>
  <c r="AT216" i="3"/>
  <c r="AT26" i="3"/>
  <c r="AT66" i="3"/>
  <c r="AT196" i="3"/>
  <c r="AT336" i="3"/>
  <c r="AT306" i="3"/>
  <c r="AT56" i="3"/>
  <c r="AT346" i="3"/>
  <c r="AT316" i="3"/>
  <c r="AT146" i="3"/>
  <c r="AT326" i="3"/>
  <c r="AT296" i="3"/>
  <c r="AT76" i="3"/>
  <c r="AT176" i="3"/>
  <c r="AT226" i="3"/>
  <c r="AT256" i="3"/>
  <c r="AT126" i="3"/>
  <c r="AT96" i="3"/>
  <c r="AT86" i="3"/>
  <c r="AV4" i="10" l="1"/>
  <c r="BD21" i="4"/>
  <c r="AZ16" i="4"/>
  <c r="AL31" i="4"/>
  <c r="AL32" i="4" s="1"/>
  <c r="AL34" i="4" s="1"/>
  <c r="AZ14" i="4"/>
  <c r="AZ18" i="4" s="1"/>
  <c r="V45" i="4"/>
  <c r="V46" i="4" s="1"/>
  <c r="BA8" i="4"/>
  <c r="BA10" i="4" s="1"/>
  <c r="BB25" i="4"/>
  <c r="AS359" i="3" a="1"/>
  <c r="AS359" i="3" s="1"/>
  <c r="BA6" i="4" s="1"/>
  <c r="AU273" i="3"/>
  <c r="AU275" i="3" s="1"/>
  <c r="AU333" i="3"/>
  <c r="AU335" i="3" s="1"/>
  <c r="AU213" i="3"/>
  <c r="AU215" i="3" s="1"/>
  <c r="AU243" i="3"/>
  <c r="AU245" i="3" s="1"/>
  <c r="AU223" i="3"/>
  <c r="AU225" i="3" s="1"/>
  <c r="AU33" i="3"/>
  <c r="AU35" i="3" s="1"/>
  <c r="AU343" i="3"/>
  <c r="AU345" i="3" s="1"/>
  <c r="AY27" i="4"/>
  <c r="AM31" i="4"/>
  <c r="AK32" i="4"/>
  <c r="AK34" i="4" s="1"/>
  <c r="BD22" i="4"/>
  <c r="BD3" i="4"/>
  <c r="AV3" i="10" s="1"/>
  <c r="AU253" i="3"/>
  <c r="AU233" i="3"/>
  <c r="AU235" i="3" s="1"/>
  <c r="AU173" i="3"/>
  <c r="AU175" i="3" s="1"/>
  <c r="AU293" i="3"/>
  <c r="AU295" i="3" s="1"/>
  <c r="AU103" i="3"/>
  <c r="AU105" i="3" s="1"/>
  <c r="AU323" i="3"/>
  <c r="AU325" i="3" s="1"/>
  <c r="AU143" i="3"/>
  <c r="AU145" i="3" s="1"/>
  <c r="AU133" i="3"/>
  <c r="AU135" i="3" s="1"/>
  <c r="AU193" i="3"/>
  <c r="AU195" i="3" s="1"/>
  <c r="AU263" i="3"/>
  <c r="AU265" i="3" s="1"/>
  <c r="AU283" i="3"/>
  <c r="AU285" i="3" s="1"/>
  <c r="AU303" i="3"/>
  <c r="AU305" i="3" s="1"/>
  <c r="AU93" i="3"/>
  <c r="AU95" i="3" s="1"/>
  <c r="AS355" i="3"/>
  <c r="AU23" i="3"/>
  <c r="AU25" i="3" s="1"/>
  <c r="AU43" i="3"/>
  <c r="AU45" i="3" s="1"/>
  <c r="AU63" i="3"/>
  <c r="AU65" i="3" s="1"/>
  <c r="AU165" i="3"/>
  <c r="AU83" i="3"/>
  <c r="AU85" i="3" s="1"/>
  <c r="AV318" i="3"/>
  <c r="AV37" i="3"/>
  <c r="AV172" i="3"/>
  <c r="AV94" i="3"/>
  <c r="AV47" i="3"/>
  <c r="AV127" i="3"/>
  <c r="AV242" i="3"/>
  <c r="AV120" i="3"/>
  <c r="AV121" i="3" s="1"/>
  <c r="AV268" i="3"/>
  <c r="AV252" i="3"/>
  <c r="AV84" i="3"/>
  <c r="AV144" i="3"/>
  <c r="AV237" i="3"/>
  <c r="AV38" i="3"/>
  <c r="AV67" i="3"/>
  <c r="AV224" i="3"/>
  <c r="AV22" i="3"/>
  <c r="AV338" i="3"/>
  <c r="AV28" i="3"/>
  <c r="AV272" i="3"/>
  <c r="AV124" i="3"/>
  <c r="AV62" i="3"/>
  <c r="AV328" i="3"/>
  <c r="AV212" i="3"/>
  <c r="AV187" i="3"/>
  <c r="AV130" i="3"/>
  <c r="AV131" i="3" s="1"/>
  <c r="AV42" i="3"/>
  <c r="AV287" i="3"/>
  <c r="AV107" i="3"/>
  <c r="AV90" i="3"/>
  <c r="AV91" i="3" s="1"/>
  <c r="AV164" i="3"/>
  <c r="AV264" i="3"/>
  <c r="AV258" i="3"/>
  <c r="AV244" i="3"/>
  <c r="AV20" i="3"/>
  <c r="AV21" i="3" s="1"/>
  <c r="AV140" i="3"/>
  <c r="AV141" i="3" s="1"/>
  <c r="AV122" i="3"/>
  <c r="AV123" i="3" s="1"/>
  <c r="AV348" i="3"/>
  <c r="AV312" i="3"/>
  <c r="AV262" i="3"/>
  <c r="AV182" i="3"/>
  <c r="AV183" i="3" s="1"/>
  <c r="AV177" i="3"/>
  <c r="AV170" i="3"/>
  <c r="AV171" i="3" s="1"/>
  <c r="AV48" i="3"/>
  <c r="AV257" i="3"/>
  <c r="AV184" i="3"/>
  <c r="AV118" i="3"/>
  <c r="AV70" i="3"/>
  <c r="AV71" i="3" s="1"/>
  <c r="AV180" i="3"/>
  <c r="AV284" i="3"/>
  <c r="AV247" i="3"/>
  <c r="AV238" i="3"/>
  <c r="AV147" i="3"/>
  <c r="AV217" i="3"/>
  <c r="AV92" i="3"/>
  <c r="AV154" i="3"/>
  <c r="AV137" i="3"/>
  <c r="AV58" i="3"/>
  <c r="AV110" i="3"/>
  <c r="AV111" i="3" s="1"/>
  <c r="AV102" i="3"/>
  <c r="AV197" i="3"/>
  <c r="AV57" i="3"/>
  <c r="AV214" i="3"/>
  <c r="BD5" i="4"/>
  <c r="AV5" i="10" s="1"/>
  <c r="AV27" i="3"/>
  <c r="AV88" i="3"/>
  <c r="AV64" i="3"/>
  <c r="AV134" i="3"/>
  <c r="AV174" i="3"/>
  <c r="AV198" i="3"/>
  <c r="AV234" i="3"/>
  <c r="AV152" i="3"/>
  <c r="AV153" i="3" s="1"/>
  <c r="AV150" i="3"/>
  <c r="AV190" i="3"/>
  <c r="AV191" i="3" s="1"/>
  <c r="AV267" i="3"/>
  <c r="AV30" i="3"/>
  <c r="AV31" i="3" s="1"/>
  <c r="AV277" i="3"/>
  <c r="AV167" i="3"/>
  <c r="AV132" i="3"/>
  <c r="AV248" i="3"/>
  <c r="AV324" i="3"/>
  <c r="AV44" i="3"/>
  <c r="AV82" i="3"/>
  <c r="AV282" i="3"/>
  <c r="AV148" i="3"/>
  <c r="AV188" i="3"/>
  <c r="AV302" i="3"/>
  <c r="AV332" i="3"/>
  <c r="AV222" i="3"/>
  <c r="AV74" i="3"/>
  <c r="AV178" i="3"/>
  <c r="AV288" i="3"/>
  <c r="AV60" i="3"/>
  <c r="AV61" i="3" s="1"/>
  <c r="AV292" i="3"/>
  <c r="AV138" i="3"/>
  <c r="AV278" i="3"/>
  <c r="AV254" i="3"/>
  <c r="AV194" i="3"/>
  <c r="AV142" i="3"/>
  <c r="AV68" i="3"/>
  <c r="AV98" i="3"/>
  <c r="AV80" i="3"/>
  <c r="AV81" i="3" s="1"/>
  <c r="AV162" i="3"/>
  <c r="AV163" i="3" s="1"/>
  <c r="AV158" i="3"/>
  <c r="AV112" i="3"/>
  <c r="AV52" i="3"/>
  <c r="AV53" i="3" s="1"/>
  <c r="AV322" i="3"/>
  <c r="AV50" i="3"/>
  <c r="AV51" i="3" s="1"/>
  <c r="AV218" i="3"/>
  <c r="AV108" i="3"/>
  <c r="AV40" i="3"/>
  <c r="AV41" i="3" s="1"/>
  <c r="AV54" i="3"/>
  <c r="AV157" i="3"/>
  <c r="AV342" i="3"/>
  <c r="AV32" i="3"/>
  <c r="AV87" i="3"/>
  <c r="AV128" i="3"/>
  <c r="AV78" i="3"/>
  <c r="AV24" i="3"/>
  <c r="AV298" i="3"/>
  <c r="AV334" i="3"/>
  <c r="AV344" i="3"/>
  <c r="AV308" i="3"/>
  <c r="AV232" i="3"/>
  <c r="AV100" i="3"/>
  <c r="AV101" i="3" s="1"/>
  <c r="AV72" i="3"/>
  <c r="AV73" i="3" s="1"/>
  <c r="AV227" i="3"/>
  <c r="AV77" i="3"/>
  <c r="AV304" i="3"/>
  <c r="AV168" i="3"/>
  <c r="AV97" i="3"/>
  <c r="AV192" i="3"/>
  <c r="AV104" i="3"/>
  <c r="AV34" i="3"/>
  <c r="AV228" i="3"/>
  <c r="AV10" i="3"/>
  <c r="AV274" i="3"/>
  <c r="AV314" i="3"/>
  <c r="AV160" i="3"/>
  <c r="AV161" i="3" s="1"/>
  <c r="AV117" i="3"/>
  <c r="AV114" i="3"/>
  <c r="AV294" i="3"/>
  <c r="AV6" i="3"/>
  <c r="AT114" i="3"/>
  <c r="AT354" i="3" s="1"/>
  <c r="BB9" i="4" s="1"/>
  <c r="AU354" i="3"/>
  <c r="BC9" i="4" s="1"/>
  <c r="AU255" i="3"/>
  <c r="AT353" i="3"/>
  <c r="AU11" i="3"/>
  <c r="AU16" i="3"/>
  <c r="AU75" i="3"/>
  <c r="AU125" i="3"/>
  <c r="AU181" i="3"/>
  <c r="AU185" i="3" s="1"/>
  <c r="AU186" i="3"/>
  <c r="AW4" i="3"/>
  <c r="AW5" i="3"/>
  <c r="AW310" i="3"/>
  <c r="AW317" i="3" s="1"/>
  <c r="AW320" i="3"/>
  <c r="AW327" i="3" s="1"/>
  <c r="AW340" i="3"/>
  <c r="AW347" i="3" s="1"/>
  <c r="AW300" i="3"/>
  <c r="AW307" i="3" s="1"/>
  <c r="AX3" i="3"/>
  <c r="BE4" i="4"/>
  <c r="AW290" i="3"/>
  <c r="AW297" i="3" s="1"/>
  <c r="AW330" i="3"/>
  <c r="AW337" i="3" s="1"/>
  <c r="AU358" i="3"/>
  <c r="BC24" i="4" s="1"/>
  <c r="AT352" i="3"/>
  <c r="AT15" i="3"/>
  <c r="BD13" i="4"/>
  <c r="AU151" i="3"/>
  <c r="AU155" i="3" s="1"/>
  <c r="AU156" i="3"/>
  <c r="AU55" i="3"/>
  <c r="AU113" i="3"/>
  <c r="AU115" i="3" s="1"/>
  <c r="AU313" i="3"/>
  <c r="AU315" i="3" s="1"/>
  <c r="AU357" i="3"/>
  <c r="BC23" i="4" s="1"/>
  <c r="AT25" i="3"/>
  <c r="AV7" i="3"/>
  <c r="BD17" i="4" s="1"/>
  <c r="AU286" i="3"/>
  <c r="AU276" i="3"/>
  <c r="AU306" i="3"/>
  <c r="AU146" i="3"/>
  <c r="AU236" i="3"/>
  <c r="AU36" i="3"/>
  <c r="AU246" i="3"/>
  <c r="AU66" i="3"/>
  <c r="AU336" i="3"/>
  <c r="AU136" i="3"/>
  <c r="AU316" i="3"/>
  <c r="AU96" i="3"/>
  <c r="AU266" i="3"/>
  <c r="AU326" i="3"/>
  <c r="AU346" i="3"/>
  <c r="AU296" i="3"/>
  <c r="AU46" i="3"/>
  <c r="AU126" i="3"/>
  <c r="AU256" i="3"/>
  <c r="AU26" i="3"/>
  <c r="AU226" i="3"/>
  <c r="AU216" i="3"/>
  <c r="AU196" i="3"/>
  <c r="AU116" i="3"/>
  <c r="AU166" i="3"/>
  <c r="AU106" i="3"/>
  <c r="AU176" i="3"/>
  <c r="AU86" i="3"/>
  <c r="AU56" i="3"/>
  <c r="AU76" i="3"/>
  <c r="AT356" i="3"/>
  <c r="BB12" i="4" s="1"/>
  <c r="AW4" i="10" l="1"/>
  <c r="BE21" i="4"/>
  <c r="AZ19" i="4"/>
  <c r="AN31" i="4" s="1"/>
  <c r="BA16" i="4"/>
  <c r="V47" i="4"/>
  <c r="V48" i="4" s="1"/>
  <c r="W43" i="4" s="1"/>
  <c r="W50" i="4" s="1"/>
  <c r="BB8" i="4"/>
  <c r="BB10" i="4" s="1"/>
  <c r="BA14" i="4"/>
  <c r="BA18" i="4" s="1"/>
  <c r="BC25" i="4"/>
  <c r="AL44" i="4"/>
  <c r="AK44" i="4"/>
  <c r="BE22" i="4"/>
  <c r="BE3" i="4"/>
  <c r="AW3" i="10" s="1"/>
  <c r="AM32" i="4"/>
  <c r="AM34" i="4" s="1"/>
  <c r="AV125" i="3"/>
  <c r="AV55" i="3"/>
  <c r="AU353" i="3"/>
  <c r="AV323" i="3"/>
  <c r="AV325" i="3" s="1"/>
  <c r="AV333" i="3"/>
  <c r="AV335" i="3" s="1"/>
  <c r="AV263" i="3"/>
  <c r="AV265" i="3" s="1"/>
  <c r="AV93" i="3"/>
  <c r="AV95" i="3" s="1"/>
  <c r="AV313" i="3"/>
  <c r="AV315" i="3" s="1"/>
  <c r="AV243" i="3"/>
  <c r="AV245" i="3" s="1"/>
  <c r="AV63" i="3"/>
  <c r="AV65" i="3" s="1"/>
  <c r="AV293" i="3"/>
  <c r="AV295" i="3" s="1"/>
  <c r="AV43" i="3"/>
  <c r="AV45" i="3" s="1"/>
  <c r="AV253" i="3"/>
  <c r="AV255" i="3" s="1"/>
  <c r="AV303" i="3"/>
  <c r="AV305" i="3" s="1"/>
  <c r="AV193" i="3"/>
  <c r="AV195" i="3" s="1"/>
  <c r="AV283" i="3"/>
  <c r="AV285" i="3" s="1"/>
  <c r="AV273" i="3"/>
  <c r="AV275" i="3" s="1"/>
  <c r="AV33" i="3"/>
  <c r="AV35" i="3" s="1"/>
  <c r="AV143" i="3"/>
  <c r="AV145" i="3" s="1"/>
  <c r="AV83" i="3"/>
  <c r="AV85" i="3" s="1"/>
  <c r="AV173" i="3"/>
  <c r="AV175" i="3" s="1"/>
  <c r="AV165" i="3"/>
  <c r="AV223" i="3"/>
  <c r="AV225" i="3" s="1"/>
  <c r="AV213" i="3"/>
  <c r="AV215" i="3" s="1"/>
  <c r="AV343" i="3"/>
  <c r="AV345" i="3" s="1"/>
  <c r="AT115" i="3"/>
  <c r="AT359" i="3" s="1" a="1"/>
  <c r="AT359" i="3" s="1"/>
  <c r="BB6" i="4" s="1"/>
  <c r="AV23" i="3"/>
  <c r="AV25" i="3" s="1"/>
  <c r="AV233" i="3"/>
  <c r="AV235" i="3" s="1"/>
  <c r="AV103" i="3"/>
  <c r="AV105" i="3" s="1"/>
  <c r="AV113" i="3"/>
  <c r="AV115" i="3" s="1"/>
  <c r="AV354" i="3"/>
  <c r="BD9" i="4" s="1"/>
  <c r="AV358" i="3"/>
  <c r="BD24" i="4" s="1"/>
  <c r="AV357" i="3"/>
  <c r="BD23" i="4" s="1"/>
  <c r="AV181" i="3"/>
  <c r="AV185" i="3" s="1"/>
  <c r="AV186" i="3"/>
  <c r="AV151" i="3"/>
  <c r="AV155" i="3" s="1"/>
  <c r="AV156" i="3"/>
  <c r="AV11" i="3"/>
  <c r="AV16" i="3"/>
  <c r="AU15" i="3"/>
  <c r="AU355" i="3" s="1"/>
  <c r="AU352" i="3"/>
  <c r="AX290" i="3"/>
  <c r="AX297" i="3" s="1"/>
  <c r="BF4" i="4"/>
  <c r="AX300" i="3"/>
  <c r="AX307" i="3" s="1"/>
  <c r="AX4" i="3"/>
  <c r="AX340" i="3"/>
  <c r="AX347" i="3" s="1"/>
  <c r="AX5" i="3"/>
  <c r="AX310" i="3"/>
  <c r="AX317" i="3" s="1"/>
  <c r="AX330" i="3"/>
  <c r="AX337" i="3" s="1"/>
  <c r="AY3" i="3"/>
  <c r="AX320" i="3"/>
  <c r="AX327" i="3" s="1"/>
  <c r="AV75" i="3"/>
  <c r="BE13" i="4"/>
  <c r="AW328" i="3"/>
  <c r="AW217" i="3"/>
  <c r="AW274" i="3"/>
  <c r="AW232" i="3"/>
  <c r="AW142" i="3"/>
  <c r="AW154" i="3"/>
  <c r="AW252" i="3"/>
  <c r="AW234" i="3"/>
  <c r="AW198" i="3"/>
  <c r="AW288" i="3"/>
  <c r="AW167" i="3"/>
  <c r="AW180" i="3"/>
  <c r="AW140" i="3"/>
  <c r="AW141" i="3" s="1"/>
  <c r="AW94" i="3"/>
  <c r="AW54" i="3"/>
  <c r="AW50" i="3"/>
  <c r="AW51" i="3" s="1"/>
  <c r="AW84" i="3"/>
  <c r="AW188" i="3"/>
  <c r="AW308" i="3"/>
  <c r="AW130" i="3"/>
  <c r="AW131" i="3" s="1"/>
  <c r="AW222" i="3"/>
  <c r="AW40" i="3"/>
  <c r="AW41" i="3" s="1"/>
  <c r="AW190" i="3"/>
  <c r="AW191" i="3" s="1"/>
  <c r="AW152" i="3"/>
  <c r="AW153" i="3" s="1"/>
  <c r="AW32" i="3"/>
  <c r="AW237" i="3"/>
  <c r="AW338" i="3"/>
  <c r="AW148" i="3"/>
  <c r="AW118" i="3"/>
  <c r="AW34" i="3"/>
  <c r="AW312" i="3"/>
  <c r="AW62" i="3"/>
  <c r="AW332" i="3"/>
  <c r="AW30" i="3"/>
  <c r="AW31" i="3" s="1"/>
  <c r="AW277" i="3"/>
  <c r="AW117" i="3"/>
  <c r="BE5" i="4"/>
  <c r="AW5" i="10" s="1"/>
  <c r="AW74" i="3"/>
  <c r="AW170" i="3"/>
  <c r="AW171" i="3" s="1"/>
  <c r="AW214" i="3"/>
  <c r="AW38" i="3"/>
  <c r="AW227" i="3"/>
  <c r="AW97" i="3"/>
  <c r="AW10" i="3"/>
  <c r="AW238" i="3"/>
  <c r="AW318" i="3"/>
  <c r="AW134" i="3"/>
  <c r="AW22" i="3"/>
  <c r="AW82" i="3"/>
  <c r="AW177" i="3"/>
  <c r="AW254" i="3"/>
  <c r="AW112" i="3"/>
  <c r="AW174" i="3"/>
  <c r="AW158" i="3"/>
  <c r="AW150" i="3"/>
  <c r="AW108" i="3"/>
  <c r="AW147" i="3"/>
  <c r="AW284" i="3"/>
  <c r="AW278" i="3"/>
  <c r="AW24" i="3"/>
  <c r="AW267" i="3"/>
  <c r="AW110" i="3"/>
  <c r="AW111" i="3" s="1"/>
  <c r="AW162" i="3"/>
  <c r="AW163" i="3" s="1"/>
  <c r="AW244" i="3"/>
  <c r="AW228" i="3"/>
  <c r="AW324" i="3"/>
  <c r="AW218" i="3"/>
  <c r="AW192" i="3"/>
  <c r="AW144" i="3"/>
  <c r="AW268" i="3"/>
  <c r="AW157" i="3"/>
  <c r="AW257" i="3"/>
  <c r="AW248" i="3"/>
  <c r="AW194" i="3"/>
  <c r="AW124" i="3"/>
  <c r="AW60" i="3"/>
  <c r="AW61" i="3" s="1"/>
  <c r="AW107" i="3"/>
  <c r="AW58" i="3"/>
  <c r="AW42" i="3"/>
  <c r="AW212" i="3"/>
  <c r="AW127" i="3"/>
  <c r="AW77" i="3"/>
  <c r="AW132" i="3"/>
  <c r="AW27" i="3"/>
  <c r="AW98" i="3"/>
  <c r="AW334" i="3"/>
  <c r="AW164" i="3"/>
  <c r="AW92" i="3"/>
  <c r="AW88" i="3"/>
  <c r="AW72" i="3"/>
  <c r="AW73" i="3" s="1"/>
  <c r="AW197" i="3"/>
  <c r="AW67" i="3"/>
  <c r="AW120" i="3"/>
  <c r="AW121" i="3" s="1"/>
  <c r="AW80" i="3"/>
  <c r="AW81" i="3" s="1"/>
  <c r="AW138" i="3"/>
  <c r="AW282" i="3"/>
  <c r="AW272" i="3"/>
  <c r="AW28" i="3"/>
  <c r="AW224" i="3"/>
  <c r="AW258" i="3"/>
  <c r="AW47" i="3"/>
  <c r="AW104" i="3"/>
  <c r="AW90" i="3"/>
  <c r="AW91" i="3" s="1"/>
  <c r="AW178" i="3"/>
  <c r="AW322" i="3"/>
  <c r="AW262" i="3"/>
  <c r="AW264" i="3"/>
  <c r="AW78" i="3"/>
  <c r="AW102" i="3"/>
  <c r="AW122" i="3"/>
  <c r="AW123" i="3" s="1"/>
  <c r="AW52" i="3"/>
  <c r="AW53" i="3" s="1"/>
  <c r="AW247" i="3"/>
  <c r="AW344" i="3"/>
  <c r="AW137" i="3"/>
  <c r="AW64" i="3"/>
  <c r="AW87" i="3"/>
  <c r="AW160" i="3"/>
  <c r="AW161" i="3" s="1"/>
  <c r="AW20" i="3"/>
  <c r="AW21" i="3" s="1"/>
  <c r="AW44" i="3"/>
  <c r="AW37" i="3"/>
  <c r="AW302" i="3"/>
  <c r="AW57" i="3"/>
  <c r="AW70" i="3"/>
  <c r="AW71" i="3" s="1"/>
  <c r="AW68" i="3"/>
  <c r="AW128" i="3"/>
  <c r="AW182" i="3"/>
  <c r="AW342" i="3"/>
  <c r="AW287" i="3"/>
  <c r="AW294" i="3"/>
  <c r="AW348" i="3"/>
  <c r="AW48" i="3"/>
  <c r="AW100" i="3"/>
  <c r="AW101" i="3" s="1"/>
  <c r="AW292" i="3"/>
  <c r="AW114" i="3"/>
  <c r="AW298" i="3"/>
  <c r="AW168" i="3"/>
  <c r="AW187" i="3"/>
  <c r="AW172" i="3"/>
  <c r="AW304" i="3"/>
  <c r="AW242" i="3"/>
  <c r="AW314" i="3"/>
  <c r="AW6" i="3"/>
  <c r="AV133" i="3"/>
  <c r="AV135" i="3" s="1"/>
  <c r="AU356" i="3"/>
  <c r="BC12" i="4" s="1"/>
  <c r="AW7" i="3"/>
  <c r="BE17" i="4" s="1"/>
  <c r="AV346" i="3"/>
  <c r="AV276" i="3"/>
  <c r="AV306" i="3"/>
  <c r="AV236" i="3"/>
  <c r="AV286" i="3"/>
  <c r="AV316" i="3"/>
  <c r="AV56" i="3"/>
  <c r="AV66" i="3"/>
  <c r="AV246" i="3"/>
  <c r="AV256" i="3"/>
  <c r="AV296" i="3"/>
  <c r="AV26" i="3"/>
  <c r="AV176" i="3"/>
  <c r="AV216" i="3"/>
  <c r="AV76" i="3"/>
  <c r="AV96" i="3"/>
  <c r="AV336" i="3"/>
  <c r="AV106" i="3"/>
  <c r="AV326" i="3"/>
  <c r="AV196" i="3"/>
  <c r="AV86" i="3"/>
  <c r="AV116" i="3"/>
  <c r="AV136" i="3"/>
  <c r="AV266" i="3"/>
  <c r="AV46" i="3"/>
  <c r="AV126" i="3"/>
  <c r="AV226" i="3"/>
  <c r="AV166" i="3"/>
  <c r="AV146" i="3"/>
  <c r="AV36" i="3"/>
  <c r="BF21" i="4" l="1"/>
  <c r="AX4" i="10"/>
  <c r="BA19" i="4"/>
  <c r="BA27" i="4" s="1"/>
  <c r="AZ27" i="4"/>
  <c r="BB16" i="4"/>
  <c r="AU359" i="3" a="1"/>
  <c r="AU359" i="3" s="1"/>
  <c r="BC6" i="4" s="1"/>
  <c r="W45" i="4"/>
  <c r="W46" i="4" s="1"/>
  <c r="BC8" i="4"/>
  <c r="BD25" i="4"/>
  <c r="AW213" i="3"/>
  <c r="AW215" i="3" s="1"/>
  <c r="AW23" i="3"/>
  <c r="AW25" i="3" s="1"/>
  <c r="AW63" i="3"/>
  <c r="AW65" i="3" s="1"/>
  <c r="AW343" i="3"/>
  <c r="AW345" i="3" s="1"/>
  <c r="AM44" i="4"/>
  <c r="AN32" i="4"/>
  <c r="AN34" i="4" s="1"/>
  <c r="BF22" i="4"/>
  <c r="BF3" i="4"/>
  <c r="AX3" i="10" s="1"/>
  <c r="AW183" i="3"/>
  <c r="AW184" i="3" s="1"/>
  <c r="AW354" i="3" s="1"/>
  <c r="BE9" i="4" s="1"/>
  <c r="AW55" i="3"/>
  <c r="AW75" i="3"/>
  <c r="AT355" i="3"/>
  <c r="BB14" i="4" s="1"/>
  <c r="AW43" i="3"/>
  <c r="AW45" i="3" s="1"/>
  <c r="AW313" i="3"/>
  <c r="AW315" i="3" s="1"/>
  <c r="AW103" i="3"/>
  <c r="AW105" i="3" s="1"/>
  <c r="AW243" i="3"/>
  <c r="AW245" i="3" s="1"/>
  <c r="AW303" i="3"/>
  <c r="AW305" i="3" s="1"/>
  <c r="AW33" i="3"/>
  <c r="AW35" i="3" s="1"/>
  <c r="AV352" i="3"/>
  <c r="AV15" i="3"/>
  <c r="AV355" i="3" s="1"/>
  <c r="AW11" i="3"/>
  <c r="AW16" i="3"/>
  <c r="AW151" i="3"/>
  <c r="AW155" i="3" s="1"/>
  <c r="AW156" i="3"/>
  <c r="AW253" i="3"/>
  <c r="AW255" i="3" s="1"/>
  <c r="AW293" i="3"/>
  <c r="AW295" i="3" s="1"/>
  <c r="AW165" i="3"/>
  <c r="AZ3" i="3"/>
  <c r="AY320" i="3"/>
  <c r="AY327" i="3" s="1"/>
  <c r="AY310" i="3"/>
  <c r="AY317" i="3" s="1"/>
  <c r="AY290" i="3"/>
  <c r="AY297" i="3" s="1"/>
  <c r="BG4" i="4"/>
  <c r="AY4" i="3"/>
  <c r="AY340" i="3"/>
  <c r="AY347" i="3" s="1"/>
  <c r="AY5" i="3"/>
  <c r="AY330" i="3"/>
  <c r="AY337" i="3" s="1"/>
  <c r="AY300" i="3"/>
  <c r="AY307" i="3" s="1"/>
  <c r="AW173" i="3"/>
  <c r="AW175" i="3" s="1"/>
  <c r="AW93" i="3"/>
  <c r="AW95" i="3" s="1"/>
  <c r="AW223" i="3"/>
  <c r="AW225" i="3" s="1"/>
  <c r="AW143" i="3"/>
  <c r="AW145" i="3" s="1"/>
  <c r="AW125" i="3"/>
  <c r="AV353" i="3"/>
  <c r="AW357" i="3"/>
  <c r="BE23" i="4" s="1"/>
  <c r="AW193" i="3"/>
  <c r="AW195" i="3" s="1"/>
  <c r="AW113" i="3"/>
  <c r="AW115" i="3" s="1"/>
  <c r="AW233" i="3"/>
  <c r="AW235" i="3" s="1"/>
  <c r="AW186" i="3"/>
  <c r="AW181" i="3"/>
  <c r="AW263" i="3"/>
  <c r="AW265" i="3" s="1"/>
  <c r="AW323" i="3"/>
  <c r="AW325" i="3" s="1"/>
  <c r="AW358" i="3"/>
  <c r="BE24" i="4" s="1"/>
  <c r="BF13" i="4"/>
  <c r="AW273" i="3"/>
  <c r="AW275" i="3" s="1"/>
  <c r="AW133" i="3"/>
  <c r="AW135" i="3" s="1"/>
  <c r="AW283" i="3"/>
  <c r="AW285" i="3" s="1"/>
  <c r="AW83" i="3"/>
  <c r="AW85" i="3" s="1"/>
  <c r="AW333" i="3"/>
  <c r="AW335" i="3" s="1"/>
  <c r="AX238" i="3"/>
  <c r="AX217" i="3"/>
  <c r="AX322" i="3"/>
  <c r="AX52" i="3"/>
  <c r="AX53" i="3" s="1"/>
  <c r="AX117" i="3"/>
  <c r="AX178" i="3"/>
  <c r="AX100" i="3"/>
  <c r="AX101" i="3" s="1"/>
  <c r="AX62" i="3"/>
  <c r="AX80" i="3"/>
  <c r="AX81" i="3" s="1"/>
  <c r="AX348" i="3"/>
  <c r="AX167" i="3"/>
  <c r="AX274" i="3"/>
  <c r="AX10" i="3"/>
  <c r="AX67" i="3"/>
  <c r="AX158" i="3"/>
  <c r="AX90" i="3"/>
  <c r="AX91" i="3" s="1"/>
  <c r="AX74" i="3"/>
  <c r="AX344" i="3"/>
  <c r="AX247" i="3"/>
  <c r="AX98" i="3"/>
  <c r="AX180" i="3"/>
  <c r="AX181" i="3" s="1"/>
  <c r="AX94" i="3"/>
  <c r="AX50" i="3"/>
  <c r="AX51" i="3" s="1"/>
  <c r="AX267" i="3"/>
  <c r="AX40" i="3"/>
  <c r="AX41" i="3" s="1"/>
  <c r="AX332" i="3"/>
  <c r="AX218" i="3"/>
  <c r="AX278" i="3"/>
  <c r="AX130" i="3"/>
  <c r="AX131" i="3" s="1"/>
  <c r="AX172" i="3"/>
  <c r="AX54" i="3"/>
  <c r="AX30" i="3"/>
  <c r="AX31" i="3" s="1"/>
  <c r="AX68" i="3"/>
  <c r="AX84" i="3"/>
  <c r="AX104" i="3"/>
  <c r="AX277" i="3"/>
  <c r="AX82" i="3"/>
  <c r="AX142" i="3"/>
  <c r="AX187" i="3"/>
  <c r="AX102" i="3"/>
  <c r="AX137" i="3"/>
  <c r="AX268" i="3"/>
  <c r="AX174" i="3"/>
  <c r="AX147" i="3"/>
  <c r="AX242" i="3"/>
  <c r="AX70" i="3"/>
  <c r="AX71" i="3" s="1"/>
  <c r="AX252" i="3"/>
  <c r="AX248" i="3"/>
  <c r="AX112" i="3"/>
  <c r="AX57" i="3"/>
  <c r="AX257" i="3"/>
  <c r="AX144" i="3"/>
  <c r="AX177" i="3"/>
  <c r="AX58" i="3"/>
  <c r="AX342" i="3"/>
  <c r="AX118" i="3"/>
  <c r="AX157" i="3"/>
  <c r="AX197" i="3"/>
  <c r="AX212" i="3"/>
  <c r="AX132" i="3"/>
  <c r="AX188" i="3"/>
  <c r="AX140" i="3"/>
  <c r="AX141" i="3" s="1"/>
  <c r="AX222" i="3"/>
  <c r="AX152" i="3"/>
  <c r="AX284" i="3"/>
  <c r="AX282" i="3"/>
  <c r="AX214" i="3"/>
  <c r="AX232" i="3"/>
  <c r="AX328" i="3"/>
  <c r="AX97" i="3"/>
  <c r="AX87" i="3"/>
  <c r="AX338" i="3"/>
  <c r="AX298" i="3"/>
  <c r="AX224" i="3"/>
  <c r="AX78" i="3"/>
  <c r="AX287" i="3"/>
  <c r="AX110" i="3"/>
  <c r="AX111" i="3" s="1"/>
  <c r="AX288" i="3"/>
  <c r="AX47" i="3"/>
  <c r="AX244" i="3"/>
  <c r="AX168" i="3"/>
  <c r="AX324" i="3"/>
  <c r="AX37" i="3"/>
  <c r="AX334" i="3"/>
  <c r="AX234" i="3"/>
  <c r="AX22" i="3"/>
  <c r="AX38" i="3"/>
  <c r="AX302" i="3"/>
  <c r="AX32" i="3"/>
  <c r="BF5" i="4"/>
  <c r="AX5" i="10" s="1"/>
  <c r="AX228" i="3"/>
  <c r="AX150" i="3"/>
  <c r="AX151" i="3" s="1"/>
  <c r="AX272" i="3"/>
  <c r="AX108" i="3"/>
  <c r="AX124" i="3"/>
  <c r="AX162" i="3"/>
  <c r="AX163" i="3" s="1"/>
  <c r="AX42" i="3"/>
  <c r="AX127" i="3"/>
  <c r="AX122" i="3"/>
  <c r="AX123" i="3" s="1"/>
  <c r="AX60" i="3"/>
  <c r="AX61" i="3" s="1"/>
  <c r="AX20" i="3"/>
  <c r="AX21" i="3" s="1"/>
  <c r="AX237" i="3"/>
  <c r="AX64" i="3"/>
  <c r="AX24" i="3"/>
  <c r="AX120" i="3"/>
  <c r="AX138" i="3"/>
  <c r="AX304" i="3"/>
  <c r="AX34" i="3"/>
  <c r="AX308" i="3"/>
  <c r="AX292" i="3"/>
  <c r="AX254" i="3"/>
  <c r="AX182" i="3"/>
  <c r="AX318" i="3"/>
  <c r="AX27" i="3"/>
  <c r="AX194" i="3"/>
  <c r="AX134" i="3"/>
  <c r="AX48" i="3"/>
  <c r="AX198" i="3"/>
  <c r="AX312" i="3"/>
  <c r="AX264" i="3"/>
  <c r="AX114" i="3"/>
  <c r="AX128" i="3"/>
  <c r="AX192" i="3"/>
  <c r="AX227" i="3"/>
  <c r="AX88" i="3"/>
  <c r="AX107" i="3"/>
  <c r="AX262" i="3"/>
  <c r="AX314" i="3"/>
  <c r="AX28" i="3"/>
  <c r="AX164" i="3"/>
  <c r="AX44" i="3"/>
  <c r="AX77" i="3"/>
  <c r="AX148" i="3"/>
  <c r="AX294" i="3"/>
  <c r="AX160" i="3"/>
  <c r="AX161" i="3" s="1"/>
  <c r="AX190" i="3"/>
  <c r="AX191" i="3" s="1"/>
  <c r="AX92" i="3"/>
  <c r="AX258" i="3"/>
  <c r="AX170" i="3"/>
  <c r="AX171" i="3" s="1"/>
  <c r="AX72" i="3"/>
  <c r="AX73" i="3" s="1"/>
  <c r="AX6" i="3"/>
  <c r="AX7" i="3"/>
  <c r="BF17" i="4" s="1"/>
  <c r="AW256" i="3"/>
  <c r="AW346" i="3"/>
  <c r="AW286" i="3"/>
  <c r="AW146" i="3"/>
  <c r="AW246" i="3"/>
  <c r="AW126" i="3"/>
  <c r="AW306" i="3"/>
  <c r="AW116" i="3"/>
  <c r="AW66" i="3"/>
  <c r="AW56" i="3"/>
  <c r="AW216" i="3"/>
  <c r="AW176" i="3"/>
  <c r="AW166" i="3"/>
  <c r="AW46" i="3"/>
  <c r="AW26" i="3"/>
  <c r="AW106" i="3"/>
  <c r="AW76" i="3"/>
  <c r="AW226" i="3"/>
  <c r="AW276" i="3"/>
  <c r="AW36" i="3"/>
  <c r="AW236" i="3"/>
  <c r="AW336" i="3"/>
  <c r="AW316" i="3"/>
  <c r="AW136" i="3"/>
  <c r="AW326" i="3"/>
  <c r="AW266" i="3"/>
  <c r="AW196" i="3"/>
  <c r="AW96" i="3"/>
  <c r="AW296" i="3"/>
  <c r="AW86" i="3"/>
  <c r="AV356" i="3"/>
  <c r="BD12" i="4" s="1"/>
  <c r="BG21" i="4" l="1"/>
  <c r="AY4" i="10"/>
  <c r="AO31" i="4"/>
  <c r="AO32" i="4" s="1"/>
  <c r="AO34" i="4" s="1"/>
  <c r="W47" i="4"/>
  <c r="W48" i="4" s="1"/>
  <c r="X43" i="4" s="1"/>
  <c r="X50" i="4" s="1"/>
  <c r="BD8" i="4"/>
  <c r="BD10" i="4" s="1"/>
  <c r="BD14" i="4" s="1"/>
  <c r="AX23" i="3"/>
  <c r="AX25" i="3" s="1"/>
  <c r="AX143" i="3"/>
  <c r="AX145" i="3" s="1"/>
  <c r="AX83" i="3"/>
  <c r="AX85" i="3" s="1"/>
  <c r="AX233" i="3"/>
  <c r="AX235" i="3" s="1"/>
  <c r="BC10" i="4"/>
  <c r="BC14" i="4" s="1"/>
  <c r="BC16" i="4"/>
  <c r="AX323" i="3"/>
  <c r="AX325" i="3" s="1"/>
  <c r="BE25" i="4"/>
  <c r="AW185" i="3"/>
  <c r="AN44" i="4"/>
  <c r="BG3" i="4"/>
  <c r="AY3" i="10" s="1"/>
  <c r="BG22" i="4"/>
  <c r="AX303" i="3"/>
  <c r="AX305" i="3" s="1"/>
  <c r="AX165" i="3"/>
  <c r="AX313" i="3"/>
  <c r="AX315" i="3" s="1"/>
  <c r="AX343" i="3"/>
  <c r="AX345" i="3" s="1"/>
  <c r="AX55" i="3"/>
  <c r="AX183" i="3"/>
  <c r="AX184" i="3" s="1"/>
  <c r="AX153" i="3"/>
  <c r="AX154" i="3" s="1"/>
  <c r="AX263" i="3"/>
  <c r="AX265" i="3" s="1"/>
  <c r="AX223" i="3"/>
  <c r="AX225" i="3" s="1"/>
  <c r="AX253" i="3"/>
  <c r="AX255" i="3" s="1"/>
  <c r="AX293" i="3"/>
  <c r="AX295" i="3" s="1"/>
  <c r="AX173" i="3"/>
  <c r="AX175" i="3" s="1"/>
  <c r="AX213" i="3"/>
  <c r="AX215" i="3" s="1"/>
  <c r="AX193" i="3"/>
  <c r="AX195" i="3" s="1"/>
  <c r="AX333" i="3"/>
  <c r="AX335" i="3" s="1"/>
  <c r="BB18" i="4"/>
  <c r="BB19" i="4" s="1"/>
  <c r="AX75" i="3"/>
  <c r="AX93" i="3"/>
  <c r="AX95" i="3" s="1"/>
  <c r="AX33" i="3"/>
  <c r="AX35" i="3" s="1"/>
  <c r="AX103" i="3"/>
  <c r="AX105" i="3" s="1"/>
  <c r="AX63" i="3"/>
  <c r="AX65" i="3" s="1"/>
  <c r="AX357" i="3"/>
  <c r="BF23" i="4" s="1"/>
  <c r="AX283" i="3"/>
  <c r="AX285" i="3" s="1"/>
  <c r="BG13" i="4"/>
  <c r="AV359" i="3" a="1"/>
  <c r="AV359" i="3" s="1"/>
  <c r="BD6" i="4" s="1"/>
  <c r="BD16" i="4" s="1"/>
  <c r="AX358" i="3"/>
  <c r="BF24" i="4" s="1"/>
  <c r="AX43" i="3"/>
  <c r="AX45" i="3" s="1"/>
  <c r="AX113" i="3"/>
  <c r="AX115" i="3" s="1"/>
  <c r="AW15" i="3"/>
  <c r="AW352" i="3"/>
  <c r="AZ310" i="3"/>
  <c r="AZ317" i="3" s="1"/>
  <c r="AZ5" i="3"/>
  <c r="AZ320" i="3"/>
  <c r="AZ327" i="3" s="1"/>
  <c r="AZ340" i="3"/>
  <c r="AZ347" i="3" s="1"/>
  <c r="AZ290" i="3"/>
  <c r="AZ297" i="3" s="1"/>
  <c r="AZ300" i="3"/>
  <c r="AZ307" i="3" s="1"/>
  <c r="BA3" i="3"/>
  <c r="AZ4" i="3"/>
  <c r="BH4" i="4"/>
  <c r="AZ330" i="3"/>
  <c r="AZ337" i="3" s="1"/>
  <c r="AY218" i="3"/>
  <c r="AY227" i="3"/>
  <c r="AY302" i="3"/>
  <c r="AY234" i="3"/>
  <c r="AY150" i="3"/>
  <c r="AY151" i="3" s="1"/>
  <c r="AY134" i="3"/>
  <c r="AY190" i="3"/>
  <c r="AY191" i="3" s="1"/>
  <c r="AY98" i="3"/>
  <c r="AY332" i="3"/>
  <c r="AY248" i="3"/>
  <c r="AY182" i="3"/>
  <c r="AY242" i="3"/>
  <c r="AY167" i="3"/>
  <c r="AY158" i="3"/>
  <c r="AY100" i="3"/>
  <c r="AY101" i="3" s="1"/>
  <c r="AY244" i="3"/>
  <c r="AY114" i="3"/>
  <c r="AY108" i="3"/>
  <c r="AY112" i="3"/>
  <c r="AY44" i="3"/>
  <c r="AY237" i="3"/>
  <c r="AY34" i="3"/>
  <c r="AY298" i="3"/>
  <c r="AY138" i="3"/>
  <c r="AY54" i="3"/>
  <c r="AY312" i="3"/>
  <c r="AY107" i="3"/>
  <c r="AY252" i="3"/>
  <c r="AY277" i="3"/>
  <c r="AY47" i="3"/>
  <c r="AY322" i="3"/>
  <c r="AY258" i="3"/>
  <c r="AY142" i="3"/>
  <c r="AY162" i="3"/>
  <c r="AY163" i="3" s="1"/>
  <c r="AY28" i="3"/>
  <c r="AY344" i="3"/>
  <c r="AY348" i="3"/>
  <c r="AY82" i="3"/>
  <c r="AY32" i="3"/>
  <c r="AY217" i="3"/>
  <c r="AY152" i="3"/>
  <c r="AY324" i="3"/>
  <c r="AY140" i="3"/>
  <c r="AY141" i="3" s="1"/>
  <c r="AY288" i="3"/>
  <c r="AY178" i="3"/>
  <c r="AY292" i="3"/>
  <c r="AY88" i="3"/>
  <c r="AY64" i="3"/>
  <c r="AY118" i="3"/>
  <c r="AY214" i="3"/>
  <c r="AY104" i="3"/>
  <c r="AY222" i="3"/>
  <c r="AY147" i="3"/>
  <c r="AY257" i="3"/>
  <c r="AY62" i="3"/>
  <c r="AY177" i="3"/>
  <c r="AY87" i="3"/>
  <c r="AY192" i="3"/>
  <c r="AY168" i="3"/>
  <c r="AY272" i="3"/>
  <c r="AY120" i="3"/>
  <c r="AY42" i="3"/>
  <c r="AY314" i="3"/>
  <c r="AY37" i="3"/>
  <c r="AY128" i="3"/>
  <c r="AY267" i="3"/>
  <c r="AY308" i="3"/>
  <c r="BG5" i="4"/>
  <c r="AY5" i="10" s="1"/>
  <c r="AY172" i="3"/>
  <c r="AY30" i="3"/>
  <c r="AY31" i="3" s="1"/>
  <c r="AY48" i="3"/>
  <c r="AY68" i="3"/>
  <c r="AY67" i="3"/>
  <c r="AY180" i="3"/>
  <c r="AY181" i="3" s="1"/>
  <c r="AY110" i="3"/>
  <c r="AY111" i="3" s="1"/>
  <c r="AY284" i="3"/>
  <c r="AY132" i="3"/>
  <c r="AY117" i="3"/>
  <c r="AY124" i="3"/>
  <c r="AY342" i="3"/>
  <c r="AY247" i="3"/>
  <c r="AY197" i="3"/>
  <c r="AY57" i="3"/>
  <c r="AY170" i="3"/>
  <c r="AY171" i="3" s="1"/>
  <c r="AY50" i="3"/>
  <c r="AY92" i="3"/>
  <c r="AY268" i="3"/>
  <c r="AY72" i="3"/>
  <c r="AY73" i="3" s="1"/>
  <c r="AY228" i="3"/>
  <c r="AY22" i="3"/>
  <c r="AY97" i="3"/>
  <c r="AY304" i="3"/>
  <c r="AY174" i="3"/>
  <c r="AY262" i="3"/>
  <c r="AY20" i="3"/>
  <c r="AY21" i="3" s="1"/>
  <c r="AY148" i="3"/>
  <c r="AY282" i="3"/>
  <c r="AY52" i="3"/>
  <c r="AY53" i="3" s="1"/>
  <c r="AY224" i="3"/>
  <c r="AY198" i="3"/>
  <c r="AY38" i="3"/>
  <c r="AY294" i="3"/>
  <c r="AY144" i="3"/>
  <c r="AY122" i="3"/>
  <c r="AY123" i="3" s="1"/>
  <c r="AY194" i="3"/>
  <c r="AY74" i="3"/>
  <c r="AY40" i="3"/>
  <c r="AY41" i="3" s="1"/>
  <c r="AY254" i="3"/>
  <c r="AY130" i="3"/>
  <c r="AY131" i="3" s="1"/>
  <c r="AY328" i="3"/>
  <c r="AY187" i="3"/>
  <c r="AY232" i="3"/>
  <c r="AY80" i="3"/>
  <c r="AY81" i="3" s="1"/>
  <c r="AY102" i="3"/>
  <c r="AY334" i="3"/>
  <c r="AY127" i="3"/>
  <c r="AY274" i="3"/>
  <c r="AY90" i="3"/>
  <c r="AY91" i="3" s="1"/>
  <c r="AY212" i="3"/>
  <c r="AY27" i="3"/>
  <c r="AY77" i="3"/>
  <c r="AY238" i="3"/>
  <c r="AY137" i="3"/>
  <c r="AY160" i="3"/>
  <c r="AY161" i="3" s="1"/>
  <c r="AY60" i="3"/>
  <c r="AY61" i="3" s="1"/>
  <c r="AY318" i="3"/>
  <c r="AY188" i="3"/>
  <c r="AY58" i="3"/>
  <c r="AY84" i="3"/>
  <c r="AY24" i="3"/>
  <c r="AY278" i="3"/>
  <c r="AY264" i="3"/>
  <c r="AY10" i="3"/>
  <c r="AY94" i="3"/>
  <c r="AY287" i="3"/>
  <c r="AY157" i="3"/>
  <c r="AY70" i="3"/>
  <c r="AY71" i="3" s="1"/>
  <c r="AY338" i="3"/>
  <c r="AY164" i="3"/>
  <c r="AY78" i="3"/>
  <c r="AY6" i="3"/>
  <c r="AX243" i="3"/>
  <c r="AX245" i="3" s="1"/>
  <c r="AX11" i="3"/>
  <c r="AX16" i="3"/>
  <c r="AX121" i="3"/>
  <c r="AX125" i="3" s="1"/>
  <c r="AX126" i="3"/>
  <c r="AX273" i="3"/>
  <c r="AX275" i="3" s="1"/>
  <c r="AX133" i="3"/>
  <c r="AX135" i="3" s="1"/>
  <c r="AW353" i="3"/>
  <c r="AW356" i="3"/>
  <c r="BE12" i="4" s="1"/>
  <c r="AY7" i="3"/>
  <c r="BG17" i="4" s="1"/>
  <c r="AX336" i="3"/>
  <c r="AX246" i="3"/>
  <c r="AX306" i="3"/>
  <c r="AX176" i="3"/>
  <c r="AX286" i="3"/>
  <c r="AX256" i="3"/>
  <c r="AX166" i="3"/>
  <c r="AX66" i="3"/>
  <c r="AX216" i="3"/>
  <c r="AX96" i="3"/>
  <c r="AX136" i="3"/>
  <c r="AX36" i="3"/>
  <c r="AX326" i="3"/>
  <c r="AX86" i="3"/>
  <c r="AX296" i="3"/>
  <c r="AX266" i="3"/>
  <c r="AX76" i="3"/>
  <c r="AX276" i="3"/>
  <c r="AX346" i="3"/>
  <c r="AX46" i="3"/>
  <c r="AX146" i="3"/>
  <c r="AX26" i="3"/>
  <c r="AX316" i="3"/>
  <c r="AX186" i="3"/>
  <c r="AX56" i="3"/>
  <c r="AX196" i="3"/>
  <c r="AX116" i="3"/>
  <c r="AX106" i="3"/>
  <c r="AX236" i="3"/>
  <c r="AX156" i="3"/>
  <c r="AX226" i="3"/>
  <c r="AZ4" i="10" l="1"/>
  <c r="BH21" i="4"/>
  <c r="AX354" i="3"/>
  <c r="BF9" i="4" s="1"/>
  <c r="AY233" i="3"/>
  <c r="AY235" i="3" s="1"/>
  <c r="AY343" i="3"/>
  <c r="AY345" i="3" s="1"/>
  <c r="AY263" i="3"/>
  <c r="AY265" i="3" s="1"/>
  <c r="AY43" i="3"/>
  <c r="AY45" i="3" s="1"/>
  <c r="AY293" i="3"/>
  <c r="AY295" i="3" s="1"/>
  <c r="X45" i="4"/>
  <c r="X46" i="4" s="1"/>
  <c r="AW355" i="3"/>
  <c r="BC18" i="4"/>
  <c r="BC19" i="4" s="1"/>
  <c r="BE8" i="4"/>
  <c r="BF25" i="4"/>
  <c r="AX155" i="3"/>
  <c r="AX185" i="3"/>
  <c r="AO44" i="4"/>
  <c r="BB27" i="4"/>
  <c r="AP31" i="4"/>
  <c r="BH3" i="4"/>
  <c r="AZ3" i="10" s="1"/>
  <c r="BH22" i="4"/>
  <c r="AW359" i="3" a="1"/>
  <c r="AW359" i="3" s="1"/>
  <c r="BE6" i="4" s="1"/>
  <c r="BD18" i="4"/>
  <c r="BD19" i="4" s="1"/>
  <c r="AY323" i="3"/>
  <c r="AY325" i="3" s="1"/>
  <c r="AY165" i="3"/>
  <c r="AY75" i="3"/>
  <c r="AY153" i="3"/>
  <c r="AY154" i="3" s="1"/>
  <c r="AY333" i="3"/>
  <c r="AY335" i="3" s="1"/>
  <c r="AY213" i="3"/>
  <c r="AY215" i="3" s="1"/>
  <c r="AY63" i="3"/>
  <c r="AY65" i="3" s="1"/>
  <c r="AY33" i="3"/>
  <c r="AY35" i="3" s="1"/>
  <c r="BH13" i="4"/>
  <c r="AY93" i="3"/>
  <c r="AY95" i="3" s="1"/>
  <c r="AY83" i="3"/>
  <c r="AY85" i="3" s="1"/>
  <c r="AY243" i="3"/>
  <c r="AY245" i="3" s="1"/>
  <c r="AY183" i="3"/>
  <c r="AY184" i="3" s="1"/>
  <c r="AY185" i="3" s="1"/>
  <c r="AY11" i="3"/>
  <c r="AY16" i="3"/>
  <c r="AY56" i="3"/>
  <c r="AY51" i="3"/>
  <c r="AY55" i="3" s="1"/>
  <c r="AY173" i="3"/>
  <c r="AY175" i="3" s="1"/>
  <c r="AY126" i="3"/>
  <c r="AY121" i="3"/>
  <c r="AY125" i="3" s="1"/>
  <c r="BI4" i="4"/>
  <c r="BA330" i="3"/>
  <c r="BA337" i="3" s="1"/>
  <c r="BA340" i="3"/>
  <c r="BA347" i="3" s="1"/>
  <c r="BA320" i="3"/>
  <c r="BA327" i="3" s="1"/>
  <c r="BB3" i="3"/>
  <c r="BA5" i="3"/>
  <c r="BA4" i="3"/>
  <c r="BA300" i="3"/>
  <c r="BA307" i="3" s="1"/>
  <c r="BA290" i="3"/>
  <c r="BA297" i="3" s="1"/>
  <c r="BA310" i="3"/>
  <c r="BA317" i="3" s="1"/>
  <c r="AY253" i="3"/>
  <c r="AY255" i="3" s="1"/>
  <c r="AY313" i="3"/>
  <c r="AY315" i="3" s="1"/>
  <c r="AY358" i="3"/>
  <c r="BG24" i="4" s="1"/>
  <c r="AY113" i="3"/>
  <c r="AY115" i="3" s="1"/>
  <c r="AY303" i="3"/>
  <c r="AY305" i="3" s="1"/>
  <c r="AX352" i="3"/>
  <c r="AX15" i="3"/>
  <c r="AY223" i="3"/>
  <c r="AY225" i="3" s="1"/>
  <c r="AY103" i="3"/>
  <c r="AY105" i="3" s="1"/>
  <c r="AX353" i="3"/>
  <c r="AZ268" i="3"/>
  <c r="AZ167" i="3"/>
  <c r="AZ194" i="3"/>
  <c r="AZ154" i="3"/>
  <c r="AZ10" i="3"/>
  <c r="AZ152" i="3"/>
  <c r="AZ138" i="3"/>
  <c r="AZ262" i="3"/>
  <c r="AZ158" i="3"/>
  <c r="AZ242" i="3"/>
  <c r="AZ100" i="3"/>
  <c r="AZ101" i="3" s="1"/>
  <c r="AZ70" i="3"/>
  <c r="AZ71" i="3" s="1"/>
  <c r="AZ174" i="3"/>
  <c r="AZ50" i="3"/>
  <c r="AZ150" i="3"/>
  <c r="AZ151" i="3" s="1"/>
  <c r="AZ248" i="3"/>
  <c r="AZ222" i="3"/>
  <c r="AZ112" i="3"/>
  <c r="AZ224" i="3"/>
  <c r="AZ178" i="3"/>
  <c r="AZ80" i="3"/>
  <c r="AZ81" i="3" s="1"/>
  <c r="AZ218" i="3"/>
  <c r="AZ124" i="3"/>
  <c r="AZ162" i="3"/>
  <c r="AZ163" i="3" s="1"/>
  <c r="AZ160" i="3"/>
  <c r="AZ161" i="3" s="1"/>
  <c r="AZ64" i="3"/>
  <c r="AZ318" i="3"/>
  <c r="AZ348" i="3"/>
  <c r="AZ294" i="3"/>
  <c r="AZ227" i="3"/>
  <c r="AZ132" i="3"/>
  <c r="AZ212" i="3"/>
  <c r="AZ238" i="3"/>
  <c r="AZ38" i="3"/>
  <c r="AZ104" i="3"/>
  <c r="AZ232" i="3"/>
  <c r="AZ58" i="3"/>
  <c r="AZ62" i="3"/>
  <c r="AZ198" i="3"/>
  <c r="AZ334" i="3"/>
  <c r="AZ98" i="3"/>
  <c r="AZ92" i="3"/>
  <c r="AZ190" i="3"/>
  <c r="AZ191" i="3" s="1"/>
  <c r="AZ24" i="3"/>
  <c r="AZ228" i="3"/>
  <c r="AZ88" i="3"/>
  <c r="AZ130" i="3"/>
  <c r="AZ131" i="3" s="1"/>
  <c r="AZ110" i="3"/>
  <c r="AZ111" i="3" s="1"/>
  <c r="AZ257" i="3"/>
  <c r="AZ140" i="3"/>
  <c r="AZ141" i="3" s="1"/>
  <c r="AZ252" i="3"/>
  <c r="AZ118" i="3"/>
  <c r="AZ342" i="3"/>
  <c r="AZ114" i="3"/>
  <c r="AZ168" i="3"/>
  <c r="AZ134" i="3"/>
  <c r="AZ40" i="3"/>
  <c r="AZ41" i="3" s="1"/>
  <c r="AZ298" i="3"/>
  <c r="AZ47" i="3"/>
  <c r="AZ128" i="3"/>
  <c r="AZ74" i="3"/>
  <c r="AZ192" i="3"/>
  <c r="AZ117" i="3"/>
  <c r="AZ32" i="3"/>
  <c r="AZ20" i="3"/>
  <c r="AZ21" i="3" s="1"/>
  <c r="BH5" i="4"/>
  <c r="AZ5" i="10" s="1"/>
  <c r="AZ137" i="3"/>
  <c r="AZ148" i="3"/>
  <c r="AZ68" i="3"/>
  <c r="AZ217" i="3"/>
  <c r="AZ214" i="3"/>
  <c r="AZ48" i="3"/>
  <c r="AZ30" i="3"/>
  <c r="AZ31" i="3" s="1"/>
  <c r="AZ187" i="3"/>
  <c r="AZ172" i="3"/>
  <c r="AZ60" i="3"/>
  <c r="AZ61" i="3" s="1"/>
  <c r="AZ288" i="3"/>
  <c r="AZ67" i="3"/>
  <c r="AZ322" i="3"/>
  <c r="AZ244" i="3"/>
  <c r="AZ258" i="3"/>
  <c r="AZ87" i="3"/>
  <c r="AZ234" i="3"/>
  <c r="AZ78" i="3"/>
  <c r="AZ304" i="3"/>
  <c r="AZ157" i="3"/>
  <c r="AZ284" i="3"/>
  <c r="AZ94" i="3"/>
  <c r="AZ77" i="3"/>
  <c r="AZ170" i="3"/>
  <c r="AZ171" i="3" s="1"/>
  <c r="AZ177" i="3"/>
  <c r="AZ197" i="3"/>
  <c r="AZ282" i="3"/>
  <c r="AZ147" i="3"/>
  <c r="AZ84" i="3"/>
  <c r="AZ102" i="3"/>
  <c r="AZ108" i="3"/>
  <c r="AZ324" i="3"/>
  <c r="AZ27" i="3"/>
  <c r="AZ164" i="3"/>
  <c r="AZ184" i="3"/>
  <c r="AZ277" i="3"/>
  <c r="AZ22" i="3"/>
  <c r="AZ328" i="3"/>
  <c r="AZ312" i="3"/>
  <c r="AZ34" i="3"/>
  <c r="AZ180" i="3"/>
  <c r="AZ181" i="3" s="1"/>
  <c r="AZ254" i="3"/>
  <c r="AZ82" i="3"/>
  <c r="AZ72" i="3"/>
  <c r="AZ73" i="3" s="1"/>
  <c r="AZ332" i="3"/>
  <c r="AZ287" i="3"/>
  <c r="AZ28" i="3"/>
  <c r="AZ344" i="3"/>
  <c r="AZ57" i="3"/>
  <c r="AZ54" i="3"/>
  <c r="AZ278" i="3"/>
  <c r="AZ188" i="3"/>
  <c r="AZ302" i="3"/>
  <c r="AZ272" i="3"/>
  <c r="AZ144" i="3"/>
  <c r="AZ127" i="3"/>
  <c r="AZ264" i="3"/>
  <c r="AZ120" i="3"/>
  <c r="AZ90" i="3"/>
  <c r="AZ91" i="3" s="1"/>
  <c r="AZ292" i="3"/>
  <c r="AZ237" i="3"/>
  <c r="AZ267" i="3"/>
  <c r="AZ182" i="3"/>
  <c r="AZ122" i="3"/>
  <c r="AZ123" i="3" s="1"/>
  <c r="AZ37" i="3"/>
  <c r="AZ247" i="3"/>
  <c r="AZ142" i="3"/>
  <c r="AZ107" i="3"/>
  <c r="AZ338" i="3"/>
  <c r="AZ97" i="3"/>
  <c r="AZ314" i="3"/>
  <c r="AZ308" i="3"/>
  <c r="AZ274" i="3"/>
  <c r="AZ44" i="3"/>
  <c r="AZ52" i="3"/>
  <c r="AZ53" i="3" s="1"/>
  <c r="AZ42" i="3"/>
  <c r="AZ6" i="3"/>
  <c r="AY133" i="3"/>
  <c r="AY135" i="3" s="1"/>
  <c r="AY273" i="3"/>
  <c r="AY275" i="3" s="1"/>
  <c r="AY23" i="3"/>
  <c r="AY193" i="3"/>
  <c r="AY195" i="3" s="1"/>
  <c r="AY357" i="3"/>
  <c r="BG23" i="4" s="1"/>
  <c r="AY283" i="3"/>
  <c r="AY285" i="3" s="1"/>
  <c r="AY143" i="3"/>
  <c r="AY145" i="3" s="1"/>
  <c r="AZ7" i="3"/>
  <c r="BH17" i="4" s="1"/>
  <c r="AY286" i="3"/>
  <c r="AY316" i="3"/>
  <c r="AY246" i="3"/>
  <c r="AY336" i="3"/>
  <c r="AY216" i="3"/>
  <c r="AY146" i="3"/>
  <c r="AY116" i="3"/>
  <c r="AY66" i="3"/>
  <c r="AY256" i="3"/>
  <c r="AY326" i="3"/>
  <c r="AY136" i="3"/>
  <c r="AY276" i="3"/>
  <c r="AY76" i="3"/>
  <c r="AY296" i="3"/>
  <c r="AY96" i="3"/>
  <c r="AY306" i="3"/>
  <c r="AY156" i="3"/>
  <c r="AY176" i="3"/>
  <c r="AY36" i="3"/>
  <c r="AY186" i="3"/>
  <c r="AY266" i="3"/>
  <c r="AY346" i="3"/>
  <c r="AY226" i="3"/>
  <c r="AY86" i="3"/>
  <c r="AY26" i="3"/>
  <c r="AY196" i="3"/>
  <c r="AY106" i="3"/>
  <c r="AY46" i="3"/>
  <c r="AY236" i="3"/>
  <c r="AY166" i="3"/>
  <c r="AX356" i="3"/>
  <c r="BF12" i="4" s="1"/>
  <c r="BA4" i="10" l="1"/>
  <c r="BI21" i="4"/>
  <c r="X47" i="4"/>
  <c r="BE16" i="4"/>
  <c r="AQ31" i="4"/>
  <c r="AQ32" i="4" s="1"/>
  <c r="AQ34" i="4" s="1"/>
  <c r="BC27" i="4"/>
  <c r="BF8" i="4"/>
  <c r="AX355" i="3"/>
  <c r="BE10" i="4"/>
  <c r="BE14" i="4" s="1"/>
  <c r="BG25" i="4"/>
  <c r="BI22" i="4"/>
  <c r="BI3" i="4"/>
  <c r="BA3" i="10" s="1"/>
  <c r="BD27" i="4"/>
  <c r="AR31" i="4"/>
  <c r="AP32" i="4"/>
  <c r="AP34" i="4" s="1"/>
  <c r="AZ153" i="3"/>
  <c r="AZ155" i="3" s="1"/>
  <c r="AZ63" i="3"/>
  <c r="AZ65" i="3" s="1"/>
  <c r="AZ143" i="3"/>
  <c r="AZ145" i="3" s="1"/>
  <c r="AZ343" i="3"/>
  <c r="AZ345" i="3" s="1"/>
  <c r="AZ113" i="3"/>
  <c r="AZ115" i="3" s="1"/>
  <c r="AZ233" i="3"/>
  <c r="AZ235" i="3" s="1"/>
  <c r="AZ253" i="3"/>
  <c r="AZ255" i="3" s="1"/>
  <c r="AX359" i="3" a="1"/>
  <c r="AX359" i="3" s="1"/>
  <c r="BF6" i="4" s="1"/>
  <c r="AZ183" i="3"/>
  <c r="AZ185" i="3" s="1"/>
  <c r="AZ223" i="3"/>
  <c r="AZ225" i="3" s="1"/>
  <c r="AZ103" i="3"/>
  <c r="AZ105" i="3" s="1"/>
  <c r="AZ33" i="3"/>
  <c r="AZ35" i="3" s="1"/>
  <c r="AZ213" i="3"/>
  <c r="AZ215" i="3" s="1"/>
  <c r="AY155" i="3"/>
  <c r="AZ357" i="3"/>
  <c r="BH23" i="4" s="1"/>
  <c r="AY353" i="3"/>
  <c r="AZ358" i="3"/>
  <c r="BH24" i="4" s="1"/>
  <c r="AZ43" i="3"/>
  <c r="AZ45" i="3" s="1"/>
  <c r="AZ293" i="3"/>
  <c r="AZ295" i="3" s="1"/>
  <c r="AZ193" i="3"/>
  <c r="AZ195" i="3" s="1"/>
  <c r="AZ51" i="3"/>
  <c r="AZ55" i="3" s="1"/>
  <c r="AZ56" i="3"/>
  <c r="AZ83" i="3"/>
  <c r="AZ85" i="3" s="1"/>
  <c r="AZ283" i="3"/>
  <c r="AZ285" i="3" s="1"/>
  <c r="AZ354" i="3"/>
  <c r="BH9" i="4" s="1"/>
  <c r="AZ75" i="3"/>
  <c r="AZ133" i="3"/>
  <c r="AZ135" i="3" s="1"/>
  <c r="AZ93" i="3"/>
  <c r="AZ95" i="3" s="1"/>
  <c r="AZ243" i="3"/>
  <c r="AZ245" i="3" s="1"/>
  <c r="AZ16" i="3"/>
  <c r="AZ11" i="3"/>
  <c r="BI13" i="4"/>
  <c r="AZ165" i="3"/>
  <c r="AY354" i="3"/>
  <c r="BG9" i="4" s="1"/>
  <c r="AY352" i="3"/>
  <c r="AY15" i="3"/>
  <c r="BA338" i="3"/>
  <c r="BA137" i="3"/>
  <c r="BA128" i="3"/>
  <c r="BA194" i="3"/>
  <c r="BA38" i="3"/>
  <c r="BA284" i="3"/>
  <c r="BA34" i="3"/>
  <c r="BA334" i="3"/>
  <c r="BA172" i="3"/>
  <c r="BA328" i="3"/>
  <c r="BA277" i="3"/>
  <c r="BI5" i="4"/>
  <c r="BA5" i="10" s="1"/>
  <c r="BA152" i="3"/>
  <c r="BA218" i="3"/>
  <c r="BA168" i="3"/>
  <c r="BA87" i="3"/>
  <c r="BA272" i="3"/>
  <c r="BA40" i="3"/>
  <c r="BA41" i="3" s="1"/>
  <c r="BA257" i="3"/>
  <c r="BA302" i="3"/>
  <c r="BA120" i="3"/>
  <c r="BA117" i="3"/>
  <c r="BA142" i="3"/>
  <c r="BA348" i="3"/>
  <c r="BA288" i="3"/>
  <c r="BA27" i="3"/>
  <c r="BA30" i="3"/>
  <c r="BA31" i="3" s="1"/>
  <c r="BA44" i="3"/>
  <c r="BA48" i="3"/>
  <c r="BA138" i="3"/>
  <c r="BA97" i="3"/>
  <c r="BA82" i="3"/>
  <c r="BA254" i="3"/>
  <c r="BA10" i="3"/>
  <c r="BA118" i="3"/>
  <c r="BA140" i="3"/>
  <c r="BA141" i="3" s="1"/>
  <c r="BA268" i="3"/>
  <c r="BA134" i="3"/>
  <c r="BA127" i="3"/>
  <c r="BA258" i="3"/>
  <c r="BA342" i="3"/>
  <c r="BA324" i="3"/>
  <c r="BA187" i="3"/>
  <c r="BA267" i="3"/>
  <c r="BA217" i="3"/>
  <c r="BA332" i="3"/>
  <c r="BA57" i="3"/>
  <c r="BA312" i="3"/>
  <c r="BA122" i="3"/>
  <c r="BA123" i="3" s="1"/>
  <c r="BA68" i="3"/>
  <c r="BA42" i="3"/>
  <c r="BA100" i="3"/>
  <c r="BA101" i="3" s="1"/>
  <c r="BA28" i="3"/>
  <c r="BA287" i="3"/>
  <c r="BA212" i="3"/>
  <c r="BA72" i="3"/>
  <c r="BA73" i="3" s="1"/>
  <c r="BA74" i="3"/>
  <c r="BA278" i="3"/>
  <c r="BA167" i="3"/>
  <c r="BA174" i="3"/>
  <c r="BA32" i="3"/>
  <c r="BA248" i="3"/>
  <c r="BA214" i="3"/>
  <c r="BA108" i="3"/>
  <c r="BA224" i="3"/>
  <c r="BA64" i="3"/>
  <c r="BA150" i="3"/>
  <c r="BA151" i="3" s="1"/>
  <c r="BA264" i="3"/>
  <c r="BA154" i="3"/>
  <c r="BA244" i="3"/>
  <c r="BA148" i="3"/>
  <c r="BA344" i="3"/>
  <c r="BA292" i="3"/>
  <c r="BA24" i="3"/>
  <c r="BA192" i="3"/>
  <c r="BA60" i="3"/>
  <c r="BA61" i="3" s="1"/>
  <c r="BA20" i="3"/>
  <c r="BA21" i="3" s="1"/>
  <c r="BA227" i="3"/>
  <c r="BA274" i="3"/>
  <c r="BA304" i="3"/>
  <c r="BA232" i="3"/>
  <c r="BA164" i="3"/>
  <c r="BA237" i="3"/>
  <c r="BA67" i="3"/>
  <c r="BA308" i="3"/>
  <c r="BA182" i="3"/>
  <c r="BA77" i="3"/>
  <c r="BA160" i="3"/>
  <c r="BA161" i="3" s="1"/>
  <c r="BA58" i="3"/>
  <c r="BA282" i="3"/>
  <c r="BA180" i="3"/>
  <c r="BA181" i="3" s="1"/>
  <c r="BA92" i="3"/>
  <c r="BA102" i="3"/>
  <c r="BA228" i="3"/>
  <c r="BA322" i="3"/>
  <c r="BA170" i="3"/>
  <c r="BA171" i="3" s="1"/>
  <c r="BA37" i="3"/>
  <c r="BA247" i="3"/>
  <c r="BA144" i="3"/>
  <c r="BA104" i="3"/>
  <c r="BA22" i="3"/>
  <c r="BA52" i="3"/>
  <c r="BA53" i="3" s="1"/>
  <c r="BA114" i="3"/>
  <c r="BA47" i="3"/>
  <c r="BA238" i="3"/>
  <c r="BA78" i="3"/>
  <c r="BA197" i="3"/>
  <c r="BA157" i="3"/>
  <c r="BA147" i="3"/>
  <c r="BA112" i="3"/>
  <c r="BA294" i="3"/>
  <c r="BA190" i="3"/>
  <c r="BA191" i="3" s="1"/>
  <c r="BA262" i="3"/>
  <c r="BA234" i="3"/>
  <c r="BA318" i="3"/>
  <c r="BA178" i="3"/>
  <c r="BA162" i="3"/>
  <c r="BA163" i="3" s="1"/>
  <c r="BA314" i="3"/>
  <c r="BA80" i="3"/>
  <c r="BA81" i="3" s="1"/>
  <c r="BA90" i="3"/>
  <c r="BA91" i="3" s="1"/>
  <c r="BA222" i="3"/>
  <c r="BA177" i="3"/>
  <c r="BA94" i="3"/>
  <c r="BA54" i="3"/>
  <c r="BA132" i="3"/>
  <c r="BA98" i="3"/>
  <c r="BA242" i="3"/>
  <c r="BA188" i="3"/>
  <c r="BA298" i="3"/>
  <c r="BA50" i="3"/>
  <c r="BA252" i="3"/>
  <c r="BA158" i="3"/>
  <c r="BA198" i="3"/>
  <c r="BA62" i="3"/>
  <c r="BA84" i="3"/>
  <c r="BA184" i="3"/>
  <c r="BA110" i="3"/>
  <c r="BA111" i="3" s="1"/>
  <c r="BA107" i="3"/>
  <c r="BA70" i="3"/>
  <c r="BA71" i="3" s="1"/>
  <c r="BA88" i="3"/>
  <c r="BA124" i="3"/>
  <c r="BA130" i="3"/>
  <c r="BA131" i="3" s="1"/>
  <c r="BA6" i="3"/>
  <c r="AZ333" i="3"/>
  <c r="AZ335" i="3" s="1"/>
  <c r="AZ323" i="3"/>
  <c r="AZ325" i="3" s="1"/>
  <c r="AZ273" i="3"/>
  <c r="AZ275" i="3" s="1"/>
  <c r="AZ263" i="3"/>
  <c r="AZ265" i="3" s="1"/>
  <c r="BJ4" i="4"/>
  <c r="BB5" i="3"/>
  <c r="BB330" i="3"/>
  <c r="BB337" i="3" s="1"/>
  <c r="BB310" i="3"/>
  <c r="BB317" i="3" s="1"/>
  <c r="BB340" i="3"/>
  <c r="BB347" i="3" s="1"/>
  <c r="BC3" i="3"/>
  <c r="BB4" i="3"/>
  <c r="BB290" i="3"/>
  <c r="BB297" i="3" s="1"/>
  <c r="BB320" i="3"/>
  <c r="BB327" i="3" s="1"/>
  <c r="BB300" i="3"/>
  <c r="BB307" i="3" s="1"/>
  <c r="AZ126" i="3"/>
  <c r="AZ121" i="3"/>
  <c r="AZ125" i="3" s="1"/>
  <c r="AZ173" i="3"/>
  <c r="AZ175" i="3" s="1"/>
  <c r="AZ313" i="3"/>
  <c r="AZ315" i="3" s="1"/>
  <c r="AZ303" i="3"/>
  <c r="AZ305" i="3" s="1"/>
  <c r="AZ23" i="3"/>
  <c r="AY25" i="3"/>
  <c r="AY356" i="3"/>
  <c r="BG12" i="4" s="1"/>
  <c r="BA7" i="3"/>
  <c r="BI17" i="4" s="1"/>
  <c r="AZ336" i="3"/>
  <c r="AZ216" i="3"/>
  <c r="AZ246" i="3"/>
  <c r="AZ286" i="3"/>
  <c r="AZ176" i="3"/>
  <c r="AZ146" i="3"/>
  <c r="AZ186" i="3"/>
  <c r="AZ166" i="3"/>
  <c r="AZ156" i="3"/>
  <c r="AZ256" i="3"/>
  <c r="AZ276" i="3"/>
  <c r="AZ66" i="3"/>
  <c r="AZ86" i="3"/>
  <c r="AZ136" i="3"/>
  <c r="AZ236" i="3"/>
  <c r="AZ36" i="3"/>
  <c r="AZ46" i="3"/>
  <c r="AZ306" i="3"/>
  <c r="AZ116" i="3"/>
  <c r="AZ326" i="3"/>
  <c r="AZ26" i="3"/>
  <c r="AZ106" i="3"/>
  <c r="AZ266" i="3"/>
  <c r="AZ96" i="3"/>
  <c r="AZ316" i="3"/>
  <c r="AZ296" i="3"/>
  <c r="AZ346" i="3"/>
  <c r="AZ226" i="3"/>
  <c r="AZ76" i="3"/>
  <c r="AZ196" i="3"/>
  <c r="BB4" i="10" l="1"/>
  <c r="BJ21" i="4"/>
  <c r="BA263" i="3"/>
  <c r="BA265" i="3" s="1"/>
  <c r="BA233" i="3"/>
  <c r="BA313" i="3"/>
  <c r="BA315" i="3" s="1"/>
  <c r="X48" i="4"/>
  <c r="Y43" i="4" s="1"/>
  <c r="Y50" i="4" s="1"/>
  <c r="BA273" i="3"/>
  <c r="BA275" i="3" s="1"/>
  <c r="BA83" i="3"/>
  <c r="BF10" i="4"/>
  <c r="BF14" i="4" s="1"/>
  <c r="BF16" i="4"/>
  <c r="BE18" i="4"/>
  <c r="BE19" i="4" s="1"/>
  <c r="BG8" i="4"/>
  <c r="BH25" i="4"/>
  <c r="AP44" i="4"/>
  <c r="AQ44" i="4"/>
  <c r="AR32" i="4"/>
  <c r="AR34" i="4" s="1"/>
  <c r="BJ3" i="4"/>
  <c r="BB3" i="10" s="1"/>
  <c r="BJ22" i="4"/>
  <c r="BA253" i="3"/>
  <c r="BA255" i="3" s="1"/>
  <c r="BA43" i="3"/>
  <c r="BA45" i="3" s="1"/>
  <c r="AY355" i="3"/>
  <c r="BA23" i="3"/>
  <c r="BA25" i="3" s="1"/>
  <c r="BA303" i="3"/>
  <c r="BA305" i="3" s="1"/>
  <c r="AY359" i="3" a="1"/>
  <c r="AY359" i="3" s="1"/>
  <c r="BG6" i="4" s="1"/>
  <c r="BA63" i="3"/>
  <c r="BA65" i="3" s="1"/>
  <c r="BA183" i="3"/>
  <c r="BA185" i="3" s="1"/>
  <c r="BA358" i="3"/>
  <c r="BI24" i="4" s="1"/>
  <c r="BA85" i="3"/>
  <c r="BF18" i="4"/>
  <c r="BA243" i="3"/>
  <c r="BA245" i="3" s="1"/>
  <c r="BB328" i="3"/>
  <c r="BB78" i="3"/>
  <c r="BB214" i="3"/>
  <c r="BB127" i="3"/>
  <c r="BB274" i="3"/>
  <c r="BB322" i="3"/>
  <c r="BB134" i="3"/>
  <c r="BB100" i="3"/>
  <c r="BB101" i="3" s="1"/>
  <c r="BB172" i="3"/>
  <c r="BB308" i="3"/>
  <c r="BB177" i="3"/>
  <c r="BB278" i="3"/>
  <c r="BB38" i="3"/>
  <c r="BB298" i="3"/>
  <c r="BB130" i="3"/>
  <c r="BB131" i="3" s="1"/>
  <c r="BB74" i="3"/>
  <c r="BB52" i="3"/>
  <c r="BB53" i="3" s="1"/>
  <c r="BB318" i="3"/>
  <c r="BB117" i="3"/>
  <c r="BB88" i="3"/>
  <c r="BB238" i="3"/>
  <c r="BB142" i="3"/>
  <c r="BB267" i="3"/>
  <c r="BB20" i="3"/>
  <c r="BB21" i="3" s="1"/>
  <c r="BB277" i="3"/>
  <c r="BB84" i="3"/>
  <c r="BB60" i="3"/>
  <c r="BB61" i="3" s="1"/>
  <c r="BB164" i="3"/>
  <c r="BB167" i="3"/>
  <c r="BB34" i="3"/>
  <c r="BB102" i="3"/>
  <c r="BB248" i="3"/>
  <c r="BB188" i="3"/>
  <c r="BB152" i="3"/>
  <c r="BB32" i="3"/>
  <c r="BB138" i="3"/>
  <c r="BB67" i="3"/>
  <c r="BB24" i="3"/>
  <c r="BB252" i="3"/>
  <c r="BB232" i="3"/>
  <c r="BB257" i="3"/>
  <c r="BB158" i="3"/>
  <c r="BB197" i="3"/>
  <c r="BB144" i="3"/>
  <c r="BB154" i="3"/>
  <c r="BB180" i="3"/>
  <c r="BB181" i="3" s="1"/>
  <c r="BB222" i="3"/>
  <c r="BB40" i="3"/>
  <c r="BB41" i="3" s="1"/>
  <c r="BB348" i="3"/>
  <c r="BB147" i="3"/>
  <c r="BB112" i="3"/>
  <c r="BB324" i="3"/>
  <c r="BB48" i="3"/>
  <c r="BB128" i="3"/>
  <c r="BB80" i="3"/>
  <c r="BB81" i="3" s="1"/>
  <c r="BB62" i="3"/>
  <c r="BJ5" i="4"/>
  <c r="BB5" i="10" s="1"/>
  <c r="BB284" i="3"/>
  <c r="BB187" i="3"/>
  <c r="BB140" i="3"/>
  <c r="BB141" i="3" s="1"/>
  <c r="BB42" i="3"/>
  <c r="BB10" i="3"/>
  <c r="BB312" i="3"/>
  <c r="BB132" i="3"/>
  <c r="BB168" i="3"/>
  <c r="BB344" i="3"/>
  <c r="BB122" i="3"/>
  <c r="BB123" i="3" s="1"/>
  <c r="BB292" i="3"/>
  <c r="BB217" i="3"/>
  <c r="BB37" i="3"/>
  <c r="BB224" i="3"/>
  <c r="BB64" i="3"/>
  <c r="BB227" i="3"/>
  <c r="BB234" i="3"/>
  <c r="BB178" i="3"/>
  <c r="BB107" i="3"/>
  <c r="BB182" i="3"/>
  <c r="BB244" i="3"/>
  <c r="BB97" i="3"/>
  <c r="BB194" i="3"/>
  <c r="BB27" i="3"/>
  <c r="BB212" i="3"/>
  <c r="BB118" i="3"/>
  <c r="BB120" i="3"/>
  <c r="BB30" i="3"/>
  <c r="BB31" i="3" s="1"/>
  <c r="BB44" i="3"/>
  <c r="BB90" i="3"/>
  <c r="BB91" i="3" s="1"/>
  <c r="BB268" i="3"/>
  <c r="BB314" i="3"/>
  <c r="BB262" i="3"/>
  <c r="BB237" i="3"/>
  <c r="BB160" i="3"/>
  <c r="BB161" i="3" s="1"/>
  <c r="BB110" i="3"/>
  <c r="BB111" i="3" s="1"/>
  <c r="BB162" i="3"/>
  <c r="BB163" i="3" s="1"/>
  <c r="BB54" i="3"/>
  <c r="BB192" i="3"/>
  <c r="BB342" i="3"/>
  <c r="BB104" i="3"/>
  <c r="BB174" i="3"/>
  <c r="BB304" i="3"/>
  <c r="BB272" i="3"/>
  <c r="BB184" i="3"/>
  <c r="BB137" i="3"/>
  <c r="BB82" i="3"/>
  <c r="BB294" i="3"/>
  <c r="BB148" i="3"/>
  <c r="BB170" i="3"/>
  <c r="BB171" i="3" s="1"/>
  <c r="BB302" i="3"/>
  <c r="BB57" i="3"/>
  <c r="BB282" i="3"/>
  <c r="BB247" i="3"/>
  <c r="BB72" i="3"/>
  <c r="BB73" i="3" s="1"/>
  <c r="BB22" i="3"/>
  <c r="BB68" i="3"/>
  <c r="BB228" i="3"/>
  <c r="BB258" i="3"/>
  <c r="BB242" i="3"/>
  <c r="BB114" i="3"/>
  <c r="BB254" i="3"/>
  <c r="BB70" i="3"/>
  <c r="BB71" i="3" s="1"/>
  <c r="BB264" i="3"/>
  <c r="BB94" i="3"/>
  <c r="BB92" i="3"/>
  <c r="BB198" i="3"/>
  <c r="BB108" i="3"/>
  <c r="BB150" i="3"/>
  <c r="BB151" i="3" s="1"/>
  <c r="BB334" i="3"/>
  <c r="BB77" i="3"/>
  <c r="BB58" i="3"/>
  <c r="BB338" i="3"/>
  <c r="BB28" i="3"/>
  <c r="BB287" i="3"/>
  <c r="BB157" i="3"/>
  <c r="BB50" i="3"/>
  <c r="BB288" i="3"/>
  <c r="BB332" i="3"/>
  <c r="BB218" i="3"/>
  <c r="BB47" i="3"/>
  <c r="BB124" i="3"/>
  <c r="BB190" i="3"/>
  <c r="BB191" i="3" s="1"/>
  <c r="BB98" i="3"/>
  <c r="BB87" i="3"/>
  <c r="BB6" i="3"/>
  <c r="BA133" i="3"/>
  <c r="BA135" i="3" s="1"/>
  <c r="BA103" i="3"/>
  <c r="BA105" i="3" s="1"/>
  <c r="BA33" i="3"/>
  <c r="BA35" i="3" s="1"/>
  <c r="BA153" i="3"/>
  <c r="BA155" i="3" s="1"/>
  <c r="BA126" i="3"/>
  <c r="BA121" i="3"/>
  <c r="BA125" i="3" s="1"/>
  <c r="BA11" i="3"/>
  <c r="BA16" i="3"/>
  <c r="BA113" i="3"/>
  <c r="BA115" i="3" s="1"/>
  <c r="BA333" i="3"/>
  <c r="BA335" i="3" s="1"/>
  <c r="BC4" i="3"/>
  <c r="BD3" i="3"/>
  <c r="BC310" i="3"/>
  <c r="BC317" i="3" s="1"/>
  <c r="BC5" i="3"/>
  <c r="BC300" i="3"/>
  <c r="BC307" i="3" s="1"/>
  <c r="BC340" i="3"/>
  <c r="BC347" i="3" s="1"/>
  <c r="BC330" i="3"/>
  <c r="BC337" i="3" s="1"/>
  <c r="BK4" i="4"/>
  <c r="BC320" i="3"/>
  <c r="BC327" i="3" s="1"/>
  <c r="BC290" i="3"/>
  <c r="BC297" i="3" s="1"/>
  <c r="BA93" i="3"/>
  <c r="BA95" i="3" s="1"/>
  <c r="BA51" i="3"/>
  <c r="BA55" i="3" s="1"/>
  <c r="BA56" i="3"/>
  <c r="BA75" i="3"/>
  <c r="BA193" i="3"/>
  <c r="BA195" i="3" s="1"/>
  <c r="BA283" i="3"/>
  <c r="BA285" i="3" s="1"/>
  <c r="BA354" i="3"/>
  <c r="BI9" i="4" s="1"/>
  <c r="BA357" i="3"/>
  <c r="BI23" i="4" s="1"/>
  <c r="AZ352" i="3"/>
  <c r="AZ15" i="3"/>
  <c r="AZ359" i="3" s="1" a="1"/>
  <c r="AZ359" i="3" s="1"/>
  <c r="BH6" i="4" s="1"/>
  <c r="BA235" i="3"/>
  <c r="BA293" i="3"/>
  <c r="BA295" i="3" s="1"/>
  <c r="BA343" i="3"/>
  <c r="BA345" i="3" s="1"/>
  <c r="BA173" i="3"/>
  <c r="BA175" i="3" s="1"/>
  <c r="BA323" i="3"/>
  <c r="BA325" i="3" s="1"/>
  <c r="AZ353" i="3"/>
  <c r="BA223" i="3"/>
  <c r="BA225" i="3" s="1"/>
  <c r="BJ13" i="4"/>
  <c r="BA165" i="3"/>
  <c r="BA213" i="3"/>
  <c r="BA215" i="3" s="1"/>
  <c r="BA143" i="3"/>
  <c r="BA145" i="3" s="1"/>
  <c r="AZ25" i="3"/>
  <c r="BB7" i="3"/>
  <c r="BJ17" i="4" s="1"/>
  <c r="BA256" i="3"/>
  <c r="BA266" i="3"/>
  <c r="BA216" i="3"/>
  <c r="BA336" i="3"/>
  <c r="BA226" i="3"/>
  <c r="BA196" i="3"/>
  <c r="BA146" i="3"/>
  <c r="BA86" i="3"/>
  <c r="BA186" i="3"/>
  <c r="BA46" i="3"/>
  <c r="BA236" i="3"/>
  <c r="BA166" i="3"/>
  <c r="BA296" i="3"/>
  <c r="BA286" i="3"/>
  <c r="BA36" i="3"/>
  <c r="BA116" i="3"/>
  <c r="BA276" i="3"/>
  <c r="BA346" i="3"/>
  <c r="BA26" i="3"/>
  <c r="BA156" i="3"/>
  <c r="BA136" i="3"/>
  <c r="BA106" i="3"/>
  <c r="BA76" i="3"/>
  <c r="BA66" i="3"/>
  <c r="BA96" i="3"/>
  <c r="BA326" i="3"/>
  <c r="BA306" i="3"/>
  <c r="BA246" i="3"/>
  <c r="BA316" i="3"/>
  <c r="BA176" i="3"/>
  <c r="AZ356" i="3"/>
  <c r="BH12" i="4" s="1"/>
  <c r="BC4" i="10" l="1"/>
  <c r="BK21" i="4"/>
  <c r="Y45" i="4"/>
  <c r="Y46" i="4" s="1"/>
  <c r="AS31" i="4"/>
  <c r="AS32" i="4" s="1"/>
  <c r="AS34" i="4" s="1"/>
  <c r="BE27" i="4"/>
  <c r="BG16" i="4"/>
  <c r="BF19" i="4"/>
  <c r="BH8" i="4"/>
  <c r="BG10" i="4"/>
  <c r="BG14" i="4" s="1"/>
  <c r="BI25" i="4"/>
  <c r="AR44" i="4"/>
  <c r="BK22" i="4"/>
  <c r="BK3" i="4"/>
  <c r="BC3" i="10" s="1"/>
  <c r="BF27" i="4"/>
  <c r="AT31" i="4"/>
  <c r="BB213" i="3"/>
  <c r="BB215" i="3" s="1"/>
  <c r="BB153" i="3"/>
  <c r="BB155" i="3" s="1"/>
  <c r="BB23" i="3"/>
  <c r="BB25" i="3" s="1"/>
  <c r="BB293" i="3"/>
  <c r="BB295" i="3" s="1"/>
  <c r="BB165" i="3"/>
  <c r="BB253" i="3"/>
  <c r="BB255" i="3" s="1"/>
  <c r="BB143" i="3"/>
  <c r="BB145" i="3" s="1"/>
  <c r="BB323" i="3"/>
  <c r="BB325" i="3" s="1"/>
  <c r="BB303" i="3"/>
  <c r="BB305" i="3" s="1"/>
  <c r="BB93" i="3"/>
  <c r="BB95" i="3" s="1"/>
  <c r="BB243" i="3"/>
  <c r="BB245" i="3" s="1"/>
  <c r="BB273" i="3"/>
  <c r="BB275" i="3" s="1"/>
  <c r="BB183" i="3"/>
  <c r="BB185" i="3" s="1"/>
  <c r="BB43" i="3"/>
  <c r="BB45" i="3" s="1"/>
  <c r="BB263" i="3"/>
  <c r="BB265" i="3" s="1"/>
  <c r="BB173" i="3"/>
  <c r="BB175" i="3" s="1"/>
  <c r="BB333" i="3"/>
  <c r="BB335" i="3" s="1"/>
  <c r="BB75" i="3"/>
  <c r="BB83" i="3"/>
  <c r="BB85" i="3" s="1"/>
  <c r="BB63" i="3"/>
  <c r="BB65" i="3" s="1"/>
  <c r="BB233" i="3"/>
  <c r="BB235" i="3" s="1"/>
  <c r="BC178" i="3"/>
  <c r="BC57" i="3"/>
  <c r="BC134" i="3"/>
  <c r="BC62" i="3"/>
  <c r="BC110" i="3"/>
  <c r="BC111" i="3" s="1"/>
  <c r="BC30" i="3"/>
  <c r="BC31" i="3" s="1"/>
  <c r="BC90" i="3"/>
  <c r="BC91" i="3" s="1"/>
  <c r="BC74" i="3"/>
  <c r="BC304" i="3"/>
  <c r="BC137" i="3"/>
  <c r="BC158" i="3"/>
  <c r="BC120" i="3"/>
  <c r="BC121" i="3" s="1"/>
  <c r="BC42" i="3"/>
  <c r="BC64" i="3"/>
  <c r="BC10" i="3"/>
  <c r="BC258" i="3"/>
  <c r="BC248" i="3"/>
  <c r="BC127" i="3"/>
  <c r="BC102" i="3"/>
  <c r="BC314" i="3"/>
  <c r="BC50" i="3"/>
  <c r="BC38" i="3"/>
  <c r="BC190" i="3"/>
  <c r="BC191" i="3" s="1"/>
  <c r="BC138" i="3"/>
  <c r="BC148" i="3"/>
  <c r="BC272" i="3"/>
  <c r="BC70" i="3"/>
  <c r="BC71" i="3" s="1"/>
  <c r="BC254" i="3"/>
  <c r="BC44" i="3"/>
  <c r="BC182" i="3"/>
  <c r="BC262" i="3"/>
  <c r="BC298" i="3"/>
  <c r="BC214" i="3"/>
  <c r="BC322" i="3"/>
  <c r="BC20" i="3"/>
  <c r="BC21" i="3" s="1"/>
  <c r="BC58" i="3"/>
  <c r="BC238" i="3"/>
  <c r="BC232" i="3"/>
  <c r="BC97" i="3"/>
  <c r="BC108" i="3"/>
  <c r="BC84" i="3"/>
  <c r="BC140" i="3"/>
  <c r="BC141" i="3" s="1"/>
  <c r="BC157" i="3"/>
  <c r="BC188" i="3"/>
  <c r="BC24" i="3"/>
  <c r="BC198" i="3"/>
  <c r="BC130" i="3"/>
  <c r="BC131" i="3" s="1"/>
  <c r="BC170" i="3"/>
  <c r="BC171" i="3" s="1"/>
  <c r="BC98" i="3"/>
  <c r="BC34" i="3"/>
  <c r="BC112" i="3"/>
  <c r="BC302" i="3"/>
  <c r="BC277" i="3"/>
  <c r="BC80" i="3"/>
  <c r="BC81" i="3" s="1"/>
  <c r="BC160" i="3"/>
  <c r="BC161" i="3" s="1"/>
  <c r="BC338" i="3"/>
  <c r="BC67" i="3"/>
  <c r="BC174" i="3"/>
  <c r="BC78" i="3"/>
  <c r="BC227" i="3"/>
  <c r="BC344" i="3"/>
  <c r="BC27" i="3"/>
  <c r="BC82" i="3"/>
  <c r="BC172" i="3"/>
  <c r="BC274" i="3"/>
  <c r="BC167" i="3"/>
  <c r="BC224" i="3"/>
  <c r="BC244" i="3"/>
  <c r="BC308" i="3"/>
  <c r="BC287" i="3"/>
  <c r="BC247" i="3"/>
  <c r="BC47" i="3"/>
  <c r="BC107" i="3"/>
  <c r="BC282" i="3"/>
  <c r="BC192" i="3"/>
  <c r="BC144" i="3"/>
  <c r="BC348" i="3"/>
  <c r="BC257" i="3"/>
  <c r="BC237" i="3"/>
  <c r="BC87" i="3"/>
  <c r="BC37" i="3"/>
  <c r="BC32" i="3"/>
  <c r="BC122" i="3"/>
  <c r="BC100" i="3"/>
  <c r="BC101" i="3" s="1"/>
  <c r="BC52" i="3"/>
  <c r="BC152" i="3"/>
  <c r="BC212" i="3"/>
  <c r="BC218" i="3"/>
  <c r="BC222" i="3"/>
  <c r="BC228" i="3"/>
  <c r="BC197" i="3"/>
  <c r="BC48" i="3"/>
  <c r="BC132" i="3"/>
  <c r="BC334" i="3"/>
  <c r="BC267" i="3"/>
  <c r="BC180" i="3"/>
  <c r="BC181" i="3" s="1"/>
  <c r="BC217" i="3"/>
  <c r="BC194" i="3"/>
  <c r="BC328" i="3"/>
  <c r="BC332" i="3"/>
  <c r="BC312" i="3"/>
  <c r="BC28" i="3"/>
  <c r="BC40" i="3"/>
  <c r="BC41" i="3" s="1"/>
  <c r="BC147" i="3"/>
  <c r="BC284" i="3"/>
  <c r="BC268" i="3"/>
  <c r="BC278" i="3"/>
  <c r="BC288" i="3"/>
  <c r="BC184" i="3"/>
  <c r="BC177" i="3"/>
  <c r="BC88" i="3"/>
  <c r="BC252" i="3"/>
  <c r="BC294" i="3"/>
  <c r="BC318" i="3"/>
  <c r="BC60" i="3"/>
  <c r="BC61" i="3" s="1"/>
  <c r="BC117" i="3"/>
  <c r="BC242" i="3"/>
  <c r="BC77" i="3"/>
  <c r="BC324" i="3"/>
  <c r="BC162" i="3"/>
  <c r="BC163" i="3" s="1"/>
  <c r="BC187" i="3"/>
  <c r="BK5" i="4"/>
  <c r="BC5" i="10" s="1"/>
  <c r="BC22" i="3"/>
  <c r="BC164" i="3"/>
  <c r="BC292" i="3"/>
  <c r="BC264" i="3"/>
  <c r="BC234" i="3"/>
  <c r="BC168" i="3"/>
  <c r="BC342" i="3"/>
  <c r="BC128" i="3"/>
  <c r="BC150" i="3"/>
  <c r="BC151" i="3" s="1"/>
  <c r="BC92" i="3"/>
  <c r="BC104" i="3"/>
  <c r="BC118" i="3"/>
  <c r="BC68" i="3"/>
  <c r="BC142" i="3"/>
  <c r="BC114" i="3"/>
  <c r="BC72" i="3"/>
  <c r="BC73" i="3" s="1"/>
  <c r="BC154" i="3"/>
  <c r="BC94" i="3"/>
  <c r="BC6" i="3"/>
  <c r="BB126" i="3"/>
  <c r="BB121" i="3"/>
  <c r="BB125" i="3" s="1"/>
  <c r="BD4" i="3"/>
  <c r="BE3" i="3"/>
  <c r="BD340" i="3"/>
  <c r="BD347" i="3" s="1"/>
  <c r="BD290" i="3"/>
  <c r="BD297" i="3" s="1"/>
  <c r="BD300" i="3"/>
  <c r="BD307" i="3" s="1"/>
  <c r="BD5" i="3"/>
  <c r="BD330" i="3"/>
  <c r="BD337" i="3" s="1"/>
  <c r="BD320" i="3"/>
  <c r="BD327" i="3" s="1"/>
  <c r="BD310" i="3"/>
  <c r="BD317" i="3" s="1"/>
  <c r="BL4" i="4"/>
  <c r="BB56" i="3"/>
  <c r="BB51" i="3"/>
  <c r="BB55" i="3" s="1"/>
  <c r="BB358" i="3"/>
  <c r="BJ24" i="4" s="1"/>
  <c r="BB113" i="3"/>
  <c r="BB115" i="3" s="1"/>
  <c r="BB33" i="3"/>
  <c r="BB354" i="3"/>
  <c r="BJ9" i="4" s="1"/>
  <c r="BB343" i="3"/>
  <c r="BB345" i="3" s="1"/>
  <c r="BB357" i="3"/>
  <c r="BJ23" i="4" s="1"/>
  <c r="BB193" i="3"/>
  <c r="BB195" i="3" s="1"/>
  <c r="BB133" i="3"/>
  <c r="BB135" i="3" s="1"/>
  <c r="BB313" i="3"/>
  <c r="BB315" i="3" s="1"/>
  <c r="BB223" i="3"/>
  <c r="BB225" i="3" s="1"/>
  <c r="BB103" i="3"/>
  <c r="BB105" i="3" s="1"/>
  <c r="BA15" i="3"/>
  <c r="BA359" i="3" s="1" a="1"/>
  <c r="BA359" i="3" s="1"/>
  <c r="BI6" i="4" s="1"/>
  <c r="BA352" i="3"/>
  <c r="BK13" i="4"/>
  <c r="AZ355" i="3"/>
  <c r="BB283" i="3"/>
  <c r="BB285" i="3" s="1"/>
  <c r="BB11" i="3"/>
  <c r="BB16" i="3"/>
  <c r="BA353" i="3"/>
  <c r="BA356" i="3"/>
  <c r="BI12" i="4" s="1"/>
  <c r="BC7" i="3"/>
  <c r="BK17" i="4" s="1"/>
  <c r="BB226" i="3"/>
  <c r="BB256" i="3"/>
  <c r="BB196" i="3"/>
  <c r="BB216" i="3"/>
  <c r="BB176" i="3"/>
  <c r="BB266" i="3"/>
  <c r="BB76" i="3"/>
  <c r="BB156" i="3"/>
  <c r="BB326" i="3"/>
  <c r="BB146" i="3"/>
  <c r="BB286" i="3"/>
  <c r="BB306" i="3"/>
  <c r="BB346" i="3"/>
  <c r="BB166" i="3"/>
  <c r="BB96" i="3"/>
  <c r="BB36" i="3"/>
  <c r="BB246" i="3"/>
  <c r="BB116" i="3"/>
  <c r="BB236" i="3"/>
  <c r="BB26" i="3"/>
  <c r="BB46" i="3"/>
  <c r="BB136" i="3"/>
  <c r="BB106" i="3"/>
  <c r="BB86" i="3"/>
  <c r="BB276" i="3"/>
  <c r="BB186" i="3"/>
  <c r="BB336" i="3"/>
  <c r="BB296" i="3"/>
  <c r="BB66" i="3"/>
  <c r="BB316" i="3"/>
  <c r="BD4" i="10" l="1"/>
  <c r="BL21" i="4"/>
  <c r="Y47" i="4"/>
  <c r="BI8" i="4"/>
  <c r="BI10" i="4" s="1"/>
  <c r="BG18" i="4"/>
  <c r="BG19" i="4" s="1"/>
  <c r="BH10" i="4"/>
  <c r="BH14" i="4" s="1"/>
  <c r="BH16" i="4"/>
  <c r="BJ25" i="4"/>
  <c r="AS44" i="4"/>
  <c r="AT32" i="4"/>
  <c r="AT34" i="4" s="1"/>
  <c r="BL22" i="4"/>
  <c r="BL3" i="4"/>
  <c r="BD3" i="10" s="1"/>
  <c r="BC53" i="3"/>
  <c r="BC54" i="3" s="1"/>
  <c r="BC357" i="3"/>
  <c r="BK23" i="4" s="1"/>
  <c r="BA355" i="3"/>
  <c r="BC23" i="3"/>
  <c r="BC193" i="3"/>
  <c r="BC195" i="3" s="1"/>
  <c r="BC283" i="3"/>
  <c r="BC285" i="3" s="1"/>
  <c r="BC143" i="3"/>
  <c r="BC145" i="3" s="1"/>
  <c r="BC223" i="3"/>
  <c r="BC225" i="3" s="1"/>
  <c r="BB15" i="3"/>
  <c r="BB352" i="3"/>
  <c r="BC165" i="3"/>
  <c r="BC358" i="3"/>
  <c r="BK24" i="4" s="1"/>
  <c r="BE340" i="3"/>
  <c r="BE347" i="3" s="1"/>
  <c r="BF3" i="3"/>
  <c r="BM4" i="4"/>
  <c r="BE290" i="3"/>
  <c r="BE297" i="3" s="1"/>
  <c r="BE320" i="3"/>
  <c r="BE327" i="3" s="1"/>
  <c r="BE300" i="3"/>
  <c r="BE307" i="3" s="1"/>
  <c r="BE330" i="3"/>
  <c r="BE337" i="3" s="1"/>
  <c r="BE4" i="3"/>
  <c r="BE310" i="3"/>
  <c r="BE317" i="3" s="1"/>
  <c r="BE5" i="3"/>
  <c r="BC93" i="3"/>
  <c r="BC95" i="3" s="1"/>
  <c r="BC313" i="3"/>
  <c r="BC315" i="3" s="1"/>
  <c r="BC56" i="3"/>
  <c r="BC51" i="3"/>
  <c r="BC183" i="3"/>
  <c r="BC185" i="3" s="1"/>
  <c r="BC75" i="3"/>
  <c r="BC273" i="3"/>
  <c r="BC275" i="3" s="1"/>
  <c r="BC213" i="3"/>
  <c r="BC215" i="3" s="1"/>
  <c r="BC243" i="3"/>
  <c r="BC245" i="3" s="1"/>
  <c r="BC153" i="3"/>
  <c r="BC155" i="3" s="1"/>
  <c r="BC233" i="3"/>
  <c r="BC235" i="3" s="1"/>
  <c r="BC333" i="3"/>
  <c r="BC335" i="3" s="1"/>
  <c r="BC303" i="3"/>
  <c r="BC305" i="3" s="1"/>
  <c r="BC63" i="3"/>
  <c r="BC65" i="3" s="1"/>
  <c r="BD198" i="3"/>
  <c r="BD117" i="3"/>
  <c r="BD174" i="3"/>
  <c r="BD88" i="3"/>
  <c r="BD112" i="3"/>
  <c r="BD10" i="3"/>
  <c r="BD154" i="3"/>
  <c r="BD58" i="3"/>
  <c r="BD74" i="3"/>
  <c r="BD258" i="3"/>
  <c r="BD247" i="3"/>
  <c r="BD132" i="3"/>
  <c r="BD110" i="3"/>
  <c r="BD111" i="3" s="1"/>
  <c r="BL5" i="4"/>
  <c r="BD5" i="10" s="1"/>
  <c r="BD90" i="3"/>
  <c r="BD91" i="3" s="1"/>
  <c r="BD187" i="3"/>
  <c r="BD40" i="3"/>
  <c r="BD41" i="3" s="1"/>
  <c r="BD158" i="3"/>
  <c r="BD197" i="3"/>
  <c r="BD130" i="3"/>
  <c r="BD131" i="3" s="1"/>
  <c r="BD64" i="3"/>
  <c r="BD292" i="3"/>
  <c r="BD97" i="3"/>
  <c r="BD244" i="3"/>
  <c r="BD107" i="3"/>
  <c r="BD332" i="3"/>
  <c r="BD22" i="3"/>
  <c r="BD50" i="3"/>
  <c r="BD51" i="3" s="1"/>
  <c r="BD92" i="3"/>
  <c r="BD284" i="3"/>
  <c r="BD94" i="3"/>
  <c r="BD118" i="3"/>
  <c r="BD274" i="3"/>
  <c r="BD44" i="3"/>
  <c r="BD38" i="3"/>
  <c r="BD104" i="3"/>
  <c r="BD80" i="3"/>
  <c r="BD81" i="3" s="1"/>
  <c r="BD57" i="3"/>
  <c r="BD42" i="3"/>
  <c r="BD212" i="3"/>
  <c r="BD298" i="3"/>
  <c r="BD252" i="3"/>
  <c r="BD278" i="3"/>
  <c r="BD142" i="3"/>
  <c r="BD152" i="3"/>
  <c r="BD184" i="3"/>
  <c r="BD234" i="3"/>
  <c r="BD134" i="3"/>
  <c r="BD318" i="3"/>
  <c r="BD72" i="3"/>
  <c r="BD73" i="3" s="1"/>
  <c r="BD180" i="3"/>
  <c r="BD181" i="3" s="1"/>
  <c r="BD228" i="3"/>
  <c r="BD272" i="3"/>
  <c r="BD334" i="3"/>
  <c r="BD30" i="3"/>
  <c r="BD31" i="3" s="1"/>
  <c r="BD160" i="3"/>
  <c r="BD161" i="3" s="1"/>
  <c r="BD190" i="3"/>
  <c r="BD191" i="3" s="1"/>
  <c r="BD108" i="3"/>
  <c r="BD87" i="3"/>
  <c r="BD287" i="3"/>
  <c r="BD144" i="3"/>
  <c r="BD168" i="3"/>
  <c r="BD248" i="3"/>
  <c r="BD214" i="3"/>
  <c r="BD254" i="3"/>
  <c r="BD78" i="3"/>
  <c r="BD282" i="3"/>
  <c r="BD217" i="3"/>
  <c r="BD24" i="3"/>
  <c r="BD138" i="3"/>
  <c r="BD84" i="3"/>
  <c r="BD67" i="3"/>
  <c r="BD192" i="3"/>
  <c r="BD232" i="3"/>
  <c r="BD178" i="3"/>
  <c r="BD322" i="3"/>
  <c r="BD167" i="3"/>
  <c r="BD242" i="3"/>
  <c r="BD68" i="3"/>
  <c r="BD28" i="3"/>
  <c r="BD98" i="3"/>
  <c r="BD182" i="3"/>
  <c r="BD348" i="3"/>
  <c r="BD288" i="3"/>
  <c r="BD157" i="3"/>
  <c r="BD164" i="3"/>
  <c r="BD188" i="3"/>
  <c r="BD312" i="3"/>
  <c r="BD224" i="3"/>
  <c r="BD102" i="3"/>
  <c r="BD268" i="3"/>
  <c r="BD344" i="3"/>
  <c r="BD34" i="3"/>
  <c r="BD60" i="3"/>
  <c r="BD61" i="3" s="1"/>
  <c r="BD148" i="3"/>
  <c r="BD338" i="3"/>
  <c r="BD137" i="3"/>
  <c r="BD328" i="3"/>
  <c r="BD302" i="3"/>
  <c r="BD120" i="3"/>
  <c r="BD121" i="3" s="1"/>
  <c r="BD47" i="3"/>
  <c r="BD140" i="3"/>
  <c r="BD141" i="3" s="1"/>
  <c r="BD262" i="3"/>
  <c r="BD308" i="3"/>
  <c r="BD267" i="3"/>
  <c r="BD218" i="3"/>
  <c r="BD150" i="3"/>
  <c r="BD151" i="3" s="1"/>
  <c r="BD114" i="3"/>
  <c r="BD172" i="3"/>
  <c r="BD32" i="3"/>
  <c r="BD82" i="3"/>
  <c r="BD52" i="3"/>
  <c r="BD257" i="3"/>
  <c r="BD128" i="3"/>
  <c r="BD314" i="3"/>
  <c r="BD62" i="3"/>
  <c r="BD122" i="3"/>
  <c r="BD27" i="3"/>
  <c r="BD304" i="3"/>
  <c r="BD37" i="3"/>
  <c r="BD147" i="3"/>
  <c r="BD227" i="3"/>
  <c r="BD342" i="3"/>
  <c r="BD222" i="3"/>
  <c r="BD237" i="3"/>
  <c r="BD162" i="3"/>
  <c r="BD163" i="3" s="1"/>
  <c r="BD194" i="3"/>
  <c r="BD100" i="3"/>
  <c r="BD101" i="3" s="1"/>
  <c r="BD177" i="3"/>
  <c r="BD264" i="3"/>
  <c r="BD77" i="3"/>
  <c r="BD20" i="3"/>
  <c r="BD21" i="3" s="1"/>
  <c r="BD277" i="3"/>
  <c r="BD238" i="3"/>
  <c r="BD127" i="3"/>
  <c r="BD48" i="3"/>
  <c r="BD294" i="3"/>
  <c r="BD324" i="3"/>
  <c r="BD70" i="3"/>
  <c r="BD71" i="3" s="1"/>
  <c r="BD170" i="3"/>
  <c r="BD171" i="3" s="1"/>
  <c r="BD6" i="3"/>
  <c r="BC343" i="3"/>
  <c r="BC345" i="3" s="1"/>
  <c r="BC33" i="3"/>
  <c r="BC35" i="3" s="1"/>
  <c r="BC323" i="3"/>
  <c r="BC325" i="3" s="1"/>
  <c r="BL13" i="4"/>
  <c r="BC123" i="3"/>
  <c r="BC124" i="3" s="1"/>
  <c r="BC253" i="3"/>
  <c r="BC255" i="3" s="1"/>
  <c r="BC173" i="3"/>
  <c r="BC175" i="3" s="1"/>
  <c r="BC293" i="3"/>
  <c r="BC295" i="3" s="1"/>
  <c r="BC133" i="3"/>
  <c r="BC135" i="3" s="1"/>
  <c r="BC43" i="3"/>
  <c r="BC45" i="3" s="1"/>
  <c r="BB35" i="3"/>
  <c r="BB353" i="3"/>
  <c r="BC113" i="3"/>
  <c r="BC115" i="3" s="1"/>
  <c r="BC103" i="3"/>
  <c r="BC105" i="3" s="1"/>
  <c r="BC83" i="3"/>
  <c r="BC85" i="3" s="1"/>
  <c r="BC263" i="3"/>
  <c r="BC265" i="3" s="1"/>
  <c r="BC11" i="3"/>
  <c r="BC16" i="3"/>
  <c r="BD7" i="3"/>
  <c r="BL17" i="4" s="1"/>
  <c r="BC266" i="3"/>
  <c r="BC256" i="3"/>
  <c r="BC146" i="3"/>
  <c r="BC216" i="3"/>
  <c r="BC156" i="3"/>
  <c r="BC226" i="3"/>
  <c r="BC26" i="3"/>
  <c r="BC316" i="3"/>
  <c r="BC116" i="3"/>
  <c r="BC46" i="3"/>
  <c r="BC186" i="3"/>
  <c r="BC36" i="3"/>
  <c r="BC96" i="3"/>
  <c r="BC276" i="3"/>
  <c r="BC286" i="3"/>
  <c r="BC166" i="3"/>
  <c r="BC306" i="3"/>
  <c r="BC86" i="3"/>
  <c r="BC136" i="3"/>
  <c r="BC106" i="3"/>
  <c r="BC66" i="3"/>
  <c r="BC296" i="3"/>
  <c r="BC346" i="3"/>
  <c r="BC236" i="3"/>
  <c r="BC196" i="3"/>
  <c r="BC336" i="3"/>
  <c r="BC176" i="3"/>
  <c r="BC326" i="3"/>
  <c r="BC76" i="3"/>
  <c r="BC246" i="3"/>
  <c r="BC126" i="3"/>
  <c r="BB356" i="3"/>
  <c r="BJ12" i="4" s="1"/>
  <c r="BE4" i="10" l="1"/>
  <c r="BM21" i="4"/>
  <c r="BI16" i="4"/>
  <c r="Y48" i="4"/>
  <c r="Z43" i="4" s="1"/>
  <c r="Z45" i="4" s="1"/>
  <c r="Z46" i="4" s="1"/>
  <c r="BH18" i="4"/>
  <c r="BH19" i="4" s="1"/>
  <c r="BG27" i="4"/>
  <c r="AU31" i="4"/>
  <c r="AU32" i="4" s="1"/>
  <c r="AU34" i="4" s="1"/>
  <c r="BJ8" i="4"/>
  <c r="BK25" i="4"/>
  <c r="BD273" i="3"/>
  <c r="BD275" i="3" s="1"/>
  <c r="BD113" i="3"/>
  <c r="BD115" i="3" s="1"/>
  <c r="BD293" i="3"/>
  <c r="BD295" i="3" s="1"/>
  <c r="BC55" i="3"/>
  <c r="BD123" i="3"/>
  <c r="BD124" i="3" s="1"/>
  <c r="BD125" i="3" s="1"/>
  <c r="BD63" i="3"/>
  <c r="BD65" i="3" s="1"/>
  <c r="BC354" i="3"/>
  <c r="BK9" i="4" s="1"/>
  <c r="AT44" i="4"/>
  <c r="BM3" i="4"/>
  <c r="BE3" i="10" s="1"/>
  <c r="BM22" i="4"/>
  <c r="BI14" i="4"/>
  <c r="BD103" i="3"/>
  <c r="BD105" i="3" s="1"/>
  <c r="BD233" i="3"/>
  <c r="BD235" i="3" s="1"/>
  <c r="BD253" i="3"/>
  <c r="BD255" i="3" s="1"/>
  <c r="BD333" i="3"/>
  <c r="BD335" i="3" s="1"/>
  <c r="BD193" i="3"/>
  <c r="BD195" i="3" s="1"/>
  <c r="BD213" i="3"/>
  <c r="BD215" i="3" s="1"/>
  <c r="BB359" i="3" a="1"/>
  <c r="BB359" i="3" s="1"/>
  <c r="BJ6" i="4" s="1"/>
  <c r="BD313" i="3"/>
  <c r="BD315" i="3" s="1"/>
  <c r="BD165" i="3"/>
  <c r="BD263" i="3"/>
  <c r="BD265" i="3" s="1"/>
  <c r="BD43" i="3"/>
  <c r="BD45" i="3" s="1"/>
  <c r="BD183" i="3"/>
  <c r="BD185" i="3" s="1"/>
  <c r="BD303" i="3"/>
  <c r="BD305" i="3" s="1"/>
  <c r="BD283" i="3"/>
  <c r="BD285" i="3" s="1"/>
  <c r="BD83" i="3"/>
  <c r="BD85" i="3" s="1"/>
  <c r="BB355" i="3"/>
  <c r="BC15" i="3"/>
  <c r="BC352" i="3"/>
  <c r="BM13" i="4"/>
  <c r="BF340" i="3"/>
  <c r="BF347" i="3" s="1"/>
  <c r="BF320" i="3"/>
  <c r="BF327" i="3" s="1"/>
  <c r="BF4" i="3"/>
  <c r="BF310" i="3"/>
  <c r="BF317" i="3" s="1"/>
  <c r="BF300" i="3"/>
  <c r="BF307" i="3" s="1"/>
  <c r="BG3" i="3"/>
  <c r="BN4" i="4"/>
  <c r="BF5" i="3"/>
  <c r="BF330" i="3"/>
  <c r="BF337" i="3" s="1"/>
  <c r="BF290" i="3"/>
  <c r="BF297" i="3" s="1"/>
  <c r="BD357" i="3"/>
  <c r="BL23" i="4" s="1"/>
  <c r="BD11" i="3"/>
  <c r="BD16" i="3"/>
  <c r="BD53" i="3"/>
  <c r="BD54" i="3" s="1"/>
  <c r="BD358" i="3"/>
  <c r="BL24" i="4" s="1"/>
  <c r="BD33" i="3"/>
  <c r="BD35" i="3" s="1"/>
  <c r="BD243" i="3"/>
  <c r="BD245" i="3" s="1"/>
  <c r="BC353" i="3"/>
  <c r="BD173" i="3"/>
  <c r="BD175" i="3" s="1"/>
  <c r="BD153" i="3"/>
  <c r="BD155" i="3" s="1"/>
  <c r="BD93" i="3"/>
  <c r="BD95" i="3" s="1"/>
  <c r="BC125" i="3"/>
  <c r="BE287" i="3"/>
  <c r="BE198" i="3"/>
  <c r="BE328" i="3"/>
  <c r="BE224" i="3"/>
  <c r="BE100" i="3"/>
  <c r="BE101" i="3" s="1"/>
  <c r="BE67" i="3"/>
  <c r="BE140" i="3"/>
  <c r="BE141" i="3" s="1"/>
  <c r="BE82" i="3"/>
  <c r="BE110" i="3"/>
  <c r="BE111" i="3" s="1"/>
  <c r="BE77" i="3"/>
  <c r="BE87" i="3"/>
  <c r="BE40" i="3"/>
  <c r="BE41" i="3" s="1"/>
  <c r="BE138" i="3"/>
  <c r="BE70" i="3"/>
  <c r="BE71" i="3" s="1"/>
  <c r="BE144" i="3"/>
  <c r="BE277" i="3"/>
  <c r="BE267" i="3"/>
  <c r="BE264" i="3"/>
  <c r="BE312" i="3"/>
  <c r="BE302" i="3"/>
  <c r="BE108" i="3"/>
  <c r="BE88" i="3"/>
  <c r="BE160" i="3"/>
  <c r="BE161" i="3" s="1"/>
  <c r="BE124" i="3"/>
  <c r="BE114" i="3"/>
  <c r="BE258" i="3"/>
  <c r="BE228" i="3"/>
  <c r="BE84" i="3"/>
  <c r="BE30" i="3"/>
  <c r="BE31" i="3" s="1"/>
  <c r="BE268" i="3"/>
  <c r="BE154" i="3"/>
  <c r="BE304" i="3"/>
  <c r="BE157" i="3"/>
  <c r="BE120" i="3"/>
  <c r="BE121" i="3" s="1"/>
  <c r="BE177" i="3"/>
  <c r="BE164" i="3"/>
  <c r="BE20" i="3"/>
  <c r="BE21" i="3" s="1"/>
  <c r="BE107" i="3"/>
  <c r="BE147" i="3"/>
  <c r="BE194" i="3"/>
  <c r="BE80" i="3"/>
  <c r="BE81" i="3" s="1"/>
  <c r="BE118" i="3"/>
  <c r="BE348" i="3"/>
  <c r="BE247" i="3"/>
  <c r="BE47" i="3"/>
  <c r="BE238" i="3"/>
  <c r="BE182" i="3"/>
  <c r="BE74" i="3"/>
  <c r="BE257" i="3"/>
  <c r="BE187" i="3"/>
  <c r="BE188" i="3"/>
  <c r="BE162" i="3"/>
  <c r="BE163" i="3" s="1"/>
  <c r="BE214" i="3"/>
  <c r="BE167" i="3"/>
  <c r="BE122" i="3"/>
  <c r="BE97" i="3"/>
  <c r="BE168" i="3"/>
  <c r="BE237" i="3"/>
  <c r="BE148" i="3"/>
  <c r="BE134" i="3"/>
  <c r="BE98" i="3"/>
  <c r="BE10" i="3"/>
  <c r="BE334" i="3"/>
  <c r="BE197" i="3"/>
  <c r="BE212" i="3"/>
  <c r="BE184" i="3"/>
  <c r="BE218" i="3"/>
  <c r="BE222" i="3"/>
  <c r="BE278" i="3"/>
  <c r="BE42" i="3"/>
  <c r="BE90" i="3"/>
  <c r="BE91" i="3" s="1"/>
  <c r="BE308" i="3"/>
  <c r="BE332" i="3"/>
  <c r="BE282" i="3"/>
  <c r="BE28" i="3"/>
  <c r="BE72" i="3"/>
  <c r="BE73" i="3" s="1"/>
  <c r="BE64" i="3"/>
  <c r="BE324" i="3"/>
  <c r="BE68" i="3"/>
  <c r="BE57" i="3"/>
  <c r="BE158" i="3"/>
  <c r="BE274" i="3"/>
  <c r="BE37" i="3"/>
  <c r="BE248" i="3"/>
  <c r="BE234" i="3"/>
  <c r="BE152" i="3"/>
  <c r="BE314" i="3"/>
  <c r="BE150" i="3"/>
  <c r="BE151" i="3" s="1"/>
  <c r="BE92" i="3"/>
  <c r="BE298" i="3"/>
  <c r="BE117" i="3"/>
  <c r="BE288" i="3"/>
  <c r="BE127" i="3"/>
  <c r="BE130" i="3"/>
  <c r="BE131" i="3" s="1"/>
  <c r="BE102" i="3"/>
  <c r="BE112" i="3"/>
  <c r="BE60" i="3"/>
  <c r="BE61" i="3" s="1"/>
  <c r="BE232" i="3"/>
  <c r="BE318" i="3"/>
  <c r="BE52" i="3"/>
  <c r="BE142" i="3"/>
  <c r="BM5" i="4"/>
  <c r="BE5" i="10" s="1"/>
  <c r="BE254" i="3"/>
  <c r="BE217" i="3"/>
  <c r="BE38" i="3"/>
  <c r="BE344" i="3"/>
  <c r="BE272" i="3"/>
  <c r="BE22" i="3"/>
  <c r="BE294" i="3"/>
  <c r="BE50" i="3"/>
  <c r="BE51" i="3" s="1"/>
  <c r="BE24" i="3"/>
  <c r="BE322" i="3"/>
  <c r="BE338" i="3"/>
  <c r="BE27" i="3"/>
  <c r="BE284" i="3"/>
  <c r="BE174" i="3"/>
  <c r="BE242" i="3"/>
  <c r="BE32" i="3"/>
  <c r="BE34" i="3"/>
  <c r="BE180" i="3"/>
  <c r="BE181" i="3" s="1"/>
  <c r="BE44" i="3"/>
  <c r="BE132" i="3"/>
  <c r="BE172" i="3"/>
  <c r="BE262" i="3"/>
  <c r="BE78" i="3"/>
  <c r="BE178" i="3"/>
  <c r="BE62" i="3"/>
  <c r="BE94" i="3"/>
  <c r="BE58" i="3"/>
  <c r="BE48" i="3"/>
  <c r="BE104" i="3"/>
  <c r="BE252" i="3"/>
  <c r="BE227" i="3"/>
  <c r="BE128" i="3"/>
  <c r="BE170" i="3"/>
  <c r="BE171" i="3" s="1"/>
  <c r="BE292" i="3"/>
  <c r="BE192" i="3"/>
  <c r="BE342" i="3"/>
  <c r="BE137" i="3"/>
  <c r="BE190" i="3"/>
  <c r="BE191" i="3" s="1"/>
  <c r="BE244" i="3"/>
  <c r="BE6" i="3"/>
  <c r="BD223" i="3"/>
  <c r="BD225" i="3" s="1"/>
  <c r="BD323" i="3"/>
  <c r="BD325" i="3" s="1"/>
  <c r="BD143" i="3"/>
  <c r="BD145" i="3" s="1"/>
  <c r="BD133" i="3"/>
  <c r="BD135" i="3" s="1"/>
  <c r="BD75" i="3"/>
  <c r="BD343" i="3"/>
  <c r="BD345" i="3" s="1"/>
  <c r="BD23" i="3"/>
  <c r="BC25" i="3"/>
  <c r="BE7" i="3"/>
  <c r="BM17" i="4" s="1"/>
  <c r="BD256" i="3"/>
  <c r="BD216" i="3"/>
  <c r="BD266" i="3"/>
  <c r="BD226" i="3"/>
  <c r="BD86" i="3"/>
  <c r="BD96" i="3"/>
  <c r="BD306" i="3"/>
  <c r="BD36" i="3"/>
  <c r="BD346" i="3"/>
  <c r="BD26" i="3"/>
  <c r="BD336" i="3"/>
  <c r="BD166" i="3"/>
  <c r="BD156" i="3"/>
  <c r="BD66" i="3"/>
  <c r="BD186" i="3"/>
  <c r="BD316" i="3"/>
  <c r="BD126" i="3"/>
  <c r="BD176" i="3"/>
  <c r="BD276" i="3"/>
  <c r="BD76" i="3"/>
  <c r="BD146" i="3"/>
  <c r="BD286" i="3"/>
  <c r="BD296" i="3"/>
  <c r="BD326" i="3"/>
  <c r="BD56" i="3"/>
  <c r="BD46" i="3"/>
  <c r="BD236" i="3"/>
  <c r="BD246" i="3"/>
  <c r="BD106" i="3"/>
  <c r="BD196" i="3"/>
  <c r="BD116" i="3"/>
  <c r="BD136" i="3"/>
  <c r="BC356" i="3"/>
  <c r="BK12" i="4" s="1"/>
  <c r="BF4" i="10" l="1"/>
  <c r="BN21" i="4"/>
  <c r="Z47" i="4"/>
  <c r="Z48" i="4" s="1"/>
  <c r="AA43" i="4" s="1"/>
  <c r="Z50" i="4"/>
  <c r="BD354" i="3"/>
  <c r="BL9" i="4" s="1"/>
  <c r="BH27" i="4"/>
  <c r="AV31" i="4"/>
  <c r="AV32" i="4" s="1"/>
  <c r="AV34" i="4" s="1"/>
  <c r="BI18" i="4"/>
  <c r="BI19" i="4" s="1"/>
  <c r="BJ16" i="4"/>
  <c r="BK8" i="4"/>
  <c r="BJ10" i="4"/>
  <c r="BJ14" i="4" s="1"/>
  <c r="BL25" i="4"/>
  <c r="BC359" i="3" a="1"/>
  <c r="BC359" i="3" s="1"/>
  <c r="BK6" i="4" s="1"/>
  <c r="AU44" i="4"/>
  <c r="BN22" i="4"/>
  <c r="BN3" i="4"/>
  <c r="BF3" i="10" s="1"/>
  <c r="BE75" i="3"/>
  <c r="BC355" i="3"/>
  <c r="BE63" i="3"/>
  <c r="BE65" i="3" s="1"/>
  <c r="BE103" i="3"/>
  <c r="BE105" i="3" s="1"/>
  <c r="BE183" i="3"/>
  <c r="BE185" i="3" s="1"/>
  <c r="BN13" i="4"/>
  <c r="BG300" i="3"/>
  <c r="BG307" i="3" s="1"/>
  <c r="BO4" i="4"/>
  <c r="BG5" i="3"/>
  <c r="BG320" i="3"/>
  <c r="BG327" i="3" s="1"/>
  <c r="BG4" i="3"/>
  <c r="BG340" i="3"/>
  <c r="BG347" i="3" s="1"/>
  <c r="BG330" i="3"/>
  <c r="BG337" i="3" s="1"/>
  <c r="BG310" i="3"/>
  <c r="BG317" i="3" s="1"/>
  <c r="BG290" i="3"/>
  <c r="BG297" i="3" s="1"/>
  <c r="BH3" i="3"/>
  <c r="BE23" i="3"/>
  <c r="BE173" i="3"/>
  <c r="BE175" i="3" s="1"/>
  <c r="BE333" i="3"/>
  <c r="BE335" i="3" s="1"/>
  <c r="BD25" i="3"/>
  <c r="BD353" i="3"/>
  <c r="BE33" i="3"/>
  <c r="BE35" i="3" s="1"/>
  <c r="BE153" i="3"/>
  <c r="BE155" i="3" s="1"/>
  <c r="BE43" i="3"/>
  <c r="BE45" i="3" s="1"/>
  <c r="BE11" i="3"/>
  <c r="BE16" i="3"/>
  <c r="BE358" i="3"/>
  <c r="BM24" i="4" s="1"/>
  <c r="BE133" i="3"/>
  <c r="BE135" i="3" s="1"/>
  <c r="BE193" i="3"/>
  <c r="BE195" i="3" s="1"/>
  <c r="BE83" i="3"/>
  <c r="BE85" i="3" s="1"/>
  <c r="BE123" i="3"/>
  <c r="BE125" i="3" s="1"/>
  <c r="BE165" i="3"/>
  <c r="BE243" i="3"/>
  <c r="BE245" i="3" s="1"/>
  <c r="BE143" i="3"/>
  <c r="BE145" i="3" s="1"/>
  <c r="BE283" i="3"/>
  <c r="BE285" i="3" s="1"/>
  <c r="BE93" i="3"/>
  <c r="BE95" i="3" s="1"/>
  <c r="BD55" i="3"/>
  <c r="BE313" i="3"/>
  <c r="BE315" i="3" s="1"/>
  <c r="BD15" i="3"/>
  <c r="BD352" i="3"/>
  <c r="BE263" i="3"/>
  <c r="BE265" i="3" s="1"/>
  <c r="BE253" i="3"/>
  <c r="BE255" i="3" s="1"/>
  <c r="BE53" i="3"/>
  <c r="BE54" i="3" s="1"/>
  <c r="BE354" i="3" s="1"/>
  <c r="BM9" i="4" s="1"/>
  <c r="BE303" i="3"/>
  <c r="BE305" i="3" s="1"/>
  <c r="BE273" i="3"/>
  <c r="BE275" i="3" s="1"/>
  <c r="BE343" i="3"/>
  <c r="BE345" i="3" s="1"/>
  <c r="BF228" i="3"/>
  <c r="BF138" i="3"/>
  <c r="BF338" i="3"/>
  <c r="BF180" i="3"/>
  <c r="BF181" i="3" s="1"/>
  <c r="BF70" i="3"/>
  <c r="BF71" i="3" s="1"/>
  <c r="BF157" i="3"/>
  <c r="BF112" i="3"/>
  <c r="BF174" i="3"/>
  <c r="BF24" i="3"/>
  <c r="BF147" i="3"/>
  <c r="BF117" i="3"/>
  <c r="BF314" i="3"/>
  <c r="BF214" i="3"/>
  <c r="BF212" i="3"/>
  <c r="BF50" i="3"/>
  <c r="BF51" i="3" s="1"/>
  <c r="BF232" i="3"/>
  <c r="BF58" i="3"/>
  <c r="BF77" i="3"/>
  <c r="BF38" i="3"/>
  <c r="BF110" i="3"/>
  <c r="BF111" i="3" s="1"/>
  <c r="BF72" i="3"/>
  <c r="BF73" i="3" s="1"/>
  <c r="BF34" i="3"/>
  <c r="BF44" i="3"/>
  <c r="BF227" i="3"/>
  <c r="BF118" i="3"/>
  <c r="BF192" i="3"/>
  <c r="BF164" i="3"/>
  <c r="BF28" i="3"/>
  <c r="BF222" i="3"/>
  <c r="BF158" i="3"/>
  <c r="BF128" i="3"/>
  <c r="BF344" i="3"/>
  <c r="BF332" i="3"/>
  <c r="BF30" i="3"/>
  <c r="BF31" i="3" s="1"/>
  <c r="BF152" i="3"/>
  <c r="BF244" i="3"/>
  <c r="BF102" i="3"/>
  <c r="BF127" i="3"/>
  <c r="BF74" i="3"/>
  <c r="BF94" i="3"/>
  <c r="BF122" i="3"/>
  <c r="BF144" i="3"/>
  <c r="BF342" i="3"/>
  <c r="BF104" i="3"/>
  <c r="BF27" i="3"/>
  <c r="BF92" i="3"/>
  <c r="BF292" i="3"/>
  <c r="BF154" i="3"/>
  <c r="BF88" i="3"/>
  <c r="BF267" i="3"/>
  <c r="BF78" i="3"/>
  <c r="BF124" i="3"/>
  <c r="BF234" i="3"/>
  <c r="BF130" i="3"/>
  <c r="BF131" i="3" s="1"/>
  <c r="BF60" i="3"/>
  <c r="BF61" i="3" s="1"/>
  <c r="BF137" i="3"/>
  <c r="BF170" i="3"/>
  <c r="BF171" i="3" s="1"/>
  <c r="BF134" i="3"/>
  <c r="BF108" i="3"/>
  <c r="BF287" i="3"/>
  <c r="BF318" i="3"/>
  <c r="BF67" i="3"/>
  <c r="BF68" i="3"/>
  <c r="BF98" i="3"/>
  <c r="BF20" i="3"/>
  <c r="BF21" i="3" s="1"/>
  <c r="BF87" i="3"/>
  <c r="BF268" i="3"/>
  <c r="BF237" i="3"/>
  <c r="BF247" i="3"/>
  <c r="BF120" i="3"/>
  <c r="BF121" i="3" s="1"/>
  <c r="BF197" i="3"/>
  <c r="BF262" i="3"/>
  <c r="BF194" i="3"/>
  <c r="BF348" i="3"/>
  <c r="BF37" i="3"/>
  <c r="BF48" i="3"/>
  <c r="BF80" i="3"/>
  <c r="BF81" i="3" s="1"/>
  <c r="BF198" i="3"/>
  <c r="BF182" i="3"/>
  <c r="BF62" i="3"/>
  <c r="BF52" i="3"/>
  <c r="BF224" i="3"/>
  <c r="BF42" i="3"/>
  <c r="BF324" i="3"/>
  <c r="BF132" i="3"/>
  <c r="BF184" i="3"/>
  <c r="BF162" i="3"/>
  <c r="BF163" i="3" s="1"/>
  <c r="BF308" i="3"/>
  <c r="BF142" i="3"/>
  <c r="BF298" i="3"/>
  <c r="BF217" i="3"/>
  <c r="BF54" i="3"/>
  <c r="BF304" i="3"/>
  <c r="BF150" i="3"/>
  <c r="BF151" i="3" s="1"/>
  <c r="BF160" i="3"/>
  <c r="BF161" i="3" s="1"/>
  <c r="BF248" i="3"/>
  <c r="BF168" i="3"/>
  <c r="BF177" i="3"/>
  <c r="BF302" i="3"/>
  <c r="BF167" i="3"/>
  <c r="BF252" i="3"/>
  <c r="BF10" i="3"/>
  <c r="BF148" i="3"/>
  <c r="BF282" i="3"/>
  <c r="BF254" i="3"/>
  <c r="BF238" i="3"/>
  <c r="BF187" i="3"/>
  <c r="BF32" i="3"/>
  <c r="BF40" i="3"/>
  <c r="BF41" i="3" s="1"/>
  <c r="BF278" i="3"/>
  <c r="BF107" i="3"/>
  <c r="BF57" i="3"/>
  <c r="BF284" i="3"/>
  <c r="BF312" i="3"/>
  <c r="BF22" i="3"/>
  <c r="BN5" i="4"/>
  <c r="BF5" i="10" s="1"/>
  <c r="BF114" i="3"/>
  <c r="BF190" i="3"/>
  <c r="BF191" i="3" s="1"/>
  <c r="BF288" i="3"/>
  <c r="BF218" i="3"/>
  <c r="BF277" i="3"/>
  <c r="BF264" i="3"/>
  <c r="BF272" i="3"/>
  <c r="BF274" i="3"/>
  <c r="BF294" i="3"/>
  <c r="BF84" i="3"/>
  <c r="BF172" i="3"/>
  <c r="BF258" i="3"/>
  <c r="BF334" i="3"/>
  <c r="BF140" i="3"/>
  <c r="BF141" i="3" s="1"/>
  <c r="BF178" i="3"/>
  <c r="BF90" i="3"/>
  <c r="BF91" i="3" s="1"/>
  <c r="BF82" i="3"/>
  <c r="BF188" i="3"/>
  <c r="BF64" i="3"/>
  <c r="BF328" i="3"/>
  <c r="BF47" i="3"/>
  <c r="BF100" i="3"/>
  <c r="BF101" i="3" s="1"/>
  <c r="BF97" i="3"/>
  <c r="BF257" i="3"/>
  <c r="BF322" i="3"/>
  <c r="BF242" i="3"/>
  <c r="BF6" i="3"/>
  <c r="BE293" i="3"/>
  <c r="BE295" i="3" s="1"/>
  <c r="BE223" i="3"/>
  <c r="BE225" i="3" s="1"/>
  <c r="BE357" i="3"/>
  <c r="BM23" i="4" s="1"/>
  <c r="BE233" i="3"/>
  <c r="BE235" i="3" s="1"/>
  <c r="BE213" i="3"/>
  <c r="BE215" i="3" s="1"/>
  <c r="BE323" i="3"/>
  <c r="BE325" i="3" s="1"/>
  <c r="BE113" i="3"/>
  <c r="BE115" i="3" s="1"/>
  <c r="BF7" i="3"/>
  <c r="BN17" i="4" s="1"/>
  <c r="BE236" i="3"/>
  <c r="BE266" i="3"/>
  <c r="BE226" i="3"/>
  <c r="BE276" i="3"/>
  <c r="BE86" i="3"/>
  <c r="BE256" i="3"/>
  <c r="BE216" i="3"/>
  <c r="BE26" i="3"/>
  <c r="BE166" i="3"/>
  <c r="BE296" i="3"/>
  <c r="BE76" i="3"/>
  <c r="BE46" i="3"/>
  <c r="BE176" i="3"/>
  <c r="BE346" i="3"/>
  <c r="BE286" i="3"/>
  <c r="BE306" i="3"/>
  <c r="BE316" i="3"/>
  <c r="BE326" i="3"/>
  <c r="BE186" i="3"/>
  <c r="BE96" i="3"/>
  <c r="BE126" i="3"/>
  <c r="BE56" i="3"/>
  <c r="BE106" i="3"/>
  <c r="BE336" i="3"/>
  <c r="BE146" i="3"/>
  <c r="BE66" i="3"/>
  <c r="BE156" i="3"/>
  <c r="BE116" i="3"/>
  <c r="BE136" i="3"/>
  <c r="BE36" i="3"/>
  <c r="BE196" i="3"/>
  <c r="BE246" i="3"/>
  <c r="BD356" i="3"/>
  <c r="BL12" i="4" s="1"/>
  <c r="BG4" i="10" l="1"/>
  <c r="BO21" i="4"/>
  <c r="AA50" i="4"/>
  <c r="AA45" i="4"/>
  <c r="BJ18" i="4"/>
  <c r="BJ19" i="4" s="1"/>
  <c r="AX31" i="4" s="1"/>
  <c r="BK10" i="4"/>
  <c r="BK14" i="4" s="1"/>
  <c r="BK16" i="4"/>
  <c r="BL8" i="4"/>
  <c r="BD359" i="3" a="1"/>
  <c r="BD359" i="3" s="1"/>
  <c r="BL6" i="4" s="1"/>
  <c r="BM25" i="4"/>
  <c r="AV44" i="4"/>
  <c r="BI27" i="4"/>
  <c r="AW31" i="4"/>
  <c r="BO22" i="4"/>
  <c r="BO3" i="4"/>
  <c r="BG3" i="10" s="1"/>
  <c r="BF63" i="3"/>
  <c r="BF65" i="3" s="1"/>
  <c r="BF233" i="3"/>
  <c r="BF235" i="3" s="1"/>
  <c r="BF165" i="3"/>
  <c r="BF23" i="3"/>
  <c r="BF25" i="3" s="1"/>
  <c r="BF43" i="3"/>
  <c r="BF45" i="3" s="1"/>
  <c r="BF313" i="3"/>
  <c r="BF315" i="3" s="1"/>
  <c r="BD355" i="3"/>
  <c r="BF303" i="3"/>
  <c r="BF305" i="3" s="1"/>
  <c r="BF153" i="3"/>
  <c r="BF155" i="3" s="1"/>
  <c r="BF53" i="3"/>
  <c r="BF55" i="3" s="1"/>
  <c r="BF333" i="3"/>
  <c r="BF335" i="3" s="1"/>
  <c r="BF213" i="3"/>
  <c r="BF215" i="3" s="1"/>
  <c r="BF323" i="3"/>
  <c r="BF325" i="3" s="1"/>
  <c r="BF223" i="3"/>
  <c r="BF225" i="3" s="1"/>
  <c r="BG287" i="3"/>
  <c r="BG137" i="3"/>
  <c r="BG304" i="3"/>
  <c r="BG184" i="3"/>
  <c r="BG177" i="3"/>
  <c r="BG172" i="3"/>
  <c r="BG87" i="3"/>
  <c r="BG318" i="3"/>
  <c r="BG64" i="3"/>
  <c r="BG248" i="3"/>
  <c r="BG127" i="3"/>
  <c r="BG268" i="3"/>
  <c r="BG154" i="3"/>
  <c r="BG48" i="3"/>
  <c r="BG22" i="3"/>
  <c r="BG242" i="3"/>
  <c r="BG170" i="3"/>
  <c r="BG171" i="3" s="1"/>
  <c r="BG174" i="3"/>
  <c r="BG238" i="3"/>
  <c r="BG198" i="3"/>
  <c r="BG28" i="3"/>
  <c r="BG277" i="3"/>
  <c r="BG100" i="3"/>
  <c r="BG101" i="3" s="1"/>
  <c r="BG80" i="3"/>
  <c r="BG81" i="3" s="1"/>
  <c r="BG282" i="3"/>
  <c r="BG114" i="3"/>
  <c r="BG140" i="3"/>
  <c r="BG141" i="3" s="1"/>
  <c r="BG278" i="3"/>
  <c r="BG298" i="3"/>
  <c r="BG338" i="3"/>
  <c r="BG104" i="3"/>
  <c r="BG50" i="3"/>
  <c r="BG51" i="3" s="1"/>
  <c r="BG314" i="3"/>
  <c r="BG94" i="3"/>
  <c r="BG308" i="3"/>
  <c r="BG144" i="3"/>
  <c r="BG122" i="3"/>
  <c r="BG227" i="3"/>
  <c r="BG252" i="3"/>
  <c r="BG274" i="3"/>
  <c r="BG82" i="3"/>
  <c r="BG197" i="3"/>
  <c r="BG284" i="3"/>
  <c r="BG294" i="3"/>
  <c r="BG30" i="3"/>
  <c r="BG31" i="3" s="1"/>
  <c r="BG178" i="3"/>
  <c r="BG342" i="3"/>
  <c r="BG74" i="3"/>
  <c r="BG142" i="3"/>
  <c r="BG162" i="3"/>
  <c r="BG163" i="3" s="1"/>
  <c r="BG332" i="3"/>
  <c r="BG180" i="3"/>
  <c r="BG181" i="3" s="1"/>
  <c r="BG57" i="3"/>
  <c r="BG237" i="3"/>
  <c r="BG217" i="3"/>
  <c r="BG67" i="3"/>
  <c r="BG262" i="3"/>
  <c r="BG302" i="3"/>
  <c r="BG44" i="3"/>
  <c r="BG247" i="3"/>
  <c r="BG130" i="3"/>
  <c r="BG131" i="3" s="1"/>
  <c r="BG98" i="3"/>
  <c r="BG182" i="3"/>
  <c r="BG328" i="3"/>
  <c r="BG70" i="3"/>
  <c r="BG71" i="3" s="1"/>
  <c r="BG110" i="3"/>
  <c r="BG111" i="3" s="1"/>
  <c r="BG68" i="3"/>
  <c r="BG108" i="3"/>
  <c r="BG27" i="3"/>
  <c r="BG218" i="3"/>
  <c r="BG148" i="3"/>
  <c r="BG344" i="3"/>
  <c r="BG37" i="3"/>
  <c r="BG214" i="3"/>
  <c r="BG72" i="3"/>
  <c r="BG73" i="3" s="1"/>
  <c r="BG54" i="3"/>
  <c r="BG84" i="3"/>
  <c r="BG107" i="3"/>
  <c r="BG47" i="3"/>
  <c r="BG78" i="3"/>
  <c r="BG88" i="3"/>
  <c r="BG267" i="3"/>
  <c r="BG187" i="3"/>
  <c r="BG138" i="3"/>
  <c r="BG334" i="3"/>
  <c r="BO5" i="4"/>
  <c r="BG5" i="10" s="1"/>
  <c r="BG232" i="3"/>
  <c r="BG62" i="3"/>
  <c r="BG10" i="3"/>
  <c r="BG34" i="3"/>
  <c r="BG258" i="3"/>
  <c r="BG58" i="3"/>
  <c r="BG38" i="3"/>
  <c r="BG192" i="3"/>
  <c r="BG224" i="3"/>
  <c r="BG160" i="3"/>
  <c r="BG161" i="3" s="1"/>
  <c r="BG157" i="3"/>
  <c r="BG124" i="3"/>
  <c r="BG257" i="3"/>
  <c r="BG92" i="3"/>
  <c r="BG292" i="3"/>
  <c r="BG150" i="3"/>
  <c r="BG151" i="3" s="1"/>
  <c r="BG228" i="3"/>
  <c r="BG234" i="3"/>
  <c r="BG24" i="3"/>
  <c r="BG322" i="3"/>
  <c r="BG244" i="3"/>
  <c r="BG190" i="3"/>
  <c r="BG191" i="3" s="1"/>
  <c r="BG132" i="3"/>
  <c r="BG288" i="3"/>
  <c r="BG128" i="3"/>
  <c r="BG117" i="3"/>
  <c r="BG212" i="3"/>
  <c r="BG324" i="3"/>
  <c r="BG222" i="3"/>
  <c r="BG42" i="3"/>
  <c r="BG120" i="3"/>
  <c r="BG121" i="3" s="1"/>
  <c r="BG164" i="3"/>
  <c r="BG112" i="3"/>
  <c r="BG152" i="3"/>
  <c r="BG40" i="3"/>
  <c r="BG41" i="3" s="1"/>
  <c r="BG348" i="3"/>
  <c r="BG147" i="3"/>
  <c r="BG168" i="3"/>
  <c r="BG312" i="3"/>
  <c r="BG134" i="3"/>
  <c r="BG52" i="3"/>
  <c r="BG77" i="3"/>
  <c r="BG272" i="3"/>
  <c r="BG32" i="3"/>
  <c r="BG90" i="3"/>
  <c r="BG91" i="3" s="1"/>
  <c r="BG188" i="3"/>
  <c r="BG158" i="3"/>
  <c r="BG102" i="3"/>
  <c r="BG254" i="3"/>
  <c r="BG118" i="3"/>
  <c r="BG264" i="3"/>
  <c r="BG194" i="3"/>
  <c r="BG97" i="3"/>
  <c r="BG167" i="3"/>
  <c r="BG20" i="3"/>
  <c r="BG21" i="3" s="1"/>
  <c r="BG60" i="3"/>
  <c r="BG61" i="3" s="1"/>
  <c r="BG6" i="3"/>
  <c r="BF33" i="3"/>
  <c r="BF358" i="3"/>
  <c r="BN24" i="4" s="1"/>
  <c r="BF343" i="3"/>
  <c r="BF345" i="3" s="1"/>
  <c r="BE352" i="3"/>
  <c r="BE15" i="3"/>
  <c r="BO13" i="4"/>
  <c r="BH290" i="3"/>
  <c r="BH297" i="3" s="1"/>
  <c r="BH310" i="3"/>
  <c r="BH317" i="3" s="1"/>
  <c r="BH4" i="3"/>
  <c r="BH320" i="3"/>
  <c r="BH327" i="3" s="1"/>
  <c r="BH5" i="3"/>
  <c r="BP4" i="4"/>
  <c r="BH330" i="3"/>
  <c r="BH337" i="3" s="1"/>
  <c r="BI3" i="3"/>
  <c r="BH340" i="3"/>
  <c r="BH347" i="3" s="1"/>
  <c r="BH300" i="3"/>
  <c r="BH307" i="3" s="1"/>
  <c r="BF273" i="3"/>
  <c r="BF275" i="3" s="1"/>
  <c r="BF193" i="3"/>
  <c r="BF195" i="3" s="1"/>
  <c r="BF123" i="3"/>
  <c r="BF125" i="3" s="1"/>
  <c r="BF354" i="3"/>
  <c r="BN9" i="4" s="1"/>
  <c r="BF283" i="3"/>
  <c r="BF285" i="3" s="1"/>
  <c r="BF263" i="3"/>
  <c r="BF265" i="3" s="1"/>
  <c r="BF293" i="3"/>
  <c r="BF295" i="3" s="1"/>
  <c r="BF93" i="3"/>
  <c r="BF95" i="3" s="1"/>
  <c r="BF113" i="3"/>
  <c r="BF115" i="3" s="1"/>
  <c r="BF357" i="3"/>
  <c r="BN23" i="4" s="1"/>
  <c r="BF16" i="3"/>
  <c r="BF11" i="3"/>
  <c r="BE353" i="3"/>
  <c r="BE25" i="3"/>
  <c r="BF173" i="3"/>
  <c r="BF175" i="3" s="1"/>
  <c r="BF183" i="3"/>
  <c r="BF185" i="3" s="1"/>
  <c r="BF243" i="3"/>
  <c r="BF245" i="3" s="1"/>
  <c r="BE55" i="3"/>
  <c r="BF143" i="3"/>
  <c r="BF145" i="3" s="1"/>
  <c r="BF83" i="3"/>
  <c r="BF85" i="3" s="1"/>
  <c r="BF253" i="3"/>
  <c r="BF255" i="3" s="1"/>
  <c r="BF133" i="3"/>
  <c r="BF135" i="3" s="1"/>
  <c r="BF103" i="3"/>
  <c r="BF105" i="3" s="1"/>
  <c r="BF75" i="3"/>
  <c r="BG7" i="3"/>
  <c r="BO17" i="4" s="1"/>
  <c r="BF226" i="3"/>
  <c r="BF276" i="3"/>
  <c r="BF266" i="3"/>
  <c r="BF236" i="3"/>
  <c r="BF106" i="3"/>
  <c r="BF56" i="3"/>
  <c r="BF116" i="3"/>
  <c r="BF246" i="3"/>
  <c r="BF326" i="3"/>
  <c r="BF196" i="3"/>
  <c r="BF66" i="3"/>
  <c r="BF86" i="3"/>
  <c r="BF96" i="3"/>
  <c r="BF76" i="3"/>
  <c r="BF136" i="3"/>
  <c r="BF216" i="3"/>
  <c r="BF146" i="3"/>
  <c r="BF306" i="3"/>
  <c r="BF256" i="3"/>
  <c r="BF176" i="3"/>
  <c r="BF126" i="3"/>
  <c r="BF316" i="3"/>
  <c r="BF296" i="3"/>
  <c r="BF156" i="3"/>
  <c r="BF26" i="3"/>
  <c r="BF166" i="3"/>
  <c r="BF186" i="3"/>
  <c r="BF36" i="3"/>
  <c r="BF346" i="3"/>
  <c r="BF46" i="3"/>
  <c r="BF336" i="3"/>
  <c r="BF286" i="3"/>
  <c r="BE356" i="3"/>
  <c r="BM12" i="4" s="1"/>
  <c r="BP21" i="4" l="1"/>
  <c r="BH4" i="10"/>
  <c r="AA46" i="4"/>
  <c r="AA47" i="4" s="1"/>
  <c r="BM8" i="4"/>
  <c r="BM10" i="4" s="1"/>
  <c r="BL16" i="4"/>
  <c r="BK18" i="4"/>
  <c r="BK19" i="4" s="1"/>
  <c r="BJ27" i="4"/>
  <c r="BL10" i="4"/>
  <c r="BL14" i="4" s="1"/>
  <c r="BN25" i="4"/>
  <c r="BP22" i="4"/>
  <c r="BP3" i="4"/>
  <c r="BH3" i="10" s="1"/>
  <c r="AX32" i="4"/>
  <c r="AX34" i="4" s="1"/>
  <c r="AW32" i="4"/>
  <c r="AW34" i="4" s="1"/>
  <c r="BG223" i="3"/>
  <c r="BG225" i="3" s="1"/>
  <c r="BG33" i="3"/>
  <c r="BG35" i="3" s="1"/>
  <c r="BE359" i="3" a="1"/>
  <c r="BE359" i="3" s="1"/>
  <c r="BM6" i="4" s="1"/>
  <c r="BG323" i="3"/>
  <c r="BG325" i="3" s="1"/>
  <c r="BG113" i="3"/>
  <c r="BG115" i="3" s="1"/>
  <c r="BG233" i="3"/>
  <c r="BG235" i="3" s="1"/>
  <c r="BG173" i="3"/>
  <c r="BG175" i="3" s="1"/>
  <c r="BG303" i="3"/>
  <c r="BG305" i="3" s="1"/>
  <c r="BG263" i="3"/>
  <c r="BG265" i="3" s="1"/>
  <c r="BG153" i="3"/>
  <c r="BG155" i="3" s="1"/>
  <c r="BG63" i="3"/>
  <c r="BG65" i="3" s="1"/>
  <c r="BG253" i="3"/>
  <c r="BG255" i="3" s="1"/>
  <c r="BG103" i="3"/>
  <c r="BG105" i="3" s="1"/>
  <c r="BG293" i="3"/>
  <c r="BG295" i="3" s="1"/>
  <c r="BG123" i="3"/>
  <c r="BG125" i="3" s="1"/>
  <c r="BG43" i="3"/>
  <c r="BG45" i="3" s="1"/>
  <c r="BG93" i="3"/>
  <c r="BG95" i="3" s="1"/>
  <c r="BG333" i="3"/>
  <c r="BG335" i="3" s="1"/>
  <c r="BE355" i="3"/>
  <c r="BH267" i="3"/>
  <c r="BH128" i="3"/>
  <c r="BH138" i="3"/>
  <c r="BH278" i="3"/>
  <c r="BH324" i="3"/>
  <c r="BH140" i="3"/>
  <c r="BH141" i="3" s="1"/>
  <c r="BH150" i="3"/>
  <c r="BH151" i="3" s="1"/>
  <c r="BH214" i="3"/>
  <c r="BH170" i="3"/>
  <c r="BH171" i="3" s="1"/>
  <c r="BH338" i="3"/>
  <c r="BP5" i="4"/>
  <c r="BH5" i="10" s="1"/>
  <c r="BH58" i="3"/>
  <c r="BH264" i="3"/>
  <c r="BH104" i="3"/>
  <c r="BH122" i="3"/>
  <c r="BH242" i="3"/>
  <c r="BH258" i="3"/>
  <c r="BH228" i="3"/>
  <c r="BH168" i="3"/>
  <c r="BH304" i="3"/>
  <c r="BH224" i="3"/>
  <c r="BH68" i="3"/>
  <c r="BH94" i="3"/>
  <c r="BH32" i="3"/>
  <c r="BH164" i="3"/>
  <c r="BH147" i="3"/>
  <c r="BH92" i="3"/>
  <c r="BH84" i="3"/>
  <c r="BH30" i="3"/>
  <c r="BH31" i="3" s="1"/>
  <c r="BH70" i="3"/>
  <c r="BH71" i="3" s="1"/>
  <c r="BH77" i="3"/>
  <c r="BH78" i="3"/>
  <c r="BH262" i="3"/>
  <c r="BH28" i="3"/>
  <c r="BH52" i="3"/>
  <c r="BH148" i="3"/>
  <c r="BH132" i="3"/>
  <c r="BH87" i="3"/>
  <c r="BH27" i="3"/>
  <c r="BH120" i="3"/>
  <c r="BH121" i="3" s="1"/>
  <c r="BH302" i="3"/>
  <c r="BH348" i="3"/>
  <c r="BH160" i="3"/>
  <c r="BH257" i="3"/>
  <c r="BH144" i="3"/>
  <c r="BH294" i="3"/>
  <c r="BH227" i="3"/>
  <c r="BH40" i="3"/>
  <c r="BH41" i="3" s="1"/>
  <c r="BH167" i="3"/>
  <c r="BH20" i="3"/>
  <c r="BH21" i="3" s="1"/>
  <c r="BH237" i="3"/>
  <c r="BH217" i="3"/>
  <c r="BH10" i="3"/>
  <c r="BH24" i="3"/>
  <c r="BH152" i="3"/>
  <c r="BH188" i="3"/>
  <c r="BH124" i="3"/>
  <c r="BH80" i="3"/>
  <c r="BH81" i="3" s="1"/>
  <c r="BH117" i="3"/>
  <c r="BH34" i="3"/>
  <c r="BH238" i="3"/>
  <c r="BH157" i="3"/>
  <c r="BH47" i="3"/>
  <c r="BH178" i="3"/>
  <c r="BH110" i="3"/>
  <c r="BH111" i="3" s="1"/>
  <c r="BH158" i="3"/>
  <c r="BH54" i="3"/>
  <c r="BH118" i="3"/>
  <c r="BH100" i="3"/>
  <c r="BH101" i="3" s="1"/>
  <c r="BH50" i="3"/>
  <c r="BH51" i="3" s="1"/>
  <c r="BH342" i="3"/>
  <c r="BH72" i="3"/>
  <c r="BH73" i="3" s="1"/>
  <c r="BH284" i="3"/>
  <c r="BH222" i="3"/>
  <c r="BH308" i="3"/>
  <c r="BH318" i="3"/>
  <c r="BH38" i="3"/>
  <c r="BH254" i="3"/>
  <c r="BH272" i="3"/>
  <c r="BH322" i="3"/>
  <c r="BH244" i="3"/>
  <c r="BH142" i="3"/>
  <c r="BH182" i="3"/>
  <c r="BH247" i="3"/>
  <c r="BH312" i="3"/>
  <c r="BH252" i="3"/>
  <c r="BH88" i="3"/>
  <c r="BH194" i="3"/>
  <c r="BH130" i="3"/>
  <c r="BH131" i="3" s="1"/>
  <c r="BH154" i="3"/>
  <c r="BH97" i="3"/>
  <c r="BH174" i="3"/>
  <c r="BH180" i="3"/>
  <c r="BH181" i="3" s="1"/>
  <c r="BH190" i="3"/>
  <c r="BH191" i="3" s="1"/>
  <c r="BH74" i="3"/>
  <c r="BH172" i="3"/>
  <c r="BH248" i="3"/>
  <c r="BH162" i="3"/>
  <c r="BH163" i="3" s="1"/>
  <c r="BH112" i="3"/>
  <c r="BH184" i="3"/>
  <c r="BH268" i="3"/>
  <c r="BH287" i="3"/>
  <c r="BH334" i="3"/>
  <c r="BH48" i="3"/>
  <c r="BH62" i="3"/>
  <c r="BH198" i="3"/>
  <c r="BH192" i="3"/>
  <c r="BH82" i="3"/>
  <c r="BH328" i="3"/>
  <c r="BH232" i="3"/>
  <c r="BH218" i="3"/>
  <c r="BH127" i="3"/>
  <c r="BH277" i="3"/>
  <c r="BH332" i="3"/>
  <c r="BH114" i="3"/>
  <c r="BH187" i="3"/>
  <c r="BH98" i="3"/>
  <c r="BH314" i="3"/>
  <c r="BH37" i="3"/>
  <c r="BH274" i="3"/>
  <c r="BH134" i="3"/>
  <c r="BH67" i="3"/>
  <c r="BH107" i="3"/>
  <c r="BH282" i="3"/>
  <c r="BH197" i="3"/>
  <c r="BH288" i="3"/>
  <c r="BH102" i="3"/>
  <c r="BH57" i="3"/>
  <c r="BH298" i="3"/>
  <c r="BH212" i="3"/>
  <c r="BH234" i="3"/>
  <c r="BH64" i="3"/>
  <c r="BH42" i="3"/>
  <c r="BH108" i="3"/>
  <c r="BH90" i="3"/>
  <c r="BH91" i="3" s="1"/>
  <c r="BH22" i="3"/>
  <c r="BH137" i="3"/>
  <c r="BH177" i="3"/>
  <c r="BH44" i="3"/>
  <c r="BH60" i="3"/>
  <c r="BH61" i="3" s="1"/>
  <c r="BH344" i="3"/>
  <c r="BH292" i="3"/>
  <c r="BH6" i="3"/>
  <c r="BG354" i="3"/>
  <c r="BO9" i="4" s="1"/>
  <c r="BG11" i="3"/>
  <c r="BG16" i="3"/>
  <c r="BG83" i="3"/>
  <c r="BG85" i="3" s="1"/>
  <c r="BG283" i="3"/>
  <c r="BG285" i="3" s="1"/>
  <c r="BG273" i="3"/>
  <c r="BG275" i="3" s="1"/>
  <c r="BG213" i="3"/>
  <c r="BG215" i="3" s="1"/>
  <c r="BG75" i="3"/>
  <c r="BG143" i="3"/>
  <c r="BG145" i="3" s="1"/>
  <c r="BG358" i="3"/>
  <c r="BO24" i="4" s="1"/>
  <c r="BF35" i="3"/>
  <c r="BF353" i="3"/>
  <c r="BG165" i="3"/>
  <c r="BG243" i="3"/>
  <c r="BG245" i="3" s="1"/>
  <c r="BG183" i="3"/>
  <c r="BG185" i="3" s="1"/>
  <c r="BG343" i="3"/>
  <c r="BG345" i="3" s="1"/>
  <c r="BG23" i="3"/>
  <c r="BG193" i="3"/>
  <c r="BG195" i="3" s="1"/>
  <c r="BF15" i="3"/>
  <c r="BF352" i="3"/>
  <c r="BG313" i="3"/>
  <c r="BG315" i="3" s="1"/>
  <c r="BG133" i="3"/>
  <c r="BG135" i="3" s="1"/>
  <c r="BG357" i="3"/>
  <c r="BO23" i="4" s="1"/>
  <c r="BI4" i="3"/>
  <c r="BI340" i="3"/>
  <c r="BI347" i="3" s="1"/>
  <c r="BI300" i="3"/>
  <c r="BI307" i="3" s="1"/>
  <c r="BQ4" i="4"/>
  <c r="BJ3" i="3"/>
  <c r="BI290" i="3"/>
  <c r="BI297" i="3" s="1"/>
  <c r="BI320" i="3"/>
  <c r="BI327" i="3" s="1"/>
  <c r="BI5" i="3"/>
  <c r="BI310" i="3"/>
  <c r="BI317" i="3" s="1"/>
  <c r="BI330" i="3"/>
  <c r="BI337" i="3" s="1"/>
  <c r="BG53" i="3"/>
  <c r="BG55" i="3" s="1"/>
  <c r="BP13" i="4"/>
  <c r="BH7" i="3"/>
  <c r="BP17" i="4" s="1"/>
  <c r="BG266" i="3"/>
  <c r="BG276" i="3"/>
  <c r="BG236" i="3"/>
  <c r="BG156" i="3"/>
  <c r="BG226" i="3"/>
  <c r="BG76" i="3"/>
  <c r="BG96" i="3"/>
  <c r="BG286" i="3"/>
  <c r="BG216" i="3"/>
  <c r="BG66" i="3"/>
  <c r="BG326" i="3"/>
  <c r="BG166" i="3"/>
  <c r="BG306" i="3"/>
  <c r="BG296" i="3"/>
  <c r="BG316" i="3"/>
  <c r="BG256" i="3"/>
  <c r="BG56" i="3"/>
  <c r="BG196" i="3"/>
  <c r="BG346" i="3"/>
  <c r="BG46" i="3"/>
  <c r="BG246" i="3"/>
  <c r="BG86" i="3"/>
  <c r="BG186" i="3"/>
  <c r="BG106" i="3"/>
  <c r="BG176" i="3"/>
  <c r="BG146" i="3"/>
  <c r="BG136" i="3"/>
  <c r="BG116" i="3"/>
  <c r="BG26" i="3"/>
  <c r="BG336" i="3"/>
  <c r="BG126" i="3"/>
  <c r="BG36" i="3"/>
  <c r="BF356" i="3"/>
  <c r="BN12" i="4" s="1"/>
  <c r="BM16" i="4" l="1"/>
  <c r="BQ21" i="4"/>
  <c r="BI4" i="10"/>
  <c r="AA48" i="4"/>
  <c r="AB43" i="4" s="1"/>
  <c r="BK27" i="4"/>
  <c r="AY31" i="4"/>
  <c r="AY32" i="4" s="1"/>
  <c r="AY34" i="4" s="1"/>
  <c r="AY44" i="4" s="1"/>
  <c r="BL18" i="4"/>
  <c r="BL19" i="4" s="1"/>
  <c r="BM14" i="4"/>
  <c r="BM18" i="4" s="1"/>
  <c r="BN8" i="4"/>
  <c r="BO25" i="4"/>
  <c r="AW44" i="4"/>
  <c r="AX44" i="4"/>
  <c r="BQ22" i="4"/>
  <c r="BQ3" i="4"/>
  <c r="BI3" i="10" s="1"/>
  <c r="BF359" i="3" a="1"/>
  <c r="BF359" i="3" s="1"/>
  <c r="BN6" i="4" s="1"/>
  <c r="BK3" i="3"/>
  <c r="BL3" i="3" s="1"/>
  <c r="BT4" i="4" s="1"/>
  <c r="BH193" i="3"/>
  <c r="BH195" i="3" s="1"/>
  <c r="BH23" i="3"/>
  <c r="BH33" i="3"/>
  <c r="BH35" i="3" s="1"/>
  <c r="BH233" i="3"/>
  <c r="BH235" i="3" s="1"/>
  <c r="BH283" i="3"/>
  <c r="BH285" i="3" s="1"/>
  <c r="BH93" i="3"/>
  <c r="BH95" i="3" s="1"/>
  <c r="BH63" i="3"/>
  <c r="BH65" i="3" s="1"/>
  <c r="BH354" i="3"/>
  <c r="BP9" i="4" s="1"/>
  <c r="BH43" i="3"/>
  <c r="BH45" i="3" s="1"/>
  <c r="BH313" i="3"/>
  <c r="BH315" i="3" s="1"/>
  <c r="BH11" i="3"/>
  <c r="BH16" i="3"/>
  <c r="BH133" i="3"/>
  <c r="BH135" i="3" s="1"/>
  <c r="BH303" i="3"/>
  <c r="BH305" i="3" s="1"/>
  <c r="BH153" i="3"/>
  <c r="BH155" i="3" s="1"/>
  <c r="BH293" i="3"/>
  <c r="BH295" i="3" s="1"/>
  <c r="BH343" i="3"/>
  <c r="BH345" i="3" s="1"/>
  <c r="BH253" i="3"/>
  <c r="BH255" i="3" s="1"/>
  <c r="BJ340" i="3"/>
  <c r="BJ347" i="3" s="1"/>
  <c r="BJ300" i="3"/>
  <c r="BJ307" i="3" s="1"/>
  <c r="BR4" i="4"/>
  <c r="BJ290" i="3"/>
  <c r="BJ297" i="3" s="1"/>
  <c r="BJ320" i="3"/>
  <c r="BJ327" i="3" s="1"/>
  <c r="BJ310" i="3"/>
  <c r="BJ317" i="3" s="1"/>
  <c r="BJ4" i="3"/>
  <c r="BJ5" i="3"/>
  <c r="BJ330" i="3"/>
  <c r="BJ337" i="3" s="1"/>
  <c r="BH113" i="3"/>
  <c r="BH115" i="3" s="1"/>
  <c r="BH183" i="3"/>
  <c r="BH185" i="3" s="1"/>
  <c r="BH53" i="3"/>
  <c r="BH55" i="3" s="1"/>
  <c r="BH166" i="3"/>
  <c r="BH161" i="3"/>
  <c r="BH165" i="3" s="1"/>
  <c r="BH357" i="3"/>
  <c r="BP23" i="4" s="1"/>
  <c r="BG25" i="3"/>
  <c r="BG353" i="3"/>
  <c r="BH333" i="3"/>
  <c r="BH335" i="3" s="1"/>
  <c r="BH358" i="3"/>
  <c r="BP24" i="4" s="1"/>
  <c r="BI247" i="3"/>
  <c r="BI218" i="3"/>
  <c r="BI68" i="3"/>
  <c r="BI242" i="3"/>
  <c r="BI90" i="3"/>
  <c r="BI91" i="3" s="1"/>
  <c r="BI80" i="3"/>
  <c r="BI81" i="3" s="1"/>
  <c r="BI322" i="3"/>
  <c r="BI294" i="3"/>
  <c r="BI24" i="3"/>
  <c r="BI338" i="3"/>
  <c r="BI187" i="3"/>
  <c r="BI177" i="3"/>
  <c r="BI182" i="3"/>
  <c r="BI264" i="3"/>
  <c r="BI74" i="3"/>
  <c r="BI274" i="3"/>
  <c r="BI174" i="3"/>
  <c r="BI67" i="3"/>
  <c r="BI77" i="3"/>
  <c r="BI102" i="3"/>
  <c r="BI44" i="3"/>
  <c r="BI257" i="3"/>
  <c r="BI57" i="3"/>
  <c r="BI147" i="3"/>
  <c r="BI232" i="3"/>
  <c r="BI94" i="3"/>
  <c r="BI282" i="3"/>
  <c r="BI252" i="3"/>
  <c r="BI158" i="3"/>
  <c r="BI228" i="3"/>
  <c r="BI304" i="3"/>
  <c r="BI38" i="3"/>
  <c r="BI98" i="3"/>
  <c r="BI212" i="3"/>
  <c r="BI32" i="3"/>
  <c r="BI78" i="3"/>
  <c r="BI152" i="3"/>
  <c r="BI132" i="3"/>
  <c r="BI192" i="3"/>
  <c r="BI167" i="3"/>
  <c r="BI117" i="3"/>
  <c r="BI60" i="3"/>
  <c r="BI61" i="3" s="1"/>
  <c r="BI244" i="3"/>
  <c r="BI22" i="3"/>
  <c r="BI214" i="3"/>
  <c r="BI308" i="3"/>
  <c r="BI128" i="3"/>
  <c r="BI157" i="3"/>
  <c r="BI72" i="3"/>
  <c r="BI73" i="3" s="1"/>
  <c r="BI224" i="3"/>
  <c r="BI52" i="3"/>
  <c r="BI144" i="3"/>
  <c r="BI122" i="3"/>
  <c r="BI184" i="3"/>
  <c r="BI298" i="3"/>
  <c r="BI34" i="3"/>
  <c r="BI20" i="3"/>
  <c r="BI21" i="3" s="1"/>
  <c r="BI318" i="3"/>
  <c r="BI27" i="3"/>
  <c r="BI287" i="3"/>
  <c r="BI58" i="3"/>
  <c r="BI64" i="3"/>
  <c r="BI92" i="3"/>
  <c r="BI30" i="3"/>
  <c r="BI31" i="3" s="1"/>
  <c r="BI168" i="3"/>
  <c r="BI272" i="3"/>
  <c r="BI70" i="3"/>
  <c r="BI71" i="3" s="1"/>
  <c r="BI288" i="3"/>
  <c r="BI292" i="3"/>
  <c r="BI254" i="3"/>
  <c r="BI237" i="3"/>
  <c r="BI48" i="3"/>
  <c r="BI234" i="3"/>
  <c r="BI137" i="3"/>
  <c r="BI197" i="3"/>
  <c r="BI222" i="3"/>
  <c r="BI84" i="3"/>
  <c r="BI142" i="3"/>
  <c r="BI124" i="3"/>
  <c r="BI97" i="3"/>
  <c r="BI112" i="3"/>
  <c r="BI324" i="3"/>
  <c r="BI110" i="3"/>
  <c r="BI111" i="3" s="1"/>
  <c r="BI10" i="3"/>
  <c r="BI118" i="3"/>
  <c r="BI150" i="3"/>
  <c r="BI151" i="3" s="1"/>
  <c r="BI172" i="3"/>
  <c r="BI267" i="3"/>
  <c r="BI40" i="3"/>
  <c r="BI41" i="3" s="1"/>
  <c r="BI188" i="3"/>
  <c r="BI334" i="3"/>
  <c r="BI50" i="3"/>
  <c r="BI51" i="3" s="1"/>
  <c r="BI28" i="3"/>
  <c r="BI332" i="3"/>
  <c r="BI277" i="3"/>
  <c r="BI162" i="3"/>
  <c r="BI163" i="3" s="1"/>
  <c r="BI328" i="3"/>
  <c r="BI284" i="3"/>
  <c r="BI134" i="3"/>
  <c r="BI258" i="3"/>
  <c r="BI107" i="3"/>
  <c r="BI154" i="3"/>
  <c r="BI342" i="3"/>
  <c r="BI37" i="3"/>
  <c r="BI164" i="3"/>
  <c r="BI262" i="3"/>
  <c r="BI130" i="3"/>
  <c r="BI131" i="3" s="1"/>
  <c r="BI54" i="3"/>
  <c r="BI238" i="3"/>
  <c r="BI302" i="3"/>
  <c r="BI194" i="3"/>
  <c r="BI120" i="3"/>
  <c r="BI121" i="3" s="1"/>
  <c r="BI227" i="3"/>
  <c r="BI87" i="3"/>
  <c r="BI190" i="3"/>
  <c r="BI191" i="3" s="1"/>
  <c r="BI170" i="3"/>
  <c r="BI171" i="3" s="1"/>
  <c r="BI312" i="3"/>
  <c r="BI62" i="3"/>
  <c r="BI180" i="3"/>
  <c r="BI181" i="3" s="1"/>
  <c r="BI114" i="3"/>
  <c r="BI160" i="3"/>
  <c r="BI178" i="3"/>
  <c r="BI42" i="3"/>
  <c r="BI138" i="3"/>
  <c r="BI108" i="3"/>
  <c r="BI47" i="3"/>
  <c r="BI198" i="3"/>
  <c r="BI268" i="3"/>
  <c r="BI82" i="3"/>
  <c r="BI127" i="3"/>
  <c r="BI148" i="3"/>
  <c r="BI217" i="3"/>
  <c r="BI88" i="3"/>
  <c r="BQ5" i="4"/>
  <c r="BI5" i="10" s="1"/>
  <c r="BI104" i="3"/>
  <c r="BI248" i="3"/>
  <c r="BI344" i="3"/>
  <c r="BI140" i="3"/>
  <c r="BI141" i="3" s="1"/>
  <c r="BI348" i="3"/>
  <c r="BI314" i="3"/>
  <c r="BI100" i="3"/>
  <c r="BI101" i="3" s="1"/>
  <c r="BI278" i="3"/>
  <c r="BI6" i="3"/>
  <c r="BH103" i="3"/>
  <c r="BH105" i="3" s="1"/>
  <c r="BH273" i="3"/>
  <c r="BH275" i="3" s="1"/>
  <c r="BH123" i="3"/>
  <c r="BH125" i="3" s="1"/>
  <c r="BH223" i="3"/>
  <c r="BH225" i="3" s="1"/>
  <c r="BH213" i="3"/>
  <c r="BH215" i="3" s="1"/>
  <c r="BH143" i="3"/>
  <c r="BH145" i="3" s="1"/>
  <c r="BG15" i="3"/>
  <c r="BG352" i="3"/>
  <c r="BH263" i="3"/>
  <c r="BH265" i="3" s="1"/>
  <c r="BH75" i="3"/>
  <c r="BH83" i="3"/>
  <c r="BH85" i="3" s="1"/>
  <c r="BF355" i="3"/>
  <c r="BQ13" i="4"/>
  <c r="BH173" i="3"/>
  <c r="BH175" i="3" s="1"/>
  <c r="BH323" i="3"/>
  <c r="BH325" i="3" s="1"/>
  <c r="BH243" i="3"/>
  <c r="BH245" i="3" s="1"/>
  <c r="BI7" i="3"/>
  <c r="BQ17" i="4" s="1"/>
  <c r="BH226" i="3"/>
  <c r="BH296" i="3"/>
  <c r="BH266" i="3"/>
  <c r="BH156" i="3"/>
  <c r="BH136" i="3"/>
  <c r="BH126" i="3"/>
  <c r="BH36" i="3"/>
  <c r="BH236" i="3"/>
  <c r="BH276" i="3"/>
  <c r="BH116" i="3"/>
  <c r="BH326" i="3"/>
  <c r="BH216" i="3"/>
  <c r="BH46" i="3"/>
  <c r="BH196" i="3"/>
  <c r="BH246" i="3"/>
  <c r="BH306" i="3"/>
  <c r="BH336" i="3"/>
  <c r="BH256" i="3"/>
  <c r="BH106" i="3"/>
  <c r="BH316" i="3"/>
  <c r="BH146" i="3"/>
  <c r="BH186" i="3"/>
  <c r="BH346" i="3"/>
  <c r="BH26" i="3"/>
  <c r="BH76" i="3"/>
  <c r="BH96" i="3"/>
  <c r="BH286" i="3"/>
  <c r="BH56" i="3"/>
  <c r="BH66" i="3"/>
  <c r="BH86" i="3"/>
  <c r="BH176" i="3"/>
  <c r="BG356" i="3"/>
  <c r="BO12" i="4" s="1"/>
  <c r="BT21" i="4" l="1"/>
  <c r="BL4" i="10"/>
  <c r="BJ4" i="10"/>
  <c r="BR21" i="4"/>
  <c r="AB50" i="4"/>
  <c r="AB45" i="4"/>
  <c r="BO8" i="4"/>
  <c r="BO10" i="4" s="1"/>
  <c r="BL27" i="4"/>
  <c r="AZ31" i="4"/>
  <c r="AZ32" i="4" s="1"/>
  <c r="AZ34" i="4" s="1"/>
  <c r="AZ44" i="4" s="1"/>
  <c r="BN16" i="4"/>
  <c r="BM19" i="4"/>
  <c r="BN10" i="4"/>
  <c r="BN14" i="4" s="1"/>
  <c r="BP25" i="4"/>
  <c r="BI123" i="3"/>
  <c r="BI125" i="3" s="1"/>
  <c r="BI63" i="3"/>
  <c r="BI65" i="3" s="1"/>
  <c r="BI273" i="3"/>
  <c r="BI275" i="3" s="1"/>
  <c r="BI113" i="3"/>
  <c r="BI115" i="3" s="1"/>
  <c r="BG359" i="3" a="1"/>
  <c r="BG359" i="3" s="1"/>
  <c r="BO6" i="4" s="1"/>
  <c r="BI133" i="3"/>
  <c r="BI135" i="3" s="1"/>
  <c r="BI313" i="3"/>
  <c r="BI315" i="3" s="1"/>
  <c r="BI293" i="3"/>
  <c r="BI295" i="3" s="1"/>
  <c r="BI153" i="3"/>
  <c r="BI155" i="3" s="1"/>
  <c r="BI75" i="3"/>
  <c r="BI53" i="3"/>
  <c r="BI55" i="3" s="1"/>
  <c r="BI33" i="3"/>
  <c r="BI35" i="3" s="1"/>
  <c r="BI83" i="3"/>
  <c r="BI85" i="3" s="1"/>
  <c r="BT3" i="4"/>
  <c r="BL3" i="10" s="1"/>
  <c r="BI213" i="3"/>
  <c r="BI215" i="3" s="1"/>
  <c r="BR3" i="4"/>
  <c r="BJ3" i="10" s="1"/>
  <c r="BR22" i="4"/>
  <c r="BM3" i="3"/>
  <c r="BL4" i="3"/>
  <c r="BT5" i="4" s="1"/>
  <c r="BL5" i="10" s="1"/>
  <c r="BL5" i="3"/>
  <c r="BL290" i="3"/>
  <c r="BL297" i="3" s="1"/>
  <c r="BL300" i="3"/>
  <c r="BL307" i="3" s="1"/>
  <c r="BL310" i="3"/>
  <c r="BL317" i="3" s="1"/>
  <c r="BL330" i="3"/>
  <c r="BL337" i="3" s="1"/>
  <c r="BL320" i="3"/>
  <c r="BL327" i="3" s="1"/>
  <c r="BL340" i="3"/>
  <c r="BL347" i="3" s="1"/>
  <c r="BI103" i="3"/>
  <c r="BI105" i="3" s="1"/>
  <c r="BI243" i="3"/>
  <c r="BI245" i="3" s="1"/>
  <c r="BI343" i="3"/>
  <c r="BI345" i="3" s="1"/>
  <c r="BI173" i="3"/>
  <c r="BI175" i="3" s="1"/>
  <c r="BI193" i="3"/>
  <c r="BI195" i="3" s="1"/>
  <c r="BI323" i="3"/>
  <c r="BI325" i="3" s="1"/>
  <c r="BK330" i="3"/>
  <c r="BK337" i="3" s="1"/>
  <c r="BK4" i="3"/>
  <c r="BK300" i="3"/>
  <c r="BK307" i="3" s="1"/>
  <c r="BK5" i="3"/>
  <c r="BK340" i="3"/>
  <c r="BK347" i="3" s="1"/>
  <c r="BK310" i="3"/>
  <c r="BK317" i="3" s="1"/>
  <c r="BK320" i="3"/>
  <c r="BK327" i="3" s="1"/>
  <c r="BK290" i="3"/>
  <c r="BK297" i="3" s="1"/>
  <c r="BS4" i="4"/>
  <c r="BH352" i="3"/>
  <c r="BH15" i="3"/>
  <c r="BI93" i="3"/>
  <c r="BI95" i="3" s="1"/>
  <c r="BI11" i="3"/>
  <c r="BI16" i="3"/>
  <c r="BJ258" i="3"/>
  <c r="BJ168" i="3"/>
  <c r="BJ282" i="3"/>
  <c r="BJ192" i="3"/>
  <c r="BJ242" i="3"/>
  <c r="BJ124" i="3"/>
  <c r="BJ180" i="3"/>
  <c r="BJ181" i="3" s="1"/>
  <c r="BJ70" i="3"/>
  <c r="BJ71" i="3" s="1"/>
  <c r="BJ182" i="3"/>
  <c r="BJ238" i="3"/>
  <c r="BJ48" i="3"/>
  <c r="BJ140" i="3"/>
  <c r="BJ141" i="3" s="1"/>
  <c r="BJ212" i="3"/>
  <c r="BJ22" i="3"/>
  <c r="BJ92" i="3"/>
  <c r="BJ54" i="3"/>
  <c r="BJ178" i="3"/>
  <c r="BJ227" i="3"/>
  <c r="BJ222" i="3"/>
  <c r="BJ292" i="3"/>
  <c r="BJ198" i="3"/>
  <c r="BJ62" i="3"/>
  <c r="BJ137" i="3"/>
  <c r="BJ302" i="3"/>
  <c r="BJ107" i="3"/>
  <c r="BJ164" i="3"/>
  <c r="BJ134" i="3"/>
  <c r="BJ82" i="3"/>
  <c r="BJ102" i="3"/>
  <c r="BJ120" i="3"/>
  <c r="BJ121" i="3" s="1"/>
  <c r="BJ170" i="3"/>
  <c r="BJ171" i="3" s="1"/>
  <c r="BJ248" i="3"/>
  <c r="BR5" i="4"/>
  <c r="BJ5" i="10" s="1"/>
  <c r="BJ277" i="3"/>
  <c r="BJ294" i="3"/>
  <c r="BJ24" i="3"/>
  <c r="BJ267" i="3"/>
  <c r="BJ88" i="3"/>
  <c r="BJ228" i="3"/>
  <c r="BJ154" i="3"/>
  <c r="BJ80" i="3"/>
  <c r="BJ81" i="3" s="1"/>
  <c r="BJ214" i="3"/>
  <c r="BJ108" i="3"/>
  <c r="BJ262" i="3"/>
  <c r="BJ172" i="3"/>
  <c r="BJ42" i="3"/>
  <c r="BJ57" i="3"/>
  <c r="BJ40" i="3"/>
  <c r="BJ41" i="3" s="1"/>
  <c r="BJ247" i="3"/>
  <c r="BJ74" i="3"/>
  <c r="BJ147" i="3"/>
  <c r="BJ287" i="3"/>
  <c r="BJ308" i="3"/>
  <c r="BJ138" i="3"/>
  <c r="BJ237" i="3"/>
  <c r="BJ184" i="3"/>
  <c r="BJ304" i="3"/>
  <c r="BJ64" i="3"/>
  <c r="BJ254" i="3"/>
  <c r="BJ132" i="3"/>
  <c r="BJ244" i="3"/>
  <c r="BJ167" i="3"/>
  <c r="BJ187" i="3"/>
  <c r="BJ142" i="3"/>
  <c r="BJ94" i="3"/>
  <c r="BJ44" i="3"/>
  <c r="BJ314" i="3"/>
  <c r="BJ87" i="3"/>
  <c r="BJ38" i="3"/>
  <c r="BJ158" i="3"/>
  <c r="BJ100" i="3"/>
  <c r="BJ101" i="3" s="1"/>
  <c r="BJ77" i="3"/>
  <c r="BJ272" i="3"/>
  <c r="BJ160" i="3"/>
  <c r="BJ218" i="3"/>
  <c r="BJ298" i="3"/>
  <c r="BJ97" i="3"/>
  <c r="BJ114" i="3"/>
  <c r="BJ30" i="3"/>
  <c r="BJ31" i="3" s="1"/>
  <c r="BJ34" i="3"/>
  <c r="BJ72" i="3"/>
  <c r="BJ73" i="3" s="1"/>
  <c r="BJ28" i="3"/>
  <c r="BJ10" i="3"/>
  <c r="BJ58" i="3"/>
  <c r="BJ342" i="3"/>
  <c r="BJ257" i="3"/>
  <c r="BJ67" i="3"/>
  <c r="BJ47" i="3"/>
  <c r="BJ288" i="3"/>
  <c r="BJ117" i="3"/>
  <c r="BJ332" i="3"/>
  <c r="BJ252" i="3"/>
  <c r="BJ104" i="3"/>
  <c r="BJ344" i="3"/>
  <c r="BJ78" i="3"/>
  <c r="BJ284" i="3"/>
  <c r="BJ174" i="3"/>
  <c r="BJ268" i="3"/>
  <c r="BJ68" i="3"/>
  <c r="BJ52" i="3"/>
  <c r="BJ110" i="3"/>
  <c r="BJ111" i="3" s="1"/>
  <c r="BJ348" i="3"/>
  <c r="BJ324" i="3"/>
  <c r="BJ190" i="3"/>
  <c r="BJ191" i="3" s="1"/>
  <c r="BJ224" i="3"/>
  <c r="BJ144" i="3"/>
  <c r="BJ84" i="3"/>
  <c r="BJ188" i="3"/>
  <c r="BJ177" i="3"/>
  <c r="BJ328" i="3"/>
  <c r="BJ50" i="3"/>
  <c r="BJ51" i="3" s="1"/>
  <c r="BJ20" i="3"/>
  <c r="BJ21" i="3" s="1"/>
  <c r="BJ194" i="3"/>
  <c r="BJ27" i="3"/>
  <c r="BJ162" i="3"/>
  <c r="BJ163" i="3" s="1"/>
  <c r="BJ98" i="3"/>
  <c r="BJ157" i="3"/>
  <c r="BJ32" i="3"/>
  <c r="BJ128" i="3"/>
  <c r="BJ152" i="3"/>
  <c r="BJ278" i="3"/>
  <c r="BJ318" i="3"/>
  <c r="BJ217" i="3"/>
  <c r="BJ197" i="3"/>
  <c r="BJ90" i="3"/>
  <c r="BJ91" i="3" s="1"/>
  <c r="BJ127" i="3"/>
  <c r="BJ148" i="3"/>
  <c r="BJ232" i="3"/>
  <c r="BJ338" i="3"/>
  <c r="BJ234" i="3"/>
  <c r="BJ60" i="3"/>
  <c r="BJ61" i="3" s="1"/>
  <c r="BJ112" i="3"/>
  <c r="BJ322" i="3"/>
  <c r="BJ122" i="3"/>
  <c r="BJ37" i="3"/>
  <c r="BJ118" i="3"/>
  <c r="BJ274" i="3"/>
  <c r="BJ334" i="3"/>
  <c r="BJ312" i="3"/>
  <c r="BJ264" i="3"/>
  <c r="BJ150" i="3"/>
  <c r="BJ151" i="3" s="1"/>
  <c r="BJ130" i="3"/>
  <c r="BJ131" i="3" s="1"/>
  <c r="BJ6" i="3"/>
  <c r="BI303" i="3"/>
  <c r="BI305" i="3" s="1"/>
  <c r="BI143" i="3"/>
  <c r="BI145" i="3" s="1"/>
  <c r="BI358" i="3"/>
  <c r="BQ24" i="4" s="1"/>
  <c r="BI183" i="3"/>
  <c r="BI185" i="3" s="1"/>
  <c r="BG355" i="3"/>
  <c r="BI223" i="3"/>
  <c r="BI225" i="3" s="1"/>
  <c r="BI357" i="3"/>
  <c r="BQ23" i="4" s="1"/>
  <c r="BI283" i="3"/>
  <c r="BI285" i="3" s="1"/>
  <c r="BI263" i="3"/>
  <c r="BI265" i="3" s="1"/>
  <c r="BI253" i="3"/>
  <c r="BI255" i="3" s="1"/>
  <c r="BI43" i="3"/>
  <c r="BI45" i="3" s="1"/>
  <c r="BI354" i="3"/>
  <c r="BQ9" i="4" s="1"/>
  <c r="BH353" i="3"/>
  <c r="BH25" i="3"/>
  <c r="BR13" i="4"/>
  <c r="BI333" i="3"/>
  <c r="BI335" i="3" s="1"/>
  <c r="BI23" i="3"/>
  <c r="BI166" i="3"/>
  <c r="BI161" i="3"/>
  <c r="BI165" i="3" s="1"/>
  <c r="BI233" i="3"/>
  <c r="BI235" i="3" s="1"/>
  <c r="BJ7" i="3"/>
  <c r="BI286" i="3"/>
  <c r="BI296" i="3"/>
  <c r="BI246" i="3"/>
  <c r="BI66" i="3"/>
  <c r="BI236" i="3"/>
  <c r="BI86" i="3"/>
  <c r="BI96" i="3"/>
  <c r="BI186" i="3"/>
  <c r="BI276" i="3"/>
  <c r="BI36" i="3"/>
  <c r="BI326" i="3"/>
  <c r="BI336" i="3"/>
  <c r="BI126" i="3"/>
  <c r="BI226" i="3"/>
  <c r="BI346" i="3"/>
  <c r="BI316" i="3"/>
  <c r="BI266" i="3"/>
  <c r="BI46" i="3"/>
  <c r="BI216" i="3"/>
  <c r="BI196" i="3"/>
  <c r="BI76" i="3"/>
  <c r="BI136" i="3"/>
  <c r="BI156" i="3"/>
  <c r="BI306" i="3"/>
  <c r="BI56" i="3"/>
  <c r="BI256" i="3"/>
  <c r="BI146" i="3"/>
  <c r="BI176" i="3"/>
  <c r="BI26" i="3"/>
  <c r="BI106" i="3"/>
  <c r="BI116" i="3"/>
  <c r="BH356" i="3"/>
  <c r="BP12" i="4" s="1"/>
  <c r="BO16" i="4" l="1"/>
  <c r="BS21" i="4"/>
  <c r="BK4" i="10"/>
  <c r="BO14" i="4"/>
  <c r="BO18" i="4" s="1"/>
  <c r="AB46" i="4"/>
  <c r="BP8" i="4"/>
  <c r="BP10" i="4" s="1"/>
  <c r="BN18" i="4"/>
  <c r="BN19" i="4" s="1"/>
  <c r="BN27" i="4" s="1"/>
  <c r="BQ25" i="4"/>
  <c r="BU4" i="4"/>
  <c r="BU21" i="4" s="1"/>
  <c r="BJ223" i="3"/>
  <c r="BJ283" i="3"/>
  <c r="BJ285" i="3" s="1"/>
  <c r="BK6" i="3"/>
  <c r="BL6" i="3" s="1"/>
  <c r="BT13" i="4"/>
  <c r="BT22" i="4"/>
  <c r="BM27" i="4"/>
  <c r="BA31" i="4"/>
  <c r="BS22" i="4"/>
  <c r="BS3" i="4"/>
  <c r="BK3" i="10" s="1"/>
  <c r="BH355" i="3"/>
  <c r="BL22" i="3"/>
  <c r="BL40" i="3"/>
  <c r="BL57" i="3"/>
  <c r="BL10" i="3"/>
  <c r="BL27" i="3"/>
  <c r="BL98" i="3"/>
  <c r="BL44" i="3"/>
  <c r="BL62" i="3"/>
  <c r="BL80" i="3"/>
  <c r="BL97" i="3"/>
  <c r="BL32" i="3"/>
  <c r="BL50" i="3"/>
  <c r="BL67" i="3"/>
  <c r="BL24" i="3"/>
  <c r="BL64" i="3"/>
  <c r="BL90" i="3"/>
  <c r="BL100" i="3"/>
  <c r="BL30" i="3"/>
  <c r="BL70" i="3"/>
  <c r="BL37" i="3"/>
  <c r="BL77" i="3"/>
  <c r="BL102" i="3"/>
  <c r="BL138" i="3"/>
  <c r="BL158" i="3"/>
  <c r="BL194" i="3"/>
  <c r="BL212" i="3"/>
  <c r="BL94" i="3"/>
  <c r="BL107" i="3"/>
  <c r="BL122" i="3"/>
  <c r="BL147" i="3"/>
  <c r="BL164" i="3"/>
  <c r="BL88" i="3"/>
  <c r="BL128" i="3"/>
  <c r="BL152" i="3"/>
  <c r="BL48" i="3"/>
  <c r="BL60" i="3"/>
  <c r="BL82" i="3"/>
  <c r="BL118" i="3"/>
  <c r="BL137" i="3"/>
  <c r="BL142" i="3"/>
  <c r="BL42" i="3"/>
  <c r="BL47" i="3"/>
  <c r="BL124" i="3"/>
  <c r="BL150" i="3"/>
  <c r="BL298" i="3"/>
  <c r="BL334" i="3"/>
  <c r="BL38" i="3"/>
  <c r="BL72" i="3"/>
  <c r="BL73" i="3" s="1"/>
  <c r="BL134" i="3"/>
  <c r="BL170" i="3"/>
  <c r="BL177" i="3"/>
  <c r="BL217" i="3"/>
  <c r="BL227" i="3"/>
  <c r="BL268" i="3"/>
  <c r="BL54" i="3"/>
  <c r="BL84" i="3"/>
  <c r="BL157" i="3"/>
  <c r="BL238" i="3"/>
  <c r="BL120" i="3"/>
  <c r="BL192" i="3"/>
  <c r="BL222" i="3"/>
  <c r="BL232" i="3"/>
  <c r="BL267" i="3"/>
  <c r="BL78" i="3"/>
  <c r="BL117" i="3"/>
  <c r="BL168" i="3"/>
  <c r="BL184" i="3"/>
  <c r="BL52" i="3"/>
  <c r="BL132" i="3"/>
  <c r="BL272" i="3"/>
  <c r="BL34" i="3"/>
  <c r="BL228" i="3"/>
  <c r="BL214" i="3"/>
  <c r="BL252" i="3"/>
  <c r="BL308" i="3"/>
  <c r="BL342" i="3"/>
  <c r="BL74" i="3"/>
  <c r="BL87" i="3"/>
  <c r="BL180" i="3"/>
  <c r="BL188" i="3"/>
  <c r="BL197" i="3"/>
  <c r="BL257" i="3"/>
  <c r="BL110" i="3"/>
  <c r="BL130" i="3"/>
  <c r="BL237" i="3"/>
  <c r="BL242" i="3"/>
  <c r="BL254" i="3"/>
  <c r="BL264" i="3"/>
  <c r="BL282" i="3"/>
  <c r="BL328" i="3"/>
  <c r="BL20" i="3"/>
  <c r="BL218" i="3"/>
  <c r="BL144" i="3"/>
  <c r="BL187" i="3"/>
  <c r="BL224" i="3"/>
  <c r="BL244" i="3"/>
  <c r="BL258" i="3"/>
  <c r="BL104" i="3"/>
  <c r="BL182" i="3"/>
  <c r="BL112" i="3"/>
  <c r="BL160" i="3"/>
  <c r="BL167" i="3"/>
  <c r="BL287" i="3"/>
  <c r="BL338" i="3"/>
  <c r="BL344" i="3"/>
  <c r="BL92" i="3"/>
  <c r="BL140" i="3"/>
  <c r="BL174" i="3"/>
  <c r="BL262" i="3"/>
  <c r="BL28" i="3"/>
  <c r="BL148" i="3"/>
  <c r="BL108" i="3"/>
  <c r="BL247" i="3"/>
  <c r="BL322" i="3"/>
  <c r="BL154" i="3"/>
  <c r="BL292" i="3"/>
  <c r="BL314" i="3"/>
  <c r="BL348" i="3"/>
  <c r="BL162" i="3"/>
  <c r="BL163" i="3" s="1"/>
  <c r="BL198" i="3"/>
  <c r="BL68" i="3"/>
  <c r="BL274" i="3"/>
  <c r="BL284" i="3"/>
  <c r="BL304" i="3"/>
  <c r="BL312" i="3"/>
  <c r="BL127" i="3"/>
  <c r="BL234" i="3"/>
  <c r="BL190" i="3"/>
  <c r="BL332" i="3"/>
  <c r="BL324" i="3"/>
  <c r="BL277" i="3"/>
  <c r="BL248" i="3"/>
  <c r="BL288" i="3"/>
  <c r="BL172" i="3"/>
  <c r="BL294" i="3"/>
  <c r="BL114" i="3"/>
  <c r="BL278" i="3"/>
  <c r="BL302" i="3"/>
  <c r="BL318" i="3"/>
  <c r="BL58" i="3"/>
  <c r="BL178" i="3"/>
  <c r="BN3" i="3"/>
  <c r="BV4" i="4" s="1"/>
  <c r="BV21" i="4" s="1"/>
  <c r="BM4" i="3"/>
  <c r="BU5" i="4" s="1"/>
  <c r="BM330" i="3"/>
  <c r="BM337" i="3" s="1"/>
  <c r="BM5" i="3"/>
  <c r="BM290" i="3"/>
  <c r="BM297" i="3" s="1"/>
  <c r="BM300" i="3"/>
  <c r="BM307" i="3" s="1"/>
  <c r="BM310" i="3"/>
  <c r="BM317" i="3" s="1"/>
  <c r="BM340" i="3"/>
  <c r="BM347" i="3" s="1"/>
  <c r="BM320" i="3"/>
  <c r="BM327" i="3" s="1"/>
  <c r="BS13" i="4"/>
  <c r="BK164" i="3"/>
  <c r="BK30" i="3"/>
  <c r="BK31" i="3" s="1"/>
  <c r="BK180" i="3"/>
  <c r="BK181" i="3" s="1"/>
  <c r="BK197" i="3"/>
  <c r="BK32" i="3"/>
  <c r="BK237" i="3"/>
  <c r="BK238" i="3"/>
  <c r="BK304" i="3"/>
  <c r="BK128" i="3"/>
  <c r="BK342" i="3"/>
  <c r="BK130" i="3"/>
  <c r="BK131" i="3" s="1"/>
  <c r="BK344" i="3"/>
  <c r="BK152" i="3"/>
  <c r="BK272" i="3"/>
  <c r="BK252" i="3"/>
  <c r="BK102" i="3"/>
  <c r="BK127" i="3"/>
  <c r="BK48" i="3"/>
  <c r="BK188" i="3"/>
  <c r="BK247" i="3"/>
  <c r="BK184" i="3"/>
  <c r="BK82" i="3"/>
  <c r="BK257" i="3"/>
  <c r="BK58" i="3"/>
  <c r="BK150" i="3"/>
  <c r="BK151" i="3" s="1"/>
  <c r="BK104" i="3"/>
  <c r="BK10" i="3"/>
  <c r="BK168" i="3"/>
  <c r="BK227" i="3"/>
  <c r="BK100" i="3"/>
  <c r="BK101" i="3" s="1"/>
  <c r="BK214" i="3"/>
  <c r="BK187" i="3"/>
  <c r="BK322" i="3"/>
  <c r="BK24" i="3"/>
  <c r="BK64" i="3"/>
  <c r="BK262" i="3"/>
  <c r="BK140" i="3"/>
  <c r="BK141" i="3" s="1"/>
  <c r="BK142" i="3"/>
  <c r="BK118" i="3"/>
  <c r="BK298" i="3"/>
  <c r="BK258" i="3"/>
  <c r="BK162" i="3"/>
  <c r="BK163" i="3" s="1"/>
  <c r="BK158" i="3"/>
  <c r="BK120" i="3"/>
  <c r="BK121" i="3" s="1"/>
  <c r="BK288" i="3"/>
  <c r="BK248" i="3"/>
  <c r="BK84" i="3"/>
  <c r="BK34" i="3"/>
  <c r="BK20" i="3"/>
  <c r="BK21" i="3" s="1"/>
  <c r="BK198" i="3"/>
  <c r="BK338" i="3"/>
  <c r="BK28" i="3"/>
  <c r="BK42" i="3"/>
  <c r="BK88" i="3"/>
  <c r="BK267" i="3"/>
  <c r="BK287" i="3"/>
  <c r="BK27" i="3"/>
  <c r="BS5" i="4"/>
  <c r="BK5" i="10" s="1"/>
  <c r="BK277" i="3"/>
  <c r="BK52" i="3"/>
  <c r="BK192" i="3"/>
  <c r="BK124" i="3"/>
  <c r="BK167" i="3"/>
  <c r="BK218" i="3"/>
  <c r="BK37" i="3"/>
  <c r="BK78" i="3"/>
  <c r="BK80" i="3"/>
  <c r="BK81" i="3" s="1"/>
  <c r="BK224" i="3"/>
  <c r="BK217" i="3"/>
  <c r="BK132" i="3"/>
  <c r="BK312" i="3"/>
  <c r="BK328" i="3"/>
  <c r="BK302" i="3"/>
  <c r="BK284" i="3"/>
  <c r="BK242" i="3"/>
  <c r="BK92" i="3"/>
  <c r="BK182" i="3"/>
  <c r="BK254" i="3"/>
  <c r="BK108" i="3"/>
  <c r="BK157" i="3"/>
  <c r="BK122" i="3"/>
  <c r="BK62" i="3"/>
  <c r="BK107" i="3"/>
  <c r="BK234" i="3"/>
  <c r="BK228" i="3"/>
  <c r="BK144" i="3"/>
  <c r="BK314" i="3"/>
  <c r="BK47" i="3"/>
  <c r="BK308" i="3"/>
  <c r="BK60" i="3"/>
  <c r="BK61" i="3" s="1"/>
  <c r="BK212" i="3"/>
  <c r="BK222" i="3"/>
  <c r="BK318" i="3"/>
  <c r="BK334" i="3"/>
  <c r="BK147" i="3"/>
  <c r="BK117" i="3"/>
  <c r="BK40" i="3"/>
  <c r="BK41" i="3" s="1"/>
  <c r="BK98" i="3"/>
  <c r="BK22" i="3"/>
  <c r="BK190" i="3"/>
  <c r="BK191" i="3" s="1"/>
  <c r="BK68" i="3"/>
  <c r="BK70" i="3"/>
  <c r="BK71" i="3" s="1"/>
  <c r="BK244" i="3"/>
  <c r="BK232" i="3"/>
  <c r="BK44" i="3"/>
  <c r="BK278" i="3"/>
  <c r="BK324" i="3"/>
  <c r="BK292" i="3"/>
  <c r="BK348" i="3"/>
  <c r="BK38" i="3"/>
  <c r="BK112" i="3"/>
  <c r="BK97" i="3"/>
  <c r="BK160" i="3"/>
  <c r="BK94" i="3"/>
  <c r="BK67" i="3"/>
  <c r="BK87" i="3"/>
  <c r="BK268" i="3"/>
  <c r="BK110" i="3"/>
  <c r="BK111" i="3" s="1"/>
  <c r="BK294" i="3"/>
  <c r="BK170" i="3"/>
  <c r="BK171" i="3" s="1"/>
  <c r="BK50" i="3"/>
  <c r="BK51" i="3" s="1"/>
  <c r="BK148" i="3"/>
  <c r="BK264" i="3"/>
  <c r="BK72" i="3"/>
  <c r="BK73" i="3" s="1"/>
  <c r="BK332" i="3"/>
  <c r="BK177" i="3"/>
  <c r="BK90" i="3"/>
  <c r="BK91" i="3" s="1"/>
  <c r="BK282" i="3"/>
  <c r="BK154" i="3"/>
  <c r="BK114" i="3"/>
  <c r="BK134" i="3"/>
  <c r="BK174" i="3"/>
  <c r="BK57" i="3"/>
  <c r="BK194" i="3"/>
  <c r="BK172" i="3"/>
  <c r="BK138" i="3"/>
  <c r="BK137" i="3"/>
  <c r="BK274" i="3"/>
  <c r="BK178" i="3"/>
  <c r="BK74" i="3"/>
  <c r="BK54" i="3"/>
  <c r="BK77" i="3"/>
  <c r="BJ273" i="3"/>
  <c r="BJ275" i="3" s="1"/>
  <c r="BJ183" i="3"/>
  <c r="BJ185" i="3" s="1"/>
  <c r="BJ303" i="3"/>
  <c r="BJ305" i="3" s="1"/>
  <c r="BJ75" i="3"/>
  <c r="BR17" i="4"/>
  <c r="BK7" i="3"/>
  <c r="BL7" i="3" s="1"/>
  <c r="BT17" i="4" s="1"/>
  <c r="BJ63" i="3"/>
  <c r="BJ65" i="3" s="1"/>
  <c r="BJ153" i="3"/>
  <c r="BJ155" i="3" s="1"/>
  <c r="BJ123" i="3"/>
  <c r="BJ125" i="3" s="1"/>
  <c r="BJ33" i="3"/>
  <c r="BJ35" i="3" s="1"/>
  <c r="BJ323" i="3"/>
  <c r="BJ325" i="3" s="1"/>
  <c r="BJ343" i="3"/>
  <c r="BJ345" i="3" s="1"/>
  <c r="BJ243" i="3"/>
  <c r="BJ245" i="3" s="1"/>
  <c r="BH359" i="3" a="1"/>
  <c r="BH359" i="3" s="1"/>
  <c r="BP6" i="4" s="1"/>
  <c r="BP16" i="4" s="1"/>
  <c r="BJ113" i="3"/>
  <c r="BJ115" i="3" s="1"/>
  <c r="BJ53" i="3"/>
  <c r="BJ55" i="3" s="1"/>
  <c r="BJ293" i="3"/>
  <c r="BJ295" i="3" s="1"/>
  <c r="BJ193" i="3"/>
  <c r="BJ195" i="3" s="1"/>
  <c r="BJ11" i="3"/>
  <c r="BJ16" i="3"/>
  <c r="BJ225" i="3"/>
  <c r="BJ357" i="3"/>
  <c r="BR23" i="4" s="1"/>
  <c r="BJ358" i="3"/>
  <c r="BR24" i="4" s="1"/>
  <c r="BI353" i="3"/>
  <c r="BI25" i="3"/>
  <c r="BJ233" i="3"/>
  <c r="BJ235" i="3" s="1"/>
  <c r="BJ143" i="3"/>
  <c r="BJ145" i="3" s="1"/>
  <c r="BJ161" i="3"/>
  <c r="BJ165" i="3" s="1"/>
  <c r="BJ166" i="3"/>
  <c r="BJ93" i="3"/>
  <c r="BJ95" i="3" s="1"/>
  <c r="BI352" i="3"/>
  <c r="BI15" i="3"/>
  <c r="BJ354" i="3"/>
  <c r="BR9" i="4" s="1"/>
  <c r="BJ43" i="3"/>
  <c r="BJ45" i="3" s="1"/>
  <c r="BJ23" i="3"/>
  <c r="BJ173" i="3"/>
  <c r="BJ175" i="3" s="1"/>
  <c r="BJ103" i="3"/>
  <c r="BJ105" i="3" s="1"/>
  <c r="BJ213" i="3"/>
  <c r="BJ215" i="3" s="1"/>
  <c r="BJ253" i="3"/>
  <c r="BJ255" i="3" s="1"/>
  <c r="BJ133" i="3"/>
  <c r="BJ135" i="3" s="1"/>
  <c r="BJ263" i="3"/>
  <c r="BJ265" i="3" s="1"/>
  <c r="BJ83" i="3"/>
  <c r="BJ85" i="3" s="1"/>
  <c r="BJ313" i="3"/>
  <c r="BJ315" i="3" s="1"/>
  <c r="BJ333" i="3"/>
  <c r="BJ335" i="3" s="1"/>
  <c r="BJ296" i="3"/>
  <c r="BJ286" i="3"/>
  <c r="BJ316" i="3"/>
  <c r="BJ196" i="3"/>
  <c r="BJ246" i="3"/>
  <c r="BJ136" i="3"/>
  <c r="BJ116" i="3"/>
  <c r="BJ36" i="3"/>
  <c r="BJ66" i="3"/>
  <c r="BJ236" i="3"/>
  <c r="BJ186" i="3"/>
  <c r="BJ276" i="3"/>
  <c r="BJ266" i="3"/>
  <c r="BJ106" i="3"/>
  <c r="BJ126" i="3"/>
  <c r="BJ156" i="3"/>
  <c r="BJ216" i="3"/>
  <c r="BJ26" i="3"/>
  <c r="BJ336" i="3"/>
  <c r="BJ306" i="3"/>
  <c r="BJ76" i="3"/>
  <c r="BJ46" i="3"/>
  <c r="BJ326" i="3"/>
  <c r="BJ346" i="3"/>
  <c r="BJ176" i="3"/>
  <c r="BJ56" i="3"/>
  <c r="BJ256" i="3"/>
  <c r="BJ86" i="3"/>
  <c r="BJ226" i="3"/>
  <c r="BJ96" i="3"/>
  <c r="BJ146" i="3"/>
  <c r="BI356" i="3"/>
  <c r="BQ12" i="4" s="1"/>
  <c r="BO19" i="4" l="1"/>
  <c r="BO27" i="4" s="1"/>
  <c r="AB47" i="4"/>
  <c r="AB48" i="4" s="1"/>
  <c r="AC43" i="4" s="1"/>
  <c r="BK253" i="3"/>
  <c r="BK255" i="3" s="1"/>
  <c r="BK263" i="3"/>
  <c r="BK265" i="3" s="1"/>
  <c r="BK23" i="3"/>
  <c r="BK25" i="3" s="1"/>
  <c r="BK63" i="3"/>
  <c r="BK65" i="3" s="1"/>
  <c r="BK123" i="3"/>
  <c r="BK125" i="3" s="1"/>
  <c r="BK323" i="3"/>
  <c r="BK283" i="3"/>
  <c r="BK103" i="3"/>
  <c r="BK105" i="3" s="1"/>
  <c r="BK113" i="3"/>
  <c r="BK115" i="3" s="1"/>
  <c r="BK273" i="3"/>
  <c r="BK275" i="3" s="1"/>
  <c r="BQ8" i="4"/>
  <c r="BQ10" i="4" s="1"/>
  <c r="BP14" i="4"/>
  <c r="BP18" i="4" s="1"/>
  <c r="BP19" i="4" s="1"/>
  <c r="BB31" i="4"/>
  <c r="BB32" i="4" s="1"/>
  <c r="BB34" i="4" s="1"/>
  <c r="BL133" i="3"/>
  <c r="BL83" i="3"/>
  <c r="BL103" i="3"/>
  <c r="BK213" i="3"/>
  <c r="BK215" i="3" s="1"/>
  <c r="BK243" i="3"/>
  <c r="BK245" i="3" s="1"/>
  <c r="BK133" i="3"/>
  <c r="BK143" i="3"/>
  <c r="BK145" i="3" s="1"/>
  <c r="BK83" i="3"/>
  <c r="BK85" i="3" s="1"/>
  <c r="BK43" i="3"/>
  <c r="BK45" i="3" s="1"/>
  <c r="BK33" i="3"/>
  <c r="BK35" i="3" s="1"/>
  <c r="BR25" i="4"/>
  <c r="BK333" i="3"/>
  <c r="BK335" i="3" s="1"/>
  <c r="BK183" i="3"/>
  <c r="BK185" i="3" s="1"/>
  <c r="BK193" i="3"/>
  <c r="BK195" i="3" s="1"/>
  <c r="BK153" i="3"/>
  <c r="BK155" i="3" s="1"/>
  <c r="BL113" i="3"/>
  <c r="BL53" i="3"/>
  <c r="BK293" i="3"/>
  <c r="BK295" i="3" s="1"/>
  <c r="BK223" i="3"/>
  <c r="BK225" i="3" s="1"/>
  <c r="BK93" i="3"/>
  <c r="BK95" i="3" s="1"/>
  <c r="BK53" i="3"/>
  <c r="BK55" i="3" s="1"/>
  <c r="BL183" i="3"/>
  <c r="BK303" i="3"/>
  <c r="BK305" i="3" s="1"/>
  <c r="BK233" i="3"/>
  <c r="BK235" i="3" s="1"/>
  <c r="BK343" i="3"/>
  <c r="BK345" i="3" s="1"/>
  <c r="BK173" i="3"/>
  <c r="BK175" i="3" s="1"/>
  <c r="BK313" i="3"/>
  <c r="BK315" i="3" s="1"/>
  <c r="BL193" i="3"/>
  <c r="BV3" i="4"/>
  <c r="BL93" i="3"/>
  <c r="BL33" i="3"/>
  <c r="BL43" i="3"/>
  <c r="BL143" i="3"/>
  <c r="BU13" i="4"/>
  <c r="BU22" i="4"/>
  <c r="BL63" i="3"/>
  <c r="BL173" i="3"/>
  <c r="BU3" i="4"/>
  <c r="BA32" i="4"/>
  <c r="BA34" i="4" s="1"/>
  <c r="BC31" i="4"/>
  <c r="BL23" i="3"/>
  <c r="BL123" i="3"/>
  <c r="BL346" i="3"/>
  <c r="BL343" i="3"/>
  <c r="BL345" i="3" s="1"/>
  <c r="BL156" i="3"/>
  <c r="BL151" i="3"/>
  <c r="BL56" i="3"/>
  <c r="BL51" i="3"/>
  <c r="BL213" i="3"/>
  <c r="BL215" i="3" s="1"/>
  <c r="BL216" i="3"/>
  <c r="BL81" i="3"/>
  <c r="BL86" i="3"/>
  <c r="BL246" i="3"/>
  <c r="BL243" i="3"/>
  <c r="BL245" i="3" s="1"/>
  <c r="BL136" i="3"/>
  <c r="BL131" i="3"/>
  <c r="BL111" i="3"/>
  <c r="BL116" i="3"/>
  <c r="BL323" i="3"/>
  <c r="BL325" i="3" s="1"/>
  <c r="BL326" i="3"/>
  <c r="BL176" i="3"/>
  <c r="BL171" i="3"/>
  <c r="BL71" i="3"/>
  <c r="BL75" i="3" s="1"/>
  <c r="BL76" i="3"/>
  <c r="BL16" i="3"/>
  <c r="BL11" i="3"/>
  <c r="BL141" i="3"/>
  <c r="BL146" i="3"/>
  <c r="BL26" i="3"/>
  <c r="BL21" i="3"/>
  <c r="BL256" i="3"/>
  <c r="BL253" i="3"/>
  <c r="BL255" i="3" s="1"/>
  <c r="BL286" i="3"/>
  <c r="BL283" i="3"/>
  <c r="BL285" i="3" s="1"/>
  <c r="BL273" i="3"/>
  <c r="BL275" i="3" s="1"/>
  <c r="BL276" i="3"/>
  <c r="BL161" i="3"/>
  <c r="BL165" i="3" s="1"/>
  <c r="BL166" i="3"/>
  <c r="BL293" i="3"/>
  <c r="BL295" i="3" s="1"/>
  <c r="BL296" i="3"/>
  <c r="BL61" i="3"/>
  <c r="BL66" i="3"/>
  <c r="BL357" i="3"/>
  <c r="BT23" i="4" s="1"/>
  <c r="BL333" i="3"/>
  <c r="BL335" i="3" s="1"/>
  <c r="BL336" i="3"/>
  <c r="BL153" i="3"/>
  <c r="BL36" i="3"/>
  <c r="BL31" i="3"/>
  <c r="BL126" i="3"/>
  <c r="BL121" i="3"/>
  <c r="BL303" i="3"/>
  <c r="BL305" i="3" s="1"/>
  <c r="BL306" i="3"/>
  <c r="BL196" i="3"/>
  <c r="BL191" i="3"/>
  <c r="BL106" i="3"/>
  <c r="BL101" i="3"/>
  <c r="BM34" i="3"/>
  <c r="BM52" i="3"/>
  <c r="BM70" i="3"/>
  <c r="BM87" i="3"/>
  <c r="BM22" i="3"/>
  <c r="BM40" i="3"/>
  <c r="BM57" i="3"/>
  <c r="BM38" i="3"/>
  <c r="BM74" i="3"/>
  <c r="BM92" i="3"/>
  <c r="BM110" i="3"/>
  <c r="BM7" i="3"/>
  <c r="BU17" i="4" s="1"/>
  <c r="BM44" i="3"/>
  <c r="BM62" i="3"/>
  <c r="BM63" i="3" s="1"/>
  <c r="BM80" i="3"/>
  <c r="BM10" i="3"/>
  <c r="BM50" i="3"/>
  <c r="BM58" i="3"/>
  <c r="BM137" i="3"/>
  <c r="BM24" i="3"/>
  <c r="BM64" i="3"/>
  <c r="BM32" i="3"/>
  <c r="BM72" i="3"/>
  <c r="BM73" i="3" s="1"/>
  <c r="BM27" i="3"/>
  <c r="BM100" i="3"/>
  <c r="BM134" i="3"/>
  <c r="BM188" i="3"/>
  <c r="BM224" i="3"/>
  <c r="BM102" i="3"/>
  <c r="BM138" i="3"/>
  <c r="BM158" i="3"/>
  <c r="BM94" i="3"/>
  <c r="BM107" i="3"/>
  <c r="BM122" i="3"/>
  <c r="BM147" i="3"/>
  <c r="BM164" i="3"/>
  <c r="BM68" i="3"/>
  <c r="BM84" i="3"/>
  <c r="BM104" i="3"/>
  <c r="BM157" i="3"/>
  <c r="BM6" i="3"/>
  <c r="BM20" i="3"/>
  <c r="BM112" i="3"/>
  <c r="BM113" i="3" s="1"/>
  <c r="BM257" i="3"/>
  <c r="BM328" i="3"/>
  <c r="BM42" i="3"/>
  <c r="BM43" i="3" s="1"/>
  <c r="BM47" i="3"/>
  <c r="BM124" i="3"/>
  <c r="BM150" i="3"/>
  <c r="BM90" i="3"/>
  <c r="BM97" i="3"/>
  <c r="BM128" i="3"/>
  <c r="BM152" i="3"/>
  <c r="BM170" i="3"/>
  <c r="BM177" i="3"/>
  <c r="BM217" i="3"/>
  <c r="BM227" i="3"/>
  <c r="BM30" i="3"/>
  <c r="BM144" i="3"/>
  <c r="BM244" i="3"/>
  <c r="BM262" i="3"/>
  <c r="BM120" i="3"/>
  <c r="BM192" i="3"/>
  <c r="BM212" i="3"/>
  <c r="BM98" i="3"/>
  <c r="BM160" i="3"/>
  <c r="BM267" i="3"/>
  <c r="BM278" i="3"/>
  <c r="BM322" i="3"/>
  <c r="BM132" i="3"/>
  <c r="BM272" i="3"/>
  <c r="BM78" i="3"/>
  <c r="BM228" i="3"/>
  <c r="BM48" i="3"/>
  <c r="BM184" i="3"/>
  <c r="BM214" i="3"/>
  <c r="BM252" i="3"/>
  <c r="BM180" i="3"/>
  <c r="BM197" i="3"/>
  <c r="BM232" i="3"/>
  <c r="BM288" i="3"/>
  <c r="BM117" i="3"/>
  <c r="BM127" i="3"/>
  <c r="BM277" i="3"/>
  <c r="BM318" i="3"/>
  <c r="BM342" i="3"/>
  <c r="BM28" i="3"/>
  <c r="BM218" i="3"/>
  <c r="BM334" i="3"/>
  <c r="BM118" i="3"/>
  <c r="BM37" i="3"/>
  <c r="BM108" i="3"/>
  <c r="BM247" i="3"/>
  <c r="BM258" i="3"/>
  <c r="BM54" i="3"/>
  <c r="BM60" i="3"/>
  <c r="BM187" i="3"/>
  <c r="BM222" i="3"/>
  <c r="BM167" i="3"/>
  <c r="BM194" i="3"/>
  <c r="BM287" i="3"/>
  <c r="BM338" i="3"/>
  <c r="BM344" i="3"/>
  <c r="BM67" i="3"/>
  <c r="BM140" i="3"/>
  <c r="BM168" i="3"/>
  <c r="BM174" i="3"/>
  <c r="BM238" i="3"/>
  <c r="BM242" i="3"/>
  <c r="BM148" i="3"/>
  <c r="BM190" i="3"/>
  <c r="BM237" i="3"/>
  <c r="BM294" i="3"/>
  <c r="BM88" i="3"/>
  <c r="BM268" i="3"/>
  <c r="BM154" i="3"/>
  <c r="BM264" i="3"/>
  <c r="BM292" i="3"/>
  <c r="BM314" i="3"/>
  <c r="BM348" i="3"/>
  <c r="BM162" i="3"/>
  <c r="BM163" i="3" s="1"/>
  <c r="BM77" i="3"/>
  <c r="BM142" i="3"/>
  <c r="BM143" i="3" s="1"/>
  <c r="BM182" i="3"/>
  <c r="BM234" i="3"/>
  <c r="BM274" i="3"/>
  <c r="BM284" i="3"/>
  <c r="BM304" i="3"/>
  <c r="BM312" i="3"/>
  <c r="BM198" i="3"/>
  <c r="BM298" i="3"/>
  <c r="BM178" i="3"/>
  <c r="BM308" i="3"/>
  <c r="BM302" i="3"/>
  <c r="BM248" i="3"/>
  <c r="BM332" i="3"/>
  <c r="BM324" i="3"/>
  <c r="BM130" i="3"/>
  <c r="BM172" i="3"/>
  <c r="BM173" i="3" s="1"/>
  <c r="BM282" i="3"/>
  <c r="BM114" i="3"/>
  <c r="BM82" i="3"/>
  <c r="BM83" i="3" s="1"/>
  <c r="BM254" i="3"/>
  <c r="BO3" i="3"/>
  <c r="BN5" i="3"/>
  <c r="BN4" i="3"/>
  <c r="BV5" i="4" s="1"/>
  <c r="BN310" i="3"/>
  <c r="BN317" i="3" s="1"/>
  <c r="BN290" i="3"/>
  <c r="BN297" i="3" s="1"/>
  <c r="BN330" i="3"/>
  <c r="BN337" i="3" s="1"/>
  <c r="BN300" i="3"/>
  <c r="BN307" i="3" s="1"/>
  <c r="BN320" i="3"/>
  <c r="BN327" i="3" s="1"/>
  <c r="BN340" i="3"/>
  <c r="BN347" i="3" s="1"/>
  <c r="BL358" i="3"/>
  <c r="BT24" i="4" s="1"/>
  <c r="BL233" i="3"/>
  <c r="BL235" i="3" s="1"/>
  <c r="BL236" i="3"/>
  <c r="BL46" i="3"/>
  <c r="BL41" i="3"/>
  <c r="BL181" i="3"/>
  <c r="BL186" i="3"/>
  <c r="BL91" i="3"/>
  <c r="BL96" i="3"/>
  <c r="BL316" i="3"/>
  <c r="BL313" i="3"/>
  <c r="BL315" i="3" s="1"/>
  <c r="BL263" i="3"/>
  <c r="BL265" i="3" s="1"/>
  <c r="BL266" i="3"/>
  <c r="BL223" i="3"/>
  <c r="BL225" i="3" s="1"/>
  <c r="BL226" i="3"/>
  <c r="BL354" i="3"/>
  <c r="BT9" i="4" s="1"/>
  <c r="BI355" i="3"/>
  <c r="BK325" i="3"/>
  <c r="BK285" i="3"/>
  <c r="BK135" i="3"/>
  <c r="BK354" i="3"/>
  <c r="BS9" i="4" s="1"/>
  <c r="BK16" i="3"/>
  <c r="BK11" i="3"/>
  <c r="BK75" i="3"/>
  <c r="BK166" i="3"/>
  <c r="BK161" i="3"/>
  <c r="BK165" i="3" s="1"/>
  <c r="BK358" i="3"/>
  <c r="BS24" i="4" s="1"/>
  <c r="BK357" i="3"/>
  <c r="BS23" i="4" s="1"/>
  <c r="BI359" i="3" a="1"/>
  <c r="BI359" i="3" s="1"/>
  <c r="BQ6" i="4" s="1"/>
  <c r="BK216" i="3"/>
  <c r="BS17" i="4"/>
  <c r="BK36" i="3"/>
  <c r="BK276" i="3"/>
  <c r="BK256" i="3"/>
  <c r="BK346" i="3"/>
  <c r="BK46" i="3"/>
  <c r="BK26" i="3"/>
  <c r="BK136" i="3"/>
  <c r="BK56" i="3"/>
  <c r="BK66" i="3"/>
  <c r="BK266" i="3"/>
  <c r="BK86" i="3"/>
  <c r="BK176" i="3"/>
  <c r="BK286" i="3"/>
  <c r="BK196" i="3"/>
  <c r="BK116" i="3"/>
  <c r="BK146" i="3"/>
  <c r="BK126" i="3"/>
  <c r="BK246" i="3"/>
  <c r="BK96" i="3"/>
  <c r="BK336" i="3"/>
  <c r="BK76" i="3"/>
  <c r="BK156" i="3"/>
  <c r="BK236" i="3"/>
  <c r="BK296" i="3"/>
  <c r="BK326" i="3"/>
  <c r="BK306" i="3"/>
  <c r="BK226" i="3"/>
  <c r="BK186" i="3"/>
  <c r="BK316" i="3"/>
  <c r="BK106" i="3"/>
  <c r="BJ353" i="3"/>
  <c r="BJ25" i="3"/>
  <c r="BJ352" i="3"/>
  <c r="BJ15" i="3"/>
  <c r="BJ356" i="3"/>
  <c r="BR12" i="4" s="1"/>
  <c r="AC45" i="4" l="1"/>
  <c r="AC46" i="4" s="1"/>
  <c r="AC50" i="4"/>
  <c r="BL45" i="3"/>
  <c r="BQ16" i="4"/>
  <c r="BL125" i="3"/>
  <c r="BQ14" i="4"/>
  <c r="BQ18" i="4" s="1"/>
  <c r="BL105" i="3"/>
  <c r="BL85" i="3"/>
  <c r="BM93" i="3"/>
  <c r="BL35" i="3"/>
  <c r="BL135" i="3"/>
  <c r="BR8" i="4"/>
  <c r="BR10" i="4" s="1"/>
  <c r="BL195" i="3"/>
  <c r="BM103" i="3"/>
  <c r="BL55" i="3"/>
  <c r="BL155" i="3"/>
  <c r="BL25" i="3"/>
  <c r="BS25" i="4"/>
  <c r="BK353" i="3"/>
  <c r="BL115" i="3"/>
  <c r="BL95" i="3"/>
  <c r="BL185" i="3"/>
  <c r="BM183" i="3"/>
  <c r="BL175" i="3"/>
  <c r="BV13" i="4"/>
  <c r="BV22" i="4"/>
  <c r="BW4" i="4"/>
  <c r="BW21" i="4" s="1"/>
  <c r="BT25" i="4"/>
  <c r="BL145" i="3"/>
  <c r="BJ359" i="3" a="1"/>
  <c r="BJ359" i="3" s="1"/>
  <c r="BR6" i="4" s="1"/>
  <c r="BR16" i="4" s="1"/>
  <c r="BL65" i="3"/>
  <c r="BA44" i="4"/>
  <c r="BB44" i="4"/>
  <c r="BC32" i="4"/>
  <c r="BC34" i="4" s="1"/>
  <c r="BP27" i="4"/>
  <c r="BD31" i="4"/>
  <c r="BM193" i="3"/>
  <c r="BM133" i="3"/>
  <c r="BM33" i="3"/>
  <c r="BM123" i="3"/>
  <c r="BM53" i="3"/>
  <c r="BM191" i="3"/>
  <c r="BM196" i="3"/>
  <c r="BM256" i="3"/>
  <c r="BM253" i="3"/>
  <c r="BM255" i="3" s="1"/>
  <c r="BM111" i="3"/>
  <c r="BM115" i="3" s="1"/>
  <c r="BM116" i="3"/>
  <c r="BM354" i="3"/>
  <c r="BU9" i="4" s="1"/>
  <c r="BM76" i="3"/>
  <c r="BM71" i="3"/>
  <c r="BM75" i="3" s="1"/>
  <c r="BM223" i="3"/>
  <c r="BM225" i="3" s="1"/>
  <c r="BM226" i="3"/>
  <c r="BM161" i="3"/>
  <c r="BM165" i="3" s="1"/>
  <c r="BM166" i="3"/>
  <c r="BM96" i="3"/>
  <c r="BM91" i="3"/>
  <c r="BM313" i="3"/>
  <c r="BM315" i="3" s="1"/>
  <c r="BM316" i="3"/>
  <c r="BM56" i="3"/>
  <c r="BM51" i="3"/>
  <c r="BL353" i="3"/>
  <c r="BM213" i="3"/>
  <c r="BM215" i="3" s="1"/>
  <c r="BM216" i="3"/>
  <c r="BM81" i="3"/>
  <c r="BM85" i="3" s="1"/>
  <c r="BM86" i="3"/>
  <c r="BM186" i="3"/>
  <c r="BM181" i="3"/>
  <c r="BL356" i="3"/>
  <c r="BT12" i="4" s="1"/>
  <c r="BM246" i="3"/>
  <c r="BM243" i="3"/>
  <c r="BM245" i="3" s="1"/>
  <c r="BM263" i="3"/>
  <c r="BM265" i="3" s="1"/>
  <c r="BM266" i="3"/>
  <c r="BM283" i="3"/>
  <c r="BM285" i="3" s="1"/>
  <c r="BM286" i="3"/>
  <c r="BM136" i="3"/>
  <c r="BM131" i="3"/>
  <c r="BM36" i="3"/>
  <c r="BM31" i="3"/>
  <c r="BM21" i="3"/>
  <c r="BM26" i="3"/>
  <c r="BM146" i="3"/>
  <c r="BM141" i="3"/>
  <c r="BM145" i="3" s="1"/>
  <c r="BM106" i="3"/>
  <c r="BM101" i="3"/>
  <c r="BM233" i="3"/>
  <c r="BM235" i="3" s="1"/>
  <c r="BM236" i="3"/>
  <c r="BM16" i="3"/>
  <c r="BM11" i="3"/>
  <c r="BM357" i="3"/>
  <c r="BU23" i="4" s="1"/>
  <c r="BM293" i="3"/>
  <c r="BM295" i="3" s="1"/>
  <c r="BM296" i="3"/>
  <c r="BM346" i="3"/>
  <c r="BM343" i="3"/>
  <c r="BM345" i="3" s="1"/>
  <c r="BM171" i="3"/>
  <c r="BM175" i="3" s="1"/>
  <c r="BM176" i="3"/>
  <c r="BM41" i="3"/>
  <c r="BM45" i="3" s="1"/>
  <c r="BM46" i="3"/>
  <c r="BO4" i="3"/>
  <c r="BW5" i="4" s="1"/>
  <c r="BP3" i="3"/>
  <c r="BO300" i="3"/>
  <c r="BO307" i="3" s="1"/>
  <c r="BO310" i="3"/>
  <c r="BO317" i="3" s="1"/>
  <c r="BO290" i="3"/>
  <c r="BO297" i="3" s="1"/>
  <c r="BO330" i="3"/>
  <c r="BO337" i="3" s="1"/>
  <c r="BO5" i="3"/>
  <c r="BO340" i="3"/>
  <c r="BO347" i="3" s="1"/>
  <c r="BO320" i="3"/>
  <c r="BO327" i="3" s="1"/>
  <c r="BM156" i="3"/>
  <c r="BM151" i="3"/>
  <c r="BM66" i="3"/>
  <c r="BM61" i="3"/>
  <c r="BM65" i="3" s="1"/>
  <c r="BL15" i="3"/>
  <c r="BL352" i="3"/>
  <c r="BM126" i="3"/>
  <c r="BM121" i="3"/>
  <c r="BM333" i="3"/>
  <c r="BM335" i="3" s="1"/>
  <c r="BM336" i="3"/>
  <c r="BM358" i="3"/>
  <c r="BU24" i="4" s="1"/>
  <c r="BM273" i="3"/>
  <c r="BM275" i="3" s="1"/>
  <c r="BM276" i="3"/>
  <c r="BM303" i="3"/>
  <c r="BM305" i="3" s="1"/>
  <c r="BM306" i="3"/>
  <c r="BN28" i="3"/>
  <c r="BN64" i="3"/>
  <c r="BN82" i="3"/>
  <c r="BN100" i="3"/>
  <c r="BN117" i="3"/>
  <c r="BN34" i="3"/>
  <c r="BN52" i="3"/>
  <c r="BN70" i="3"/>
  <c r="BN87" i="3"/>
  <c r="BN68" i="3"/>
  <c r="BN104" i="3"/>
  <c r="BN122" i="3"/>
  <c r="BN38" i="3"/>
  <c r="BN74" i="3"/>
  <c r="BN44" i="3"/>
  <c r="BN84" i="3"/>
  <c r="BN132" i="3"/>
  <c r="BN150" i="3"/>
  <c r="BN10" i="3"/>
  <c r="BN50" i="3"/>
  <c r="BN58" i="3"/>
  <c r="BN30" i="3"/>
  <c r="BN47" i="3"/>
  <c r="BN120" i="3"/>
  <c r="BN130" i="3"/>
  <c r="BN218" i="3"/>
  <c r="BN27" i="3"/>
  <c r="BN134" i="3"/>
  <c r="BN102" i="3"/>
  <c r="BN138" i="3"/>
  <c r="BN158" i="3"/>
  <c r="BN77" i="3"/>
  <c r="BN88" i="3"/>
  <c r="BN128" i="3"/>
  <c r="BN152" i="3"/>
  <c r="BN170" i="3"/>
  <c r="BN187" i="3"/>
  <c r="BN60" i="3"/>
  <c r="BN92" i="3"/>
  <c r="BN110" i="3"/>
  <c r="BN114" i="3"/>
  <c r="BN140" i="3"/>
  <c r="BN142" i="3"/>
  <c r="BN174" i="3"/>
  <c r="BN182" i="3"/>
  <c r="BN190" i="3"/>
  <c r="BN197" i="3"/>
  <c r="BN234" i="3"/>
  <c r="BN252" i="3"/>
  <c r="BN287" i="3"/>
  <c r="BN20" i="3"/>
  <c r="BN112" i="3"/>
  <c r="BN257" i="3"/>
  <c r="BN7" i="3"/>
  <c r="BV17" i="4" s="1"/>
  <c r="BN42" i="3"/>
  <c r="BN72" i="3"/>
  <c r="BN73" i="3" s="1"/>
  <c r="BN107" i="3"/>
  <c r="BN124" i="3"/>
  <c r="BN48" i="3"/>
  <c r="BN54" i="3"/>
  <c r="BN188" i="3"/>
  <c r="BN238" i="3"/>
  <c r="BN274" i="3"/>
  <c r="BN292" i="3"/>
  <c r="BN40" i="3"/>
  <c r="BN144" i="3"/>
  <c r="BN167" i="3"/>
  <c r="BN212" i="3"/>
  <c r="BN248" i="3"/>
  <c r="BN262" i="3"/>
  <c r="BN302" i="3"/>
  <c r="BN334" i="3"/>
  <c r="BN348" i="3"/>
  <c r="BN94" i="3"/>
  <c r="BN98" i="3"/>
  <c r="BN160" i="3"/>
  <c r="BN267" i="3"/>
  <c r="BN278" i="3"/>
  <c r="BN322" i="3"/>
  <c r="BN157" i="3"/>
  <c r="BN272" i="3"/>
  <c r="BN78" i="3"/>
  <c r="BN228" i="3"/>
  <c r="BN57" i="3"/>
  <c r="BN184" i="3"/>
  <c r="BN214" i="3"/>
  <c r="BN308" i="3"/>
  <c r="BN342" i="3"/>
  <c r="BN147" i="3"/>
  <c r="BN264" i="3"/>
  <c r="BN67" i="3"/>
  <c r="BN97" i="3"/>
  <c r="BN80" i="3"/>
  <c r="BN127" i="3"/>
  <c r="BN177" i="3"/>
  <c r="BN277" i="3"/>
  <c r="BN318" i="3"/>
  <c r="BN168" i="3"/>
  <c r="BN242" i="3"/>
  <c r="BN118" i="3"/>
  <c r="BN148" i="3"/>
  <c r="BN6" i="3"/>
  <c r="BN224" i="3"/>
  <c r="BN227" i="3"/>
  <c r="BN244" i="3"/>
  <c r="BN222" i="3"/>
  <c r="BN22" i="3"/>
  <c r="BN62" i="3"/>
  <c r="BN194" i="3"/>
  <c r="BN338" i="3"/>
  <c r="BN344" i="3"/>
  <c r="BN178" i="3"/>
  <c r="BN328" i="3"/>
  <c r="BN180" i="3"/>
  <c r="BN192" i="3"/>
  <c r="BN237" i="3"/>
  <c r="BN294" i="3"/>
  <c r="BN268" i="3"/>
  <c r="BN154" i="3"/>
  <c r="BN32" i="3"/>
  <c r="BN108" i="3"/>
  <c r="BN314" i="3"/>
  <c r="BN162" i="3"/>
  <c r="BN198" i="3"/>
  <c r="BN247" i="3"/>
  <c r="BN298" i="3"/>
  <c r="BN90" i="3"/>
  <c r="BN288" i="3"/>
  <c r="BN324" i="3"/>
  <c r="BN232" i="3"/>
  <c r="BN312" i="3"/>
  <c r="BN24" i="3"/>
  <c r="BN217" i="3"/>
  <c r="BN332" i="3"/>
  <c r="BN37" i="3"/>
  <c r="BN282" i="3"/>
  <c r="BN254" i="3"/>
  <c r="BN172" i="3"/>
  <c r="BN258" i="3"/>
  <c r="BN284" i="3"/>
  <c r="BN304" i="3"/>
  <c r="BN137" i="3"/>
  <c r="BM323" i="3"/>
  <c r="BM325" i="3" s="1"/>
  <c r="BM326" i="3"/>
  <c r="BM153" i="3"/>
  <c r="BM23" i="3"/>
  <c r="BK15" i="3"/>
  <c r="BK359" i="3" s="1" a="1"/>
  <c r="BK359" i="3" s="1"/>
  <c r="BS6" i="4" s="1"/>
  <c r="BK352" i="3"/>
  <c r="BK356" i="3"/>
  <c r="BS12" i="4" s="1"/>
  <c r="BJ355" i="3"/>
  <c r="BQ19" i="4" l="1"/>
  <c r="BQ27" i="4" s="1"/>
  <c r="AC47" i="4"/>
  <c r="AC48" i="4" s="1"/>
  <c r="AD43" i="4" s="1"/>
  <c r="BM95" i="3"/>
  <c r="BM105" i="3"/>
  <c r="BR14" i="4"/>
  <c r="BR18" i="4" s="1"/>
  <c r="BR19" i="4" s="1"/>
  <c r="BS8" i="4"/>
  <c r="BS10" i="4" s="1"/>
  <c r="BT8" i="4"/>
  <c r="BM155" i="3"/>
  <c r="BM55" i="3"/>
  <c r="BM185" i="3"/>
  <c r="BW13" i="4"/>
  <c r="BW22" i="4"/>
  <c r="BX4" i="4"/>
  <c r="BX21" i="4" s="1"/>
  <c r="BM125" i="3"/>
  <c r="BM35" i="3"/>
  <c r="BM135" i="3"/>
  <c r="BW3" i="4"/>
  <c r="BM195" i="3"/>
  <c r="BU25" i="4"/>
  <c r="BC44" i="4"/>
  <c r="BD32" i="4"/>
  <c r="BD34" i="4" s="1"/>
  <c r="BN33" i="3"/>
  <c r="BM356" i="3"/>
  <c r="BU12" i="4" s="1"/>
  <c r="BN63" i="3"/>
  <c r="BN183" i="3"/>
  <c r="BN103" i="3"/>
  <c r="BN23" i="3"/>
  <c r="BN123" i="3"/>
  <c r="BN163" i="3"/>
  <c r="BN164" i="3" s="1"/>
  <c r="BN354" i="3" s="1"/>
  <c r="BV9" i="4" s="1"/>
  <c r="BN173" i="3"/>
  <c r="BN143" i="3"/>
  <c r="BN323" i="3"/>
  <c r="BN325" i="3" s="1"/>
  <c r="BN326" i="3"/>
  <c r="BM15" i="3"/>
  <c r="BM352" i="3"/>
  <c r="BN136" i="3"/>
  <c r="BN131" i="3"/>
  <c r="BM25" i="3"/>
  <c r="BN313" i="3"/>
  <c r="BN315" i="3" s="1"/>
  <c r="BN316" i="3"/>
  <c r="BN193" i="3"/>
  <c r="BN246" i="3"/>
  <c r="BN243" i="3"/>
  <c r="BN245" i="3" s="1"/>
  <c r="BN216" i="3"/>
  <c r="BN213" i="3"/>
  <c r="BN215" i="3" s="1"/>
  <c r="BN113" i="3"/>
  <c r="BN171" i="3"/>
  <c r="BN176" i="3"/>
  <c r="BN51" i="3"/>
  <c r="BN56" i="3"/>
  <c r="BN106" i="3"/>
  <c r="BN101" i="3"/>
  <c r="BN93" i="3"/>
  <c r="BN153" i="3"/>
  <c r="BN83" i="3"/>
  <c r="BN156" i="3"/>
  <c r="BN151" i="3"/>
  <c r="BN86" i="3"/>
  <c r="BN81" i="3"/>
  <c r="BN196" i="3"/>
  <c r="BN191" i="3"/>
  <c r="BN146" i="3"/>
  <c r="BN141" i="3"/>
  <c r="BP4" i="3"/>
  <c r="BX5" i="4" s="1"/>
  <c r="BQ3" i="3"/>
  <c r="BP330" i="3"/>
  <c r="BP337" i="3" s="1"/>
  <c r="BP310" i="3"/>
  <c r="BP317" i="3" s="1"/>
  <c r="BP290" i="3"/>
  <c r="BP297" i="3" s="1"/>
  <c r="BP5" i="3"/>
  <c r="BP340" i="3"/>
  <c r="BP347" i="3" s="1"/>
  <c r="BP320" i="3"/>
  <c r="BP327" i="3" s="1"/>
  <c r="BP300" i="3"/>
  <c r="BP307" i="3" s="1"/>
  <c r="BN283" i="3"/>
  <c r="BN285" i="3" s="1"/>
  <c r="BN286" i="3"/>
  <c r="BO58" i="3"/>
  <c r="BO94" i="3"/>
  <c r="BO112" i="3"/>
  <c r="BO113" i="3" s="1"/>
  <c r="BO28" i="3"/>
  <c r="BO64" i="3"/>
  <c r="BO82" i="3"/>
  <c r="BO100" i="3"/>
  <c r="BO117" i="3"/>
  <c r="BO10" i="3"/>
  <c r="BO27" i="3"/>
  <c r="BO98" i="3"/>
  <c r="BO68" i="3"/>
  <c r="BO38" i="3"/>
  <c r="BO47" i="3"/>
  <c r="BO78" i="3"/>
  <c r="BO110" i="3"/>
  <c r="BO120" i="3"/>
  <c r="BO144" i="3"/>
  <c r="BO44" i="3"/>
  <c r="BO84" i="3"/>
  <c r="BO30" i="3"/>
  <c r="BO34" i="3"/>
  <c r="BO148" i="3"/>
  <c r="BO160" i="3"/>
  <c r="BO177" i="3"/>
  <c r="BO130" i="3"/>
  <c r="BO134" i="3"/>
  <c r="BO80" i="3"/>
  <c r="BO107" i="3"/>
  <c r="BO147" i="3"/>
  <c r="BO182" i="3"/>
  <c r="BO214" i="3"/>
  <c r="BO218" i="3"/>
  <c r="BO228" i="3"/>
  <c r="BO264" i="3"/>
  <c r="BO282" i="3"/>
  <c r="BO60" i="3"/>
  <c r="BO92" i="3"/>
  <c r="BO114" i="3"/>
  <c r="BO140" i="3"/>
  <c r="BO142" i="3"/>
  <c r="BO174" i="3"/>
  <c r="BO190" i="3"/>
  <c r="BO197" i="3"/>
  <c r="BO234" i="3"/>
  <c r="BO252" i="3"/>
  <c r="BO287" i="3"/>
  <c r="BO20" i="3"/>
  <c r="BO122" i="3"/>
  <c r="BO150" i="3"/>
  <c r="BO257" i="3"/>
  <c r="BO57" i="3"/>
  <c r="BO90" i="3"/>
  <c r="BO97" i="3"/>
  <c r="BO157" i="3"/>
  <c r="BO217" i="3"/>
  <c r="BO227" i="3"/>
  <c r="BO268" i="3"/>
  <c r="BO304" i="3"/>
  <c r="BO322" i="3"/>
  <c r="BO48" i="3"/>
  <c r="BO54" i="3"/>
  <c r="BO188" i="3"/>
  <c r="BO77" i="3"/>
  <c r="BO108" i="3"/>
  <c r="BO137" i="3"/>
  <c r="BO154" i="3"/>
  <c r="BO172" i="3"/>
  <c r="BO178" i="3"/>
  <c r="BO238" i="3"/>
  <c r="BO294" i="3"/>
  <c r="BO314" i="3"/>
  <c r="BO52" i="3"/>
  <c r="BO152" i="3"/>
  <c r="BO167" i="3"/>
  <c r="BO212" i="3"/>
  <c r="BO248" i="3"/>
  <c r="BO262" i="3"/>
  <c r="BO302" i="3"/>
  <c r="BO334" i="3"/>
  <c r="BO348" i="3"/>
  <c r="BO70" i="3"/>
  <c r="BO102" i="3"/>
  <c r="BO103" i="3" s="1"/>
  <c r="BO132" i="3"/>
  <c r="BO267" i="3"/>
  <c r="BO278" i="3"/>
  <c r="BO40" i="3"/>
  <c r="BO272" i="3"/>
  <c r="BO74" i="3"/>
  <c r="BO87" i="3"/>
  <c r="BO72" i="3"/>
  <c r="BO73" i="3" s="1"/>
  <c r="BO328" i="3"/>
  <c r="BO332" i="3"/>
  <c r="BO22" i="3"/>
  <c r="BO42" i="3"/>
  <c r="BO194" i="3"/>
  <c r="BO184" i="3"/>
  <c r="BO342" i="3"/>
  <c r="BO62" i="3"/>
  <c r="BO63" i="3" s="1"/>
  <c r="BO338" i="3"/>
  <c r="BO344" i="3"/>
  <c r="BO67" i="3"/>
  <c r="BO124" i="3"/>
  <c r="BO242" i="3"/>
  <c r="BO127" i="3"/>
  <c r="BO277" i="3"/>
  <c r="BO318" i="3"/>
  <c r="BO6" i="3"/>
  <c r="BO187" i="3"/>
  <c r="BO224" i="3"/>
  <c r="BO244" i="3"/>
  <c r="BO222" i="3"/>
  <c r="BO7" i="3"/>
  <c r="BW17" i="4" s="1"/>
  <c r="BO168" i="3"/>
  <c r="BO88" i="3"/>
  <c r="BO180" i="3"/>
  <c r="BO192" i="3"/>
  <c r="BO237" i="3"/>
  <c r="BO292" i="3"/>
  <c r="BO118" i="3"/>
  <c r="BO162" i="3"/>
  <c r="BO198" i="3"/>
  <c r="BO247" i="3"/>
  <c r="BO298" i="3"/>
  <c r="BO32" i="3"/>
  <c r="BO254" i="3"/>
  <c r="BO274" i="3"/>
  <c r="BO308" i="3"/>
  <c r="BO232" i="3"/>
  <c r="BO312" i="3"/>
  <c r="BO128" i="3"/>
  <c r="BO24" i="3"/>
  <c r="BO170" i="3"/>
  <c r="BO104" i="3"/>
  <c r="BO50" i="3"/>
  <c r="BO288" i="3"/>
  <c r="BO324" i="3"/>
  <c r="BO284" i="3"/>
  <c r="BO158" i="3"/>
  <c r="BO258" i="3"/>
  <c r="BO37" i="3"/>
  <c r="BO138" i="3"/>
  <c r="BN126" i="3"/>
  <c r="BN121" i="3"/>
  <c r="BN76" i="3"/>
  <c r="BN71" i="3"/>
  <c r="BN75" i="3" s="1"/>
  <c r="BN333" i="3"/>
  <c r="BN335" i="3" s="1"/>
  <c r="BN336" i="3"/>
  <c r="BN43" i="3"/>
  <c r="BN36" i="3"/>
  <c r="BN31" i="3"/>
  <c r="BM353" i="3"/>
  <c r="BN11" i="3"/>
  <c r="BN16" i="3"/>
  <c r="BN273" i="3"/>
  <c r="BN275" i="3" s="1"/>
  <c r="BN276" i="3"/>
  <c r="BN46" i="3"/>
  <c r="BN41" i="3"/>
  <c r="BN256" i="3"/>
  <c r="BN253" i="3"/>
  <c r="BN255" i="3" s="1"/>
  <c r="BN133" i="3"/>
  <c r="BN358" i="3"/>
  <c r="BV24" i="4" s="1"/>
  <c r="BN161" i="3"/>
  <c r="BN166" i="3"/>
  <c r="BN223" i="3"/>
  <c r="BN225" i="3" s="1"/>
  <c r="BN226" i="3"/>
  <c r="BN357" i="3"/>
  <c r="BV23" i="4" s="1"/>
  <c r="BN343" i="3"/>
  <c r="BN345" i="3" s="1"/>
  <c r="BN346" i="3"/>
  <c r="BN111" i="3"/>
  <c r="BN116" i="3"/>
  <c r="BN303" i="3"/>
  <c r="BN305" i="3" s="1"/>
  <c r="BN306" i="3"/>
  <c r="BN53" i="3"/>
  <c r="BN263" i="3"/>
  <c r="BN265" i="3" s="1"/>
  <c r="BN266" i="3"/>
  <c r="BN66" i="3"/>
  <c r="BN61" i="3"/>
  <c r="BN65" i="3" s="1"/>
  <c r="BL355" i="3"/>
  <c r="BL359" i="3" a="1"/>
  <c r="BL359" i="3" s="1"/>
  <c r="BT6" i="4" s="1"/>
  <c r="BN233" i="3"/>
  <c r="BN235" i="3" s="1"/>
  <c r="BN236" i="3"/>
  <c r="BN181" i="3"/>
  <c r="BN186" i="3"/>
  <c r="BN21" i="3"/>
  <c r="BN26" i="3"/>
  <c r="BN96" i="3"/>
  <c r="BN91" i="3"/>
  <c r="BN293" i="3"/>
  <c r="BN295" i="3" s="1"/>
  <c r="BN296" i="3"/>
  <c r="BK355" i="3"/>
  <c r="BO43" i="3" l="1"/>
  <c r="BO183" i="3"/>
  <c r="BN155" i="3"/>
  <c r="BE31" i="4"/>
  <c r="AD50" i="4"/>
  <c r="AD45" i="4"/>
  <c r="AD46" i="4" s="1"/>
  <c r="BN195" i="3"/>
  <c r="BN165" i="3"/>
  <c r="BN145" i="3"/>
  <c r="BO23" i="3"/>
  <c r="BS16" i="4"/>
  <c r="BS14" i="4"/>
  <c r="BS18" i="4" s="1"/>
  <c r="BT10" i="4"/>
  <c r="BT14" i="4" s="1"/>
  <c r="BT16" i="4"/>
  <c r="BU8" i="4"/>
  <c r="BO123" i="3"/>
  <c r="BN95" i="3"/>
  <c r="BN85" i="3"/>
  <c r="BX13" i="4"/>
  <c r="BX22" i="4"/>
  <c r="BX3" i="4"/>
  <c r="BN105" i="3"/>
  <c r="BN25" i="3"/>
  <c r="BV25" i="4"/>
  <c r="BN185" i="3"/>
  <c r="BN35" i="3"/>
  <c r="BY4" i="4"/>
  <c r="BY21" i="4" s="1"/>
  <c r="BN175" i="3"/>
  <c r="BD44" i="4"/>
  <c r="BE32" i="4"/>
  <c r="BE34" i="4" s="1"/>
  <c r="BR27" i="4"/>
  <c r="BF31" i="4"/>
  <c r="BN125" i="3"/>
  <c r="BN45" i="3"/>
  <c r="BO33" i="3"/>
  <c r="BN353" i="3"/>
  <c r="BO358" i="3"/>
  <c r="BW24" i="4" s="1"/>
  <c r="BO196" i="3"/>
  <c r="BO191" i="3"/>
  <c r="BO81" i="3"/>
  <c r="BO86" i="3"/>
  <c r="BN15" i="3"/>
  <c r="BN352" i="3"/>
  <c r="BO163" i="3"/>
  <c r="BO164" i="3" s="1"/>
  <c r="BO354" i="3" s="1"/>
  <c r="BW9" i="4" s="1"/>
  <c r="BO143" i="3"/>
  <c r="BO136" i="3"/>
  <c r="BO131" i="3"/>
  <c r="BO357" i="3"/>
  <c r="BW23" i="4" s="1"/>
  <c r="BN135" i="3"/>
  <c r="BO246" i="3"/>
  <c r="BO243" i="3"/>
  <c r="BO245" i="3" s="1"/>
  <c r="BO273" i="3"/>
  <c r="BO275" i="3" s="1"/>
  <c r="BO276" i="3"/>
  <c r="BO146" i="3"/>
  <c r="BO141" i="3"/>
  <c r="BO11" i="3"/>
  <c r="BO16" i="3"/>
  <c r="BO156" i="3"/>
  <c r="BO151" i="3"/>
  <c r="BN115" i="3"/>
  <c r="BO313" i="3"/>
  <c r="BO315" i="3" s="1"/>
  <c r="BO316" i="3"/>
  <c r="BO293" i="3"/>
  <c r="BO295" i="3" s="1"/>
  <c r="BO296" i="3"/>
  <c r="BO41" i="3"/>
  <c r="BO45" i="3" s="1"/>
  <c r="BO46" i="3"/>
  <c r="BO106" i="3"/>
  <c r="BO101" i="3"/>
  <c r="BO105" i="3" s="1"/>
  <c r="BR3" i="3"/>
  <c r="BQ5" i="3"/>
  <c r="BQ4" i="3"/>
  <c r="BY5" i="4" s="1"/>
  <c r="BQ310" i="3"/>
  <c r="BQ317" i="3" s="1"/>
  <c r="BQ290" i="3"/>
  <c r="BQ297" i="3" s="1"/>
  <c r="BQ340" i="3"/>
  <c r="BQ347" i="3" s="1"/>
  <c r="BQ330" i="3"/>
  <c r="BQ337" i="3" s="1"/>
  <c r="BQ320" i="3"/>
  <c r="BQ327" i="3" s="1"/>
  <c r="BQ300" i="3"/>
  <c r="BQ307" i="3" s="1"/>
  <c r="BN55" i="3"/>
  <c r="BM355" i="3"/>
  <c r="BM359" i="3" a="1"/>
  <c r="BM359" i="3" s="1"/>
  <c r="BU6" i="4" s="1"/>
  <c r="BO233" i="3"/>
  <c r="BO235" i="3" s="1"/>
  <c r="BO236" i="3"/>
  <c r="BO226" i="3"/>
  <c r="BO223" i="3"/>
  <c r="BO225" i="3" s="1"/>
  <c r="BO303" i="3"/>
  <c r="BO305" i="3" s="1"/>
  <c r="BO306" i="3"/>
  <c r="BO336" i="3"/>
  <c r="BO333" i="3"/>
  <c r="BO335" i="3" s="1"/>
  <c r="BO213" i="3"/>
  <c r="BO215" i="3" s="1"/>
  <c r="BO216" i="3"/>
  <c r="BO326" i="3"/>
  <c r="BO323" i="3"/>
  <c r="BO325" i="3" s="1"/>
  <c r="BN356" i="3"/>
  <c r="BV12" i="4" s="1"/>
  <c r="BO153" i="3"/>
  <c r="BO53" i="3"/>
  <c r="BO51" i="3"/>
  <c r="BO56" i="3"/>
  <c r="BO166" i="3"/>
  <c r="BO161" i="3"/>
  <c r="BO171" i="3"/>
  <c r="BO176" i="3"/>
  <c r="BO193" i="3"/>
  <c r="BO91" i="3"/>
  <c r="BO96" i="3"/>
  <c r="BO61" i="3"/>
  <c r="BO65" i="3" s="1"/>
  <c r="BO66" i="3"/>
  <c r="BO83" i="3"/>
  <c r="BP88" i="3"/>
  <c r="BP124" i="3"/>
  <c r="BP58" i="3"/>
  <c r="BP94" i="3"/>
  <c r="BP112" i="3"/>
  <c r="BP22" i="3"/>
  <c r="BP40" i="3"/>
  <c r="BP57" i="3"/>
  <c r="BP10" i="3"/>
  <c r="BP27" i="3"/>
  <c r="BP42" i="3"/>
  <c r="BP138" i="3"/>
  <c r="BP38" i="3"/>
  <c r="BP47" i="3"/>
  <c r="BP78" i="3"/>
  <c r="BP24" i="3"/>
  <c r="BP90" i="3"/>
  <c r="BP32" i="3"/>
  <c r="BP54" i="3"/>
  <c r="BP92" i="3"/>
  <c r="BP114" i="3"/>
  <c r="BP140" i="3"/>
  <c r="BP144" i="3"/>
  <c r="BP154" i="3"/>
  <c r="BP172" i="3"/>
  <c r="BP190" i="3"/>
  <c r="BP30" i="3"/>
  <c r="BP34" i="3"/>
  <c r="BP100" i="3"/>
  <c r="BP120" i="3"/>
  <c r="BP148" i="3"/>
  <c r="BP160" i="3"/>
  <c r="BP130" i="3"/>
  <c r="BP102" i="3"/>
  <c r="BP122" i="3"/>
  <c r="BP158" i="3"/>
  <c r="BP194" i="3"/>
  <c r="BP77" i="3"/>
  <c r="BP132" i="3"/>
  <c r="BP178" i="3"/>
  <c r="BP224" i="3"/>
  <c r="BP258" i="3"/>
  <c r="BP294" i="3"/>
  <c r="BP312" i="3"/>
  <c r="BP110" i="3"/>
  <c r="BP182" i="3"/>
  <c r="BP214" i="3"/>
  <c r="BP218" i="3"/>
  <c r="BP228" i="3"/>
  <c r="BP264" i="3"/>
  <c r="BP282" i="3"/>
  <c r="BP60" i="3"/>
  <c r="BP134" i="3"/>
  <c r="BP142" i="3"/>
  <c r="BP174" i="3"/>
  <c r="BP197" i="3"/>
  <c r="BP234" i="3"/>
  <c r="BP252" i="3"/>
  <c r="BP7" i="3"/>
  <c r="BX17" i="4" s="1"/>
  <c r="BP72" i="3"/>
  <c r="BP73" i="3" s="1"/>
  <c r="BP128" i="3"/>
  <c r="BP152" i="3"/>
  <c r="BP170" i="3"/>
  <c r="BP177" i="3"/>
  <c r="BP298" i="3"/>
  <c r="BP334" i="3"/>
  <c r="BP97" i="3"/>
  <c r="BP157" i="3"/>
  <c r="BP20" i="3"/>
  <c r="BP162" i="3"/>
  <c r="BP338" i="3"/>
  <c r="BP108" i="3"/>
  <c r="BP137" i="3"/>
  <c r="BP238" i="3"/>
  <c r="BP314" i="3"/>
  <c r="BP52" i="3"/>
  <c r="BP98" i="3"/>
  <c r="BP167" i="3"/>
  <c r="BP212" i="3"/>
  <c r="BP248" i="3"/>
  <c r="BP262" i="3"/>
  <c r="BP302" i="3"/>
  <c r="BP322" i="3"/>
  <c r="BP348" i="3"/>
  <c r="BP70" i="3"/>
  <c r="BP267" i="3"/>
  <c r="BP48" i="3"/>
  <c r="BP188" i="3"/>
  <c r="BP257" i="3"/>
  <c r="BP272" i="3"/>
  <c r="BP324" i="3"/>
  <c r="BP117" i="3"/>
  <c r="BP147" i="3"/>
  <c r="BP328" i="3"/>
  <c r="BP332" i="3"/>
  <c r="BP28" i="3"/>
  <c r="BP62" i="3"/>
  <c r="BP87" i="3"/>
  <c r="BP164" i="3"/>
  <c r="BP80" i="3"/>
  <c r="BP107" i="3"/>
  <c r="BP184" i="3"/>
  <c r="BP342" i="3"/>
  <c r="BP127" i="3"/>
  <c r="BP227" i="3"/>
  <c r="BP277" i="3"/>
  <c r="BP318" i="3"/>
  <c r="BP6" i="3"/>
  <c r="BP187" i="3"/>
  <c r="BP244" i="3"/>
  <c r="BP287" i="3"/>
  <c r="BP74" i="3"/>
  <c r="BP222" i="3"/>
  <c r="BP254" i="3"/>
  <c r="BP64" i="3"/>
  <c r="BP44" i="3"/>
  <c r="BP168" i="3"/>
  <c r="BP180" i="3"/>
  <c r="BP192" i="3"/>
  <c r="BP237" i="3"/>
  <c r="BP242" i="3"/>
  <c r="BP268" i="3"/>
  <c r="BP150" i="3"/>
  <c r="BP68" i="3"/>
  <c r="BP118" i="3"/>
  <c r="BP67" i="3"/>
  <c r="BP292" i="3"/>
  <c r="BP217" i="3"/>
  <c r="BP82" i="3"/>
  <c r="BP278" i="3"/>
  <c r="BP308" i="3"/>
  <c r="BP104" i="3"/>
  <c r="BP232" i="3"/>
  <c r="BP84" i="3"/>
  <c r="BP50" i="3"/>
  <c r="BP288" i="3"/>
  <c r="BP344" i="3"/>
  <c r="BP198" i="3"/>
  <c r="BP247" i="3"/>
  <c r="BP284" i="3"/>
  <c r="BP37" i="3"/>
  <c r="BP274" i="3"/>
  <c r="BP304" i="3"/>
  <c r="BO343" i="3"/>
  <c r="BO345" i="3" s="1"/>
  <c r="BO346" i="3"/>
  <c r="BO76" i="3"/>
  <c r="BO71" i="3"/>
  <c r="BO75" i="3" s="1"/>
  <c r="BO21" i="3"/>
  <c r="BO25" i="3" s="1"/>
  <c r="BO26" i="3"/>
  <c r="BO126" i="3"/>
  <c r="BO121" i="3"/>
  <c r="BO116" i="3"/>
  <c r="BO111" i="3"/>
  <c r="BO115" i="3" s="1"/>
  <c r="BO266" i="3"/>
  <c r="BO263" i="3"/>
  <c r="BO265" i="3" s="1"/>
  <c r="BO253" i="3"/>
  <c r="BO255" i="3" s="1"/>
  <c r="BO256" i="3"/>
  <c r="BO93" i="3"/>
  <c r="BO181" i="3"/>
  <c r="BO186" i="3"/>
  <c r="BO133" i="3"/>
  <c r="BO173" i="3"/>
  <c r="BO286" i="3"/>
  <c r="BO283" i="3"/>
  <c r="BO285" i="3" s="1"/>
  <c r="BO36" i="3"/>
  <c r="BO31" i="3"/>
  <c r="BO185" i="3" l="1"/>
  <c r="AD47" i="4"/>
  <c r="BS19" i="4"/>
  <c r="BS27" i="4" s="1"/>
  <c r="BO125" i="3"/>
  <c r="BO55" i="3"/>
  <c r="BP153" i="3"/>
  <c r="BP183" i="3"/>
  <c r="BT18" i="4"/>
  <c r="BT19" i="4" s="1"/>
  <c r="BU16" i="4"/>
  <c r="BV8" i="4"/>
  <c r="BU10" i="4"/>
  <c r="BU14" i="4" s="1"/>
  <c r="BW25" i="4"/>
  <c r="BO35" i="3"/>
  <c r="BY13" i="4"/>
  <c r="BY22" i="4"/>
  <c r="BZ4" i="4"/>
  <c r="BZ21" i="4" s="1"/>
  <c r="BY3" i="4"/>
  <c r="BP93" i="3"/>
  <c r="BP103" i="3"/>
  <c r="BP33" i="3"/>
  <c r="BP113" i="3"/>
  <c r="BP123" i="3"/>
  <c r="BP83" i="3"/>
  <c r="BP63" i="3"/>
  <c r="BE44" i="4"/>
  <c r="BF32" i="4"/>
  <c r="BF34" i="4" s="1"/>
  <c r="BP43" i="3"/>
  <c r="BP133" i="3"/>
  <c r="BO353" i="3"/>
  <c r="BP193" i="3"/>
  <c r="BP163" i="3"/>
  <c r="BP143" i="3"/>
  <c r="BP23" i="3"/>
  <c r="BP51" i="3"/>
  <c r="BP56" i="3"/>
  <c r="BP41" i="3"/>
  <c r="BP46" i="3"/>
  <c r="BP181" i="3"/>
  <c r="BP186" i="3"/>
  <c r="BP71" i="3"/>
  <c r="BP75" i="3" s="1"/>
  <c r="BP76" i="3"/>
  <c r="BP21" i="3"/>
  <c r="BP26" i="3"/>
  <c r="BP81" i="3"/>
  <c r="BP86" i="3"/>
  <c r="BP213" i="3"/>
  <c r="BP215" i="3" s="1"/>
  <c r="BP216" i="3"/>
  <c r="BP111" i="3"/>
  <c r="BP116" i="3"/>
  <c r="BP106" i="3"/>
  <c r="BP101" i="3"/>
  <c r="BP343" i="3"/>
  <c r="BP345" i="3" s="1"/>
  <c r="BP346" i="3"/>
  <c r="BP146" i="3"/>
  <c r="BP141" i="3"/>
  <c r="BP233" i="3"/>
  <c r="BP235" i="3" s="1"/>
  <c r="BP236" i="3"/>
  <c r="BP306" i="3"/>
  <c r="BP303" i="3"/>
  <c r="BP305" i="3" s="1"/>
  <c r="BN355" i="3"/>
  <c r="BN359" i="3" a="1"/>
  <c r="BN359" i="3" s="1"/>
  <c r="BV6" i="4" s="1"/>
  <c r="BP53" i="3"/>
  <c r="BP316" i="3"/>
  <c r="BP313" i="3"/>
  <c r="BP315" i="3" s="1"/>
  <c r="BO95" i="3"/>
  <c r="BO356" i="3"/>
  <c r="BW12" i="4" s="1"/>
  <c r="BP223" i="3"/>
  <c r="BP225" i="3" s="1"/>
  <c r="BP226" i="3"/>
  <c r="BP358" i="3"/>
  <c r="BX24" i="4" s="1"/>
  <c r="BP176" i="3"/>
  <c r="BP171" i="3"/>
  <c r="BP256" i="3"/>
  <c r="BP253" i="3"/>
  <c r="BP255" i="3" s="1"/>
  <c r="BP357" i="3"/>
  <c r="BX23" i="4" s="1"/>
  <c r="BO145" i="3"/>
  <c r="BO195" i="3"/>
  <c r="BP136" i="3"/>
  <c r="BP131" i="3"/>
  <c r="BP161" i="3"/>
  <c r="BP166" i="3"/>
  <c r="BP336" i="3"/>
  <c r="BP333" i="3"/>
  <c r="BP335" i="3" s="1"/>
  <c r="BP126" i="3"/>
  <c r="BP121" i="3"/>
  <c r="BP36" i="3"/>
  <c r="BP31" i="3"/>
  <c r="BO15" i="3"/>
  <c r="BO352" i="3"/>
  <c r="BO175" i="3"/>
  <c r="BP66" i="3"/>
  <c r="BP61" i="3"/>
  <c r="BP326" i="3"/>
  <c r="BP323" i="3"/>
  <c r="BP325" i="3" s="1"/>
  <c r="BP286" i="3"/>
  <c r="BP283" i="3"/>
  <c r="BP285" i="3" s="1"/>
  <c r="BO135" i="3"/>
  <c r="BP263" i="3"/>
  <c r="BP265" i="3" s="1"/>
  <c r="BP266" i="3"/>
  <c r="BP91" i="3"/>
  <c r="BP96" i="3"/>
  <c r="BP354" i="3"/>
  <c r="BX9" i="4" s="1"/>
  <c r="BP293" i="3"/>
  <c r="BP295" i="3" s="1"/>
  <c r="BP296" i="3"/>
  <c r="BO155" i="3"/>
  <c r="BP156" i="3"/>
  <c r="BP151" i="3"/>
  <c r="BQ30" i="3"/>
  <c r="BQ47" i="3"/>
  <c r="BQ118" i="3"/>
  <c r="BQ88" i="3"/>
  <c r="BQ124" i="3"/>
  <c r="BQ34" i="3"/>
  <c r="BQ52" i="3"/>
  <c r="BQ70" i="3"/>
  <c r="BQ87" i="3"/>
  <c r="BQ22" i="3"/>
  <c r="BQ40" i="3"/>
  <c r="BQ57" i="3"/>
  <c r="BQ6" i="3"/>
  <c r="BQ27" i="3"/>
  <c r="BQ67" i="3"/>
  <c r="BQ42" i="3"/>
  <c r="BQ50" i="3"/>
  <c r="BQ38" i="3"/>
  <c r="BQ97" i="3"/>
  <c r="BQ184" i="3"/>
  <c r="BQ32" i="3"/>
  <c r="BQ54" i="3"/>
  <c r="BQ92" i="3"/>
  <c r="BQ114" i="3"/>
  <c r="BQ140" i="3"/>
  <c r="BQ144" i="3"/>
  <c r="BQ154" i="3"/>
  <c r="BQ100" i="3"/>
  <c r="BQ120" i="3"/>
  <c r="BQ148" i="3"/>
  <c r="BQ160" i="3"/>
  <c r="BQ94" i="3"/>
  <c r="BQ134" i="3"/>
  <c r="BQ138" i="3"/>
  <c r="BQ188" i="3"/>
  <c r="BQ68" i="3"/>
  <c r="BQ74" i="3"/>
  <c r="BQ147" i="3"/>
  <c r="BQ164" i="3"/>
  <c r="BQ288" i="3"/>
  <c r="BQ324" i="3"/>
  <c r="BQ342" i="3"/>
  <c r="BQ77" i="3"/>
  <c r="BQ132" i="3"/>
  <c r="BQ178" i="3"/>
  <c r="BQ224" i="3"/>
  <c r="BQ258" i="3"/>
  <c r="BQ110" i="3"/>
  <c r="BQ112" i="3"/>
  <c r="BQ182" i="3"/>
  <c r="BQ190" i="3"/>
  <c r="BQ214" i="3"/>
  <c r="BQ218" i="3"/>
  <c r="BQ228" i="3"/>
  <c r="BQ264" i="3"/>
  <c r="BQ20" i="3"/>
  <c r="BQ84" i="3"/>
  <c r="BQ107" i="3"/>
  <c r="BQ150" i="3"/>
  <c r="BQ257" i="3"/>
  <c r="BQ328" i="3"/>
  <c r="BQ7" i="3"/>
  <c r="BY17" i="4" s="1"/>
  <c r="BQ72" i="3"/>
  <c r="BQ73" i="3" s="1"/>
  <c r="BQ90" i="3"/>
  <c r="BQ128" i="3"/>
  <c r="BQ152" i="3"/>
  <c r="BQ170" i="3"/>
  <c r="BQ177" i="3"/>
  <c r="BQ28" i="3"/>
  <c r="BQ82" i="3"/>
  <c r="BQ174" i="3"/>
  <c r="BQ318" i="3"/>
  <c r="BQ162" i="3"/>
  <c r="BQ172" i="3"/>
  <c r="BQ294" i="3"/>
  <c r="BQ338" i="3"/>
  <c r="BQ108" i="3"/>
  <c r="BQ137" i="3"/>
  <c r="BQ238" i="3"/>
  <c r="BQ314" i="3"/>
  <c r="BQ334" i="3"/>
  <c r="BQ98" i="3"/>
  <c r="BQ102" i="3"/>
  <c r="BQ157" i="3"/>
  <c r="BQ167" i="3"/>
  <c r="BQ212" i="3"/>
  <c r="BQ248" i="3"/>
  <c r="BQ262" i="3"/>
  <c r="BQ78" i="3"/>
  <c r="BQ252" i="3"/>
  <c r="BQ267" i="3"/>
  <c r="BQ278" i="3"/>
  <c r="BQ58" i="3"/>
  <c r="BQ122" i="3"/>
  <c r="BQ187" i="3"/>
  <c r="BQ287" i="3"/>
  <c r="BQ222" i="3"/>
  <c r="BQ117" i="3"/>
  <c r="BQ332" i="3"/>
  <c r="BQ48" i="3"/>
  <c r="BQ60" i="3"/>
  <c r="BQ80" i="3"/>
  <c r="BQ197" i="3"/>
  <c r="BQ127" i="3"/>
  <c r="BQ227" i="3"/>
  <c r="BQ277" i="3"/>
  <c r="BQ244" i="3"/>
  <c r="BQ194" i="3"/>
  <c r="BQ232" i="3"/>
  <c r="BQ272" i="3"/>
  <c r="BQ308" i="3"/>
  <c r="BQ10" i="3"/>
  <c r="BQ254" i="3"/>
  <c r="BQ322" i="3"/>
  <c r="BQ64" i="3"/>
  <c r="BQ44" i="3"/>
  <c r="BQ168" i="3"/>
  <c r="BQ180" i="3"/>
  <c r="BQ192" i="3"/>
  <c r="BQ237" i="3"/>
  <c r="BQ242" i="3"/>
  <c r="BQ268" i="3"/>
  <c r="BQ348" i="3"/>
  <c r="BQ292" i="3"/>
  <c r="BQ142" i="3"/>
  <c r="BQ234" i="3"/>
  <c r="BQ24" i="3"/>
  <c r="BQ198" i="3"/>
  <c r="BQ104" i="3"/>
  <c r="BQ217" i="3"/>
  <c r="BQ282" i="3"/>
  <c r="BQ158" i="3"/>
  <c r="BQ344" i="3"/>
  <c r="BQ62" i="3"/>
  <c r="BQ274" i="3"/>
  <c r="BQ312" i="3"/>
  <c r="BQ130" i="3"/>
  <c r="BQ298" i="3"/>
  <c r="BQ247" i="3"/>
  <c r="BQ284" i="3"/>
  <c r="BQ37" i="3"/>
  <c r="BQ302" i="3"/>
  <c r="BQ304" i="3"/>
  <c r="BO85" i="3"/>
  <c r="BP276" i="3"/>
  <c r="BP273" i="3"/>
  <c r="BP275" i="3" s="1"/>
  <c r="BP191" i="3"/>
  <c r="BP196" i="3"/>
  <c r="BP246" i="3"/>
  <c r="BP243" i="3"/>
  <c r="BP245" i="3" s="1"/>
  <c r="BP173" i="3"/>
  <c r="BP16" i="3"/>
  <c r="BP11" i="3"/>
  <c r="BR5" i="3"/>
  <c r="BS3" i="3"/>
  <c r="BR4" i="3"/>
  <c r="BZ5" i="4" s="1"/>
  <c r="BR290" i="3"/>
  <c r="BR297" i="3" s="1"/>
  <c r="BR330" i="3"/>
  <c r="BR337" i="3" s="1"/>
  <c r="BR340" i="3"/>
  <c r="BR347" i="3" s="1"/>
  <c r="BR310" i="3"/>
  <c r="BR317" i="3" s="1"/>
  <c r="BR320" i="3"/>
  <c r="BR327" i="3" s="1"/>
  <c r="BR300" i="3"/>
  <c r="BR307" i="3" s="1"/>
  <c r="BO165" i="3"/>
  <c r="BG31" i="4" l="1"/>
  <c r="BG32" i="4" s="1"/>
  <c r="BG34" i="4" s="1"/>
  <c r="AD48" i="4"/>
  <c r="AE43" i="4" s="1"/>
  <c r="BP155" i="3"/>
  <c r="BP115" i="3"/>
  <c r="BP135" i="3"/>
  <c r="BP185" i="3"/>
  <c r="BQ143" i="3"/>
  <c r="BP165" i="3"/>
  <c r="BT27" i="4"/>
  <c r="BH31" i="4"/>
  <c r="BH32" i="4" s="1"/>
  <c r="BH34" i="4" s="1"/>
  <c r="BU18" i="4"/>
  <c r="BU19" i="4" s="1"/>
  <c r="BV10" i="4"/>
  <c r="BV14" i="4" s="1"/>
  <c r="BV16" i="4"/>
  <c r="BQ43" i="3"/>
  <c r="BQ123" i="3"/>
  <c r="BW8" i="4"/>
  <c r="BP125" i="3"/>
  <c r="BP45" i="3"/>
  <c r="BP105" i="3"/>
  <c r="BP35" i="3"/>
  <c r="BZ13" i="4"/>
  <c r="BZ22" i="4"/>
  <c r="CA4" i="4"/>
  <c r="CA21" i="4" s="1"/>
  <c r="BP95" i="3"/>
  <c r="BP85" i="3"/>
  <c r="BP65" i="3"/>
  <c r="BP25" i="3"/>
  <c r="BP195" i="3"/>
  <c r="BX25" i="4"/>
  <c r="BZ3" i="4"/>
  <c r="BP175" i="3"/>
  <c r="BP145" i="3"/>
  <c r="BF44" i="4"/>
  <c r="BQ33" i="3"/>
  <c r="BP353" i="3"/>
  <c r="BQ83" i="3"/>
  <c r="BQ183" i="3"/>
  <c r="BQ63" i="3"/>
  <c r="BQ103" i="3"/>
  <c r="BQ153" i="3"/>
  <c r="BQ113" i="3"/>
  <c r="BQ56" i="3"/>
  <c r="BQ51" i="3"/>
  <c r="BQ36" i="3"/>
  <c r="BQ31" i="3"/>
  <c r="BQ16" i="3"/>
  <c r="BQ11" i="3"/>
  <c r="BQ96" i="3"/>
  <c r="BQ91" i="3"/>
  <c r="BQ357" i="3"/>
  <c r="BY23" i="4" s="1"/>
  <c r="BQ236" i="3"/>
  <c r="BQ233" i="3"/>
  <c r="BQ235" i="3" s="1"/>
  <c r="BQ213" i="3"/>
  <c r="BQ215" i="3" s="1"/>
  <c r="BQ216" i="3"/>
  <c r="BQ66" i="3"/>
  <c r="BQ61" i="3"/>
  <c r="BQ286" i="3"/>
  <c r="BQ283" i="3"/>
  <c r="BQ285" i="3" s="1"/>
  <c r="BQ191" i="3"/>
  <c r="BQ196" i="3"/>
  <c r="BQ276" i="3"/>
  <c r="BQ273" i="3"/>
  <c r="BQ275" i="3" s="1"/>
  <c r="BR24" i="3"/>
  <c r="BR42" i="3"/>
  <c r="BR60" i="3"/>
  <c r="BR77" i="3"/>
  <c r="BR30" i="3"/>
  <c r="BR47" i="3"/>
  <c r="BR118" i="3"/>
  <c r="BR28" i="3"/>
  <c r="BR64" i="3"/>
  <c r="BR82" i="3"/>
  <c r="BR100" i="3"/>
  <c r="BR117" i="3"/>
  <c r="BR34" i="3"/>
  <c r="BR52" i="3"/>
  <c r="BR70" i="3"/>
  <c r="BR87" i="3"/>
  <c r="BR22" i="3"/>
  <c r="BR62" i="3"/>
  <c r="BR127" i="3"/>
  <c r="BR6" i="3"/>
  <c r="BR27" i="3"/>
  <c r="BR67" i="3"/>
  <c r="BR44" i="3"/>
  <c r="BR84" i="3"/>
  <c r="BR7" i="3"/>
  <c r="BZ17" i="4" s="1"/>
  <c r="BR50" i="3"/>
  <c r="BR58" i="3"/>
  <c r="BR72" i="3"/>
  <c r="BR90" i="3"/>
  <c r="BR108" i="3"/>
  <c r="BR178" i="3"/>
  <c r="BR214" i="3"/>
  <c r="BR38" i="3"/>
  <c r="BR97" i="3"/>
  <c r="BR32" i="3"/>
  <c r="BR54" i="3"/>
  <c r="BR92" i="3"/>
  <c r="BR114" i="3"/>
  <c r="BR140" i="3"/>
  <c r="BR144" i="3"/>
  <c r="BR154" i="3"/>
  <c r="BR130" i="3"/>
  <c r="BR102" i="3"/>
  <c r="BR158" i="3"/>
  <c r="BR167" i="3"/>
  <c r="BR194" i="3"/>
  <c r="BR198" i="3"/>
  <c r="BR247" i="3"/>
  <c r="BR318" i="3"/>
  <c r="BR68" i="3"/>
  <c r="BR147" i="3"/>
  <c r="BR164" i="3"/>
  <c r="BR132" i="3"/>
  <c r="BR224" i="3"/>
  <c r="BR258" i="3"/>
  <c r="BR122" i="3"/>
  <c r="BR124" i="3"/>
  <c r="BR142" i="3"/>
  <c r="BR174" i="3"/>
  <c r="BR197" i="3"/>
  <c r="BR234" i="3"/>
  <c r="BR252" i="3"/>
  <c r="BR287" i="3"/>
  <c r="BR20" i="3"/>
  <c r="BR57" i="3"/>
  <c r="BR107" i="3"/>
  <c r="BR150" i="3"/>
  <c r="BR112" i="3"/>
  <c r="BR148" i="3"/>
  <c r="BR170" i="3"/>
  <c r="BR217" i="3"/>
  <c r="BR344" i="3"/>
  <c r="BR94" i="3"/>
  <c r="BR120" i="3"/>
  <c r="BR152" i="3"/>
  <c r="BR160" i="3"/>
  <c r="BR162" i="3"/>
  <c r="BR172" i="3"/>
  <c r="BR294" i="3"/>
  <c r="BR338" i="3"/>
  <c r="BR137" i="3"/>
  <c r="BR238" i="3"/>
  <c r="BR40" i="3"/>
  <c r="BR98" i="3"/>
  <c r="BR157" i="3"/>
  <c r="BR212" i="3"/>
  <c r="BR228" i="3"/>
  <c r="BR248" i="3"/>
  <c r="BR262" i="3"/>
  <c r="BR302" i="3"/>
  <c r="BR322" i="3"/>
  <c r="BR348" i="3"/>
  <c r="BR78" i="3"/>
  <c r="BR190" i="3"/>
  <c r="BR298" i="3"/>
  <c r="BR308" i="3"/>
  <c r="BR312" i="3"/>
  <c r="BR314" i="3"/>
  <c r="BR267" i="3"/>
  <c r="BR264" i="3"/>
  <c r="BR324" i="3"/>
  <c r="BR177" i="3"/>
  <c r="BR218" i="3"/>
  <c r="BR328" i="3"/>
  <c r="BR334" i="3"/>
  <c r="BR184" i="3"/>
  <c r="BR332" i="3"/>
  <c r="BR342" i="3"/>
  <c r="BR48" i="3"/>
  <c r="BR80" i="3"/>
  <c r="BR227" i="3"/>
  <c r="BR277" i="3"/>
  <c r="BR187" i="3"/>
  <c r="BR282" i="3"/>
  <c r="BR232" i="3"/>
  <c r="BR272" i="3"/>
  <c r="BR10" i="3"/>
  <c r="BR254" i="3"/>
  <c r="BR88" i="3"/>
  <c r="BR168" i="3"/>
  <c r="BR182" i="3"/>
  <c r="BR292" i="3"/>
  <c r="BR110" i="3"/>
  <c r="BR180" i="3"/>
  <c r="BR192" i="3"/>
  <c r="BR237" i="3"/>
  <c r="BR242" i="3"/>
  <c r="BR268" i="3"/>
  <c r="BR138" i="3"/>
  <c r="BR304" i="3"/>
  <c r="BR284" i="3"/>
  <c r="BR188" i="3"/>
  <c r="BR128" i="3"/>
  <c r="BR222" i="3"/>
  <c r="BR134" i="3"/>
  <c r="BR274" i="3"/>
  <c r="BR244" i="3"/>
  <c r="BR257" i="3"/>
  <c r="BR288" i="3"/>
  <c r="BR278" i="3"/>
  <c r="BR37" i="3"/>
  <c r="BR104" i="3"/>
  <c r="BQ293" i="3"/>
  <c r="BQ295" i="3" s="1"/>
  <c r="BQ296" i="3"/>
  <c r="BQ133" i="3"/>
  <c r="BQ101" i="3"/>
  <c r="BQ106" i="3"/>
  <c r="BO355" i="3"/>
  <c r="BO359" i="3" a="1"/>
  <c r="BO359" i="3" s="1"/>
  <c r="BW6" i="4" s="1"/>
  <c r="BQ151" i="3"/>
  <c r="BQ156" i="3"/>
  <c r="BQ41" i="3"/>
  <c r="BQ46" i="3"/>
  <c r="BQ171" i="3"/>
  <c r="BQ176" i="3"/>
  <c r="BQ226" i="3"/>
  <c r="BQ223" i="3"/>
  <c r="BQ225" i="3" s="1"/>
  <c r="BQ111" i="3"/>
  <c r="BQ116" i="3"/>
  <c r="BQ306" i="3"/>
  <c r="BQ303" i="3"/>
  <c r="BQ305" i="3" s="1"/>
  <c r="BQ246" i="3"/>
  <c r="BQ243" i="3"/>
  <c r="BQ245" i="3" s="1"/>
  <c r="BQ163" i="3"/>
  <c r="BQ146" i="3"/>
  <c r="BQ141" i="3"/>
  <c r="BQ326" i="3"/>
  <c r="BQ323" i="3"/>
  <c r="BQ325" i="3" s="1"/>
  <c r="BQ354" i="3"/>
  <c r="BY9" i="4" s="1"/>
  <c r="BQ166" i="3"/>
  <c r="BQ161" i="3"/>
  <c r="BQ126" i="3"/>
  <c r="BQ121" i="3"/>
  <c r="BS5" i="3"/>
  <c r="BS4" i="3"/>
  <c r="CA5" i="4" s="1"/>
  <c r="BT3" i="3"/>
  <c r="BS300" i="3"/>
  <c r="BS307" i="3" s="1"/>
  <c r="BS310" i="3"/>
  <c r="BS317" i="3" s="1"/>
  <c r="BS340" i="3"/>
  <c r="BS347" i="3" s="1"/>
  <c r="BS320" i="3"/>
  <c r="BS327" i="3" s="1"/>
  <c r="BS290" i="3"/>
  <c r="BS297" i="3" s="1"/>
  <c r="BS330" i="3"/>
  <c r="BS337" i="3" s="1"/>
  <c r="BQ316" i="3"/>
  <c r="BQ313" i="3"/>
  <c r="BQ315" i="3" s="1"/>
  <c r="BQ71" i="3"/>
  <c r="BQ75" i="3" s="1"/>
  <c r="BQ76" i="3"/>
  <c r="BQ186" i="3"/>
  <c r="BQ181" i="3"/>
  <c r="BQ81" i="3"/>
  <c r="BQ86" i="3"/>
  <c r="BQ358" i="3"/>
  <c r="BY24" i="4" s="1"/>
  <c r="BQ336" i="3"/>
  <c r="BQ333" i="3"/>
  <c r="BQ335" i="3" s="1"/>
  <c r="BQ253" i="3"/>
  <c r="BQ255" i="3" s="1"/>
  <c r="BQ256" i="3"/>
  <c r="BQ173" i="3"/>
  <c r="BQ343" i="3"/>
  <c r="BQ345" i="3" s="1"/>
  <c r="BQ346" i="3"/>
  <c r="BQ23" i="3"/>
  <c r="BP15" i="3"/>
  <c r="BP352" i="3"/>
  <c r="BQ131" i="3"/>
  <c r="BQ136" i="3"/>
  <c r="BP356" i="3"/>
  <c r="BX12" i="4" s="1"/>
  <c r="BQ266" i="3"/>
  <c r="BQ263" i="3"/>
  <c r="BQ265" i="3" s="1"/>
  <c r="BQ21" i="3"/>
  <c r="BQ26" i="3"/>
  <c r="BQ193" i="3"/>
  <c r="BQ93" i="3"/>
  <c r="BQ53" i="3"/>
  <c r="BP55" i="3"/>
  <c r="AE45" i="4" l="1"/>
  <c r="AE50" i="4"/>
  <c r="BQ145" i="3"/>
  <c r="BR113" i="3"/>
  <c r="BQ105" i="3"/>
  <c r="BR133" i="3"/>
  <c r="BR93" i="3"/>
  <c r="BW16" i="4"/>
  <c r="BQ45" i="3"/>
  <c r="BV18" i="4"/>
  <c r="BV19" i="4" s="1"/>
  <c r="BQ125" i="3"/>
  <c r="BW10" i="4"/>
  <c r="BW14" i="4" s="1"/>
  <c r="BX8" i="4"/>
  <c r="BR183" i="3"/>
  <c r="BR123" i="3"/>
  <c r="BY25" i="4"/>
  <c r="BQ155" i="3"/>
  <c r="BR83" i="3"/>
  <c r="BQ65" i="3"/>
  <c r="BQ35" i="3"/>
  <c r="CA3" i="4"/>
  <c r="CA13" i="4"/>
  <c r="CA22" i="4"/>
  <c r="BQ115" i="3"/>
  <c r="BQ85" i="3"/>
  <c r="CB4" i="4"/>
  <c r="CB21" i="4" s="1"/>
  <c r="BQ185" i="3"/>
  <c r="BG44" i="4"/>
  <c r="BH44" i="4"/>
  <c r="BU27" i="4"/>
  <c r="BI31" i="4"/>
  <c r="BP355" i="3"/>
  <c r="BP359" i="3" a="1"/>
  <c r="BP359" i="3" s="1"/>
  <c r="BX6" i="4" s="1"/>
  <c r="BQ353" i="3"/>
  <c r="BR358" i="3"/>
  <c r="BZ24" i="4" s="1"/>
  <c r="BR226" i="3"/>
  <c r="BR223" i="3"/>
  <c r="BR225" i="3" s="1"/>
  <c r="BR273" i="3"/>
  <c r="BR275" i="3" s="1"/>
  <c r="BR276" i="3"/>
  <c r="BR357" i="3"/>
  <c r="BZ23" i="4" s="1"/>
  <c r="BR283" i="3"/>
  <c r="BR285" i="3" s="1"/>
  <c r="BR286" i="3"/>
  <c r="BR33" i="3"/>
  <c r="BQ95" i="3"/>
  <c r="BR43" i="3"/>
  <c r="BS54" i="3"/>
  <c r="BS72" i="3"/>
  <c r="BS90" i="3"/>
  <c r="BS107" i="3"/>
  <c r="BS24" i="3"/>
  <c r="BS42" i="3"/>
  <c r="BS60" i="3"/>
  <c r="BS77" i="3"/>
  <c r="BS58" i="3"/>
  <c r="BS94" i="3"/>
  <c r="BS112" i="3"/>
  <c r="BS28" i="3"/>
  <c r="BS64" i="3"/>
  <c r="BS82" i="3"/>
  <c r="BS87" i="3"/>
  <c r="BS97" i="3"/>
  <c r="BS140" i="3"/>
  <c r="BS22" i="3"/>
  <c r="BS62" i="3"/>
  <c r="BS10" i="3"/>
  <c r="BS38" i="3"/>
  <c r="BS70" i="3"/>
  <c r="BS78" i="3"/>
  <c r="BS100" i="3"/>
  <c r="BS52" i="3"/>
  <c r="BS67" i="3"/>
  <c r="BS150" i="3"/>
  <c r="BS7" i="3"/>
  <c r="CA17" i="4" s="1"/>
  <c r="BS47" i="3"/>
  <c r="BS50" i="3"/>
  <c r="BS108" i="3"/>
  <c r="BS27" i="3"/>
  <c r="BS30" i="3"/>
  <c r="BS34" i="3"/>
  <c r="BS120" i="3"/>
  <c r="BS148" i="3"/>
  <c r="BS160" i="3"/>
  <c r="BS177" i="3"/>
  <c r="BS32" i="3"/>
  <c r="BS137" i="3"/>
  <c r="BS162" i="3"/>
  <c r="BS242" i="3"/>
  <c r="BS277" i="3"/>
  <c r="BS102" i="3"/>
  <c r="BS158" i="3"/>
  <c r="BS167" i="3"/>
  <c r="BS194" i="3"/>
  <c r="BS198" i="3"/>
  <c r="BS247" i="3"/>
  <c r="BS68" i="3"/>
  <c r="BS92" i="3"/>
  <c r="BS114" i="3"/>
  <c r="BS147" i="3"/>
  <c r="BS164" i="3"/>
  <c r="BS178" i="3"/>
  <c r="BS110" i="3"/>
  <c r="BS134" i="3"/>
  <c r="BS182" i="3"/>
  <c r="BS190" i="3"/>
  <c r="BS218" i="3"/>
  <c r="BS228" i="3"/>
  <c r="BS264" i="3"/>
  <c r="BS282" i="3"/>
  <c r="BS84" i="3"/>
  <c r="BS122" i="3"/>
  <c r="BS124" i="3"/>
  <c r="BS142" i="3"/>
  <c r="BS174" i="3"/>
  <c r="BS197" i="3"/>
  <c r="BS118" i="3"/>
  <c r="BS187" i="3"/>
  <c r="BS224" i="3"/>
  <c r="BS258" i="3"/>
  <c r="BS268" i="3"/>
  <c r="BS298" i="3"/>
  <c r="BS20" i="3"/>
  <c r="BS154" i="3"/>
  <c r="BS170" i="3"/>
  <c r="BS217" i="3"/>
  <c r="BS318" i="3"/>
  <c r="BS344" i="3"/>
  <c r="BS132" i="3"/>
  <c r="BS152" i="3"/>
  <c r="BS172" i="3"/>
  <c r="BS238" i="3"/>
  <c r="BS314" i="3"/>
  <c r="BS334" i="3"/>
  <c r="BS180" i="3"/>
  <c r="BS237" i="3"/>
  <c r="BS248" i="3"/>
  <c r="BS284" i="3"/>
  <c r="BS127" i="3"/>
  <c r="BS308" i="3"/>
  <c r="BS312" i="3"/>
  <c r="BS6" i="3"/>
  <c r="BS80" i="3"/>
  <c r="BS227" i="3"/>
  <c r="BS144" i="3"/>
  <c r="BS324" i="3"/>
  <c r="BS117" i="3"/>
  <c r="BS328" i="3"/>
  <c r="BS184" i="3"/>
  <c r="BS262" i="3"/>
  <c r="BS332" i="3"/>
  <c r="BS342" i="3"/>
  <c r="BS48" i="3"/>
  <c r="BS138" i="3"/>
  <c r="BS302" i="3"/>
  <c r="BS98" i="3"/>
  <c r="BS232" i="3"/>
  <c r="BS272" i="3"/>
  <c r="BS294" i="3"/>
  <c r="BS322" i="3"/>
  <c r="BS254" i="3"/>
  <c r="BS44" i="3"/>
  <c r="BS88" i="3"/>
  <c r="BS192" i="3"/>
  <c r="BS287" i="3"/>
  <c r="BS57" i="3"/>
  <c r="BS168" i="3"/>
  <c r="BS348" i="3"/>
  <c r="BS104" i="3"/>
  <c r="BS304" i="3"/>
  <c r="BS338" i="3"/>
  <c r="BS128" i="3"/>
  <c r="BS222" i="3"/>
  <c r="BS188" i="3"/>
  <c r="BS212" i="3"/>
  <c r="BS252" i="3"/>
  <c r="BS278" i="3"/>
  <c r="BS234" i="3"/>
  <c r="BS157" i="3"/>
  <c r="BS130" i="3"/>
  <c r="BS37" i="3"/>
  <c r="BS214" i="3"/>
  <c r="BS292" i="3"/>
  <c r="BS244" i="3"/>
  <c r="BS257" i="3"/>
  <c r="BS288" i="3"/>
  <c r="BS267" i="3"/>
  <c r="BS40" i="3"/>
  <c r="BS274" i="3"/>
  <c r="BQ15" i="3"/>
  <c r="BQ352" i="3"/>
  <c r="BR86" i="3"/>
  <c r="BR81" i="3"/>
  <c r="BR196" i="3"/>
  <c r="BR191" i="3"/>
  <c r="BR173" i="3"/>
  <c r="BR253" i="3"/>
  <c r="BR255" i="3" s="1"/>
  <c r="BR256" i="3"/>
  <c r="BR76" i="3"/>
  <c r="BR71" i="3"/>
  <c r="BQ356" i="3"/>
  <c r="BY12" i="4" s="1"/>
  <c r="BR156" i="3"/>
  <c r="BR151" i="3"/>
  <c r="BR63" i="3"/>
  <c r="BT4" i="3"/>
  <c r="CB5" i="4" s="1"/>
  <c r="BU3" i="3"/>
  <c r="BT5" i="3"/>
  <c r="BT290" i="3"/>
  <c r="BT297" i="3" s="1"/>
  <c r="BT330" i="3"/>
  <c r="BT337" i="3" s="1"/>
  <c r="BT340" i="3"/>
  <c r="BT347" i="3" s="1"/>
  <c r="BT320" i="3"/>
  <c r="BT327" i="3" s="1"/>
  <c r="BT310" i="3"/>
  <c r="BT317" i="3" s="1"/>
  <c r="BT300" i="3"/>
  <c r="BT307" i="3" s="1"/>
  <c r="BR23" i="3"/>
  <c r="BR53" i="3"/>
  <c r="BR131" i="3"/>
  <c r="BR136" i="3"/>
  <c r="BR236" i="3"/>
  <c r="BR233" i="3"/>
  <c r="BR235" i="3" s="1"/>
  <c r="BR21" i="3"/>
  <c r="BR26" i="3"/>
  <c r="BR243" i="3"/>
  <c r="BR245" i="3" s="1"/>
  <c r="BR246" i="3"/>
  <c r="BR193" i="3"/>
  <c r="BQ195" i="3"/>
  <c r="BR266" i="3"/>
  <c r="BR263" i="3"/>
  <c r="BR265" i="3" s="1"/>
  <c r="BR213" i="3"/>
  <c r="BR215" i="3" s="1"/>
  <c r="BR216" i="3"/>
  <c r="BR171" i="3"/>
  <c r="BR176" i="3"/>
  <c r="BR146" i="3"/>
  <c r="BR141" i="3"/>
  <c r="BR11" i="3"/>
  <c r="BR16" i="3"/>
  <c r="BR31" i="3"/>
  <c r="BR36" i="3"/>
  <c r="BR46" i="3"/>
  <c r="BR41" i="3"/>
  <c r="BR61" i="3"/>
  <c r="BR66" i="3"/>
  <c r="BR316" i="3"/>
  <c r="BR313" i="3"/>
  <c r="BR315" i="3" s="1"/>
  <c r="BR163" i="3"/>
  <c r="BR343" i="3"/>
  <c r="BR345" i="3" s="1"/>
  <c r="BR346" i="3"/>
  <c r="BR336" i="3"/>
  <c r="BR333" i="3"/>
  <c r="BR335" i="3" s="1"/>
  <c r="BR323" i="3"/>
  <c r="BR325" i="3" s="1"/>
  <c r="BR326" i="3"/>
  <c r="BR153" i="3"/>
  <c r="BR73" i="3"/>
  <c r="BR74" i="3" s="1"/>
  <c r="BR354" i="3" s="1"/>
  <c r="BZ9" i="4" s="1"/>
  <c r="BQ55" i="3"/>
  <c r="BR56" i="3"/>
  <c r="BR51" i="3"/>
  <c r="BQ25" i="3"/>
  <c r="BR186" i="3"/>
  <c r="BR181" i="3"/>
  <c r="BR161" i="3"/>
  <c r="BR166" i="3"/>
  <c r="BR91" i="3"/>
  <c r="BR96" i="3"/>
  <c r="BQ165" i="3"/>
  <c r="BR116" i="3"/>
  <c r="BR111" i="3"/>
  <c r="BQ135" i="3"/>
  <c r="BQ175" i="3"/>
  <c r="BR293" i="3"/>
  <c r="BR295" i="3" s="1"/>
  <c r="BR296" i="3"/>
  <c r="BR306" i="3"/>
  <c r="BR303" i="3"/>
  <c r="BR305" i="3" s="1"/>
  <c r="BR126" i="3"/>
  <c r="BR121" i="3"/>
  <c r="BR125" i="3" s="1"/>
  <c r="BR143" i="3"/>
  <c r="BR103" i="3"/>
  <c r="BR101" i="3"/>
  <c r="BR106" i="3"/>
  <c r="BR185" i="3" l="1"/>
  <c r="AE46" i="4"/>
  <c r="AE47" i="4" s="1"/>
  <c r="AE48" i="4" s="1"/>
  <c r="AF43" i="4" s="1"/>
  <c r="BR115" i="3"/>
  <c r="BR135" i="3"/>
  <c r="BR95" i="3"/>
  <c r="BR105" i="3"/>
  <c r="BR85" i="3"/>
  <c r="BR25" i="3"/>
  <c r="BV27" i="4"/>
  <c r="BJ31" i="4"/>
  <c r="BJ32" i="4" s="1"/>
  <c r="BJ34" i="4" s="1"/>
  <c r="BJ44" i="4" s="1"/>
  <c r="BW18" i="4"/>
  <c r="BW19" i="4" s="1"/>
  <c r="BX10" i="4"/>
  <c r="BX14" i="4" s="1"/>
  <c r="BX16" i="4"/>
  <c r="BY8" i="4"/>
  <c r="BR35" i="3"/>
  <c r="BR145" i="3"/>
  <c r="BZ25" i="4"/>
  <c r="BR195" i="3"/>
  <c r="CB3" i="4"/>
  <c r="BS357" i="3"/>
  <c r="CA23" i="4" s="1"/>
  <c r="CB13" i="4"/>
  <c r="CB22" i="4"/>
  <c r="CC4" i="4"/>
  <c r="CC21" i="4" s="1"/>
  <c r="BI32" i="4"/>
  <c r="BI34" i="4" s="1"/>
  <c r="BR175" i="3"/>
  <c r="BR155" i="3"/>
  <c r="BS103" i="3"/>
  <c r="BS191" i="3"/>
  <c r="BS196" i="3"/>
  <c r="BS156" i="3"/>
  <c r="BS151" i="3"/>
  <c r="BS246" i="3"/>
  <c r="BS243" i="3"/>
  <c r="BS245" i="3" s="1"/>
  <c r="BS346" i="3"/>
  <c r="BS343" i="3"/>
  <c r="BS345" i="3" s="1"/>
  <c r="BS163" i="3"/>
  <c r="BS293" i="3"/>
  <c r="BS295" i="3" s="1"/>
  <c r="BS296" i="3"/>
  <c r="BS336" i="3"/>
  <c r="BS333" i="3"/>
  <c r="BS335" i="3" s="1"/>
  <c r="BS186" i="3"/>
  <c r="BS181" i="3"/>
  <c r="BS111" i="3"/>
  <c r="BS116" i="3"/>
  <c r="BS53" i="3"/>
  <c r="BR353" i="3"/>
  <c r="BS266" i="3"/>
  <c r="BS263" i="3"/>
  <c r="BS265" i="3" s="1"/>
  <c r="BS33" i="3"/>
  <c r="BS106" i="3"/>
  <c r="BS101" i="3"/>
  <c r="BS61" i="3"/>
  <c r="BS66" i="3"/>
  <c r="BR165" i="3"/>
  <c r="BS131" i="3"/>
  <c r="BS136" i="3"/>
  <c r="BS193" i="3"/>
  <c r="BS161" i="3"/>
  <c r="BS166" i="3"/>
  <c r="BS76" i="3"/>
  <c r="BS71" i="3"/>
  <c r="BS43" i="3"/>
  <c r="BS146" i="3"/>
  <c r="BS141" i="3"/>
  <c r="BQ355" i="3"/>
  <c r="BQ359" i="3" a="1"/>
  <c r="BQ359" i="3" s="1"/>
  <c r="BY6" i="4" s="1"/>
  <c r="BT48" i="3"/>
  <c r="BT84" i="3"/>
  <c r="BT102" i="3"/>
  <c r="BT120" i="3"/>
  <c r="BT54" i="3"/>
  <c r="BT72" i="3"/>
  <c r="BT90" i="3"/>
  <c r="BT107" i="3"/>
  <c r="BT88" i="3"/>
  <c r="BT124" i="3"/>
  <c r="BT58" i="3"/>
  <c r="BT20" i="3"/>
  <c r="BT82" i="3"/>
  <c r="BT94" i="3"/>
  <c r="BT104" i="3"/>
  <c r="BT114" i="3"/>
  <c r="BT134" i="3"/>
  <c r="BT87" i="3"/>
  <c r="BT64" i="3"/>
  <c r="BT78" i="3"/>
  <c r="BT117" i="3"/>
  <c r="BT167" i="3"/>
  <c r="BT52" i="3"/>
  <c r="BT67" i="3"/>
  <c r="BT74" i="3"/>
  <c r="BT150" i="3"/>
  <c r="BT7" i="3"/>
  <c r="CB17" i="4" s="1"/>
  <c r="BT38" i="3"/>
  <c r="BT47" i="3"/>
  <c r="BT50" i="3"/>
  <c r="BT97" i="3"/>
  <c r="BT108" i="3"/>
  <c r="BT32" i="3"/>
  <c r="BT92" i="3"/>
  <c r="BT144" i="3"/>
  <c r="BT154" i="3"/>
  <c r="BT172" i="3"/>
  <c r="BT190" i="3"/>
  <c r="BT6" i="3"/>
  <c r="BT28" i="3"/>
  <c r="BT44" i="3"/>
  <c r="BT118" i="3"/>
  <c r="BT130" i="3"/>
  <c r="BT254" i="3"/>
  <c r="BT272" i="3"/>
  <c r="BT137" i="3"/>
  <c r="BT162" i="3"/>
  <c r="BT242" i="3"/>
  <c r="BT277" i="3"/>
  <c r="BT77" i="3"/>
  <c r="BT100" i="3"/>
  <c r="BT140" i="3"/>
  <c r="BT158" i="3"/>
  <c r="BT194" i="3"/>
  <c r="BT198" i="3"/>
  <c r="BT247" i="3"/>
  <c r="BT42" i="3"/>
  <c r="BT60" i="3"/>
  <c r="BT112" i="3"/>
  <c r="BT132" i="3"/>
  <c r="BT214" i="3"/>
  <c r="BT224" i="3"/>
  <c r="BT258" i="3"/>
  <c r="BT294" i="3"/>
  <c r="BT312" i="3"/>
  <c r="BT30" i="3"/>
  <c r="BT110" i="3"/>
  <c r="BT182" i="3"/>
  <c r="BT24" i="3"/>
  <c r="BT37" i="3"/>
  <c r="BT68" i="3"/>
  <c r="BT128" i="3"/>
  <c r="BT192" i="3"/>
  <c r="BT222" i="3"/>
  <c r="BT284" i="3"/>
  <c r="BT148" i="3"/>
  <c r="BT174" i="3"/>
  <c r="BT178" i="3"/>
  <c r="BT187" i="3"/>
  <c r="BT268" i="3"/>
  <c r="BT298" i="3"/>
  <c r="BT34" i="3"/>
  <c r="BT170" i="3"/>
  <c r="BT217" i="3"/>
  <c r="BT318" i="3"/>
  <c r="BT344" i="3"/>
  <c r="BT160" i="3"/>
  <c r="BT70" i="3"/>
  <c r="BT152" i="3"/>
  <c r="BT338" i="3"/>
  <c r="BT257" i="3"/>
  <c r="BT304" i="3"/>
  <c r="BT322" i="3"/>
  <c r="BT184" i="3"/>
  <c r="BT332" i="3"/>
  <c r="BT342" i="3"/>
  <c r="BT122" i="3"/>
  <c r="BT180" i="3"/>
  <c r="BT237" i="3"/>
  <c r="BT248" i="3"/>
  <c r="BT314" i="3"/>
  <c r="BT238" i="3"/>
  <c r="BT22" i="3"/>
  <c r="BT80" i="3"/>
  <c r="BT127" i="3"/>
  <c r="BT27" i="3"/>
  <c r="BT147" i="3"/>
  <c r="BT264" i="3"/>
  <c r="BT308" i="3"/>
  <c r="BT177" i="3"/>
  <c r="BT218" i="3"/>
  <c r="BT324" i="3"/>
  <c r="BT334" i="3"/>
  <c r="BT197" i="3"/>
  <c r="BT328" i="3"/>
  <c r="BT262" i="3"/>
  <c r="BT278" i="3"/>
  <c r="BT288" i="3"/>
  <c r="BT138" i="3"/>
  <c r="BT282" i="3"/>
  <c r="BT302" i="3"/>
  <c r="BT10" i="3"/>
  <c r="BT98" i="3"/>
  <c r="BT232" i="3"/>
  <c r="BT57" i="3"/>
  <c r="BT168" i="3"/>
  <c r="BT348" i="3"/>
  <c r="BT40" i="3"/>
  <c r="BT274" i="3"/>
  <c r="BT287" i="3"/>
  <c r="BT164" i="3"/>
  <c r="BT252" i="3"/>
  <c r="BT234" i="3"/>
  <c r="BT142" i="3"/>
  <c r="BT188" i="3"/>
  <c r="BT157" i="3"/>
  <c r="BT292" i="3"/>
  <c r="BT62" i="3"/>
  <c r="BT267" i="3"/>
  <c r="BT228" i="3"/>
  <c r="BT244" i="3"/>
  <c r="BT212" i="3"/>
  <c r="BT227" i="3"/>
  <c r="BS171" i="3"/>
  <c r="BS176" i="3"/>
  <c r="BS213" i="3"/>
  <c r="BS215" i="3" s="1"/>
  <c r="BS216" i="3"/>
  <c r="BS86" i="3"/>
  <c r="BS81" i="3"/>
  <c r="BV3" i="3"/>
  <c r="CD4" i="4" s="1"/>
  <c r="CD21" i="4" s="1"/>
  <c r="BU5" i="3"/>
  <c r="BU320" i="3"/>
  <c r="BU327" i="3" s="1"/>
  <c r="BU4" i="3"/>
  <c r="CC5" i="4" s="1"/>
  <c r="BU340" i="3"/>
  <c r="BU347" i="3" s="1"/>
  <c r="BU290" i="3"/>
  <c r="BU297" i="3" s="1"/>
  <c r="BU330" i="3"/>
  <c r="BU337" i="3" s="1"/>
  <c r="BU310" i="3"/>
  <c r="BU317" i="3" s="1"/>
  <c r="BU300" i="3"/>
  <c r="BU307" i="3" s="1"/>
  <c r="BS276" i="3"/>
  <c r="BS273" i="3"/>
  <c r="BS275" i="3" s="1"/>
  <c r="BS283" i="3"/>
  <c r="BS285" i="3" s="1"/>
  <c r="BS286" i="3"/>
  <c r="BS226" i="3"/>
  <c r="BS223" i="3"/>
  <c r="BS225" i="3" s="1"/>
  <c r="BS236" i="3"/>
  <c r="BS233" i="3"/>
  <c r="BS235" i="3" s="1"/>
  <c r="BS313" i="3"/>
  <c r="BS315" i="3" s="1"/>
  <c r="BS316" i="3"/>
  <c r="BS56" i="3"/>
  <c r="BS51" i="3"/>
  <c r="BS41" i="3"/>
  <c r="BS46" i="3"/>
  <c r="BS83" i="3"/>
  <c r="BR356" i="3"/>
  <c r="BZ12" i="4" s="1"/>
  <c r="BS303" i="3"/>
  <c r="BS305" i="3" s="1"/>
  <c r="BS306" i="3"/>
  <c r="BS26" i="3"/>
  <c r="BS21" i="3"/>
  <c r="BR15" i="3"/>
  <c r="BR352" i="3"/>
  <c r="BS358" i="3"/>
  <c r="CA24" i="4" s="1"/>
  <c r="BS183" i="3"/>
  <c r="BS113" i="3"/>
  <c r="BR75" i="3"/>
  <c r="BS173" i="3"/>
  <c r="BS153" i="3"/>
  <c r="BS143" i="3"/>
  <c r="BS93" i="3"/>
  <c r="BS126" i="3"/>
  <c r="BS121" i="3"/>
  <c r="BS11" i="3"/>
  <c r="BS16" i="3"/>
  <c r="BR65" i="3"/>
  <c r="BS133" i="3"/>
  <c r="BS63" i="3"/>
  <c r="BS91" i="3"/>
  <c r="BS96" i="3"/>
  <c r="BR55" i="3"/>
  <c r="BR45" i="3"/>
  <c r="BS253" i="3"/>
  <c r="BS255" i="3" s="1"/>
  <c r="BS256" i="3"/>
  <c r="BS323" i="3"/>
  <c r="BS325" i="3" s="1"/>
  <c r="BS326" i="3"/>
  <c r="BS123" i="3"/>
  <c r="BS36" i="3"/>
  <c r="BS31" i="3"/>
  <c r="BS23" i="3"/>
  <c r="BS73" i="3"/>
  <c r="BS74" i="3" s="1"/>
  <c r="BS354" i="3" s="1"/>
  <c r="CA9" i="4" s="1"/>
  <c r="AF50" i="4" l="1"/>
  <c r="AF45" i="4"/>
  <c r="AF46" i="4" s="1"/>
  <c r="BS125" i="3"/>
  <c r="BS145" i="3"/>
  <c r="BT23" i="3"/>
  <c r="BK31" i="4"/>
  <c r="BK32" i="4" s="1"/>
  <c r="BK34" i="4" s="1"/>
  <c r="BK44" i="4" s="1"/>
  <c r="BW27" i="4"/>
  <c r="BX18" i="4"/>
  <c r="BX19" i="4" s="1"/>
  <c r="BY10" i="4"/>
  <c r="BY14" i="4" s="1"/>
  <c r="BY16" i="4"/>
  <c r="BZ8" i="4"/>
  <c r="CA25" i="4"/>
  <c r="BS45" i="3"/>
  <c r="CC13" i="4"/>
  <c r="CC22" i="4"/>
  <c r="CD3" i="4"/>
  <c r="CC3" i="4"/>
  <c r="BS85" i="3"/>
  <c r="BS25" i="3"/>
  <c r="BS95" i="3"/>
  <c r="BS105" i="3"/>
  <c r="BS175" i="3"/>
  <c r="BI44" i="4"/>
  <c r="BS35" i="3"/>
  <c r="BT91" i="3"/>
  <c r="BT96" i="3"/>
  <c r="BT143" i="3"/>
  <c r="BT173" i="3"/>
  <c r="BS353" i="3"/>
  <c r="BT213" i="3"/>
  <c r="BT215" i="3" s="1"/>
  <c r="BT216" i="3"/>
  <c r="BT161" i="3"/>
  <c r="BT166" i="3"/>
  <c r="BT53" i="3"/>
  <c r="BV5" i="3"/>
  <c r="BW3" i="3"/>
  <c r="CE4" i="4" s="1"/>
  <c r="CE21" i="4" s="1"/>
  <c r="BV4" i="3"/>
  <c r="CD5" i="4" s="1"/>
  <c r="BV340" i="3"/>
  <c r="BV347" i="3" s="1"/>
  <c r="BV320" i="3"/>
  <c r="BV327" i="3" s="1"/>
  <c r="BV290" i="3"/>
  <c r="BV297" i="3" s="1"/>
  <c r="BV310" i="3"/>
  <c r="BV317" i="3" s="1"/>
  <c r="BV330" i="3"/>
  <c r="BV337" i="3" s="1"/>
  <c r="BV300" i="3"/>
  <c r="BV307" i="3" s="1"/>
  <c r="BT191" i="3"/>
  <c r="BT196" i="3"/>
  <c r="BT266" i="3"/>
  <c r="BT263" i="3"/>
  <c r="BT265" i="3" s="1"/>
  <c r="BT176" i="3"/>
  <c r="BT171" i="3"/>
  <c r="BT106" i="3"/>
  <c r="BT101" i="3"/>
  <c r="BT333" i="3"/>
  <c r="BT335" i="3" s="1"/>
  <c r="BT336" i="3"/>
  <c r="BT163" i="3"/>
  <c r="BT51" i="3"/>
  <c r="BT56" i="3"/>
  <c r="BT323" i="3"/>
  <c r="BT325" i="3" s="1"/>
  <c r="BT326" i="3"/>
  <c r="BT276" i="3"/>
  <c r="BT273" i="3"/>
  <c r="BT275" i="3" s="1"/>
  <c r="BT83" i="3"/>
  <c r="BS155" i="3"/>
  <c r="BT236" i="3"/>
  <c r="BT233" i="3"/>
  <c r="BT235" i="3" s="1"/>
  <c r="BT133" i="3"/>
  <c r="BT21" i="3"/>
  <c r="BT26" i="3"/>
  <c r="BT354" i="3"/>
  <c r="CB9" i="4" s="1"/>
  <c r="BS135" i="3"/>
  <c r="BT253" i="3"/>
  <c r="BT255" i="3" s="1"/>
  <c r="BT256" i="3"/>
  <c r="BR355" i="3"/>
  <c r="BR359" i="3" a="1"/>
  <c r="BR359" i="3" s="1"/>
  <c r="BZ6" i="4" s="1"/>
  <c r="BT116" i="3"/>
  <c r="BT111" i="3"/>
  <c r="BT103" i="3"/>
  <c r="BT93" i="3"/>
  <c r="BS356" i="3"/>
  <c r="CA12" i="4" s="1"/>
  <c r="BS15" i="3"/>
  <c r="BS352" i="3"/>
  <c r="BT41" i="3"/>
  <c r="BT46" i="3"/>
  <c r="BT343" i="3"/>
  <c r="BT345" i="3" s="1"/>
  <c r="BT346" i="3"/>
  <c r="BT63" i="3"/>
  <c r="BT11" i="3"/>
  <c r="BT16" i="3"/>
  <c r="BT226" i="3"/>
  <c r="BT223" i="3"/>
  <c r="BT225" i="3" s="1"/>
  <c r="BS195" i="3"/>
  <c r="BU6" i="3"/>
  <c r="BU78" i="3"/>
  <c r="BU114" i="3"/>
  <c r="BU48" i="3"/>
  <c r="BU84" i="3"/>
  <c r="BU102" i="3"/>
  <c r="BU120" i="3"/>
  <c r="BU30" i="3"/>
  <c r="BU47" i="3"/>
  <c r="BU118" i="3"/>
  <c r="BU107" i="3"/>
  <c r="BU128" i="3"/>
  <c r="BU20" i="3"/>
  <c r="BU82" i="3"/>
  <c r="BU27" i="3"/>
  <c r="BU58" i="3"/>
  <c r="BU67" i="3"/>
  <c r="BU70" i="3"/>
  <c r="BU162" i="3"/>
  <c r="BU180" i="3"/>
  <c r="BU197" i="3"/>
  <c r="BU72" i="3"/>
  <c r="BU90" i="3"/>
  <c r="BU117" i="3"/>
  <c r="BU52" i="3"/>
  <c r="BU74" i="3"/>
  <c r="BU150" i="3"/>
  <c r="BU34" i="3"/>
  <c r="BU100" i="3"/>
  <c r="BU140" i="3"/>
  <c r="BU184" i="3"/>
  <c r="BU32" i="3"/>
  <c r="BU22" i="3"/>
  <c r="BU62" i="3"/>
  <c r="BU80" i="3"/>
  <c r="BU94" i="3"/>
  <c r="BU104" i="3"/>
  <c r="BU127" i="3"/>
  <c r="BU248" i="3"/>
  <c r="BU284" i="3"/>
  <c r="BU302" i="3"/>
  <c r="BU28" i="3"/>
  <c r="BU44" i="3"/>
  <c r="BU130" i="3"/>
  <c r="BU254" i="3"/>
  <c r="BU272" i="3"/>
  <c r="BU38" i="3"/>
  <c r="BU137" i="3"/>
  <c r="BU167" i="3"/>
  <c r="BU242" i="3"/>
  <c r="BU68" i="3"/>
  <c r="BU147" i="3"/>
  <c r="BU164" i="3"/>
  <c r="BU178" i="3"/>
  <c r="BU288" i="3"/>
  <c r="BU324" i="3"/>
  <c r="BU42" i="3"/>
  <c r="BU60" i="3"/>
  <c r="BU112" i="3"/>
  <c r="BU132" i="3"/>
  <c r="BU134" i="3"/>
  <c r="BU190" i="3"/>
  <c r="BU10" i="3"/>
  <c r="BU198" i="3"/>
  <c r="BU332" i="3"/>
  <c r="BU24" i="3"/>
  <c r="BU37" i="3"/>
  <c r="BU77" i="3"/>
  <c r="BU192" i="3"/>
  <c r="BU222" i="3"/>
  <c r="BU224" i="3"/>
  <c r="BU258" i="3"/>
  <c r="BU148" i="3"/>
  <c r="BU154" i="3"/>
  <c r="BU174" i="3"/>
  <c r="BU187" i="3"/>
  <c r="BU268" i="3"/>
  <c r="BU298" i="3"/>
  <c r="BU108" i="3"/>
  <c r="BU170" i="3"/>
  <c r="BU217" i="3"/>
  <c r="BU160" i="3"/>
  <c r="BU172" i="3"/>
  <c r="BU173" i="3" s="1"/>
  <c r="BU294" i="3"/>
  <c r="BU158" i="3"/>
  <c r="BU232" i="3"/>
  <c r="BU328" i="3"/>
  <c r="BU257" i="3"/>
  <c r="BU304" i="3"/>
  <c r="BU322" i="3"/>
  <c r="BU97" i="3"/>
  <c r="BU238" i="3"/>
  <c r="BU262" i="3"/>
  <c r="BU122" i="3"/>
  <c r="BU152" i="3"/>
  <c r="BU237" i="3"/>
  <c r="BU312" i="3"/>
  <c r="BU314" i="3"/>
  <c r="BU54" i="3"/>
  <c r="BU144" i="3"/>
  <c r="BU264" i="3"/>
  <c r="BU308" i="3"/>
  <c r="BU92" i="3"/>
  <c r="BU177" i="3"/>
  <c r="BU218" i="3"/>
  <c r="BU318" i="3"/>
  <c r="BU334" i="3"/>
  <c r="BU7" i="3"/>
  <c r="CC17" i="4" s="1"/>
  <c r="BU40" i="3"/>
  <c r="BU87" i="3"/>
  <c r="BU342" i="3"/>
  <c r="BU278" i="3"/>
  <c r="BU138" i="3"/>
  <c r="BU282" i="3"/>
  <c r="BU64" i="3"/>
  <c r="BU98" i="3"/>
  <c r="BU110" i="3"/>
  <c r="BU57" i="3"/>
  <c r="BU168" i="3"/>
  <c r="BU88" i="3"/>
  <c r="BU124" i="3"/>
  <c r="BU228" i="3"/>
  <c r="BU234" i="3"/>
  <c r="BU287" i="3"/>
  <c r="BU157" i="3"/>
  <c r="BU194" i="3"/>
  <c r="BU212" i="3"/>
  <c r="BU252" i="3"/>
  <c r="BU182" i="3"/>
  <c r="BU274" i="3"/>
  <c r="BU227" i="3"/>
  <c r="BU142" i="3"/>
  <c r="BU338" i="3"/>
  <c r="BU277" i="3"/>
  <c r="BU50" i="3"/>
  <c r="BU292" i="3"/>
  <c r="BU348" i="3"/>
  <c r="BU244" i="3"/>
  <c r="BU344" i="3"/>
  <c r="BU247" i="3"/>
  <c r="BU188" i="3"/>
  <c r="BU214" i="3"/>
  <c r="BU267" i="3"/>
  <c r="BT296" i="3"/>
  <c r="BT293" i="3"/>
  <c r="BT295" i="3" s="1"/>
  <c r="BT303" i="3"/>
  <c r="BT305" i="3" s="1"/>
  <c r="BT306" i="3"/>
  <c r="BT153" i="3"/>
  <c r="BT193" i="3"/>
  <c r="BT43" i="3"/>
  <c r="BS115" i="3"/>
  <c r="BT73" i="3"/>
  <c r="BT183" i="3"/>
  <c r="BT141" i="3"/>
  <c r="BT146" i="3"/>
  <c r="BT126" i="3"/>
  <c r="BT121" i="3"/>
  <c r="BT181" i="3"/>
  <c r="BT186" i="3"/>
  <c r="BT31" i="3"/>
  <c r="BT36" i="3"/>
  <c r="BS65" i="3"/>
  <c r="BT123" i="3"/>
  <c r="BT316" i="3"/>
  <c r="BT313" i="3"/>
  <c r="BT315" i="3" s="1"/>
  <c r="BT33" i="3"/>
  <c r="BT246" i="3"/>
  <c r="BT243" i="3"/>
  <c r="BT245" i="3" s="1"/>
  <c r="BT113" i="3"/>
  <c r="BT131" i="3"/>
  <c r="BT136" i="3"/>
  <c r="BS75" i="3"/>
  <c r="BS55" i="3"/>
  <c r="BT357" i="3"/>
  <c r="CB23" i="4" s="1"/>
  <c r="BT66" i="3"/>
  <c r="BT61" i="3"/>
  <c r="BT156" i="3"/>
  <c r="BT151" i="3"/>
  <c r="BT283" i="3"/>
  <c r="BT285" i="3" s="1"/>
  <c r="BT286" i="3"/>
  <c r="BT86" i="3"/>
  <c r="BT81" i="3"/>
  <c r="BT71" i="3"/>
  <c r="BT76" i="3"/>
  <c r="BT358" i="3"/>
  <c r="CB24" i="4" s="1"/>
  <c r="BS165" i="3"/>
  <c r="BS185" i="3"/>
  <c r="BU143" i="3" l="1"/>
  <c r="AF47" i="4"/>
  <c r="AF48" i="4" s="1"/>
  <c r="AG43" i="4" s="1"/>
  <c r="BU73" i="3"/>
  <c r="BU103" i="3"/>
  <c r="BT85" i="3"/>
  <c r="BU93" i="3"/>
  <c r="BU193" i="3"/>
  <c r="BT25" i="3"/>
  <c r="BT175" i="3"/>
  <c r="CA8" i="4"/>
  <c r="CA10" i="4" s="1"/>
  <c r="BU63" i="3"/>
  <c r="BX27" i="4"/>
  <c r="BL31" i="4"/>
  <c r="BL32" i="4" s="1"/>
  <c r="BL34" i="4" s="1"/>
  <c r="BZ10" i="4"/>
  <c r="BZ14" i="4" s="1"/>
  <c r="BZ16" i="4"/>
  <c r="BY18" i="4"/>
  <c r="BY19" i="4" s="1"/>
  <c r="CB25" i="4"/>
  <c r="BT55" i="3"/>
  <c r="BU133" i="3"/>
  <c r="BT125" i="3"/>
  <c r="CE3" i="4"/>
  <c r="BU153" i="3"/>
  <c r="BU43" i="3"/>
  <c r="BU53" i="3"/>
  <c r="BT105" i="3"/>
  <c r="CD13" i="4"/>
  <c r="CD22" i="4"/>
  <c r="BU113" i="3"/>
  <c r="BT135" i="3"/>
  <c r="BT145" i="3"/>
  <c r="BU163" i="3"/>
  <c r="BU183" i="3"/>
  <c r="BU23" i="3"/>
  <c r="BT35" i="3"/>
  <c r="BU33" i="3"/>
  <c r="BT353" i="3"/>
  <c r="BT185" i="3"/>
  <c r="BU123" i="3"/>
  <c r="BU83" i="3"/>
  <c r="BT356" i="3"/>
  <c r="CB12" i="4" s="1"/>
  <c r="BU151" i="3"/>
  <c r="BU156" i="3"/>
  <c r="BU323" i="3"/>
  <c r="BU325" i="3" s="1"/>
  <c r="BU326" i="3"/>
  <c r="BU61" i="3"/>
  <c r="BU66" i="3"/>
  <c r="BV20" i="3"/>
  <c r="BV37" i="3"/>
  <c r="BV108" i="3"/>
  <c r="BV6" i="3"/>
  <c r="BV78" i="3"/>
  <c r="BV114" i="3"/>
  <c r="BV24" i="3"/>
  <c r="BV42" i="3"/>
  <c r="BV60" i="3"/>
  <c r="BV77" i="3"/>
  <c r="BV30" i="3"/>
  <c r="BV47" i="3"/>
  <c r="BV40" i="3"/>
  <c r="BV80" i="3"/>
  <c r="BV117" i="3"/>
  <c r="BV22" i="3"/>
  <c r="BV62" i="3"/>
  <c r="BV87" i="3"/>
  <c r="BV112" i="3"/>
  <c r="BV132" i="3"/>
  <c r="BV174" i="3"/>
  <c r="BV192" i="3"/>
  <c r="BV227" i="3"/>
  <c r="BV58" i="3"/>
  <c r="BV70" i="3"/>
  <c r="BV162" i="3"/>
  <c r="BV67" i="3"/>
  <c r="BV72" i="3"/>
  <c r="BV90" i="3"/>
  <c r="BV7" i="3"/>
  <c r="CD17" i="4" s="1"/>
  <c r="BV27" i="3"/>
  <c r="BV38" i="3"/>
  <c r="BV50" i="3"/>
  <c r="BV54" i="3"/>
  <c r="BV97" i="3"/>
  <c r="BV178" i="3"/>
  <c r="BV34" i="3"/>
  <c r="BV172" i="3"/>
  <c r="BV180" i="3"/>
  <c r="BV187" i="3"/>
  <c r="BV278" i="3"/>
  <c r="BV314" i="3"/>
  <c r="BV332" i="3"/>
  <c r="BV32" i="3"/>
  <c r="BV94" i="3"/>
  <c r="BV104" i="3"/>
  <c r="BV118" i="3"/>
  <c r="BV127" i="3"/>
  <c r="BV248" i="3"/>
  <c r="BV284" i="3"/>
  <c r="BV28" i="3"/>
  <c r="BV44" i="3"/>
  <c r="BV74" i="3"/>
  <c r="BV102" i="3"/>
  <c r="BV130" i="3"/>
  <c r="BV254" i="3"/>
  <c r="BV92" i="3"/>
  <c r="BV158" i="3"/>
  <c r="BV194" i="3"/>
  <c r="BV198" i="3"/>
  <c r="BV247" i="3"/>
  <c r="BV318" i="3"/>
  <c r="BV68" i="3"/>
  <c r="BV147" i="3"/>
  <c r="BV164" i="3"/>
  <c r="BV64" i="3"/>
  <c r="BV244" i="3"/>
  <c r="BV287" i="3"/>
  <c r="BV10" i="3"/>
  <c r="BV82" i="3"/>
  <c r="BV128" i="3"/>
  <c r="BV222" i="3"/>
  <c r="BV224" i="3"/>
  <c r="BV258" i="3"/>
  <c r="BV52" i="3"/>
  <c r="BV120" i="3"/>
  <c r="BV148" i="3"/>
  <c r="BV154" i="3"/>
  <c r="BV268" i="3"/>
  <c r="BV137" i="3"/>
  <c r="BV167" i="3"/>
  <c r="BV170" i="3"/>
  <c r="BV217" i="3"/>
  <c r="BV344" i="3"/>
  <c r="BV138" i="3"/>
  <c r="BV212" i="3"/>
  <c r="BV252" i="3"/>
  <c r="BV274" i="3"/>
  <c r="BV282" i="3"/>
  <c r="BV288" i="3"/>
  <c r="BV292" i="3"/>
  <c r="BV348" i="3"/>
  <c r="BV140" i="3"/>
  <c r="BV190" i="3"/>
  <c r="BV232" i="3"/>
  <c r="BV298" i="3"/>
  <c r="BV177" i="3"/>
  <c r="BV197" i="3"/>
  <c r="BV48" i="3"/>
  <c r="BV184" i="3"/>
  <c r="BV257" i="3"/>
  <c r="BV304" i="3"/>
  <c r="BV322" i="3"/>
  <c r="BV107" i="3"/>
  <c r="BV122" i="3"/>
  <c r="BV152" i="3"/>
  <c r="BV160" i="3"/>
  <c r="BV237" i="3"/>
  <c r="BV312" i="3"/>
  <c r="BV144" i="3"/>
  <c r="BV264" i="3"/>
  <c r="BV308" i="3"/>
  <c r="BV324" i="3"/>
  <c r="BV218" i="3"/>
  <c r="BV334" i="3"/>
  <c r="BV124" i="3"/>
  <c r="BV228" i="3"/>
  <c r="BV328" i="3"/>
  <c r="BV342" i="3"/>
  <c r="BV302" i="3"/>
  <c r="BV272" i="3"/>
  <c r="BV294" i="3"/>
  <c r="BV88" i="3"/>
  <c r="BV100" i="3"/>
  <c r="BV238" i="3"/>
  <c r="BV242" i="3"/>
  <c r="BV110" i="3"/>
  <c r="BV150" i="3"/>
  <c r="BV98" i="3"/>
  <c r="BV214" i="3"/>
  <c r="BV267" i="3"/>
  <c r="BV142" i="3"/>
  <c r="BV143" i="3" s="1"/>
  <c r="BV262" i="3"/>
  <c r="BV338" i="3"/>
  <c r="BV168" i="3"/>
  <c r="BV234" i="3"/>
  <c r="BV182" i="3"/>
  <c r="BV188" i="3"/>
  <c r="BV157" i="3"/>
  <c r="BV57" i="3"/>
  <c r="BV277" i="3"/>
  <c r="BV134" i="3"/>
  <c r="BV84" i="3"/>
  <c r="BU296" i="3"/>
  <c r="BU293" i="3"/>
  <c r="BU295" i="3" s="1"/>
  <c r="BU31" i="3"/>
  <c r="BU36" i="3"/>
  <c r="BT75" i="3"/>
  <c r="BU121" i="3"/>
  <c r="BU126" i="3"/>
  <c r="BU226" i="3"/>
  <c r="BU223" i="3"/>
  <c r="BU225" i="3" s="1"/>
  <c r="BT165" i="3"/>
  <c r="BU186" i="3"/>
  <c r="BU181" i="3"/>
  <c r="BS355" i="3"/>
  <c r="BS359" i="3" a="1"/>
  <c r="BS359" i="3" s="1"/>
  <c r="CA6" i="4" s="1"/>
  <c r="BU81" i="3"/>
  <c r="BU86" i="3"/>
  <c r="BU354" i="3"/>
  <c r="CC9" i="4" s="1"/>
  <c r="BU136" i="3"/>
  <c r="BU131" i="3"/>
  <c r="BT15" i="3"/>
  <c r="BT352" i="3"/>
  <c r="BU306" i="3"/>
  <c r="BU303" i="3"/>
  <c r="BU305" i="3" s="1"/>
  <c r="BW5" i="3"/>
  <c r="BW4" i="3"/>
  <c r="CE5" i="4" s="1"/>
  <c r="BX3" i="3"/>
  <c r="CF4" i="4" s="1"/>
  <c r="BW320" i="3"/>
  <c r="BW327" i="3" s="1"/>
  <c r="BW340" i="3"/>
  <c r="BW347" i="3" s="1"/>
  <c r="BW290" i="3"/>
  <c r="BW297" i="3" s="1"/>
  <c r="BW310" i="3"/>
  <c r="BW317" i="3" s="1"/>
  <c r="BW330" i="3"/>
  <c r="BW337" i="3" s="1"/>
  <c r="BW300" i="3"/>
  <c r="BW307" i="3" s="1"/>
  <c r="BU51" i="3"/>
  <c r="BU56" i="3"/>
  <c r="BU96" i="3"/>
  <c r="BU91" i="3"/>
  <c r="BU236" i="3"/>
  <c r="BU233" i="3"/>
  <c r="BU235" i="3" s="1"/>
  <c r="BT45" i="3"/>
  <c r="BU111" i="3"/>
  <c r="BU116" i="3"/>
  <c r="BT155" i="3"/>
  <c r="BU283" i="3"/>
  <c r="BU285" i="3" s="1"/>
  <c r="BU286" i="3"/>
  <c r="BU166" i="3"/>
  <c r="BU161" i="3"/>
  <c r="BU246" i="3"/>
  <c r="BU243" i="3"/>
  <c r="BU245" i="3" s="1"/>
  <c r="BU71" i="3"/>
  <c r="BU76" i="3"/>
  <c r="BU316" i="3"/>
  <c r="BU313" i="3"/>
  <c r="BU315" i="3" s="1"/>
  <c r="BU336" i="3"/>
  <c r="BU333" i="3"/>
  <c r="BU335" i="3" s="1"/>
  <c r="BT195" i="3"/>
  <c r="BU358" i="3"/>
  <c r="CC24" i="4" s="1"/>
  <c r="BT65" i="3"/>
  <c r="BU253" i="3"/>
  <c r="BU255" i="3" s="1"/>
  <c r="BU256" i="3"/>
  <c r="BU171" i="3"/>
  <c r="BU175" i="3" s="1"/>
  <c r="BU176" i="3"/>
  <c r="BT115" i="3"/>
  <c r="BU213" i="3"/>
  <c r="BU215" i="3" s="1"/>
  <c r="BU216" i="3"/>
  <c r="BU346" i="3"/>
  <c r="BU343" i="3"/>
  <c r="BU345" i="3" s="1"/>
  <c r="BU11" i="3"/>
  <c r="BU16" i="3"/>
  <c r="BU357" i="3"/>
  <c r="CC23" i="4" s="1"/>
  <c r="BU191" i="3"/>
  <c r="BU196" i="3"/>
  <c r="BU276" i="3"/>
  <c r="BU273" i="3"/>
  <c r="BU275" i="3" s="1"/>
  <c r="BU146" i="3"/>
  <c r="BU141" i="3"/>
  <c r="BU145" i="3" s="1"/>
  <c r="BU41" i="3"/>
  <c r="BU46" i="3"/>
  <c r="BU266" i="3"/>
  <c r="BU263" i="3"/>
  <c r="BU265" i="3" s="1"/>
  <c r="BU101" i="3"/>
  <c r="BU106" i="3"/>
  <c r="BU21" i="3"/>
  <c r="BU26" i="3"/>
  <c r="BT95" i="3"/>
  <c r="B28" i="7" l="1"/>
  <c r="CF21" i="4"/>
  <c r="AG45" i="4"/>
  <c r="AG46" i="4" s="1"/>
  <c r="AG50" i="4"/>
  <c r="BU75" i="3"/>
  <c r="BU105" i="3"/>
  <c r="BU95" i="3"/>
  <c r="BU65" i="3"/>
  <c r="BU195" i="3"/>
  <c r="BV83" i="3"/>
  <c r="BV103" i="3"/>
  <c r="BV173" i="3"/>
  <c r="BV193" i="3"/>
  <c r="CA16" i="4"/>
  <c r="BV183" i="3"/>
  <c r="BV123" i="3"/>
  <c r="BV93" i="3"/>
  <c r="BU135" i="3"/>
  <c r="BV43" i="3"/>
  <c r="CA14" i="4"/>
  <c r="CA18" i="4" s="1"/>
  <c r="BZ18" i="4"/>
  <c r="BZ19" i="4" s="1"/>
  <c r="CB8" i="4"/>
  <c r="BU25" i="3"/>
  <c r="BU45" i="3"/>
  <c r="CE13" i="4"/>
  <c r="CE22" i="4"/>
  <c r="BU125" i="3"/>
  <c r="BV133" i="3"/>
  <c r="CF31" i="4"/>
  <c r="CF32" i="4" s="1"/>
  <c r="CF3" i="4"/>
  <c r="D45" i="4" s="1"/>
  <c r="D28" i="7"/>
  <c r="F28" i="7"/>
  <c r="E28" i="7"/>
  <c r="BU55" i="3"/>
  <c r="BU115" i="3"/>
  <c r="CC25" i="4"/>
  <c r="BU35" i="3"/>
  <c r="BU85" i="3"/>
  <c r="BU165" i="3"/>
  <c r="BU185" i="3"/>
  <c r="BU155" i="3"/>
  <c r="BL44" i="4"/>
  <c r="BY27" i="4"/>
  <c r="BM31" i="4"/>
  <c r="BT359" i="3" a="1"/>
  <c r="BT359" i="3" s="1"/>
  <c r="CB6" i="4" s="1"/>
  <c r="BV266" i="3"/>
  <c r="BV263" i="3"/>
  <c r="BV265" i="3" s="1"/>
  <c r="BV11" i="3"/>
  <c r="BV16" i="3"/>
  <c r="BT355" i="3"/>
  <c r="BV113" i="3"/>
  <c r="BV56" i="3"/>
  <c r="BV51" i="3"/>
  <c r="BV63" i="3"/>
  <c r="BV26" i="3"/>
  <c r="BV21" i="3"/>
  <c r="BV156" i="3"/>
  <c r="BV151" i="3"/>
  <c r="BV23" i="3"/>
  <c r="BV116" i="3"/>
  <c r="BV111" i="3"/>
  <c r="BV236" i="3"/>
  <c r="BV233" i="3"/>
  <c r="BV235" i="3" s="1"/>
  <c r="BV357" i="3"/>
  <c r="CD23" i="4" s="1"/>
  <c r="BV276" i="3"/>
  <c r="BV273" i="3"/>
  <c r="BV275" i="3" s="1"/>
  <c r="BV71" i="3"/>
  <c r="BV76" i="3"/>
  <c r="BU356" i="3"/>
  <c r="CC12" i="4" s="1"/>
  <c r="BU15" i="3"/>
  <c r="BU352" i="3"/>
  <c r="BV358" i="3"/>
  <c r="CD24" i="4" s="1"/>
  <c r="BV243" i="3"/>
  <c r="BV245" i="3" s="1"/>
  <c r="BV246" i="3"/>
  <c r="BV191" i="3"/>
  <c r="BV196" i="3"/>
  <c r="BV81" i="3"/>
  <c r="BV86" i="3"/>
  <c r="BV61" i="3"/>
  <c r="BV66" i="3"/>
  <c r="BV354" i="3"/>
  <c r="CD9" i="4" s="1"/>
  <c r="BV316" i="3"/>
  <c r="BV313" i="3"/>
  <c r="BV315" i="3" s="1"/>
  <c r="BV106" i="3"/>
  <c r="BV101" i="3"/>
  <c r="BV121" i="3"/>
  <c r="BV126" i="3"/>
  <c r="BV33" i="3"/>
  <c r="BV73" i="3"/>
  <c r="BX4" i="3"/>
  <c r="CF5" i="4" s="1"/>
  <c r="BX290" i="3"/>
  <c r="BX297" i="3" s="1"/>
  <c r="BX300" i="3"/>
  <c r="BX307" i="3" s="1"/>
  <c r="BX320" i="3"/>
  <c r="BX327" i="3" s="1"/>
  <c r="BX340" i="3"/>
  <c r="BX347" i="3" s="1"/>
  <c r="BX5" i="3"/>
  <c r="BX310" i="3"/>
  <c r="BX317" i="3" s="1"/>
  <c r="BX330" i="3"/>
  <c r="BX337" i="3" s="1"/>
  <c r="BV283" i="3"/>
  <c r="BV285" i="3" s="1"/>
  <c r="BV286" i="3"/>
  <c r="BV216" i="3"/>
  <c r="BV213" i="3"/>
  <c r="BV215" i="3" s="1"/>
  <c r="BV171" i="3"/>
  <c r="BV176" i="3"/>
  <c r="BV296" i="3"/>
  <c r="BV293" i="3"/>
  <c r="BV295" i="3" s="1"/>
  <c r="BV53" i="3"/>
  <c r="BV336" i="3"/>
  <c r="BV333" i="3"/>
  <c r="BV335" i="3" s="1"/>
  <c r="BV36" i="3"/>
  <c r="BV31" i="3"/>
  <c r="BW32" i="3"/>
  <c r="BW50" i="3"/>
  <c r="BW67" i="3"/>
  <c r="BW20" i="3"/>
  <c r="BW37" i="3"/>
  <c r="BW108" i="3"/>
  <c r="BW54" i="3"/>
  <c r="BW72" i="3"/>
  <c r="BW90" i="3"/>
  <c r="BW107" i="3"/>
  <c r="BW24" i="3"/>
  <c r="BW42" i="3"/>
  <c r="BW60" i="3"/>
  <c r="BW77" i="3"/>
  <c r="BW34" i="3"/>
  <c r="BW74" i="3"/>
  <c r="BW124" i="3"/>
  <c r="BW40" i="3"/>
  <c r="BW80" i="3"/>
  <c r="BW6" i="3"/>
  <c r="BW47" i="3"/>
  <c r="BW87" i="3"/>
  <c r="BW97" i="3"/>
  <c r="BW127" i="3"/>
  <c r="BW168" i="3"/>
  <c r="BW222" i="3"/>
  <c r="BW78" i="3"/>
  <c r="BW112" i="3"/>
  <c r="BW132" i="3"/>
  <c r="BW58" i="3"/>
  <c r="BW70" i="3"/>
  <c r="BW117" i="3"/>
  <c r="BW162" i="3"/>
  <c r="BW30" i="3"/>
  <c r="BW52" i="3"/>
  <c r="BW114" i="3"/>
  <c r="BW150" i="3"/>
  <c r="BW7" i="3"/>
  <c r="CE17" i="4" s="1"/>
  <c r="BW27" i="3"/>
  <c r="BW88" i="3"/>
  <c r="BW98" i="3"/>
  <c r="BW237" i="3"/>
  <c r="BW308" i="3"/>
  <c r="BW22" i="3"/>
  <c r="BW62" i="3"/>
  <c r="BW172" i="3"/>
  <c r="BW180" i="3"/>
  <c r="BW187" i="3"/>
  <c r="BW278" i="3"/>
  <c r="BW94" i="3"/>
  <c r="BW104" i="3"/>
  <c r="BW118" i="3"/>
  <c r="BW248" i="3"/>
  <c r="BW100" i="3"/>
  <c r="BW137" i="3"/>
  <c r="BW140" i="3"/>
  <c r="BW167" i="3"/>
  <c r="BW242" i="3"/>
  <c r="BW277" i="3"/>
  <c r="BW92" i="3"/>
  <c r="BW158" i="3"/>
  <c r="BW178" i="3"/>
  <c r="BW194" i="3"/>
  <c r="BW198" i="3"/>
  <c r="BW122" i="3"/>
  <c r="BW134" i="3"/>
  <c r="BW190" i="3"/>
  <c r="BW234" i="3"/>
  <c r="BW292" i="3"/>
  <c r="BW312" i="3"/>
  <c r="BW28" i="3"/>
  <c r="BW64" i="3"/>
  <c r="BW68" i="3"/>
  <c r="BW244" i="3"/>
  <c r="BW284" i="3"/>
  <c r="BW287" i="3"/>
  <c r="BW332" i="3"/>
  <c r="BW10" i="3"/>
  <c r="BW38" i="3"/>
  <c r="BW82" i="3"/>
  <c r="BW128" i="3"/>
  <c r="BW192" i="3"/>
  <c r="BW174" i="3"/>
  <c r="BW224" i="3"/>
  <c r="BW258" i="3"/>
  <c r="BW102" i="3"/>
  <c r="BW120" i="3"/>
  <c r="BW148" i="3"/>
  <c r="BW154" i="3"/>
  <c r="BW268" i="3"/>
  <c r="BW298" i="3"/>
  <c r="BW318" i="3"/>
  <c r="BW302" i="3"/>
  <c r="BW138" i="3"/>
  <c r="BW212" i="3"/>
  <c r="BW252" i="3"/>
  <c r="BW274" i="3"/>
  <c r="BW282" i="3"/>
  <c r="BW288" i="3"/>
  <c r="BW348" i="3"/>
  <c r="BW144" i="3"/>
  <c r="BW264" i="3"/>
  <c r="BW324" i="3"/>
  <c r="BW197" i="3"/>
  <c r="BW218" i="3"/>
  <c r="BW232" i="3"/>
  <c r="BW147" i="3"/>
  <c r="BW257" i="3"/>
  <c r="BW304" i="3"/>
  <c r="BW314" i="3"/>
  <c r="BW322" i="3"/>
  <c r="BW152" i="3"/>
  <c r="BW160" i="3"/>
  <c r="BW177" i="3"/>
  <c r="BW214" i="3"/>
  <c r="BW267" i="3"/>
  <c r="BW228" i="3"/>
  <c r="BW328" i="3"/>
  <c r="BW342" i="3"/>
  <c r="BW254" i="3"/>
  <c r="BW272" i="3"/>
  <c r="BW294" i="3"/>
  <c r="BW238" i="3"/>
  <c r="BW44" i="3"/>
  <c r="BW334" i="3"/>
  <c r="BW84" i="3"/>
  <c r="BW48" i="3"/>
  <c r="BW170" i="3"/>
  <c r="BW182" i="3"/>
  <c r="BW164" i="3"/>
  <c r="BW110" i="3"/>
  <c r="BW142" i="3"/>
  <c r="BW262" i="3"/>
  <c r="BW338" i="3"/>
  <c r="BW188" i="3"/>
  <c r="BW157" i="3"/>
  <c r="BW217" i="3"/>
  <c r="BW130" i="3"/>
  <c r="BW184" i="3"/>
  <c r="BW57" i="3"/>
  <c r="BW344" i="3"/>
  <c r="BW247" i="3"/>
  <c r="BW227" i="3"/>
  <c r="BV306" i="3"/>
  <c r="BV303" i="3"/>
  <c r="BV305" i="3" s="1"/>
  <c r="BV226" i="3"/>
  <c r="BV223" i="3"/>
  <c r="BV225" i="3" s="1"/>
  <c r="BV346" i="3"/>
  <c r="BV343" i="3"/>
  <c r="BV345" i="3" s="1"/>
  <c r="BV326" i="3"/>
  <c r="BV323" i="3"/>
  <c r="BV325" i="3" s="1"/>
  <c r="BV256" i="3"/>
  <c r="BV253" i="3"/>
  <c r="BV255" i="3" s="1"/>
  <c r="BV136" i="3"/>
  <c r="BV131" i="3"/>
  <c r="BV186" i="3"/>
  <c r="BV181" i="3"/>
  <c r="BU353" i="3"/>
  <c r="BV141" i="3"/>
  <c r="BV145" i="3" s="1"/>
  <c r="BV146" i="3"/>
  <c r="BV91" i="3"/>
  <c r="BV96" i="3"/>
  <c r="BV46" i="3"/>
  <c r="BV41" i="3"/>
  <c r="BV161" i="3"/>
  <c r="BV166" i="3"/>
  <c r="BV153" i="3"/>
  <c r="BV163" i="3"/>
  <c r="AG47" i="4" l="1"/>
  <c r="AG48" i="4" s="1"/>
  <c r="AH43" i="4" s="1"/>
  <c r="AH45" i="4" s="1"/>
  <c r="BV105" i="3"/>
  <c r="BV175" i="3"/>
  <c r="BW143" i="3"/>
  <c r="BV85" i="3"/>
  <c r="BV195" i="3"/>
  <c r="CA19" i="4"/>
  <c r="CA27" i="4" s="1"/>
  <c r="BV185" i="3"/>
  <c r="BV125" i="3"/>
  <c r="BV45" i="3"/>
  <c r="BV95" i="3"/>
  <c r="BV135" i="3"/>
  <c r="BW103" i="3"/>
  <c r="BW93" i="3"/>
  <c r="BW23" i="3"/>
  <c r="BW113" i="3"/>
  <c r="BW43" i="3"/>
  <c r="BV155" i="3"/>
  <c r="CB16" i="4"/>
  <c r="BZ27" i="4"/>
  <c r="BN31" i="4"/>
  <c r="BN32" i="4" s="1"/>
  <c r="BN34" i="4" s="1"/>
  <c r="BN44" i="4" s="1"/>
  <c r="G22" i="4"/>
  <c r="F16" i="4"/>
  <c r="G16" i="4"/>
  <c r="H16" i="4"/>
  <c r="D16" i="4"/>
  <c r="D8" i="4"/>
  <c r="D9" i="4"/>
  <c r="I16" i="4"/>
  <c r="E9" i="4"/>
  <c r="G8" i="4"/>
  <c r="H8" i="4"/>
  <c r="I9" i="4"/>
  <c r="CC8" i="4"/>
  <c r="BW73" i="3"/>
  <c r="CB10" i="4"/>
  <c r="CB14" i="4" s="1"/>
  <c r="CD25" i="4"/>
  <c r="J29" i="4"/>
  <c r="H22" i="4"/>
  <c r="F27" i="4"/>
  <c r="I30" i="4"/>
  <c r="D65" i="4"/>
  <c r="E29" i="4"/>
  <c r="D21" i="4"/>
  <c r="E30" i="4"/>
  <c r="D24" i="4"/>
  <c r="G27" i="4"/>
  <c r="E27" i="4"/>
  <c r="D29" i="4"/>
  <c r="D32" i="4"/>
  <c r="F13" i="4"/>
  <c r="D23" i="4"/>
  <c r="D30" i="4"/>
  <c r="D47" i="4"/>
  <c r="H21" i="4"/>
  <c r="G29" i="4"/>
  <c r="E13" i="4"/>
  <c r="D12" i="4"/>
  <c r="I13" i="4"/>
  <c r="G30" i="4"/>
  <c r="D18" i="4"/>
  <c r="D6" i="4"/>
  <c r="J30" i="4"/>
  <c r="D44" i="4"/>
  <c r="D13" i="4"/>
  <c r="I29" i="4"/>
  <c r="G31" i="4"/>
  <c r="F21" i="4"/>
  <c r="I21" i="4"/>
  <c r="J21" i="4"/>
  <c r="D17" i="4"/>
  <c r="F29" i="4"/>
  <c r="F31" i="4"/>
  <c r="D31" i="4"/>
  <c r="H29" i="4"/>
  <c r="E21" i="4"/>
  <c r="G32" i="4"/>
  <c r="H30" i="4"/>
  <c r="F32" i="4"/>
  <c r="D50" i="4"/>
  <c r="H13" i="4"/>
  <c r="G21" i="4"/>
  <c r="I22" i="4"/>
  <c r="G6" i="4"/>
  <c r="D22" i="4"/>
  <c r="F6" i="4"/>
  <c r="H31" i="4"/>
  <c r="D10" i="4"/>
  <c r="D46" i="4"/>
  <c r="E22" i="4"/>
  <c r="D27" i="4"/>
  <c r="I6" i="4"/>
  <c r="J30" i="8" s="1"/>
  <c r="I27" i="4"/>
  <c r="F22" i="4"/>
  <c r="H6" i="4"/>
  <c r="F30" i="4"/>
  <c r="G13" i="4"/>
  <c r="CF13" i="4"/>
  <c r="J13" i="4" s="1"/>
  <c r="CF22" i="4"/>
  <c r="J22" i="4" s="1"/>
  <c r="BM32" i="4"/>
  <c r="BM34" i="4" s="1"/>
  <c r="BV353" i="3"/>
  <c r="BW136" i="3"/>
  <c r="BW131" i="3"/>
  <c r="BW236" i="3"/>
  <c r="BW233" i="3"/>
  <c r="BW235" i="3" s="1"/>
  <c r="BW243" i="3"/>
  <c r="BW245" i="3" s="1"/>
  <c r="BW246" i="3"/>
  <c r="BW141" i="3"/>
  <c r="BW145" i="3" s="1"/>
  <c r="BW146" i="3"/>
  <c r="BV25" i="3"/>
  <c r="BW106" i="3"/>
  <c r="BW101" i="3"/>
  <c r="BW296" i="3"/>
  <c r="BW293" i="3"/>
  <c r="BW295" i="3" s="1"/>
  <c r="BW151" i="3"/>
  <c r="BW156" i="3"/>
  <c r="BW191" i="3"/>
  <c r="BW196" i="3"/>
  <c r="BW81" i="3"/>
  <c r="BW86" i="3"/>
  <c r="BV75" i="3"/>
  <c r="BW286" i="3"/>
  <c r="BW283" i="3"/>
  <c r="BW285" i="3" s="1"/>
  <c r="BW343" i="3"/>
  <c r="BW345" i="3" s="1"/>
  <c r="BW346" i="3"/>
  <c r="BW121" i="3"/>
  <c r="BW126" i="3"/>
  <c r="BW111" i="3"/>
  <c r="BW116" i="3"/>
  <c r="BW256" i="3"/>
  <c r="BW253" i="3"/>
  <c r="BW255" i="3" s="1"/>
  <c r="BV356" i="3"/>
  <c r="CD12" i="4" s="1"/>
  <c r="BW91" i="3"/>
  <c r="BW96" i="3"/>
  <c r="BW357" i="3"/>
  <c r="CE23" i="4" s="1"/>
  <c r="BW266" i="3"/>
  <c r="BW263" i="3"/>
  <c r="BW265" i="3" s="1"/>
  <c r="BW166" i="3"/>
  <c r="BW161" i="3"/>
  <c r="BW153" i="3"/>
  <c r="BV65" i="3"/>
  <c r="BV15" i="3"/>
  <c r="BV352" i="3"/>
  <c r="BW226" i="3"/>
  <c r="BW223" i="3"/>
  <c r="BW225" i="3" s="1"/>
  <c r="BW273" i="3"/>
  <c r="BW275" i="3" s="1"/>
  <c r="BW276" i="3"/>
  <c r="BW358" i="3"/>
  <c r="CE24" i="4" s="1"/>
  <c r="BW26" i="3"/>
  <c r="BW21" i="3"/>
  <c r="BW53" i="3"/>
  <c r="BW193" i="3"/>
  <c r="BW36" i="3"/>
  <c r="BW31" i="3"/>
  <c r="BW41" i="3"/>
  <c r="BW46" i="3"/>
  <c r="BW56" i="3"/>
  <c r="BW51" i="3"/>
  <c r="BW183" i="3"/>
  <c r="BW176" i="3"/>
  <c r="BW171" i="3"/>
  <c r="BW326" i="3"/>
  <c r="BW323" i="3"/>
  <c r="BW325" i="3" s="1"/>
  <c r="BW216" i="3"/>
  <c r="BW213" i="3"/>
  <c r="BW215" i="3" s="1"/>
  <c r="BW186" i="3"/>
  <c r="BW181" i="3"/>
  <c r="BW71" i="3"/>
  <c r="BW76" i="3"/>
  <c r="BW11" i="3"/>
  <c r="BW16" i="3"/>
  <c r="BW173" i="3"/>
  <c r="BW354" i="3"/>
  <c r="CE9" i="4" s="1"/>
  <c r="BX7" i="3"/>
  <c r="CF17" i="4" s="1"/>
  <c r="J17" i="4" s="1"/>
  <c r="BX44" i="3"/>
  <c r="BX62" i="3"/>
  <c r="BX80" i="3"/>
  <c r="BX97" i="3"/>
  <c r="BX32" i="3"/>
  <c r="BX50" i="3"/>
  <c r="BX67" i="3"/>
  <c r="BX48" i="3"/>
  <c r="BX84" i="3"/>
  <c r="BX102" i="3"/>
  <c r="BX120" i="3"/>
  <c r="BX54" i="3"/>
  <c r="BX72" i="3"/>
  <c r="BX28" i="3"/>
  <c r="BX60" i="3"/>
  <c r="BX68" i="3"/>
  <c r="BX92" i="3"/>
  <c r="BX130" i="3"/>
  <c r="BX147" i="3"/>
  <c r="BX34" i="3"/>
  <c r="BX74" i="3"/>
  <c r="BX42" i="3"/>
  <c r="BX82" i="3"/>
  <c r="BX94" i="3"/>
  <c r="BX142" i="3"/>
  <c r="BX198" i="3"/>
  <c r="BX87" i="3"/>
  <c r="BX127" i="3"/>
  <c r="BX78" i="3"/>
  <c r="BX112" i="3"/>
  <c r="BX132" i="3"/>
  <c r="BX108" i="3"/>
  <c r="BX167" i="3"/>
  <c r="BX30" i="3"/>
  <c r="BX37" i="3"/>
  <c r="BX168" i="3"/>
  <c r="BX212" i="3"/>
  <c r="BX232" i="3"/>
  <c r="BX267" i="3"/>
  <c r="BX338" i="3"/>
  <c r="BX6" i="3"/>
  <c r="BX88" i="3"/>
  <c r="BX98" i="3"/>
  <c r="BX237" i="3"/>
  <c r="BX22" i="3"/>
  <c r="BX47" i="3"/>
  <c r="BX162" i="3"/>
  <c r="BX172" i="3"/>
  <c r="BX180" i="3"/>
  <c r="BX187" i="3"/>
  <c r="BX38" i="3"/>
  <c r="BX77" i="3"/>
  <c r="BX254" i="3"/>
  <c r="BX272" i="3"/>
  <c r="BX100" i="3"/>
  <c r="BX137" i="3"/>
  <c r="BX140" i="3"/>
  <c r="BX164" i="3"/>
  <c r="BX194" i="3"/>
  <c r="BX227" i="3"/>
  <c r="BX274" i="3"/>
  <c r="BX304" i="3"/>
  <c r="BX324" i="3"/>
  <c r="BX118" i="3"/>
  <c r="BX122" i="3"/>
  <c r="BX134" i="3"/>
  <c r="BX190" i="3"/>
  <c r="BX234" i="3"/>
  <c r="BX292" i="3"/>
  <c r="BX312" i="3"/>
  <c r="BX20" i="3"/>
  <c r="BX24" i="3"/>
  <c r="BX64" i="3"/>
  <c r="BX178" i="3"/>
  <c r="BX244" i="3"/>
  <c r="BX284" i="3"/>
  <c r="BX287" i="3"/>
  <c r="BX332" i="3"/>
  <c r="BX10" i="3"/>
  <c r="BX128" i="3"/>
  <c r="BX192" i="3"/>
  <c r="BX222" i="3"/>
  <c r="BX52" i="3"/>
  <c r="BX174" i="3"/>
  <c r="BX224" i="3"/>
  <c r="BX258" i="3"/>
  <c r="BX40" i="3"/>
  <c r="BX170" i="3"/>
  <c r="BX268" i="3"/>
  <c r="BX294" i="3"/>
  <c r="BX152" i="3"/>
  <c r="BX58" i="3"/>
  <c r="BX158" i="3"/>
  <c r="BX302" i="3"/>
  <c r="BX160" i="3"/>
  <c r="BX318" i="3"/>
  <c r="BX144" i="3"/>
  <c r="BX264" i="3"/>
  <c r="BX138" i="3"/>
  <c r="BX248" i="3"/>
  <c r="BX252" i="3"/>
  <c r="BX282" i="3"/>
  <c r="BX288" i="3"/>
  <c r="BX298" i="3"/>
  <c r="BX348" i="3"/>
  <c r="BX27" i="3"/>
  <c r="BX107" i="3"/>
  <c r="BX117" i="3"/>
  <c r="BX257" i="3"/>
  <c r="BX314" i="3"/>
  <c r="BX322" i="3"/>
  <c r="BX308" i="3"/>
  <c r="BX104" i="3"/>
  <c r="BX184" i="3"/>
  <c r="BX124" i="3"/>
  <c r="BX214" i="3"/>
  <c r="BX228" i="3"/>
  <c r="BX278" i="3"/>
  <c r="BX197" i="3"/>
  <c r="BX328" i="3"/>
  <c r="BX342" i="3"/>
  <c r="BX154" i="3"/>
  <c r="BX334" i="3"/>
  <c r="BX242" i="3"/>
  <c r="BX148" i="3"/>
  <c r="BX57" i="3"/>
  <c r="BX70" i="3"/>
  <c r="BX90" i="3"/>
  <c r="BX110" i="3"/>
  <c r="BX182" i="3"/>
  <c r="BX157" i="3"/>
  <c r="BX277" i="3"/>
  <c r="BX344" i="3"/>
  <c r="BX177" i="3"/>
  <c r="BX262" i="3"/>
  <c r="BX217" i="3"/>
  <c r="BX238" i="3"/>
  <c r="BX218" i="3"/>
  <c r="BX114" i="3"/>
  <c r="BX150" i="3"/>
  <c r="BX247" i="3"/>
  <c r="BX188" i="3"/>
  <c r="BW313" i="3"/>
  <c r="BW315" i="3" s="1"/>
  <c r="BW316" i="3"/>
  <c r="BU355" i="3"/>
  <c r="BU359" i="3" a="1"/>
  <c r="BU359" i="3" s="1"/>
  <c r="CC6" i="4" s="1"/>
  <c r="BV165" i="3"/>
  <c r="BV55" i="3"/>
  <c r="BW123" i="3"/>
  <c r="BW163" i="3"/>
  <c r="BW33" i="3"/>
  <c r="BW83" i="3"/>
  <c r="BV35" i="3"/>
  <c r="BW303" i="3"/>
  <c r="BW305" i="3" s="1"/>
  <c r="BW306" i="3"/>
  <c r="BW336" i="3"/>
  <c r="BW333" i="3"/>
  <c r="BW335" i="3" s="1"/>
  <c r="BW63" i="3"/>
  <c r="BW133" i="3"/>
  <c r="BW61" i="3"/>
  <c r="BW66" i="3"/>
  <c r="BV115" i="3"/>
  <c r="AH50" i="4" l="1"/>
  <c r="AH46" i="4"/>
  <c r="BO31" i="4"/>
  <c r="BO32" i="4" s="1"/>
  <c r="BO34" i="4" s="1"/>
  <c r="BO44" i="4" s="1"/>
  <c r="BW105" i="3"/>
  <c r="BW115" i="3"/>
  <c r="BW95" i="3"/>
  <c r="BW25" i="3"/>
  <c r="BW45" i="3"/>
  <c r="BX103" i="3"/>
  <c r="BW75" i="3"/>
  <c r="D48" i="4"/>
  <c r="E43" i="4" s="1"/>
  <c r="CB18" i="4"/>
  <c r="CB19" i="4" s="1"/>
  <c r="CC10" i="4"/>
  <c r="CC14" i="4" s="1"/>
  <c r="CC16" i="4"/>
  <c r="CD8" i="4"/>
  <c r="BW35" i="3"/>
  <c r="BX113" i="3"/>
  <c r="G29" i="8"/>
  <c r="H29" i="8" s="1"/>
  <c r="BX23" i="3"/>
  <c r="BX73" i="3"/>
  <c r="BW165" i="3"/>
  <c r="BX153" i="3"/>
  <c r="CE25" i="4"/>
  <c r="D25" i="4"/>
  <c r="D14" i="4"/>
  <c r="BX183" i="3"/>
  <c r="BX123" i="3"/>
  <c r="BX193" i="3"/>
  <c r="BX173" i="3"/>
  <c r="BW55" i="3"/>
  <c r="BW125" i="3"/>
  <c r="BX163" i="3"/>
  <c r="BX133" i="3"/>
  <c r="BM44" i="4"/>
  <c r="E17" i="4"/>
  <c r="F17" i="4"/>
  <c r="G17" i="4"/>
  <c r="H17" i="4"/>
  <c r="I17" i="4"/>
  <c r="BW155" i="3"/>
  <c r="BW353" i="3"/>
  <c r="BW15" i="3"/>
  <c r="BW352" i="3"/>
  <c r="BX146" i="3"/>
  <c r="BX141" i="3"/>
  <c r="BX143" i="3"/>
  <c r="BX354" i="3"/>
  <c r="CF9" i="4" s="1"/>
  <c r="BX46" i="3"/>
  <c r="BX41" i="3"/>
  <c r="BX101" i="3"/>
  <c r="BX106" i="3"/>
  <c r="BX83" i="3"/>
  <c r="BW185" i="3"/>
  <c r="BX316" i="3"/>
  <c r="BX313" i="3"/>
  <c r="BX315" i="3" s="1"/>
  <c r="BX273" i="3"/>
  <c r="BX275" i="3" s="1"/>
  <c r="BX276" i="3"/>
  <c r="BX236" i="3"/>
  <c r="BX233" i="3"/>
  <c r="BX235" i="3" s="1"/>
  <c r="BX43" i="3"/>
  <c r="BX51" i="3"/>
  <c r="BX56" i="3"/>
  <c r="BX76" i="3"/>
  <c r="BX71" i="3"/>
  <c r="BX326" i="3"/>
  <c r="BX323" i="3"/>
  <c r="BX325" i="3" s="1"/>
  <c r="BX166" i="3"/>
  <c r="BX161" i="3"/>
  <c r="BX11" i="3"/>
  <c r="BX16" i="3"/>
  <c r="BX66" i="3"/>
  <c r="BX61" i="3"/>
  <c r="BX358" i="3"/>
  <c r="CF24" i="4" s="1"/>
  <c r="J24" i="4" s="1"/>
  <c r="BX151" i="3"/>
  <c r="BX156" i="3"/>
  <c r="BX121" i="3"/>
  <c r="BX126" i="3"/>
  <c r="BW356" i="3"/>
  <c r="CE12" i="4" s="1"/>
  <c r="BX357" i="3"/>
  <c r="CF23" i="4" s="1"/>
  <c r="J23" i="4" s="1"/>
  <c r="BX346" i="3"/>
  <c r="BX343" i="3"/>
  <c r="BX345" i="3" s="1"/>
  <c r="BX176" i="3"/>
  <c r="BX171" i="3"/>
  <c r="BX263" i="3"/>
  <c r="BX265" i="3" s="1"/>
  <c r="BX266" i="3"/>
  <c r="BX26" i="3"/>
  <c r="BX21" i="3"/>
  <c r="BX286" i="3"/>
  <c r="BX283" i="3"/>
  <c r="BX285" i="3" s="1"/>
  <c r="BX256" i="3"/>
  <c r="BX253" i="3"/>
  <c r="BX255" i="3" s="1"/>
  <c r="BX296" i="3"/>
  <c r="BX293" i="3"/>
  <c r="BX295" i="3" s="1"/>
  <c r="BX216" i="3"/>
  <c r="BX213" i="3"/>
  <c r="BX215" i="3" s="1"/>
  <c r="BX33" i="3"/>
  <c r="BX53" i="3"/>
  <c r="BX196" i="3"/>
  <c r="BX191" i="3"/>
  <c r="BX86" i="3"/>
  <c r="BX81" i="3"/>
  <c r="BW85" i="3"/>
  <c r="BW135" i="3"/>
  <c r="BX226" i="3"/>
  <c r="BX223" i="3"/>
  <c r="BX225" i="3" s="1"/>
  <c r="BX31" i="3"/>
  <c r="BX36" i="3"/>
  <c r="BX131" i="3"/>
  <c r="BX136" i="3"/>
  <c r="BX63" i="3"/>
  <c r="BX91" i="3"/>
  <c r="BX96" i="3"/>
  <c r="BX303" i="3"/>
  <c r="BX305" i="3" s="1"/>
  <c r="BX306" i="3"/>
  <c r="BX333" i="3"/>
  <c r="BX335" i="3" s="1"/>
  <c r="BX336" i="3"/>
  <c r="BV355" i="3"/>
  <c r="BV359" i="3" a="1"/>
  <c r="BV359" i="3" s="1"/>
  <c r="CD6" i="4" s="1"/>
  <c r="BX243" i="3"/>
  <c r="BX245" i="3" s="1"/>
  <c r="BX246" i="3"/>
  <c r="BW65" i="3"/>
  <c r="BX116" i="3"/>
  <c r="BX111" i="3"/>
  <c r="BX181" i="3"/>
  <c r="BX186" i="3"/>
  <c r="BX93" i="3"/>
  <c r="BW175" i="3"/>
  <c r="BW195" i="3"/>
  <c r="AH47" i="4" l="1"/>
  <c r="AH48" i="4" s="1"/>
  <c r="AI43" i="4" s="1"/>
  <c r="BX105" i="3"/>
  <c r="BX85" i="3"/>
  <c r="BX75" i="3"/>
  <c r="CE8" i="4"/>
  <c r="CE10" i="4" s="1"/>
  <c r="BX135" i="3"/>
  <c r="BX115" i="3"/>
  <c r="BX25" i="3"/>
  <c r="CC18" i="4"/>
  <c r="CC19" i="4" s="1"/>
  <c r="D34" i="4"/>
  <c r="D19" i="4"/>
  <c r="CD10" i="4"/>
  <c r="CD14" i="4" s="1"/>
  <c r="CD16" i="4"/>
  <c r="F9" i="4"/>
  <c r="G9" i="4"/>
  <c r="H9" i="4"/>
  <c r="J9" i="4"/>
  <c r="BX155" i="3"/>
  <c r="J25" i="4"/>
  <c r="BX185" i="3"/>
  <c r="BX125" i="3"/>
  <c r="BX353" i="3"/>
  <c r="BX165" i="3"/>
  <c r="BX195" i="3"/>
  <c r="BX175" i="3"/>
  <c r="CF25" i="4"/>
  <c r="CB27" i="4"/>
  <c r="BP31" i="4"/>
  <c r="BX145" i="3"/>
  <c r="E23" i="4"/>
  <c r="F23" i="4"/>
  <c r="G23" i="4"/>
  <c r="H23" i="4"/>
  <c r="I23" i="4"/>
  <c r="BX65" i="3"/>
  <c r="E24" i="4"/>
  <c r="F24" i="4"/>
  <c r="G24" i="4"/>
  <c r="H24" i="4"/>
  <c r="I24" i="4"/>
  <c r="BX45" i="3"/>
  <c r="BX95" i="3"/>
  <c r="BX356" i="3"/>
  <c r="CF12" i="4" s="1"/>
  <c r="J12" i="4" s="1"/>
  <c r="BX15" i="3"/>
  <c r="BX352" i="3"/>
  <c r="BX55" i="3"/>
  <c r="BX35" i="3"/>
  <c r="BW355" i="3"/>
  <c r="BW359" i="3" a="1"/>
  <c r="BW359" i="3" s="1"/>
  <c r="CE6" i="4" s="1"/>
  <c r="CE16" i="4" l="1"/>
  <c r="AI50" i="4"/>
  <c r="AI45" i="4"/>
  <c r="AI46" i="4" s="1"/>
  <c r="CC27" i="4"/>
  <c r="BQ31" i="4"/>
  <c r="BQ32" i="4" s="1"/>
  <c r="BQ34" i="4" s="1"/>
  <c r="CE14" i="4"/>
  <c r="CD18" i="4"/>
  <c r="CD19" i="4" s="1"/>
  <c r="CD27" i="4" s="1"/>
  <c r="CF8" i="4"/>
  <c r="BP32" i="4"/>
  <c r="BP34" i="4" s="1"/>
  <c r="H25" i="4"/>
  <c r="G25" i="4"/>
  <c r="I25" i="4"/>
  <c r="F25" i="4"/>
  <c r="E25" i="4"/>
  <c r="E12" i="4"/>
  <c r="F12" i="4"/>
  <c r="G12" i="4"/>
  <c r="H12" i="4"/>
  <c r="I12" i="4"/>
  <c r="BX355" i="3"/>
  <c r="BX359" i="3" a="1"/>
  <c r="BX359" i="3" s="1"/>
  <c r="AI47" i="4" l="1"/>
  <c r="AI48" i="4" s="1"/>
  <c r="AJ43" i="4" s="1"/>
  <c r="AJ45" i="4" s="1"/>
  <c r="AJ46" i="4" s="1"/>
  <c r="AJ47" i="4" s="1"/>
  <c r="AJ48" i="4" s="1"/>
  <c r="AK43" i="4" s="1"/>
  <c r="CE18" i="4"/>
  <c r="CE19" i="4" s="1"/>
  <c r="BR31" i="4"/>
  <c r="BR32" i="4" s="1"/>
  <c r="BR34" i="4" s="1"/>
  <c r="BR44" i="4" s="1"/>
  <c r="CF10" i="4"/>
  <c r="J10" i="4" s="1"/>
  <c r="J14" i="4" s="1"/>
  <c r="E8" i="4"/>
  <c r="F8" i="4"/>
  <c r="I8" i="4"/>
  <c r="J8" i="4"/>
  <c r="BQ44" i="4"/>
  <c r="BP44" i="4"/>
  <c r="E10" i="4"/>
  <c r="E14" i="4" s="1"/>
  <c r="F10" i="4"/>
  <c r="F14" i="4" s="1"/>
  <c r="G10" i="4"/>
  <c r="G14" i="4" s="1"/>
  <c r="H10" i="4"/>
  <c r="H14" i="4" s="1"/>
  <c r="I10" i="4"/>
  <c r="I14" i="4" s="1"/>
  <c r="CF6" i="4"/>
  <c r="CF16" i="4" s="1"/>
  <c r="AJ50" i="4" l="1"/>
  <c r="AK45" i="4"/>
  <c r="AK46" i="4" s="1"/>
  <c r="AK50" i="4"/>
  <c r="E16" i="4"/>
  <c r="J16" i="4"/>
  <c r="CE27" i="4"/>
  <c r="BS31" i="4"/>
  <c r="BS32" i="4" s="1"/>
  <c r="BS34" i="4" s="1"/>
  <c r="BS44" i="4" s="1"/>
  <c r="CF14" i="4"/>
  <c r="E6" i="4"/>
  <c r="J29" i="8" s="1"/>
  <c r="J6" i="4"/>
  <c r="E18" i="4"/>
  <c r="F18" i="4"/>
  <c r="F34" i="4" s="1"/>
  <c r="G18" i="4"/>
  <c r="G34" i="4" s="1"/>
  <c r="H18" i="4"/>
  <c r="H19" i="4" s="1"/>
  <c r="D37" i="12" s="1"/>
  <c r="I18" i="4"/>
  <c r="I19" i="4" s="1"/>
  <c r="AK47" i="4" l="1"/>
  <c r="E19" i="4"/>
  <c r="D36" i="12" s="1"/>
  <c r="CF18" i="4"/>
  <c r="J18" i="4" s="1"/>
  <c r="J19" i="4" s="1"/>
  <c r="I29" i="8"/>
  <c r="D12" i="12" s="1"/>
  <c r="F19" i="4"/>
  <c r="G19" i="4"/>
  <c r="B23" i="5"/>
  <c r="C23" i="5" s="1"/>
  <c r="AK48" i="4" l="1"/>
  <c r="AL43" i="4" s="1"/>
  <c r="AL45" i="4" s="1"/>
  <c r="CF19" i="4"/>
  <c r="CC31" i="4" s="1"/>
  <c r="CC32" i="4" s="1"/>
  <c r="CC34" i="4" s="1"/>
  <c r="E31" i="4"/>
  <c r="H27" i="4"/>
  <c r="AL50" i="4" l="1"/>
  <c r="AL46" i="4"/>
  <c r="AL47" i="4" s="1"/>
  <c r="AL48" i="4" s="1"/>
  <c r="AM43" i="4" s="1"/>
  <c r="BZ31" i="4"/>
  <c r="BZ32" i="4" s="1"/>
  <c r="BZ34" i="4" s="1"/>
  <c r="BZ44" i="4" s="1"/>
  <c r="CD31" i="4"/>
  <c r="CD32" i="4" s="1"/>
  <c r="CD34" i="4" s="1"/>
  <c r="CD44" i="4" s="1"/>
  <c r="BX31" i="4"/>
  <c r="BX32" i="4" s="1"/>
  <c r="BX34" i="4" s="1"/>
  <c r="BX44" i="4" s="1"/>
  <c r="B5" i="5"/>
  <c r="BY31" i="4"/>
  <c r="BY32" i="4" s="1"/>
  <c r="BY34" i="4" s="1"/>
  <c r="BY44" i="4" s="1"/>
  <c r="CF27" i="4"/>
  <c r="CE31" i="4"/>
  <c r="CE32" i="4" s="1"/>
  <c r="CE34" i="4" s="1"/>
  <c r="CE44" i="4" s="1"/>
  <c r="BT31" i="4"/>
  <c r="BW31" i="4"/>
  <c r="BW32" i="4" s="1"/>
  <c r="BW34" i="4" s="1"/>
  <c r="BW44" i="4" s="1"/>
  <c r="BV31" i="4"/>
  <c r="BV32" i="4" s="1"/>
  <c r="BV34" i="4" s="1"/>
  <c r="BV44" i="4" s="1"/>
  <c r="CA31" i="4"/>
  <c r="CA32" i="4" s="1"/>
  <c r="CA34" i="4" s="1"/>
  <c r="CA44" i="4" s="1"/>
  <c r="CB31" i="4"/>
  <c r="CB32" i="4" s="1"/>
  <c r="CB34" i="4" s="1"/>
  <c r="CB44" i="4" s="1"/>
  <c r="BU31" i="4"/>
  <c r="BU32" i="4" s="1"/>
  <c r="BU34" i="4" s="1"/>
  <c r="BU44" i="4" s="1"/>
  <c r="CC44" i="4"/>
  <c r="E32" i="4"/>
  <c r="E34" i="4" s="1"/>
  <c r="H32" i="4"/>
  <c r="H34" i="4" s="1"/>
  <c r="AM50" i="4" l="1"/>
  <c r="AM45" i="4"/>
  <c r="B7" i="5"/>
  <c r="B24" i="5" s="1"/>
  <c r="C24" i="5" s="1"/>
  <c r="D38" i="12"/>
  <c r="J31" i="4"/>
  <c r="J32" i="4"/>
  <c r="BT32" i="4"/>
  <c r="I31" i="4"/>
  <c r="J27" i="4"/>
  <c r="B15" i="5" s="1"/>
  <c r="CF34" i="4"/>
  <c r="CF44" i="4" s="1"/>
  <c r="E44" i="4"/>
  <c r="F44" i="4"/>
  <c r="G44" i="4"/>
  <c r="H44" i="4"/>
  <c r="J44" i="4" l="1"/>
  <c r="AM46" i="4"/>
  <c r="B9" i="5"/>
  <c r="B10" i="5" s="1"/>
  <c r="B16" i="5" s="1"/>
  <c r="B18" i="5" s="1"/>
  <c r="B8" i="5"/>
  <c r="J34" i="4"/>
  <c r="BT34" i="4"/>
  <c r="I32" i="4"/>
  <c r="I34" i="4" s="1"/>
  <c r="D27" i="7" l="1"/>
  <c r="B27" i="7"/>
  <c r="B60" i="4" s="1"/>
  <c r="Z60" i="4" s="1"/>
  <c r="F27" i="7"/>
  <c r="E27" i="7"/>
  <c r="G30" i="8"/>
  <c r="H30" i="8" s="1"/>
  <c r="AM47" i="4"/>
  <c r="B36" i="4"/>
  <c r="BT44" i="4"/>
  <c r="B35" i="4"/>
  <c r="D39" i="12" s="1"/>
  <c r="B37" i="4"/>
  <c r="AF51" i="4" l="1"/>
  <c r="AR52" i="4"/>
  <c r="AT52" i="4"/>
  <c r="AX51" i="4"/>
  <c r="AO52" i="4"/>
  <c r="T52" i="4"/>
  <c r="BL52" i="4"/>
  <c r="BC51" i="4"/>
  <c r="BP52" i="4"/>
  <c r="AL51" i="4"/>
  <c r="CE52" i="4"/>
  <c r="BV52" i="4"/>
  <c r="T51" i="4"/>
  <c r="BF51" i="4"/>
  <c r="BN52" i="4"/>
  <c r="R51" i="4"/>
  <c r="BZ51" i="4"/>
  <c r="M51" i="4"/>
  <c r="AL52" i="4"/>
  <c r="X51" i="4"/>
  <c r="BR52" i="4"/>
  <c r="BS51" i="4"/>
  <c r="AE51" i="4"/>
  <c r="BK51" i="4"/>
  <c r="AY52" i="4"/>
  <c r="BG52" i="4"/>
  <c r="AM51" i="4"/>
  <c r="AE52" i="4"/>
  <c r="Z52" i="4"/>
  <c r="BB52" i="4"/>
  <c r="AD51" i="4"/>
  <c r="AD54" i="4" s="1"/>
  <c r="U52" i="4"/>
  <c r="BH52" i="4"/>
  <c r="O51" i="4"/>
  <c r="AS52" i="4"/>
  <c r="CE51" i="4"/>
  <c r="BR51" i="4"/>
  <c r="CA52" i="4"/>
  <c r="BQ52" i="4"/>
  <c r="AZ51" i="4"/>
  <c r="BJ52" i="4"/>
  <c r="BE52" i="4"/>
  <c r="AJ51" i="4"/>
  <c r="AJ54" i="4" s="1"/>
  <c r="BY51" i="4"/>
  <c r="V52" i="4"/>
  <c r="BJ51" i="4"/>
  <c r="Q51" i="4"/>
  <c r="N51" i="4"/>
  <c r="AN51" i="4"/>
  <c r="BW52" i="4"/>
  <c r="CC52" i="4"/>
  <c r="AO51" i="4"/>
  <c r="BU51" i="4"/>
  <c r="AV51" i="4"/>
  <c r="AZ52" i="4"/>
  <c r="AG51" i="4"/>
  <c r="P51" i="4"/>
  <c r="BQ51" i="4"/>
  <c r="N52" i="4"/>
  <c r="BM52" i="4"/>
  <c r="CB52" i="4"/>
  <c r="R52" i="4"/>
  <c r="CB51" i="4"/>
  <c r="AF52" i="4"/>
  <c r="O52" i="4"/>
  <c r="AA52" i="4"/>
  <c r="CF51" i="4"/>
  <c r="BZ52" i="4"/>
  <c r="AK52" i="4"/>
  <c r="X52" i="4"/>
  <c r="BT51" i="4"/>
  <c r="AB52" i="4"/>
  <c r="P52" i="4"/>
  <c r="AH52" i="4"/>
  <c r="BI51" i="4"/>
  <c r="Y51" i="4"/>
  <c r="AT51" i="4"/>
  <c r="BS52" i="4"/>
  <c r="CC51" i="4"/>
  <c r="M52" i="4"/>
  <c r="BV51" i="4"/>
  <c r="AU51" i="4"/>
  <c r="BI52" i="4"/>
  <c r="U51" i="4"/>
  <c r="BO52" i="4"/>
  <c r="BX52" i="4"/>
  <c r="CA51" i="4"/>
  <c r="BE51" i="4"/>
  <c r="AS51" i="4"/>
  <c r="AQ52" i="4"/>
  <c r="Z51" i="4"/>
  <c r="AW51" i="4"/>
  <c r="BX51" i="4"/>
  <c r="BL51" i="4"/>
  <c r="BY52" i="4"/>
  <c r="AP51" i="4"/>
  <c r="BA51" i="4"/>
  <c r="AU52" i="4"/>
  <c r="AG52" i="4"/>
  <c r="AI51" i="4"/>
  <c r="AD52" i="4"/>
  <c r="AB51" i="4"/>
  <c r="AW52" i="4"/>
  <c r="AJ52" i="4"/>
  <c r="BT52" i="4"/>
  <c r="BO51" i="4"/>
  <c r="AM52" i="4"/>
  <c r="CF52" i="4"/>
  <c r="BM51" i="4"/>
  <c r="BC52" i="4"/>
  <c r="S51" i="4"/>
  <c r="S54" i="4" s="1"/>
  <c r="BK52" i="4"/>
  <c r="Y52" i="4"/>
  <c r="BW51" i="4"/>
  <c r="CD51" i="4"/>
  <c r="AP52" i="4"/>
  <c r="AK51" i="4"/>
  <c r="BN51" i="4"/>
  <c r="CD52" i="4"/>
  <c r="AC52" i="4"/>
  <c r="BU52" i="4"/>
  <c r="S52" i="4"/>
  <c r="BH51" i="4"/>
  <c r="BD52" i="4"/>
  <c r="AC51" i="4"/>
  <c r="AC54" i="4" s="1"/>
  <c r="W51" i="4"/>
  <c r="BD51" i="4"/>
  <c r="W52" i="4"/>
  <c r="AR51" i="4"/>
  <c r="BA52" i="4"/>
  <c r="BP51" i="4"/>
  <c r="BG51" i="4"/>
  <c r="V51" i="4"/>
  <c r="AH51" i="4"/>
  <c r="AQ51" i="4"/>
  <c r="AV52" i="4"/>
  <c r="BB51" i="4"/>
  <c r="AY51" i="4"/>
  <c r="Q52" i="4"/>
  <c r="AN52" i="4"/>
  <c r="AX52" i="4"/>
  <c r="AI52" i="4"/>
  <c r="BF52" i="4"/>
  <c r="AA51" i="4"/>
  <c r="L52" i="4"/>
  <c r="D52" i="4" s="1"/>
  <c r="L51" i="4"/>
  <c r="I44" i="4"/>
  <c r="AM48" i="4"/>
  <c r="AN43" i="4" s="1"/>
  <c r="BF60" i="4"/>
  <c r="BY60" i="4"/>
  <c r="BS60" i="4"/>
  <c r="AM60" i="4"/>
  <c r="BZ60" i="4"/>
  <c r="BE60" i="4"/>
  <c r="AW60" i="4"/>
  <c r="Q60" i="4"/>
  <c r="Y60" i="4"/>
  <c r="BA60" i="4"/>
  <c r="AZ60" i="4"/>
  <c r="CC60" i="4"/>
  <c r="AK60" i="4"/>
  <c r="AS60" i="4"/>
  <c r="AO60" i="4"/>
  <c r="BI60" i="4"/>
  <c r="W60" i="4"/>
  <c r="L60" i="4"/>
  <c r="L61" i="4" s="1"/>
  <c r="CB60" i="4"/>
  <c r="BW60" i="4"/>
  <c r="AN60" i="4"/>
  <c r="BD60" i="4"/>
  <c r="AD60" i="4"/>
  <c r="AF60" i="4"/>
  <c r="AE60" i="4"/>
  <c r="O60" i="4"/>
  <c r="BU60" i="4"/>
  <c r="BB60" i="4"/>
  <c r="AI60" i="4"/>
  <c r="N60" i="4"/>
  <c r="BH60" i="4"/>
  <c r="BN60" i="4"/>
  <c r="V60" i="4"/>
  <c r="BR60" i="4"/>
  <c r="AY60" i="4"/>
  <c r="BT60" i="4"/>
  <c r="AG60" i="4"/>
  <c r="AU60" i="4"/>
  <c r="BK60" i="4"/>
  <c r="BQ60" i="4"/>
  <c r="BJ60" i="4"/>
  <c r="BM60" i="4"/>
  <c r="BL60" i="4"/>
  <c r="BG60" i="4"/>
  <c r="X60" i="4"/>
  <c r="AQ60" i="4"/>
  <c r="AA60" i="4"/>
  <c r="CF60" i="4"/>
  <c r="AX60" i="4"/>
  <c r="CE60" i="4"/>
  <c r="BP60" i="4"/>
  <c r="BO60" i="4"/>
  <c r="CD60" i="4"/>
  <c r="AL60" i="4"/>
  <c r="AR60" i="4"/>
  <c r="AT60" i="4"/>
  <c r="AB60" i="4"/>
  <c r="M60" i="4"/>
  <c r="S60" i="4"/>
  <c r="AH60" i="4"/>
  <c r="U60" i="4"/>
  <c r="AV60" i="4"/>
  <c r="AP60" i="4"/>
  <c r="BV60" i="4"/>
  <c r="CA60" i="4"/>
  <c r="AC60" i="4"/>
  <c r="BC60" i="4"/>
  <c r="AJ60" i="4"/>
  <c r="R60" i="4"/>
  <c r="T60" i="4"/>
  <c r="P60" i="4"/>
  <c r="BX60" i="4"/>
  <c r="B38" i="4"/>
  <c r="F26" i="7"/>
  <c r="B14" i="5"/>
  <c r="B26" i="7"/>
  <c r="D45" i="12" s="1"/>
  <c r="E26" i="7"/>
  <c r="D26" i="7"/>
  <c r="AK54" i="4" l="1"/>
  <c r="T54" i="4"/>
  <c r="AL54" i="4"/>
  <c r="O54" i="4"/>
  <c r="AG54" i="4"/>
  <c r="W54" i="4"/>
  <c r="Q54" i="4"/>
  <c r="U54" i="4"/>
  <c r="M54" i="4"/>
  <c r="AF54" i="4"/>
  <c r="Y54" i="4"/>
  <c r="Z54" i="4"/>
  <c r="AM54" i="4"/>
  <c r="AE54" i="4"/>
  <c r="AH54" i="4"/>
  <c r="AI54" i="4"/>
  <c r="X54" i="4"/>
  <c r="P54" i="4"/>
  <c r="AB54" i="4"/>
  <c r="V54" i="4"/>
  <c r="AA54" i="4"/>
  <c r="N54" i="4"/>
  <c r="R54" i="4"/>
  <c r="D51" i="4"/>
  <c r="L54" i="4"/>
  <c r="D54" i="4" s="1"/>
  <c r="I51" i="4"/>
  <c r="E52" i="4"/>
  <c r="H51" i="4"/>
  <c r="J52" i="4"/>
  <c r="G51" i="4"/>
  <c r="G52" i="4"/>
  <c r="E51" i="4"/>
  <c r="F51" i="4"/>
  <c r="H52" i="4"/>
  <c r="J51" i="4"/>
  <c r="I52" i="4"/>
  <c r="F52" i="4"/>
  <c r="AN45" i="4"/>
  <c r="AN46" i="4" s="1"/>
  <c r="AN50" i="4"/>
  <c r="D60" i="4"/>
  <c r="D61" i="4"/>
  <c r="G60" i="4"/>
  <c r="I60" i="4"/>
  <c r="H60" i="4"/>
  <c r="E60" i="4"/>
  <c r="F60" i="4"/>
  <c r="J60" i="4"/>
  <c r="B17" i="5"/>
  <c r="E5" i="5"/>
  <c r="AN47" i="4" l="1"/>
  <c r="AN48" i="4" s="1"/>
  <c r="AO43" i="4" s="1"/>
  <c r="L62" i="4"/>
  <c r="L63" i="4" s="1"/>
  <c r="M59" i="4" s="1"/>
  <c r="M61" i="4" s="1"/>
  <c r="AN54" i="4" l="1"/>
  <c r="L67" i="4"/>
  <c r="D67" i="4" s="1"/>
  <c r="M62" i="4"/>
  <c r="M63" i="4" s="1"/>
  <c r="N59" i="4" s="1"/>
  <c r="N61" i="4" s="1"/>
  <c r="AO45" i="4"/>
  <c r="AO46" i="4" s="1"/>
  <c r="AO47" i="4" s="1"/>
  <c r="AO48" i="4" s="1"/>
  <c r="AP43" i="4" s="1"/>
  <c r="AO50" i="4"/>
  <c r="D62" i="4"/>
  <c r="D63" i="4" s="1"/>
  <c r="E59" i="4" s="1"/>
  <c r="M65" i="4"/>
  <c r="AO54" i="4" l="1"/>
  <c r="M67" i="4"/>
  <c r="M69" i="4" s="1"/>
  <c r="M71" i="4" s="1"/>
  <c r="E8" i="10" s="1"/>
  <c r="E9" i="10" s="1"/>
  <c r="L69" i="4"/>
  <c r="L71" i="4" s="1"/>
  <c r="AP45" i="4"/>
  <c r="AP46" i="4" s="1"/>
  <c r="AP50" i="4"/>
  <c r="N62" i="4"/>
  <c r="N65" i="4"/>
  <c r="E10" i="10" l="1"/>
  <c r="D69" i="4"/>
  <c r="AP47" i="4"/>
  <c r="AP48" i="4" s="1"/>
  <c r="AQ43" i="4" s="1"/>
  <c r="E14" i="10"/>
  <c r="E31" i="10" s="1"/>
  <c r="E13" i="10"/>
  <c r="E21" i="10" s="1"/>
  <c r="D71" i="4"/>
  <c r="D8" i="10"/>
  <c r="N67" i="4"/>
  <c r="N69" i="4" s="1"/>
  <c r="N71" i="4" s="1"/>
  <c r="F8" i="10" s="1"/>
  <c r="N63" i="4"/>
  <c r="O59" i="4" s="1"/>
  <c r="O61" i="4" s="1"/>
  <c r="AP54" i="4" l="1"/>
  <c r="AQ50" i="4"/>
  <c r="AQ45" i="4"/>
  <c r="AQ46" i="4" s="1"/>
  <c r="F9" i="10"/>
  <c r="F10" i="10"/>
  <c r="D9" i="10"/>
  <c r="D10" i="10"/>
  <c r="O62" i="4"/>
  <c r="O65" i="4"/>
  <c r="AQ47" i="4" l="1"/>
  <c r="AQ54" i="4" s="1"/>
  <c r="D15" i="10"/>
  <c r="E15" i="10"/>
  <c r="F15" i="10"/>
  <c r="F14" i="10"/>
  <c r="F31" i="10" s="1"/>
  <c r="F13" i="10"/>
  <c r="F21" i="10" s="1"/>
  <c r="D40" i="10"/>
  <c r="D13" i="10"/>
  <c r="D14" i="10"/>
  <c r="O67" i="4"/>
  <c r="O69" i="4" s="1"/>
  <c r="O71" i="4" s="1"/>
  <c r="G8" i="10" s="1"/>
  <c r="O63" i="4"/>
  <c r="P59" i="4" s="1"/>
  <c r="P61" i="4" s="1"/>
  <c r="AQ48" i="4" l="1"/>
  <c r="AR43" i="4" s="1"/>
  <c r="G9" i="10"/>
  <c r="G10" i="10"/>
  <c r="E17" i="10"/>
  <c r="F17" i="10"/>
  <c r="E16" i="10"/>
  <c r="F16" i="10"/>
  <c r="D26" i="10"/>
  <c r="D27" i="10" s="1"/>
  <c r="E24" i="10" s="1"/>
  <c r="D48" i="10"/>
  <c r="D41" i="10"/>
  <c r="D17" i="10"/>
  <c r="D31" i="10"/>
  <c r="D16" i="10"/>
  <c r="D21" i="10"/>
  <c r="P62" i="4"/>
  <c r="P65" i="4"/>
  <c r="AR45" i="4" l="1"/>
  <c r="AR46" i="4" s="1"/>
  <c r="AR50" i="4"/>
  <c r="G13" i="10"/>
  <c r="G14" i="10"/>
  <c r="G15" i="10"/>
  <c r="D42" i="10"/>
  <c r="P67" i="4"/>
  <c r="P69" i="4" s="1"/>
  <c r="P71" i="4" s="1"/>
  <c r="H8" i="10" s="1"/>
  <c r="AR47" i="4" l="1"/>
  <c r="AR54" i="4" s="1"/>
  <c r="G31" i="10"/>
  <c r="G17" i="10"/>
  <c r="G21" i="10"/>
  <c r="G16" i="10"/>
  <c r="H9" i="10"/>
  <c r="H10" i="10"/>
  <c r="D36" i="10"/>
  <c r="D37" i="10" s="1"/>
  <c r="E34" i="10" s="1"/>
  <c r="D49" i="10"/>
  <c r="D50" i="10" s="1"/>
  <c r="D43" i="10"/>
  <c r="P63" i="4"/>
  <c r="Q59" i="4" s="1"/>
  <c r="Q61" i="4" s="1"/>
  <c r="AR48" i="4" l="1"/>
  <c r="AS43" i="4" s="1"/>
  <c r="Q65" i="4"/>
  <c r="H14" i="10"/>
  <c r="H13" i="10"/>
  <c r="H15" i="10"/>
  <c r="D44" i="10"/>
  <c r="Q62" i="4"/>
  <c r="AS45" i="4" l="1"/>
  <c r="AS46" i="4" s="1"/>
  <c r="AS47" i="4" s="1"/>
  <c r="AS48" i="4" s="1"/>
  <c r="AT43" i="4" s="1"/>
  <c r="AS50" i="4"/>
  <c r="H21" i="10"/>
  <c r="H16" i="10"/>
  <c r="H31" i="10"/>
  <c r="H17" i="10"/>
  <c r="D22" i="10"/>
  <c r="D23" i="10" s="1"/>
  <c r="D45" i="10"/>
  <c r="Q67" i="4"/>
  <c r="Q69" i="4" s="1"/>
  <c r="Q71" i="4" s="1"/>
  <c r="I8" i="10" s="1"/>
  <c r="Q63" i="4"/>
  <c r="R59" i="4" s="1"/>
  <c r="R61" i="4" s="1"/>
  <c r="AS54" i="4" l="1"/>
  <c r="AT45" i="4"/>
  <c r="AT46" i="4" s="1"/>
  <c r="AT47" i="4" s="1"/>
  <c r="AT48" i="4" s="1"/>
  <c r="AU43" i="4" s="1"/>
  <c r="AT50" i="4"/>
  <c r="R65" i="4"/>
  <c r="E20" i="10"/>
  <c r="E25" i="10" s="1"/>
  <c r="I9" i="10"/>
  <c r="I10" i="10"/>
  <c r="D46" i="10"/>
  <c r="R62" i="4"/>
  <c r="R63" i="4" s="1"/>
  <c r="S59" i="4" s="1"/>
  <c r="S61" i="4" s="1"/>
  <c r="AT54" i="4" l="1"/>
  <c r="AU50" i="4"/>
  <c r="AU45" i="4"/>
  <c r="E40" i="10"/>
  <c r="I13" i="10"/>
  <c r="I14" i="10"/>
  <c r="I15" i="10"/>
  <c r="D32" i="10"/>
  <c r="D33" i="10" s="1"/>
  <c r="D47" i="10"/>
  <c r="R67" i="4"/>
  <c r="R69" i="4" s="1"/>
  <c r="R71" i="4" s="1"/>
  <c r="J8" i="10" s="1"/>
  <c r="S62" i="4"/>
  <c r="S65" i="4"/>
  <c r="AU46" i="4" l="1"/>
  <c r="AU47" i="4" s="1"/>
  <c r="AU48" i="4" s="1"/>
  <c r="AV43" i="4" s="1"/>
  <c r="D68" i="10"/>
  <c r="E30" i="10"/>
  <c r="I21" i="10"/>
  <c r="I16" i="10"/>
  <c r="I31" i="10"/>
  <c r="I17" i="10"/>
  <c r="E26" i="10"/>
  <c r="E27" i="10" s="1"/>
  <c r="F24" i="10" s="1"/>
  <c r="E41" i="10"/>
  <c r="J9" i="10"/>
  <c r="J10" i="10"/>
  <c r="D51" i="10"/>
  <c r="D54" i="10" s="1"/>
  <c r="S67" i="4"/>
  <c r="S69" i="4" s="1"/>
  <c r="S71" i="4" s="1"/>
  <c r="K8" i="10" s="1"/>
  <c r="S63" i="4"/>
  <c r="T59" i="4" s="1"/>
  <c r="T61" i="4" s="1"/>
  <c r="AU54" i="4" l="1"/>
  <c r="AV50" i="4"/>
  <c r="AV45" i="4"/>
  <c r="AV46" i="4" s="1"/>
  <c r="AV47" i="4" s="1"/>
  <c r="AV48" i="4" s="1"/>
  <c r="AW43" i="4" s="1"/>
  <c r="K9" i="10"/>
  <c r="K15" i="10" s="1"/>
  <c r="K10" i="10"/>
  <c r="J13" i="10"/>
  <c r="J14" i="10"/>
  <c r="J15" i="10"/>
  <c r="E35" i="10"/>
  <c r="D55" i="10"/>
  <c r="D56" i="10" s="1"/>
  <c r="D52" i="10"/>
  <c r="T62" i="4"/>
  <c r="T65" i="4"/>
  <c r="AV54" i="4" l="1"/>
  <c r="AW45" i="4"/>
  <c r="AW46" i="4" s="1"/>
  <c r="AW47" i="4" s="1"/>
  <c r="AW48" i="4" s="1"/>
  <c r="AX43" i="4" s="1"/>
  <c r="AW50" i="4"/>
  <c r="E42" i="10"/>
  <c r="J21" i="10"/>
  <c r="J16" i="10"/>
  <c r="J31" i="10"/>
  <c r="J17" i="10"/>
  <c r="K14" i="10"/>
  <c r="K31" i="10" s="1"/>
  <c r="K13" i="10"/>
  <c r="K21" i="10" s="1"/>
  <c r="D64" i="10"/>
  <c r="D53" i="10"/>
  <c r="D58" i="10"/>
  <c r="T67" i="4"/>
  <c r="T69" i="4" s="1"/>
  <c r="T71" i="4" s="1"/>
  <c r="L8" i="10" s="1"/>
  <c r="T63" i="4"/>
  <c r="U59" i="4" s="1"/>
  <c r="U61" i="4" s="1"/>
  <c r="AW54" i="4" l="1"/>
  <c r="AX45" i="4"/>
  <c r="AX46" i="4" s="1"/>
  <c r="AX47" i="4" s="1"/>
  <c r="AX48" i="4" s="1"/>
  <c r="AY43" i="4" s="1"/>
  <c r="AX50" i="4"/>
  <c r="D60" i="10"/>
  <c r="E49" i="10" s="1"/>
  <c r="D66" i="10"/>
  <c r="K16" i="10"/>
  <c r="K17" i="10"/>
  <c r="L9" i="10"/>
  <c r="L10" i="10"/>
  <c r="E36" i="10"/>
  <c r="E37" i="10" s="1"/>
  <c r="F34" i="10" s="1"/>
  <c r="E43" i="10"/>
  <c r="D57" i="10"/>
  <c r="D59" i="10" s="1"/>
  <c r="D63" i="10"/>
  <c r="U62" i="4"/>
  <c r="U65" i="4"/>
  <c r="AX54" i="4" l="1"/>
  <c r="AY50" i="4"/>
  <c r="AY45" i="4"/>
  <c r="D65" i="10"/>
  <c r="E48" i="10"/>
  <c r="E50" i="10" s="1"/>
  <c r="E44" i="10"/>
  <c r="L13" i="10"/>
  <c r="L14" i="10"/>
  <c r="L15" i="10"/>
  <c r="U67" i="4"/>
  <c r="U69" i="4" s="1"/>
  <c r="U71" i="4" s="1"/>
  <c r="M8" i="10" s="1"/>
  <c r="AY46" i="4" l="1"/>
  <c r="AY47" i="4" s="1"/>
  <c r="D67" i="10"/>
  <c r="M10" i="10"/>
  <c r="M9" i="10"/>
  <c r="L31" i="10"/>
  <c r="L17" i="10"/>
  <c r="L21" i="10"/>
  <c r="L16" i="10"/>
  <c r="E22" i="10"/>
  <c r="E23" i="10" s="1"/>
  <c r="E45" i="10"/>
  <c r="U63" i="4"/>
  <c r="V59" i="4" s="1"/>
  <c r="V61" i="4" s="1"/>
  <c r="AY54" i="4" l="1"/>
  <c r="AY48" i="4"/>
  <c r="AZ43" i="4" s="1"/>
  <c r="E46" i="10"/>
  <c r="F20" i="10"/>
  <c r="M14" i="10"/>
  <c r="M13" i="10"/>
  <c r="M15" i="10"/>
  <c r="V62" i="4"/>
  <c r="V65" i="4"/>
  <c r="AZ45" i="4" l="1"/>
  <c r="AZ50" i="4"/>
  <c r="M21" i="10"/>
  <c r="M16" i="10"/>
  <c r="M31" i="10"/>
  <c r="M17" i="10"/>
  <c r="F25" i="10"/>
  <c r="E32" i="10"/>
  <c r="E33" i="10" s="1"/>
  <c r="E47" i="10"/>
  <c r="V67" i="4"/>
  <c r="V69" i="4" s="1"/>
  <c r="V71" i="4" s="1"/>
  <c r="N8" i="10" s="1"/>
  <c r="V63" i="4"/>
  <c r="W59" i="4" s="1"/>
  <c r="W61" i="4" s="1"/>
  <c r="AZ46" i="4" l="1"/>
  <c r="N10" i="10"/>
  <c r="N9" i="10"/>
  <c r="E51" i="10"/>
  <c r="E54" i="10" s="1"/>
  <c r="F30" i="10"/>
  <c r="E68" i="10"/>
  <c r="F40" i="10"/>
  <c r="W62" i="4"/>
  <c r="W65" i="4"/>
  <c r="AZ47" i="4" l="1"/>
  <c r="AZ48" i="4" s="1"/>
  <c r="BA43" i="4" s="1"/>
  <c r="F26" i="10"/>
  <c r="F27" i="10" s="1"/>
  <c r="G24" i="10" s="1"/>
  <c r="F41" i="10"/>
  <c r="F35" i="10"/>
  <c r="E55" i="10"/>
  <c r="E56" i="10" s="1"/>
  <c r="E52" i="10"/>
  <c r="E53" i="10" s="1"/>
  <c r="N13" i="10"/>
  <c r="N14" i="10"/>
  <c r="N15" i="10"/>
  <c r="W67" i="4"/>
  <c r="W69" i="4" s="1"/>
  <c r="W71" i="4" s="1"/>
  <c r="O8" i="10" s="1"/>
  <c r="W63" i="4"/>
  <c r="X59" i="4" s="1"/>
  <c r="X61" i="4" s="1"/>
  <c r="AZ54" i="4" l="1"/>
  <c r="BA45" i="4"/>
  <c r="BA46" i="4" s="1"/>
  <c r="BA47" i="4" s="1"/>
  <c r="BA50" i="4"/>
  <c r="N21" i="10"/>
  <c r="N16" i="10"/>
  <c r="E58" i="10"/>
  <c r="E64" i="10"/>
  <c r="F42" i="10"/>
  <c r="F43" i="10" s="1"/>
  <c r="N31" i="10"/>
  <c r="N17" i="10"/>
  <c r="E57" i="10"/>
  <c r="E59" i="10" s="1"/>
  <c r="E63" i="10"/>
  <c r="O9" i="10"/>
  <c r="O10" i="10"/>
  <c r="X62" i="4"/>
  <c r="X63" i="4" s="1"/>
  <c r="Y59" i="4" s="1"/>
  <c r="Y61" i="4" s="1"/>
  <c r="X65" i="4"/>
  <c r="BA54" i="4" l="1"/>
  <c r="BA48" i="4"/>
  <c r="BB43" i="4" s="1"/>
  <c r="E60" i="10"/>
  <c r="F49" i="10" s="1"/>
  <c r="E66" i="10"/>
  <c r="E65" i="10"/>
  <c r="O13" i="10"/>
  <c r="O14" i="10"/>
  <c r="O15" i="10"/>
  <c r="F44" i="10"/>
  <c r="F48" i="10"/>
  <c r="F36" i="10"/>
  <c r="F37" i="10" s="1"/>
  <c r="G34" i="10" s="1"/>
  <c r="Y62" i="4"/>
  <c r="Y65" i="4"/>
  <c r="X67" i="4"/>
  <c r="X69" i="4" s="1"/>
  <c r="X71" i="4" s="1"/>
  <c r="P8" i="10" s="1"/>
  <c r="BB45" i="4" l="1"/>
  <c r="BB46" i="4" s="1"/>
  <c r="BB47" i="4" s="1"/>
  <c r="BB48" i="4" s="1"/>
  <c r="BC43" i="4" s="1"/>
  <c r="BB50" i="4"/>
  <c r="F50" i="10"/>
  <c r="E67" i="10"/>
  <c r="F22" i="10"/>
  <c r="F23" i="10" s="1"/>
  <c r="F45" i="10"/>
  <c r="O31" i="10"/>
  <c r="O17" i="10"/>
  <c r="O21" i="10"/>
  <c r="O16" i="10"/>
  <c r="P10" i="10"/>
  <c r="P9" i="10"/>
  <c r="Y67" i="4"/>
  <c r="Y63" i="4"/>
  <c r="Z59" i="4" s="1"/>
  <c r="Z61" i="4" s="1"/>
  <c r="BB54" i="4" l="1"/>
  <c r="BC50" i="4"/>
  <c r="BC45" i="4"/>
  <c r="BC46" i="4" s="1"/>
  <c r="BC47" i="4" s="1"/>
  <c r="BC48" i="4" s="1"/>
  <c r="BD43" i="4" s="1"/>
  <c r="P13" i="10"/>
  <c r="P14" i="10"/>
  <c r="P15" i="10"/>
  <c r="F46" i="10"/>
  <c r="G20" i="10"/>
  <c r="Z62" i="4"/>
  <c r="Z65" i="4"/>
  <c r="Y69" i="4"/>
  <c r="BC54" i="4" l="1"/>
  <c r="BD45" i="4"/>
  <c r="BD46" i="4" s="1"/>
  <c r="BD47" i="4" s="1"/>
  <c r="BD48" i="4" s="1"/>
  <c r="BE43" i="4" s="1"/>
  <c r="BD50" i="4"/>
  <c r="G25" i="10"/>
  <c r="F32" i="10"/>
  <c r="F33" i="10" s="1"/>
  <c r="F47" i="10"/>
  <c r="P31" i="10"/>
  <c r="P17" i="10"/>
  <c r="P21" i="10"/>
  <c r="P16" i="10"/>
  <c r="Y71" i="4"/>
  <c r="Q8" i="10" s="1"/>
  <c r="Z67" i="4"/>
  <c r="Z63" i="4"/>
  <c r="AA59" i="4" s="1"/>
  <c r="AA61" i="4" s="1"/>
  <c r="BD54" i="4" l="1"/>
  <c r="BE50" i="4"/>
  <c r="BE45" i="4"/>
  <c r="BE46" i="4" s="1"/>
  <c r="BE47" i="4" s="1"/>
  <c r="BE48" i="4" s="1"/>
  <c r="BF43" i="4" s="1"/>
  <c r="Q9" i="10"/>
  <c r="Q10" i="10"/>
  <c r="F51" i="10"/>
  <c r="F54" i="10" s="1"/>
  <c r="G30" i="10"/>
  <c r="F68" i="10"/>
  <c r="G40" i="10"/>
  <c r="AA62" i="4"/>
  <c r="AA65" i="4"/>
  <c r="Z69" i="4"/>
  <c r="BE54" i="4" l="1"/>
  <c r="BF50" i="4"/>
  <c r="BF45" i="4"/>
  <c r="G26" i="10"/>
  <c r="G27" i="10" s="1"/>
  <c r="H24" i="10" s="1"/>
  <c r="G41" i="10"/>
  <c r="G35" i="10"/>
  <c r="F52" i="10"/>
  <c r="F53" i="10" s="1"/>
  <c r="F55" i="10"/>
  <c r="F56" i="10" s="1"/>
  <c r="Q13" i="10"/>
  <c r="Q14" i="10"/>
  <c r="Q15" i="10"/>
  <c r="Z71" i="4"/>
  <c r="R8" i="10" s="1"/>
  <c r="BF46" i="4" l="1"/>
  <c r="BF47" i="4" s="1"/>
  <c r="BF48" i="4" s="1"/>
  <c r="BG43" i="4" s="1"/>
  <c r="R9" i="10"/>
  <c r="R10" i="10"/>
  <c r="Q31" i="10"/>
  <c r="Q17" i="10"/>
  <c r="Q21" i="10"/>
  <c r="Q16" i="10"/>
  <c r="F57" i="10"/>
  <c r="F59" i="10" s="1"/>
  <c r="F63" i="10"/>
  <c r="F58" i="10"/>
  <c r="F64" i="10"/>
  <c r="G42" i="10"/>
  <c r="G43" i="10" s="1"/>
  <c r="AA63" i="4"/>
  <c r="AB59" i="4" s="1"/>
  <c r="AB61" i="4" s="1"/>
  <c r="AA67" i="4"/>
  <c r="BF54" i="4" l="1"/>
  <c r="BG45" i="4"/>
  <c r="BG46" i="4" s="1"/>
  <c r="BG50" i="4"/>
  <c r="F60" i="10"/>
  <c r="G49" i="10" s="1"/>
  <c r="F66" i="10"/>
  <c r="F65" i="10"/>
  <c r="G44" i="10"/>
  <c r="G45" i="10" s="1"/>
  <c r="G36" i="10"/>
  <c r="G37" i="10" s="1"/>
  <c r="H34" i="10" s="1"/>
  <c r="G48" i="10"/>
  <c r="R13" i="10"/>
  <c r="R14" i="10"/>
  <c r="R15" i="10"/>
  <c r="AB62" i="4"/>
  <c r="AB65" i="4"/>
  <c r="AA69" i="4"/>
  <c r="BG47" i="4" l="1"/>
  <c r="BG48" i="4" s="1"/>
  <c r="BH43" i="4" s="1"/>
  <c r="F67" i="10"/>
  <c r="G50" i="10"/>
  <c r="R31" i="10"/>
  <c r="R17" i="10"/>
  <c r="R21" i="10"/>
  <c r="R16" i="10"/>
  <c r="G22" i="10"/>
  <c r="G23" i="10" s="1"/>
  <c r="G46" i="10"/>
  <c r="AB63" i="4"/>
  <c r="AC59" i="4" s="1"/>
  <c r="AC61" i="4" s="1"/>
  <c r="AB67" i="4"/>
  <c r="AB69" i="4" s="1"/>
  <c r="AB71" i="4" s="1"/>
  <c r="T8" i="10" s="1"/>
  <c r="AA71" i="4"/>
  <c r="S8" i="10" s="1"/>
  <c r="BG54" i="4" l="1"/>
  <c r="BH45" i="4"/>
  <c r="BH46" i="4" s="1"/>
  <c r="BH47" i="4" s="1"/>
  <c r="BH48" i="4" s="1"/>
  <c r="BI43" i="4" s="1"/>
  <c r="BH50" i="4"/>
  <c r="T10" i="10"/>
  <c r="T9" i="10"/>
  <c r="G32" i="10"/>
  <c r="G33" i="10" s="1"/>
  <c r="H30" i="10" s="1"/>
  <c r="G47" i="10"/>
  <c r="H20" i="10"/>
  <c r="S10" i="10"/>
  <c r="S9" i="10"/>
  <c r="AC62" i="4"/>
  <c r="AC65" i="4"/>
  <c r="BH54" i="4" l="1"/>
  <c r="BI50" i="4"/>
  <c r="BI45" i="4"/>
  <c r="S13" i="10"/>
  <c r="S14" i="10"/>
  <c r="S15" i="10"/>
  <c r="G68" i="10"/>
  <c r="H25" i="10"/>
  <c r="G51" i="10"/>
  <c r="G54" i="10" s="1"/>
  <c r="H35" i="10"/>
  <c r="T13" i="10"/>
  <c r="T14" i="10"/>
  <c r="T15" i="10"/>
  <c r="AC63" i="4"/>
  <c r="AD59" i="4" s="1"/>
  <c r="AD61" i="4" s="1"/>
  <c r="AC67" i="4"/>
  <c r="AC69" i="4" s="1"/>
  <c r="BI46" i="4" l="1"/>
  <c r="BI47" i="4" s="1"/>
  <c r="BI48" i="4" s="1"/>
  <c r="BJ43" i="4" s="1"/>
  <c r="T31" i="10"/>
  <c r="T17" i="10"/>
  <c r="T21" i="10"/>
  <c r="T16" i="10"/>
  <c r="G55" i="10"/>
  <c r="G56" i="10" s="1"/>
  <c r="G52" i="10"/>
  <c r="H40" i="10"/>
  <c r="S31" i="10"/>
  <c r="S17" i="10"/>
  <c r="S21" i="10"/>
  <c r="S16" i="10"/>
  <c r="AD62" i="4"/>
  <c r="AD63" i="4" s="1"/>
  <c r="AE59" i="4" s="1"/>
  <c r="AE61" i="4" s="1"/>
  <c r="AD65" i="4"/>
  <c r="AC71" i="4"/>
  <c r="U8" i="10" s="1"/>
  <c r="BI54" i="4" l="1"/>
  <c r="BJ50" i="4"/>
  <c r="BJ45" i="4"/>
  <c r="H26" i="10"/>
  <c r="H27" i="10" s="1"/>
  <c r="I24" i="10" s="1"/>
  <c r="H41" i="10"/>
  <c r="G58" i="10"/>
  <c r="G64" i="10"/>
  <c r="G53" i="10"/>
  <c r="U10" i="10"/>
  <c r="U9" i="10"/>
  <c r="AE62" i="4"/>
  <c r="AD67" i="4"/>
  <c r="AD69" i="4" s="1"/>
  <c r="AD71" i="4" s="1"/>
  <c r="V8" i="10" s="1"/>
  <c r="AE65" i="4"/>
  <c r="BJ46" i="4" l="1"/>
  <c r="BJ47" i="4" s="1"/>
  <c r="G60" i="10"/>
  <c r="G66" i="10"/>
  <c r="V10" i="10"/>
  <c r="V9" i="10"/>
  <c r="U14" i="10"/>
  <c r="U13" i="10"/>
  <c r="U15" i="10"/>
  <c r="G57" i="10"/>
  <c r="G59" i="10" s="1"/>
  <c r="G63" i="10"/>
  <c r="H42" i="10"/>
  <c r="AE67" i="4"/>
  <c r="AE69" i="4" s="1"/>
  <c r="AE71" i="4" s="1"/>
  <c r="W8" i="10" s="1"/>
  <c r="AE63" i="4"/>
  <c r="AF59" i="4" s="1"/>
  <c r="AF61" i="4" s="1"/>
  <c r="BJ54" i="4" l="1"/>
  <c r="BJ48" i="4"/>
  <c r="BK43" i="4" s="1"/>
  <c r="G65" i="10"/>
  <c r="G67" i="10" s="1"/>
  <c r="H36" i="10"/>
  <c r="H37" i="10" s="1"/>
  <c r="I34" i="10" s="1"/>
  <c r="H43" i="10"/>
  <c r="H49" i="10"/>
  <c r="H48" i="10"/>
  <c r="U21" i="10"/>
  <c r="U16" i="10"/>
  <c r="U31" i="10"/>
  <c r="U17" i="10"/>
  <c r="W10" i="10"/>
  <c r="W9" i="10"/>
  <c r="V14" i="10"/>
  <c r="V13" i="10"/>
  <c r="V15" i="10"/>
  <c r="AF62" i="4"/>
  <c r="AF65" i="4"/>
  <c r="BK45" i="4" l="1"/>
  <c r="BK46" i="4" s="1"/>
  <c r="BK47" i="4" s="1"/>
  <c r="BK48" i="4" s="1"/>
  <c r="BL43" i="4" s="1"/>
  <c r="BK50" i="4"/>
  <c r="H50" i="10"/>
  <c r="V31" i="10"/>
  <c r="V17" i="10"/>
  <c r="W14" i="10"/>
  <c r="W13" i="10"/>
  <c r="W15" i="10"/>
  <c r="H44" i="10"/>
  <c r="V21" i="10"/>
  <c r="V16" i="10"/>
  <c r="AF67" i="4"/>
  <c r="AF69" i="4" s="1"/>
  <c r="AF71" i="4" s="1"/>
  <c r="X8" i="10" s="1"/>
  <c r="AF63" i="4"/>
  <c r="AG59" i="4" s="1"/>
  <c r="AG61" i="4" s="1"/>
  <c r="BK54" i="4" l="1"/>
  <c r="BL50" i="4"/>
  <c r="BL45" i="4"/>
  <c r="X10" i="10"/>
  <c r="X9" i="10"/>
  <c r="H22" i="10"/>
  <c r="H23" i="10" s="1"/>
  <c r="H45" i="10"/>
  <c r="W21" i="10"/>
  <c r="W16" i="10"/>
  <c r="W31" i="10"/>
  <c r="W17" i="10"/>
  <c r="AG62" i="4"/>
  <c r="AG65" i="4"/>
  <c r="BL46" i="4" l="1"/>
  <c r="BL47" i="4" s="1"/>
  <c r="H46" i="10"/>
  <c r="X14" i="10"/>
  <c r="X13" i="10"/>
  <c r="X15" i="10"/>
  <c r="I20" i="10"/>
  <c r="AG67" i="4"/>
  <c r="AG69" i="4" s="1"/>
  <c r="AG71" i="4" s="1"/>
  <c r="Y8" i="10" s="1"/>
  <c r="AG63" i="4"/>
  <c r="AH59" i="4" s="1"/>
  <c r="AH61" i="4" s="1"/>
  <c r="BL54" i="4" l="1"/>
  <c r="BL48" i="4"/>
  <c r="BM43" i="4" s="1"/>
  <c r="BM45" i="4" s="1"/>
  <c r="BM46" i="4" s="1"/>
  <c r="BM47" i="4" s="1"/>
  <c r="BM48" i="4" s="1"/>
  <c r="BN43" i="4" s="1"/>
  <c r="Y9" i="10"/>
  <c r="Y10" i="10"/>
  <c r="I25" i="10"/>
  <c r="X21" i="10"/>
  <c r="X16" i="10"/>
  <c r="X31" i="10"/>
  <c r="X17" i="10"/>
  <c r="H32" i="10"/>
  <c r="H33" i="10" s="1"/>
  <c r="H47" i="10"/>
  <c r="AH62" i="4"/>
  <c r="AH65" i="4"/>
  <c r="BM50" i="4" l="1"/>
  <c r="BM54" i="4" s="1"/>
  <c r="BN50" i="4"/>
  <c r="BN45" i="4"/>
  <c r="H51" i="10"/>
  <c r="I30" i="10"/>
  <c r="H68" i="10"/>
  <c r="I40" i="10"/>
  <c r="Y13" i="10"/>
  <c r="Y14" i="10"/>
  <c r="Y15" i="10"/>
  <c r="AH67" i="4"/>
  <c r="AH69" i="4" s="1"/>
  <c r="AH71" i="4" s="1"/>
  <c r="Z8" i="10" s="1"/>
  <c r="BN46" i="4" l="1"/>
  <c r="BN47" i="4" s="1"/>
  <c r="BN48" i="4" s="1"/>
  <c r="BO43" i="4" s="1"/>
  <c r="I35" i="10"/>
  <c r="Z9" i="10"/>
  <c r="Z10" i="10"/>
  <c r="Y31" i="10"/>
  <c r="Y17" i="10"/>
  <c r="Y21" i="10"/>
  <c r="Y16" i="10"/>
  <c r="I26" i="10"/>
  <c r="I27" i="10" s="1"/>
  <c r="J24" i="10" s="1"/>
  <c r="I41" i="10"/>
  <c r="H52" i="10"/>
  <c r="H53" i="10" s="1"/>
  <c r="H54" i="10"/>
  <c r="AH63" i="4"/>
  <c r="AI59" i="4" s="1"/>
  <c r="AI61" i="4" s="1"/>
  <c r="BN54" i="4" l="1"/>
  <c r="BO50" i="4"/>
  <c r="BO45" i="4"/>
  <c r="I42" i="10"/>
  <c r="I43" i="10" s="1"/>
  <c r="H55" i="10"/>
  <c r="H57" i="10" s="1"/>
  <c r="H59" i="10" s="1"/>
  <c r="Z13" i="10"/>
  <c r="Z14" i="10"/>
  <c r="Z15" i="10"/>
  <c r="AI62" i="4"/>
  <c r="AI65" i="4"/>
  <c r="BO46" i="4" l="1"/>
  <c r="BO47" i="4" s="1"/>
  <c r="I48" i="10"/>
  <c r="Z31" i="10"/>
  <c r="Z17" i="10"/>
  <c r="Z21" i="10"/>
  <c r="Z16" i="10"/>
  <c r="I44" i="10"/>
  <c r="H63" i="10"/>
  <c r="H56" i="10"/>
  <c r="I36" i="10"/>
  <c r="I37" i="10" s="1"/>
  <c r="J34" i="10" s="1"/>
  <c r="AI67" i="4"/>
  <c r="AI69" i="4" s="1"/>
  <c r="AI71" i="4" s="1"/>
  <c r="AA8" i="10" s="1"/>
  <c r="BO54" i="4" l="1"/>
  <c r="BO48" i="4"/>
  <c r="BP43" i="4" s="1"/>
  <c r="H65" i="10"/>
  <c r="H58" i="10"/>
  <c r="H64" i="10"/>
  <c r="AA9" i="10"/>
  <c r="AA10" i="10"/>
  <c r="I22" i="10"/>
  <c r="I23" i="10" s="1"/>
  <c r="I45" i="10"/>
  <c r="AI63" i="4"/>
  <c r="AJ59" i="4" s="1"/>
  <c r="AJ61" i="4" s="1"/>
  <c r="BP50" i="4" l="1"/>
  <c r="BP45" i="4"/>
  <c r="BP46" i="4" s="1"/>
  <c r="H60" i="10"/>
  <c r="I49" i="10" s="1"/>
  <c r="I50" i="10" s="1"/>
  <c r="H66" i="10"/>
  <c r="H67" i="10" s="1"/>
  <c r="I46" i="10"/>
  <c r="I47" i="10" s="1"/>
  <c r="J20" i="10"/>
  <c r="AA14" i="10"/>
  <c r="AA13" i="10"/>
  <c r="AA15" i="10"/>
  <c r="AJ62" i="4"/>
  <c r="AJ65" i="4"/>
  <c r="BP47" i="4" l="1"/>
  <c r="BP48" i="4" s="1"/>
  <c r="BQ43" i="4" s="1"/>
  <c r="BQ45" i="4" s="1"/>
  <c r="BQ46" i="4" s="1"/>
  <c r="I51" i="10"/>
  <c r="I54" i="10" s="1"/>
  <c r="J25" i="10"/>
  <c r="I32" i="10"/>
  <c r="I33" i="10" s="1"/>
  <c r="AA21" i="10"/>
  <c r="AA16" i="10"/>
  <c r="AA31" i="10"/>
  <c r="AA17" i="10"/>
  <c r="AJ67" i="4"/>
  <c r="AJ69" i="4" s="1"/>
  <c r="AJ71" i="4" s="1"/>
  <c r="AB8" i="10" s="1"/>
  <c r="AJ63" i="4"/>
  <c r="AK59" i="4" s="1"/>
  <c r="AK61" i="4" s="1"/>
  <c r="BP54" i="4" l="1"/>
  <c r="BQ50" i="4"/>
  <c r="BQ47" i="4"/>
  <c r="AB9" i="10"/>
  <c r="AB10" i="10"/>
  <c r="J30" i="10"/>
  <c r="I68" i="10"/>
  <c r="J40" i="10"/>
  <c r="I55" i="10"/>
  <c r="I56" i="10" s="1"/>
  <c r="I52" i="10"/>
  <c r="I53" i="10" s="1"/>
  <c r="AK62" i="4"/>
  <c r="AK65" i="4"/>
  <c r="BQ54" i="4" l="1"/>
  <c r="BQ48" i="4"/>
  <c r="BR43" i="4" s="1"/>
  <c r="I57" i="10"/>
  <c r="I59" i="10" s="1"/>
  <c r="I63" i="10"/>
  <c r="I65" i="10" s="1"/>
  <c r="I58" i="10"/>
  <c r="I60" i="10" s="1"/>
  <c r="I64" i="10"/>
  <c r="I66" i="10" s="1"/>
  <c r="J26" i="10"/>
  <c r="J27" i="10" s="1"/>
  <c r="K24" i="10" s="1"/>
  <c r="J41" i="10"/>
  <c r="J35" i="10"/>
  <c r="AB13" i="10"/>
  <c r="AB14" i="10"/>
  <c r="AB15" i="10"/>
  <c r="E45" i="4"/>
  <c r="F45" i="4"/>
  <c r="G45" i="4"/>
  <c r="H45" i="4"/>
  <c r="E50" i="4"/>
  <c r="F50" i="4"/>
  <c r="G50" i="4"/>
  <c r="H50" i="4"/>
  <c r="E46" i="4"/>
  <c r="F46" i="4"/>
  <c r="G46" i="4"/>
  <c r="H46" i="4"/>
  <c r="BR45" i="4" l="1"/>
  <c r="BR46" i="4" s="1"/>
  <c r="BR47" i="4" s="1"/>
  <c r="BR48" i="4" s="1"/>
  <c r="BS43" i="4" s="1"/>
  <c r="BR50" i="4"/>
  <c r="AB21" i="10"/>
  <c r="AB16" i="10"/>
  <c r="J42" i="10"/>
  <c r="J49" i="10" s="1"/>
  <c r="AB31" i="10"/>
  <c r="AB17" i="10"/>
  <c r="I67" i="10"/>
  <c r="J48" i="10"/>
  <c r="AK63" i="4"/>
  <c r="AL59" i="4" s="1"/>
  <c r="AL61" i="4" s="1"/>
  <c r="E54" i="4"/>
  <c r="F54" i="4"/>
  <c r="G54" i="4"/>
  <c r="H54" i="4"/>
  <c r="E47" i="4"/>
  <c r="E48" i="4" s="1"/>
  <c r="F43" i="4" s="1"/>
  <c r="F47" i="4"/>
  <c r="G47" i="4"/>
  <c r="H47" i="4"/>
  <c r="AK67" i="4"/>
  <c r="BR54" i="4" l="1"/>
  <c r="BS45" i="4"/>
  <c r="BS50" i="4"/>
  <c r="J43" i="10"/>
  <c r="J44" i="10" s="1"/>
  <c r="J50" i="10"/>
  <c r="J36" i="10"/>
  <c r="J37" i="10" s="1"/>
  <c r="K34" i="10" s="1"/>
  <c r="F48" i="4"/>
  <c r="G43" i="4" s="1"/>
  <c r="G48" i="4" s="1"/>
  <c r="H43" i="4" s="1"/>
  <c r="H48" i="4" s="1"/>
  <c r="I43" i="4" s="1"/>
  <c r="AL62" i="4"/>
  <c r="AL65" i="4"/>
  <c r="AK69" i="4"/>
  <c r="BS46" i="4" l="1"/>
  <c r="BS47" i="4" s="1"/>
  <c r="BS48" i="4" s="1"/>
  <c r="BT43" i="4" s="1"/>
  <c r="J22" i="10"/>
  <c r="J23" i="10" s="1"/>
  <c r="J45" i="10"/>
  <c r="AL63" i="4"/>
  <c r="AM59" i="4" s="1"/>
  <c r="AM61" i="4" s="1"/>
  <c r="AK71" i="4"/>
  <c r="AC8" i="10" s="1"/>
  <c r="AL67" i="4"/>
  <c r="BS54" i="4" l="1"/>
  <c r="BT50" i="4"/>
  <c r="BT45" i="4"/>
  <c r="AM62" i="4"/>
  <c r="AM63" i="4" s="1"/>
  <c r="AN59" i="4" s="1"/>
  <c r="AN61" i="4" s="1"/>
  <c r="AC10" i="10"/>
  <c r="AC9" i="10"/>
  <c r="J46" i="10"/>
  <c r="K20" i="10"/>
  <c r="AM65" i="4"/>
  <c r="AL69" i="4"/>
  <c r="I50" i="4" l="1"/>
  <c r="I45" i="4"/>
  <c r="BT46" i="4"/>
  <c r="K25" i="10"/>
  <c r="AC13" i="10"/>
  <c r="AC14" i="10"/>
  <c r="AC15" i="10"/>
  <c r="J32" i="10"/>
  <c r="J33" i="10" s="1"/>
  <c r="J47" i="10"/>
  <c r="AN62" i="4"/>
  <c r="AN65" i="4"/>
  <c r="AL71" i="4"/>
  <c r="AD8" i="10" s="1"/>
  <c r="AM67" i="4"/>
  <c r="BT47" i="4" l="1"/>
  <c r="BT54" i="4" s="1"/>
  <c r="I46" i="4"/>
  <c r="AD10" i="10"/>
  <c r="AD9" i="10"/>
  <c r="J51" i="10"/>
  <c r="K30" i="10"/>
  <c r="J68" i="10"/>
  <c r="AC31" i="10"/>
  <c r="AC17" i="10"/>
  <c r="AC21" i="10"/>
  <c r="AC16" i="10"/>
  <c r="K40" i="10"/>
  <c r="AM69" i="4"/>
  <c r="BT48" i="4" l="1"/>
  <c r="BU43" i="4" s="1"/>
  <c r="I47" i="4"/>
  <c r="I48" i="4" s="1"/>
  <c r="J43" i="4" s="1"/>
  <c r="I54" i="4"/>
  <c r="K26" i="10"/>
  <c r="K27" i="10" s="1"/>
  <c r="L24" i="10" s="1"/>
  <c r="K41" i="10"/>
  <c r="K35" i="10"/>
  <c r="J52" i="10"/>
  <c r="J53" i="10" s="1"/>
  <c r="J54" i="10"/>
  <c r="AD13" i="10"/>
  <c r="AD14" i="10"/>
  <c r="AD15" i="10"/>
  <c r="AM71" i="4"/>
  <c r="AE8" i="10" s="1"/>
  <c r="AN67" i="4"/>
  <c r="AN63" i="4"/>
  <c r="AO59" i="4" s="1"/>
  <c r="AO61" i="4" s="1"/>
  <c r="BU45" i="4" l="1"/>
  <c r="BU46" i="4" s="1"/>
  <c r="BU50" i="4"/>
  <c r="AD21" i="10"/>
  <c r="AD16" i="10"/>
  <c r="AE9" i="10"/>
  <c r="AE10" i="10"/>
  <c r="AD31" i="10"/>
  <c r="AD17" i="10"/>
  <c r="J55" i="10"/>
  <c r="J63" i="10" s="1"/>
  <c r="J65" i="10" s="1"/>
  <c r="K42" i="10"/>
  <c r="AO62" i="4"/>
  <c r="AO65" i="4"/>
  <c r="AN69" i="4"/>
  <c r="BU47" i="4" l="1"/>
  <c r="BU48" i="4" s="1"/>
  <c r="BV43" i="4" s="1"/>
  <c r="BV45" i="4" s="1"/>
  <c r="BV46" i="4" s="1"/>
  <c r="BV47" i="4" s="1"/>
  <c r="BV48" i="4" s="1"/>
  <c r="BW43" i="4" s="1"/>
  <c r="AE14" i="10"/>
  <c r="AE13" i="10"/>
  <c r="AE15" i="10"/>
  <c r="J57" i="10"/>
  <c r="J59" i="10" s="1"/>
  <c r="K36" i="10"/>
  <c r="K37" i="10" s="1"/>
  <c r="L34" i="10" s="1"/>
  <c r="J56" i="10"/>
  <c r="K43" i="10"/>
  <c r="AN71" i="4"/>
  <c r="AF8" i="10" s="1"/>
  <c r="AO67" i="4"/>
  <c r="AO63" i="4"/>
  <c r="AP59" i="4" s="1"/>
  <c r="AP61" i="4" s="1"/>
  <c r="BU54" i="4" l="1"/>
  <c r="BV50" i="4"/>
  <c r="BV54" i="4" s="1"/>
  <c r="BW50" i="4"/>
  <c r="BW45" i="4"/>
  <c r="AF10" i="10"/>
  <c r="AF9" i="10"/>
  <c r="K44" i="10"/>
  <c r="J58" i="10"/>
  <c r="J60" i="10" s="1"/>
  <c r="J64" i="10"/>
  <c r="J66" i="10" s="1"/>
  <c r="J67" i="10" s="1"/>
  <c r="K48" i="10"/>
  <c r="AE21" i="10"/>
  <c r="AE16" i="10"/>
  <c r="AE31" i="10"/>
  <c r="AE17" i="10"/>
  <c r="AP62" i="4"/>
  <c r="AP65" i="4"/>
  <c r="AO69" i="4"/>
  <c r="BW46" i="4" l="1"/>
  <c r="BW47" i="4" s="1"/>
  <c r="BW48" i="4" s="1"/>
  <c r="BX43" i="4" s="1"/>
  <c r="K49" i="10"/>
  <c r="K50" i="10" s="1"/>
  <c r="K22" i="10"/>
  <c r="K23" i="10" s="1"/>
  <c r="K45" i="10"/>
  <c r="AF14" i="10"/>
  <c r="AF13" i="10"/>
  <c r="AF15" i="10"/>
  <c r="AP67" i="4"/>
  <c r="AP69" i="4" s="1"/>
  <c r="AP71" i="4" s="1"/>
  <c r="AH8" i="10" s="1"/>
  <c r="AO71" i="4"/>
  <c r="AG8" i="10" s="1"/>
  <c r="AP63" i="4"/>
  <c r="AQ59" i="4" s="1"/>
  <c r="AQ61" i="4" s="1"/>
  <c r="BW54" i="4" l="1"/>
  <c r="BX45" i="4"/>
  <c r="BX46" i="4" s="1"/>
  <c r="BX47" i="4" s="1"/>
  <c r="BX48" i="4" s="1"/>
  <c r="BY43" i="4" s="1"/>
  <c r="BX50" i="4"/>
  <c r="AG9" i="10"/>
  <c r="AG10" i="10"/>
  <c r="AH9" i="10"/>
  <c r="AH10" i="10"/>
  <c r="AF31" i="10"/>
  <c r="AF17" i="10"/>
  <c r="AF21" i="10"/>
  <c r="AF16" i="10"/>
  <c r="K46" i="10"/>
  <c r="K47" i="10" s="1"/>
  <c r="L20" i="10"/>
  <c r="AQ62" i="4"/>
  <c r="AQ63" i="4" s="1"/>
  <c r="AR59" i="4" s="1"/>
  <c r="AR61" i="4" s="1"/>
  <c r="AQ65" i="4"/>
  <c r="BX54" i="4" l="1"/>
  <c r="BY50" i="4"/>
  <c r="BY45" i="4"/>
  <c r="K51" i="10"/>
  <c r="L25" i="10"/>
  <c r="K32" i="10"/>
  <c r="K33" i="10" s="1"/>
  <c r="AH13" i="10"/>
  <c r="AH14" i="10"/>
  <c r="AH15" i="10"/>
  <c r="AG13" i="10"/>
  <c r="AG14" i="10"/>
  <c r="AG15" i="10"/>
  <c r="AR62" i="4"/>
  <c r="AR65" i="4"/>
  <c r="AQ67" i="4"/>
  <c r="AQ69" i="4" s="1"/>
  <c r="AQ71" i="4" s="1"/>
  <c r="AI8" i="10" s="1"/>
  <c r="BY46" i="4" l="1"/>
  <c r="BY47" i="4" s="1"/>
  <c r="BY48" i="4" s="1"/>
  <c r="BZ43" i="4" s="1"/>
  <c r="AH31" i="10"/>
  <c r="AH17" i="10"/>
  <c r="L40" i="10"/>
  <c r="AG21" i="10"/>
  <c r="AG16" i="10"/>
  <c r="AH21" i="10"/>
  <c r="AH16" i="10"/>
  <c r="L30" i="10"/>
  <c r="K68" i="10"/>
  <c r="K52" i="10"/>
  <c r="K53" i="10" s="1"/>
  <c r="AG31" i="10"/>
  <c r="AG17" i="10"/>
  <c r="AI9" i="10"/>
  <c r="AI10" i="10"/>
  <c r="K54" i="10"/>
  <c r="AR67" i="4"/>
  <c r="AR69" i="4" s="1"/>
  <c r="AR71" i="4" s="1"/>
  <c r="AJ8" i="10" s="1"/>
  <c r="AR63" i="4"/>
  <c r="AS59" i="4" s="1"/>
  <c r="AS61" i="4" s="1"/>
  <c r="BY54" i="4" l="1"/>
  <c r="BZ50" i="4"/>
  <c r="BZ45" i="4"/>
  <c r="AJ9" i="10"/>
  <c r="AJ10" i="10"/>
  <c r="AI14" i="10"/>
  <c r="AI13" i="10"/>
  <c r="AI15" i="10"/>
  <c r="L35" i="10"/>
  <c r="L26" i="10"/>
  <c r="L27" i="10" s="1"/>
  <c r="M24" i="10" s="1"/>
  <c r="L41" i="10"/>
  <c r="K55" i="10"/>
  <c r="K57" i="10" s="1"/>
  <c r="K59" i="10" s="1"/>
  <c r="AS62" i="4"/>
  <c r="AS65" i="4"/>
  <c r="BZ46" i="4" l="1"/>
  <c r="BZ47" i="4" s="1"/>
  <c r="BZ48" i="4" s="1"/>
  <c r="CA43" i="4" s="1"/>
  <c r="K56" i="10"/>
  <c r="K58" i="10" s="1"/>
  <c r="K60" i="10" s="1"/>
  <c r="K63" i="10"/>
  <c r="K65" i="10" s="1"/>
  <c r="L48" i="10"/>
  <c r="L42" i="10"/>
  <c r="AI21" i="10"/>
  <c r="AI16" i="10"/>
  <c r="AI31" i="10"/>
  <c r="AI17" i="10"/>
  <c r="AJ13" i="10"/>
  <c r="AJ14" i="10"/>
  <c r="AJ15" i="10"/>
  <c r="AS67" i="4"/>
  <c r="AS69" i="4" s="1"/>
  <c r="AS71" i="4" s="1"/>
  <c r="AK8" i="10" s="1"/>
  <c r="AS63" i="4"/>
  <c r="AT59" i="4" s="1"/>
  <c r="AT61" i="4" s="1"/>
  <c r="BZ54" i="4" l="1"/>
  <c r="CA50" i="4"/>
  <c r="CA45" i="4"/>
  <c r="K64" i="10"/>
  <c r="K66" i="10" s="1"/>
  <c r="K67" i="10" s="1"/>
  <c r="L49" i="10"/>
  <c r="L50" i="10" s="1"/>
  <c r="AJ31" i="10"/>
  <c r="AJ17" i="10"/>
  <c r="AK9" i="10"/>
  <c r="AK10" i="10"/>
  <c r="L36" i="10"/>
  <c r="L37" i="10" s="1"/>
  <c r="M34" i="10" s="1"/>
  <c r="AJ21" i="10"/>
  <c r="AJ16" i="10"/>
  <c r="L43" i="10"/>
  <c r="AT62" i="4"/>
  <c r="AT65" i="4"/>
  <c r="CA46" i="4" l="1"/>
  <c r="CA47" i="4" s="1"/>
  <c r="CA48" i="4" s="1"/>
  <c r="CB43" i="4" s="1"/>
  <c r="L44" i="10"/>
  <c r="AK14" i="10"/>
  <c r="AK13" i="10"/>
  <c r="AK15" i="10"/>
  <c r="AT67" i="4"/>
  <c r="AT69" i="4" s="1"/>
  <c r="AT71" i="4" s="1"/>
  <c r="AL8" i="10" s="1"/>
  <c r="AT63" i="4"/>
  <c r="AU59" i="4" s="1"/>
  <c r="AU61" i="4" s="1"/>
  <c r="CA54" i="4" l="1"/>
  <c r="CB45" i="4"/>
  <c r="CB46" i="4" s="1"/>
  <c r="CB50" i="4"/>
  <c r="AL10" i="10"/>
  <c r="AL9" i="10"/>
  <c r="AK21" i="10"/>
  <c r="AK16" i="10"/>
  <c r="AK31" i="10"/>
  <c r="AK17" i="10"/>
  <c r="L22" i="10"/>
  <c r="L23" i="10" s="1"/>
  <c r="L45" i="10"/>
  <c r="AU62" i="4"/>
  <c r="AU65" i="4"/>
  <c r="CB47" i="4" l="1"/>
  <c r="CB48" i="4" s="1"/>
  <c r="CC43" i="4" s="1"/>
  <c r="L46" i="10"/>
  <c r="M20" i="10"/>
  <c r="AL14" i="10"/>
  <c r="AL13" i="10"/>
  <c r="AL15" i="10"/>
  <c r="AU67" i="4"/>
  <c r="AU69" i="4" s="1"/>
  <c r="AU71" i="4" s="1"/>
  <c r="AM8" i="10" s="1"/>
  <c r="AU63" i="4"/>
  <c r="AV59" i="4" s="1"/>
  <c r="AV61" i="4" s="1"/>
  <c r="CB54" i="4" l="1"/>
  <c r="CC45" i="4"/>
  <c r="CC46" i="4" s="1"/>
  <c r="CC47" i="4" s="1"/>
  <c r="CC48" i="4" s="1"/>
  <c r="CD43" i="4" s="1"/>
  <c r="CC50" i="4"/>
  <c r="L32" i="10"/>
  <c r="L33" i="10" s="1"/>
  <c r="AM9" i="10"/>
  <c r="AM10" i="10"/>
  <c r="AL21" i="10"/>
  <c r="AL16" i="10"/>
  <c r="AL31" i="10"/>
  <c r="AL17" i="10"/>
  <c r="M25" i="10"/>
  <c r="L47" i="10"/>
  <c r="AV62" i="4"/>
  <c r="AV65" i="4"/>
  <c r="CC54" i="4" l="1"/>
  <c r="CD50" i="4"/>
  <c r="CD45" i="4"/>
  <c r="M40" i="10"/>
  <c r="L51" i="10"/>
  <c r="L54" i="10" s="1"/>
  <c r="AM14" i="10"/>
  <c r="AM13" i="10"/>
  <c r="AM15" i="10"/>
  <c r="M30" i="10"/>
  <c r="L68" i="10"/>
  <c r="AV67" i="4"/>
  <c r="AV69" i="4" s="1"/>
  <c r="AV71" i="4" s="1"/>
  <c r="AN8" i="10" s="1"/>
  <c r="AV63" i="4"/>
  <c r="AW59" i="4" s="1"/>
  <c r="AW61" i="4" s="1"/>
  <c r="CD46" i="4" l="1"/>
  <c r="CD47" i="4" s="1"/>
  <c r="CD48" i="4" s="1"/>
  <c r="CE43" i="4" s="1"/>
  <c r="M35" i="10"/>
  <c r="AM21" i="10"/>
  <c r="AM16" i="10"/>
  <c r="M26" i="10"/>
  <c r="M27" i="10" s="1"/>
  <c r="N24" i="10" s="1"/>
  <c r="M41" i="10"/>
  <c r="AN9" i="10"/>
  <c r="AN10" i="10"/>
  <c r="AM31" i="10"/>
  <c r="AM17" i="10"/>
  <c r="L55" i="10"/>
  <c r="L56" i="10" s="1"/>
  <c r="L52" i="10"/>
  <c r="L53" i="10" s="1"/>
  <c r="AW62" i="4"/>
  <c r="AW65" i="4"/>
  <c r="CD54" i="4" l="1"/>
  <c r="CE50" i="4"/>
  <c r="CE45" i="4"/>
  <c r="L57" i="10"/>
  <c r="L59" i="10" s="1"/>
  <c r="L63" i="10"/>
  <c r="L65" i="10" s="1"/>
  <c r="M42" i="10"/>
  <c r="M43" i="10" s="1"/>
  <c r="AN13" i="10"/>
  <c r="AN14" i="10"/>
  <c r="AN15" i="10"/>
  <c r="L58" i="10"/>
  <c r="L60" i="10" s="1"/>
  <c r="L64" i="10"/>
  <c r="L66" i="10" s="1"/>
  <c r="AW63" i="4"/>
  <c r="AX59" i="4" s="1"/>
  <c r="AX61" i="4" s="1"/>
  <c r="AW67" i="4"/>
  <c r="AW69" i="4" s="1"/>
  <c r="CE46" i="4" l="1"/>
  <c r="CE47" i="4" s="1"/>
  <c r="CE48" i="4" s="1"/>
  <c r="CF43" i="4" s="1"/>
  <c r="AN31" i="10"/>
  <c r="AN17" i="10"/>
  <c r="L67" i="10"/>
  <c r="M49" i="10"/>
  <c r="M44" i="10"/>
  <c r="AN21" i="10"/>
  <c r="AN16" i="10"/>
  <c r="M36" i="10"/>
  <c r="M37" i="10" s="1"/>
  <c r="N34" i="10" s="1"/>
  <c r="M48" i="10"/>
  <c r="AX62" i="4"/>
  <c r="AX65" i="4"/>
  <c r="AW71" i="4"/>
  <c r="AO8" i="10" s="1"/>
  <c r="CE54" i="4" l="1"/>
  <c r="CF45" i="4"/>
  <c r="CF50" i="4"/>
  <c r="M50" i="10"/>
  <c r="M22" i="10"/>
  <c r="M23" i="10" s="1"/>
  <c r="AO9" i="10"/>
  <c r="AO10" i="10"/>
  <c r="M45" i="10"/>
  <c r="AX67" i="4"/>
  <c r="AX63" i="4"/>
  <c r="AY59" i="4" s="1"/>
  <c r="AY61" i="4" s="1"/>
  <c r="J50" i="4" l="1"/>
  <c r="J45" i="4"/>
  <c r="CF46" i="4"/>
  <c r="M46" i="10"/>
  <c r="AO13" i="10"/>
  <c r="AO14" i="10"/>
  <c r="AO15" i="10"/>
  <c r="N20" i="10"/>
  <c r="AY62" i="4"/>
  <c r="AY65" i="4"/>
  <c r="AX69" i="4"/>
  <c r="J46" i="4" l="1"/>
  <c r="CF47" i="4"/>
  <c r="J47" i="4" s="1"/>
  <c r="N25" i="10"/>
  <c r="AO31" i="10"/>
  <c r="AO17" i="10"/>
  <c r="AO21" i="10"/>
  <c r="AO16" i="10"/>
  <c r="M32" i="10"/>
  <c r="M33" i="10" s="1"/>
  <c r="M47" i="10"/>
  <c r="AX71" i="4"/>
  <c r="AP8" i="10" s="1"/>
  <c r="CF54" i="4" l="1"/>
  <c r="J54" i="4" s="1"/>
  <c r="J48" i="4"/>
  <c r="CF48" i="4"/>
  <c r="AP9" i="10"/>
  <c r="AP10" i="10"/>
  <c r="M51" i="10"/>
  <c r="M54" i="10" s="1"/>
  <c r="N30" i="10"/>
  <c r="M68" i="10"/>
  <c r="N40" i="10"/>
  <c r="AY67" i="4"/>
  <c r="AY63" i="4"/>
  <c r="AZ59" i="4" s="1"/>
  <c r="AZ61" i="4" s="1"/>
  <c r="M55" i="10" l="1"/>
  <c r="M56" i="10" s="1"/>
  <c r="N26" i="10"/>
  <c r="N27" i="10" s="1"/>
  <c r="O24" i="10" s="1"/>
  <c r="N41" i="10"/>
  <c r="N35" i="10"/>
  <c r="M52" i="10"/>
  <c r="AP13" i="10"/>
  <c r="AP14" i="10"/>
  <c r="AP15" i="10"/>
  <c r="AZ62" i="4"/>
  <c r="AZ65" i="4"/>
  <c r="AY69" i="4"/>
  <c r="AP31" i="10" l="1"/>
  <c r="AP17" i="10"/>
  <c r="N42" i="10"/>
  <c r="N43" i="10" s="1"/>
  <c r="M58" i="10"/>
  <c r="M60" i="10" s="1"/>
  <c r="M64" i="10"/>
  <c r="M66" i="10" s="1"/>
  <c r="AP21" i="10"/>
  <c r="AP16" i="10"/>
  <c r="M53" i="10"/>
  <c r="AY71" i="4"/>
  <c r="AQ8" i="10" s="1"/>
  <c r="AZ67" i="4"/>
  <c r="AZ63" i="4"/>
  <c r="BA59" i="4" s="1"/>
  <c r="BA61" i="4" s="1"/>
  <c r="AQ9" i="10" l="1"/>
  <c r="AQ10" i="10"/>
  <c r="N44" i="10"/>
  <c r="M57" i="10"/>
  <c r="M59" i="10" s="1"/>
  <c r="M63" i="10"/>
  <c r="M65" i="10" s="1"/>
  <c r="M67" i="10" s="1"/>
  <c r="N49" i="10"/>
  <c r="N36" i="10"/>
  <c r="N37" i="10" s="1"/>
  <c r="O34" i="10" s="1"/>
  <c r="BA62" i="4"/>
  <c r="BA65" i="4"/>
  <c r="AZ69" i="4"/>
  <c r="N48" i="10" l="1"/>
  <c r="N50" i="10" s="1"/>
  <c r="N22" i="10"/>
  <c r="N23" i="10" s="1"/>
  <c r="N45" i="10"/>
  <c r="AQ14" i="10"/>
  <c r="AQ13" i="10"/>
  <c r="AQ15" i="10"/>
  <c r="AZ71" i="4"/>
  <c r="AR8" i="10" s="1"/>
  <c r="BA67" i="4"/>
  <c r="AQ21" i="10" l="1"/>
  <c r="AQ16" i="10"/>
  <c r="AR9" i="10"/>
  <c r="AR10" i="10"/>
  <c r="AQ31" i="10"/>
  <c r="AQ17" i="10"/>
  <c r="N46" i="10"/>
  <c r="O20" i="10"/>
  <c r="BA69" i="4"/>
  <c r="BA63" i="4"/>
  <c r="BB59" i="4" s="1"/>
  <c r="BB61" i="4" s="1"/>
  <c r="O25" i="10" l="1"/>
  <c r="N32" i="10"/>
  <c r="N33" i="10" s="1"/>
  <c r="N47" i="10"/>
  <c r="AR13" i="10"/>
  <c r="AR14" i="10"/>
  <c r="AR15" i="10"/>
  <c r="BB62" i="4"/>
  <c r="BB65" i="4"/>
  <c r="BA71" i="4"/>
  <c r="AS8" i="10" s="1"/>
  <c r="AS10" i="10" l="1"/>
  <c r="AS9" i="10"/>
  <c r="AR31" i="10"/>
  <c r="AR17" i="10"/>
  <c r="AR21" i="10"/>
  <c r="AR16" i="10"/>
  <c r="N51" i="10"/>
  <c r="O30" i="10"/>
  <c r="N68" i="10"/>
  <c r="O40" i="10"/>
  <c r="BB67" i="4"/>
  <c r="BB69" i="4" s="1"/>
  <c r="BB71" i="4" s="1"/>
  <c r="AT8" i="10" s="1"/>
  <c r="AT10" i="10" l="1"/>
  <c r="AT9" i="10"/>
  <c r="O26" i="10"/>
  <c r="O27" i="10" s="1"/>
  <c r="P24" i="10" s="1"/>
  <c r="O41" i="10"/>
  <c r="O35" i="10"/>
  <c r="N52" i="10"/>
  <c r="N54" i="10"/>
  <c r="AS13" i="10"/>
  <c r="AS14" i="10"/>
  <c r="AS15" i="10"/>
  <c r="BB63" i="4"/>
  <c r="BC59" i="4" s="1"/>
  <c r="BC61" i="4" s="1"/>
  <c r="AS31" i="10" l="1"/>
  <c r="AS17" i="10"/>
  <c r="AS21" i="10"/>
  <c r="AS16" i="10"/>
  <c r="N55" i="10"/>
  <c r="N56" i="10" s="1"/>
  <c r="N53" i="10"/>
  <c r="O42" i="10"/>
  <c r="O43" i="10" s="1"/>
  <c r="AT14" i="10"/>
  <c r="AT13" i="10"/>
  <c r="AT15" i="10"/>
  <c r="BC62" i="4"/>
  <c r="BC65" i="4"/>
  <c r="N58" i="10" l="1"/>
  <c r="N60" i="10" s="1"/>
  <c r="N64" i="10"/>
  <c r="N66" i="10" s="1"/>
  <c r="AT21" i="10"/>
  <c r="AT16" i="10"/>
  <c r="O44" i="10"/>
  <c r="O36" i="10"/>
  <c r="O37" i="10" s="1"/>
  <c r="P34" i="10" s="1"/>
  <c r="AT31" i="10"/>
  <c r="AT17" i="10"/>
  <c r="N57" i="10"/>
  <c r="N59" i="10" s="1"/>
  <c r="N63" i="10"/>
  <c r="N65" i="10" s="1"/>
  <c r="BC67" i="4"/>
  <c r="BC69" i="4" s="1"/>
  <c r="BC71" i="4" s="1"/>
  <c r="AU8" i="10" s="1"/>
  <c r="BC63" i="4"/>
  <c r="BD59" i="4" s="1"/>
  <c r="BD61" i="4" s="1"/>
  <c r="N67" i="10" l="1"/>
  <c r="AU9" i="10"/>
  <c r="AU10" i="10"/>
  <c r="O48" i="10"/>
  <c r="O22" i="10"/>
  <c r="O23" i="10" s="1"/>
  <c r="O45" i="10"/>
  <c r="O49" i="10"/>
  <c r="BD62" i="4"/>
  <c r="BD65" i="4"/>
  <c r="O50" i="10" l="1"/>
  <c r="O46" i="10"/>
  <c r="O47" i="10" s="1"/>
  <c r="P20" i="10"/>
  <c r="AU13" i="10"/>
  <c r="AU14" i="10"/>
  <c r="AU15" i="10"/>
  <c r="BD67" i="4"/>
  <c r="BD69" i="4" s="1"/>
  <c r="BD71" i="4" s="1"/>
  <c r="AV8" i="10" s="1"/>
  <c r="BD63" i="4"/>
  <c r="BE59" i="4" s="1"/>
  <c r="BE61" i="4" s="1"/>
  <c r="AV10" i="10" l="1"/>
  <c r="AV9" i="10"/>
  <c r="AU31" i="10"/>
  <c r="AU17" i="10"/>
  <c r="AU21" i="10"/>
  <c r="AU16" i="10"/>
  <c r="P25" i="10"/>
  <c r="O32" i="10"/>
  <c r="O33" i="10" s="1"/>
  <c r="O51" i="10"/>
  <c r="O54" i="10" s="1"/>
  <c r="BE62" i="4"/>
  <c r="BE65" i="4"/>
  <c r="P30" i="10" l="1"/>
  <c r="O68" i="10"/>
  <c r="O55" i="10"/>
  <c r="O56" i="10" s="1"/>
  <c r="O52" i="10"/>
  <c r="P40" i="10"/>
  <c r="AV13" i="10"/>
  <c r="AV14" i="10"/>
  <c r="AV15" i="10"/>
  <c r="BE67" i="4"/>
  <c r="BE69" i="4" s="1"/>
  <c r="BE71" i="4" s="1"/>
  <c r="AW8" i="10" s="1"/>
  <c r="BE63" i="4"/>
  <c r="BF59" i="4" s="1"/>
  <c r="BF61" i="4" s="1"/>
  <c r="AW10" i="10" l="1"/>
  <c r="AW9" i="10"/>
  <c r="AV31" i="10"/>
  <c r="AV17" i="10"/>
  <c r="AV21" i="10"/>
  <c r="AV16" i="10"/>
  <c r="P26" i="10"/>
  <c r="P27" i="10" s="1"/>
  <c r="Q24" i="10" s="1"/>
  <c r="P41" i="10"/>
  <c r="O58" i="10"/>
  <c r="O60" i="10" s="1"/>
  <c r="O64" i="10"/>
  <c r="O66" i="10" s="1"/>
  <c r="O53" i="10"/>
  <c r="P35" i="10"/>
  <c r="BF62" i="4"/>
  <c r="BF65" i="4"/>
  <c r="P42" i="10" l="1"/>
  <c r="P49" i="10" s="1"/>
  <c r="O57" i="10"/>
  <c r="O59" i="10" s="1"/>
  <c r="O63" i="10"/>
  <c r="O65" i="10" s="1"/>
  <c r="O67" i="10" s="1"/>
  <c r="AW13" i="10"/>
  <c r="AW14" i="10"/>
  <c r="AW15" i="10"/>
  <c r="BF63" i="4"/>
  <c r="BG59" i="4" s="1"/>
  <c r="BG61" i="4" s="1"/>
  <c r="BF67" i="4"/>
  <c r="BF69" i="4" s="1"/>
  <c r="BF71" i="4" s="1"/>
  <c r="AX8" i="10" s="1"/>
  <c r="AX9" i="10" l="1"/>
  <c r="AX10" i="10"/>
  <c r="AW31" i="10"/>
  <c r="AW17" i="10"/>
  <c r="AW21" i="10"/>
  <c r="AW16" i="10"/>
  <c r="P43" i="10"/>
  <c r="P48" i="10"/>
  <c r="P50" i="10" s="1"/>
  <c r="P36" i="10"/>
  <c r="P37" i="10" s="1"/>
  <c r="Q34" i="10" s="1"/>
  <c r="BG62" i="4"/>
  <c r="BG65" i="4"/>
  <c r="P44" i="10" l="1"/>
  <c r="AX13" i="10"/>
  <c r="AX14" i="10"/>
  <c r="AX15" i="10"/>
  <c r="BG63" i="4"/>
  <c r="BH59" i="4" s="1"/>
  <c r="BH61" i="4" s="1"/>
  <c r="BG67" i="4"/>
  <c r="BG69" i="4" s="1"/>
  <c r="BG71" i="4" s="1"/>
  <c r="AY8" i="10" s="1"/>
  <c r="AY9" i="10" l="1"/>
  <c r="AY10" i="10"/>
  <c r="AX31" i="10"/>
  <c r="AX17" i="10"/>
  <c r="AX21" i="10"/>
  <c r="AX16" i="10"/>
  <c r="P22" i="10"/>
  <c r="P23" i="10" s="1"/>
  <c r="P45" i="10"/>
  <c r="BH62" i="4"/>
  <c r="BH65" i="4"/>
  <c r="P46" i="10" l="1"/>
  <c r="Q20" i="10"/>
  <c r="AY13" i="10"/>
  <c r="AY14" i="10"/>
  <c r="AY15" i="10"/>
  <c r="BH67" i="4"/>
  <c r="BH69" i="4" s="1"/>
  <c r="BH71" i="4" s="1"/>
  <c r="AZ8" i="10" s="1"/>
  <c r="BH63" i="4"/>
  <c r="BI59" i="4" s="1"/>
  <c r="BI61" i="4" s="1"/>
  <c r="AZ10" i="10" l="1"/>
  <c r="AZ9" i="10"/>
  <c r="AY31" i="10"/>
  <c r="AY17" i="10"/>
  <c r="AY21" i="10"/>
  <c r="AY16" i="10"/>
  <c r="Q25" i="10"/>
  <c r="P32" i="10"/>
  <c r="P33" i="10" s="1"/>
  <c r="P47" i="10"/>
  <c r="BI62" i="4"/>
  <c r="BI65" i="4"/>
  <c r="Q30" i="10" l="1"/>
  <c r="P68" i="10"/>
  <c r="P51" i="10"/>
  <c r="Q40" i="10"/>
  <c r="AZ13" i="10"/>
  <c r="AZ14" i="10"/>
  <c r="AZ15" i="10"/>
  <c r="BI63" i="4"/>
  <c r="BJ59" i="4" s="1"/>
  <c r="BJ61" i="4" s="1"/>
  <c r="BI67" i="4"/>
  <c r="AZ31" i="10" l="1"/>
  <c r="AZ17" i="10"/>
  <c r="Q26" i="10"/>
  <c r="Q27" i="10" s="1"/>
  <c r="R24" i="10" s="1"/>
  <c r="Q41" i="10"/>
  <c r="AZ21" i="10"/>
  <c r="AZ16" i="10"/>
  <c r="P52" i="10"/>
  <c r="P53" i="10" s="1"/>
  <c r="P54" i="10"/>
  <c r="Q35" i="10"/>
  <c r="BJ62" i="4"/>
  <c r="BI69" i="4"/>
  <c r="BJ65" i="4"/>
  <c r="Q42" i="10" l="1"/>
  <c r="Q43" i="10" s="1"/>
  <c r="P55" i="10"/>
  <c r="P57" i="10" s="1"/>
  <c r="P59" i="10" s="1"/>
  <c r="BI71" i="4"/>
  <c r="BA8" i="10" s="1"/>
  <c r="BJ63" i="4"/>
  <c r="BK59" i="4" s="1"/>
  <c r="BK61" i="4" s="1"/>
  <c r="Q48" i="10" l="1"/>
  <c r="BA10" i="10"/>
  <c r="BA9" i="10"/>
  <c r="Q44" i="10"/>
  <c r="P56" i="10"/>
  <c r="Q36" i="10"/>
  <c r="Q37" i="10" s="1"/>
  <c r="R34" i="10" s="1"/>
  <c r="P63" i="10"/>
  <c r="P65" i="10" s="1"/>
  <c r="BK62" i="4"/>
  <c r="BK65" i="4"/>
  <c r="BJ67" i="4"/>
  <c r="P58" i="10" l="1"/>
  <c r="P60" i="10" s="1"/>
  <c r="P64" i="10"/>
  <c r="P66" i="10" s="1"/>
  <c r="P67" i="10" s="1"/>
  <c r="Q22" i="10"/>
  <c r="Q23" i="10" s="1"/>
  <c r="Q45" i="10"/>
  <c r="BA14" i="10"/>
  <c r="BA13" i="10"/>
  <c r="BA15" i="10"/>
  <c r="BK67" i="4"/>
  <c r="BK69" i="4" s="1"/>
  <c r="BK71" i="4" s="1"/>
  <c r="BC8" i="10" s="1"/>
  <c r="BK63" i="4"/>
  <c r="BL59" i="4" s="1"/>
  <c r="BL61" i="4" s="1"/>
  <c r="BJ69" i="4"/>
  <c r="BL65" i="4" l="1"/>
  <c r="BA21" i="10"/>
  <c r="BA16" i="10"/>
  <c r="Q46" i="10"/>
  <c r="R20" i="10"/>
  <c r="BC9" i="10"/>
  <c r="BC10" i="10"/>
  <c r="BA31" i="10"/>
  <c r="BA17" i="10"/>
  <c r="Q49" i="10"/>
  <c r="Q50" i="10" s="1"/>
  <c r="BL62" i="4"/>
  <c r="BJ71" i="4"/>
  <c r="BB8" i="10" s="1"/>
  <c r="Q32" i="10" l="1"/>
  <c r="Q33" i="10" s="1"/>
  <c r="BB10" i="10"/>
  <c r="BB9" i="10"/>
  <c r="BC15" i="10" s="1"/>
  <c r="BC13" i="10"/>
  <c r="BC14" i="10"/>
  <c r="R25" i="10"/>
  <c r="Q47" i="10"/>
  <c r="BL63" i="4"/>
  <c r="BM59" i="4" s="1"/>
  <c r="BM61" i="4" s="1"/>
  <c r="BL67" i="4"/>
  <c r="BM62" i="4" l="1"/>
  <c r="BM63" i="4" s="1"/>
  <c r="BN59" i="4" s="1"/>
  <c r="BN61" i="4" s="1"/>
  <c r="Q51" i="10"/>
  <c r="Q54" i="10" s="1"/>
  <c r="BC31" i="10"/>
  <c r="R40" i="10"/>
  <c r="BC21" i="10"/>
  <c r="BB14" i="10"/>
  <c r="BC17" i="10" s="1"/>
  <c r="BB13" i="10"/>
  <c r="BB15" i="10"/>
  <c r="R30" i="10"/>
  <c r="Q68" i="10"/>
  <c r="BM65" i="4"/>
  <c r="BL69" i="4"/>
  <c r="BB21" i="10" l="1"/>
  <c r="BB16" i="10"/>
  <c r="BC16" i="10"/>
  <c r="Q55" i="10"/>
  <c r="Q56" i="10" s="1"/>
  <c r="R35" i="10"/>
  <c r="BB31" i="10"/>
  <c r="BB17" i="10"/>
  <c r="R26" i="10"/>
  <c r="R27" i="10" s="1"/>
  <c r="S24" i="10" s="1"/>
  <c r="R41" i="10"/>
  <c r="Q52" i="10"/>
  <c r="Q53" i="10" s="1"/>
  <c r="BN62" i="4"/>
  <c r="BN65" i="4"/>
  <c r="BL71" i="4"/>
  <c r="BD8" i="10" s="1"/>
  <c r="BM67" i="4"/>
  <c r="Q57" i="10" l="1"/>
  <c r="Q59" i="10" s="1"/>
  <c r="Q63" i="10"/>
  <c r="Q65" i="10" s="1"/>
  <c r="Q58" i="10"/>
  <c r="Q60" i="10" s="1"/>
  <c r="Q64" i="10"/>
  <c r="Q66" i="10" s="1"/>
  <c r="R42" i="10"/>
  <c r="BD9" i="10"/>
  <c r="BD10" i="10"/>
  <c r="BN67" i="4"/>
  <c r="BN69" i="4" s="1"/>
  <c r="BN71" i="4" s="1"/>
  <c r="BF8" i="10" s="1"/>
  <c r="BM69" i="4"/>
  <c r="BN63" i="4"/>
  <c r="BO59" i="4" s="1"/>
  <c r="BO61" i="4" s="1"/>
  <c r="R36" i="10" l="1"/>
  <c r="R37" i="10" s="1"/>
  <c r="S34" i="10" s="1"/>
  <c r="R49" i="10"/>
  <c r="BF9" i="10"/>
  <c r="BF10" i="10"/>
  <c r="BD13" i="10"/>
  <c r="BD14" i="10"/>
  <c r="BD15" i="10"/>
  <c r="R43" i="10"/>
  <c r="Q67" i="10"/>
  <c r="R48" i="10"/>
  <c r="BO62" i="4"/>
  <c r="BO65" i="4"/>
  <c r="BM71" i="4"/>
  <c r="BE8" i="10" s="1"/>
  <c r="R50" i="10" l="1"/>
  <c r="R44" i="10"/>
  <c r="BD31" i="10"/>
  <c r="BD17" i="10"/>
  <c r="BD21" i="10"/>
  <c r="BD16" i="10"/>
  <c r="BF14" i="10"/>
  <c r="BF13" i="10"/>
  <c r="BE9" i="10"/>
  <c r="BF15" i="10" s="1"/>
  <c r="BE10" i="10"/>
  <c r="BO63" i="4"/>
  <c r="BP59" i="4" s="1"/>
  <c r="BP61" i="4" s="1"/>
  <c r="BO67" i="4"/>
  <c r="BE14" i="10" l="1"/>
  <c r="BF17" i="10" s="1"/>
  <c r="BE13" i="10"/>
  <c r="BF16" i="10" s="1"/>
  <c r="BE15" i="10"/>
  <c r="BF21" i="10"/>
  <c r="BF31" i="10"/>
  <c r="R22" i="10"/>
  <c r="R23" i="10" s="1"/>
  <c r="R45" i="10"/>
  <c r="BP62" i="4"/>
  <c r="BP63" i="4" s="1"/>
  <c r="BQ59" i="4" s="1"/>
  <c r="BQ61" i="4" s="1"/>
  <c r="BP65" i="4"/>
  <c r="BO69" i="4"/>
  <c r="R46" i="10" l="1"/>
  <c r="S20" i="10"/>
  <c r="BE21" i="10"/>
  <c r="BE16" i="10"/>
  <c r="BE31" i="10"/>
  <c r="BE17" i="10"/>
  <c r="BQ62" i="4"/>
  <c r="BQ65" i="4"/>
  <c r="BO71" i="4"/>
  <c r="BG8" i="10" s="1"/>
  <c r="BP67" i="4"/>
  <c r="BP69" i="4" s="1"/>
  <c r="BP71" i="4" s="1"/>
  <c r="BH8" i="10" s="1"/>
  <c r="BH9" i="10" l="1"/>
  <c r="BH10" i="10"/>
  <c r="R32" i="10"/>
  <c r="R33" i="10" s="1"/>
  <c r="BG9" i="10"/>
  <c r="BG10" i="10"/>
  <c r="S25" i="10"/>
  <c r="R47" i="10"/>
  <c r="BQ67" i="4"/>
  <c r="BQ69" i="4" s="1"/>
  <c r="BQ71" i="4" s="1"/>
  <c r="BI8" i="10" s="1"/>
  <c r="BI10" i="10" l="1"/>
  <c r="BI9" i="10"/>
  <c r="R51" i="10"/>
  <c r="R54" i="10" s="1"/>
  <c r="S40" i="10"/>
  <c r="BG14" i="10"/>
  <c r="BG13" i="10"/>
  <c r="BG15" i="10"/>
  <c r="S30" i="10"/>
  <c r="R68" i="10"/>
  <c r="BH14" i="10"/>
  <c r="BH13" i="10"/>
  <c r="BH15" i="10"/>
  <c r="BQ63" i="4"/>
  <c r="BR59" i="4" s="1"/>
  <c r="BR61" i="4" s="1"/>
  <c r="BH31" i="10" l="1"/>
  <c r="BH17" i="10"/>
  <c r="S35" i="10"/>
  <c r="BG21" i="10"/>
  <c r="BG16" i="10"/>
  <c r="S26" i="10"/>
  <c r="S27" i="10" s="1"/>
  <c r="T24" i="10" s="1"/>
  <c r="S41" i="10"/>
  <c r="R52" i="10"/>
  <c r="R53" i="10" s="1"/>
  <c r="BI14" i="10"/>
  <c r="BI13" i="10"/>
  <c r="BI15" i="10"/>
  <c r="BH21" i="10"/>
  <c r="BH16" i="10"/>
  <c r="BG31" i="10"/>
  <c r="BG17" i="10"/>
  <c r="R55" i="10"/>
  <c r="R56" i="10" s="1"/>
  <c r="BR62" i="4"/>
  <c r="BR65" i="4"/>
  <c r="R57" i="10" l="1"/>
  <c r="R59" i="10" s="1"/>
  <c r="R63" i="10"/>
  <c r="R65" i="10" s="1"/>
  <c r="BI21" i="10"/>
  <c r="BI16" i="10"/>
  <c r="BI31" i="10"/>
  <c r="BI17" i="10"/>
  <c r="R58" i="10"/>
  <c r="R60" i="10" s="1"/>
  <c r="R64" i="10"/>
  <c r="R66" i="10" s="1"/>
  <c r="S42" i="10"/>
  <c r="BR67" i="4"/>
  <c r="BR69" i="4" s="1"/>
  <c r="BR71" i="4" s="1"/>
  <c r="BJ8" i="10" s="1"/>
  <c r="BR63" i="4"/>
  <c r="BS59" i="4" s="1"/>
  <c r="BS61" i="4" s="1"/>
  <c r="BJ10" i="10" l="1"/>
  <c r="BJ9" i="10"/>
  <c r="R67" i="10"/>
  <c r="S36" i="10"/>
  <c r="S37" i="10" s="1"/>
  <c r="T34" i="10" s="1"/>
  <c r="S43" i="10"/>
  <c r="S49" i="10"/>
  <c r="S48" i="10"/>
  <c r="BS62" i="4"/>
  <c r="BS65" i="4"/>
  <c r="S50" i="10" l="1"/>
  <c r="S44" i="10"/>
  <c r="BJ14" i="10"/>
  <c r="BJ13" i="10"/>
  <c r="BJ15" i="10"/>
  <c r="BS67" i="4"/>
  <c r="BS69" i="4" s="1"/>
  <c r="BS71" i="4" s="1"/>
  <c r="BK8" i="10" s="1"/>
  <c r="BS63" i="4"/>
  <c r="BT59" i="4" s="1"/>
  <c r="BT61" i="4" s="1"/>
  <c r="BK9" i="10" l="1"/>
  <c r="BK10" i="10"/>
  <c r="BJ21" i="10"/>
  <c r="BJ16" i="10"/>
  <c r="BJ31" i="10"/>
  <c r="BJ17" i="10"/>
  <c r="S22" i="10"/>
  <c r="S23" i="10" s="1"/>
  <c r="S45" i="10"/>
  <c r="BT62" i="4"/>
  <c r="BT65" i="4"/>
  <c r="S46" i="10" l="1"/>
  <c r="T20" i="10"/>
  <c r="BK13" i="10"/>
  <c r="BK14" i="10"/>
  <c r="BK15" i="10"/>
  <c r="BT67" i="4"/>
  <c r="BT69" i="4" s="1"/>
  <c r="BT71" i="4" s="1"/>
  <c r="BL8" i="10" s="1"/>
  <c r="BT63" i="4"/>
  <c r="BU59" i="4" s="1"/>
  <c r="BU61" i="4" s="1"/>
  <c r="BL10" i="10" l="1"/>
  <c r="BL9" i="10"/>
  <c r="B77" i="10" s="1"/>
  <c r="BK31" i="10"/>
  <c r="BK17" i="10"/>
  <c r="S32" i="10"/>
  <c r="S33" i="10" s="1"/>
  <c r="BK21" i="10"/>
  <c r="BK16" i="10"/>
  <c r="T25" i="10"/>
  <c r="S47" i="10"/>
  <c r="BU62" i="4"/>
  <c r="BU63" i="4" s="1"/>
  <c r="BV59" i="4" s="1"/>
  <c r="BV61" i="4" s="1"/>
  <c r="BU65" i="4"/>
  <c r="T40" i="10" l="1"/>
  <c r="BL13" i="10"/>
  <c r="B78" i="10" s="1"/>
  <c r="BL14" i="10"/>
  <c r="B79" i="10" s="1"/>
  <c r="BL15" i="10"/>
  <c r="S51" i="10"/>
  <c r="S54" i="10" s="1"/>
  <c r="T30" i="10"/>
  <c r="S68" i="10"/>
  <c r="BV62" i="4"/>
  <c r="BU67" i="4"/>
  <c r="BU69" i="4" s="1"/>
  <c r="BV65" i="4"/>
  <c r="S55" i="10" l="1"/>
  <c r="S56" i="10" s="1"/>
  <c r="T26" i="10"/>
  <c r="T27" i="10" s="1"/>
  <c r="U24" i="10" s="1"/>
  <c r="T41" i="10"/>
  <c r="T35" i="10"/>
  <c r="S52" i="10"/>
  <c r="BL31" i="10"/>
  <c r="BL17" i="10"/>
  <c r="BL21" i="10"/>
  <c r="BL16" i="10"/>
  <c r="BU71" i="4"/>
  <c r="S58" i="10" l="1"/>
  <c r="S60" i="10" s="1"/>
  <c r="S64" i="10"/>
  <c r="S66" i="10" s="1"/>
  <c r="S53" i="10"/>
  <c r="T42" i="10"/>
  <c r="T43" i="10" s="1"/>
  <c r="BV67" i="4"/>
  <c r="BV63" i="4"/>
  <c r="BW59" i="4" s="1"/>
  <c r="BW61" i="4" s="1"/>
  <c r="T44" i="10" l="1"/>
  <c r="T36" i="10"/>
  <c r="T37" i="10" s="1"/>
  <c r="U34" i="10" s="1"/>
  <c r="S57" i="10"/>
  <c r="S59" i="10" s="1"/>
  <c r="S63" i="10"/>
  <c r="S65" i="10" s="1"/>
  <c r="S67" i="10" s="1"/>
  <c r="T49" i="10"/>
  <c r="BW62" i="4"/>
  <c r="BW63" i="4" s="1"/>
  <c r="BX59" i="4" s="1"/>
  <c r="BX61" i="4" s="1"/>
  <c r="BW65" i="4"/>
  <c r="BV69" i="4"/>
  <c r="T48" i="10" l="1"/>
  <c r="T50" i="10" s="1"/>
  <c r="T22" i="10"/>
  <c r="T23" i="10" s="1"/>
  <c r="T45" i="10"/>
  <c r="BX62" i="4"/>
  <c r="BX65" i="4"/>
  <c r="BV71" i="4"/>
  <c r="BW67" i="4"/>
  <c r="T46" i="10" l="1"/>
  <c r="U20" i="10"/>
  <c r="BX63" i="4"/>
  <c r="BY59" i="4" s="1"/>
  <c r="BY61" i="4" s="1"/>
  <c r="BX67" i="4"/>
  <c r="BX69" i="4" s="1"/>
  <c r="BX71" i="4" s="1"/>
  <c r="BW69" i="4"/>
  <c r="BY62" i="4" l="1"/>
  <c r="U25" i="10"/>
  <c r="T32" i="10"/>
  <c r="T33" i="10" s="1"/>
  <c r="T47" i="10"/>
  <c r="BY65" i="4"/>
  <c r="BW71" i="4"/>
  <c r="U30" i="10" l="1"/>
  <c r="T68" i="10"/>
  <c r="T51" i="10"/>
  <c r="T54" i="10" s="1"/>
  <c r="U40" i="10"/>
  <c r="BY67" i="4"/>
  <c r="BY63" i="4"/>
  <c r="BZ59" i="4" s="1"/>
  <c r="BZ61" i="4" s="1"/>
  <c r="U26" i="10" l="1"/>
  <c r="U27" i="10" s="1"/>
  <c r="V24" i="10" s="1"/>
  <c r="U41" i="10"/>
  <c r="T55" i="10"/>
  <c r="T56" i="10" s="1"/>
  <c r="T52" i="10"/>
  <c r="U35" i="10"/>
  <c r="BZ62" i="4"/>
  <c r="BZ65" i="4"/>
  <c r="BY69" i="4"/>
  <c r="U42" i="10" l="1"/>
  <c r="U43" i="10" s="1"/>
  <c r="T58" i="10"/>
  <c r="T60" i="10" s="1"/>
  <c r="T64" i="10"/>
  <c r="T66" i="10" s="1"/>
  <c r="T53" i="10"/>
  <c r="BY71" i="4"/>
  <c r="BZ67" i="4"/>
  <c r="U44" i="10" l="1"/>
  <c r="T57" i="10"/>
  <c r="T59" i="10" s="1"/>
  <c r="T63" i="10"/>
  <c r="T65" i="10" s="1"/>
  <c r="T67" i="10" s="1"/>
  <c r="U49" i="10"/>
  <c r="U36" i="10"/>
  <c r="U37" i="10" s="1"/>
  <c r="V34" i="10" s="1"/>
  <c r="BZ69" i="4"/>
  <c r="BZ63" i="4"/>
  <c r="CA59" i="4" s="1"/>
  <c r="CA61" i="4" s="1"/>
  <c r="U22" i="10" l="1"/>
  <c r="U23" i="10" s="1"/>
  <c r="U48" i="10"/>
  <c r="U50" i="10" s="1"/>
  <c r="U45" i="10"/>
  <c r="CA62" i="4"/>
  <c r="CA65" i="4"/>
  <c r="BZ71" i="4"/>
  <c r="U46" i="10" l="1"/>
  <c r="V20" i="10"/>
  <c r="CA63" i="4"/>
  <c r="CB59" i="4" s="1"/>
  <c r="CB61" i="4" s="1"/>
  <c r="U32" i="10" l="1"/>
  <c r="U33" i="10" s="1"/>
  <c r="V25" i="10"/>
  <c r="U47" i="10"/>
  <c r="CB62" i="4"/>
  <c r="CB65" i="4"/>
  <c r="CA67" i="4"/>
  <c r="CA69" i="4" s="1"/>
  <c r="CA71" i="4" s="1"/>
  <c r="U51" i="10" l="1"/>
  <c r="V40" i="10"/>
  <c r="V30" i="10"/>
  <c r="U68" i="10"/>
  <c r="CB67" i="4"/>
  <c r="CB69" i="4" s="1"/>
  <c r="CB71" i="4" s="1"/>
  <c r="V35" i="10" l="1"/>
  <c r="V26" i="10"/>
  <c r="V27" i="10" s="1"/>
  <c r="W24" i="10" s="1"/>
  <c r="V41" i="10"/>
  <c r="U52" i="10"/>
  <c r="U54" i="10"/>
  <c r="CB63" i="4"/>
  <c r="CC59" i="4" s="1"/>
  <c r="CC61" i="4" s="1"/>
  <c r="U55" i="10" l="1"/>
  <c r="U56" i="10" s="1"/>
  <c r="U53" i="10"/>
  <c r="V42" i="10"/>
  <c r="CC62" i="4"/>
  <c r="CC65" i="4"/>
  <c r="U58" i="10" l="1"/>
  <c r="U60" i="10" s="1"/>
  <c r="U64" i="10"/>
  <c r="U66" i="10" s="1"/>
  <c r="V36" i="10"/>
  <c r="V37" i="10" s="1"/>
  <c r="W34" i="10" s="1"/>
  <c r="U57" i="10"/>
  <c r="U59" i="10" s="1"/>
  <c r="U63" i="10"/>
  <c r="U65" i="10" s="1"/>
  <c r="V43" i="10"/>
  <c r="CC67" i="4"/>
  <c r="CC69" i="4" s="1"/>
  <c r="CC71" i="4" s="1"/>
  <c r="CC63" i="4"/>
  <c r="CD59" i="4" s="1"/>
  <c r="CD61" i="4" s="1"/>
  <c r="U67" i="10" l="1"/>
  <c r="V44" i="10"/>
  <c r="V48" i="10"/>
  <c r="V49" i="10"/>
  <c r="CD62" i="4"/>
  <c r="CD65" i="4"/>
  <c r="V50" i="10" l="1"/>
  <c r="V22" i="10"/>
  <c r="V23" i="10" s="1"/>
  <c r="V45" i="10"/>
  <c r="CD67" i="4"/>
  <c r="CD69" i="4" s="1"/>
  <c r="CD71" i="4" s="1"/>
  <c r="CD63" i="4"/>
  <c r="CE59" i="4" s="1"/>
  <c r="CE61" i="4" s="1"/>
  <c r="CE65" i="4" l="1"/>
  <c r="V46" i="10"/>
  <c r="W20" i="10"/>
  <c r="CE62" i="4"/>
  <c r="W25" i="10" l="1"/>
  <c r="V32" i="10"/>
  <c r="V33" i="10" s="1"/>
  <c r="V47" i="10"/>
  <c r="CE67" i="4"/>
  <c r="CE69" i="4" s="1"/>
  <c r="CE71" i="4" s="1"/>
  <c r="CE63" i="4"/>
  <c r="CF59" i="4" s="1"/>
  <c r="CF61" i="4" s="1"/>
  <c r="E65" i="4"/>
  <c r="F65" i="4"/>
  <c r="G65" i="4"/>
  <c r="H65" i="4"/>
  <c r="I65" i="4"/>
  <c r="V51" i="10" l="1"/>
  <c r="W30" i="10"/>
  <c r="V68" i="10"/>
  <c r="W40" i="10"/>
  <c r="CF62" i="4"/>
  <c r="CF65" i="4"/>
  <c r="J65" i="4" s="1"/>
  <c r="E61" i="4"/>
  <c r="F61" i="4"/>
  <c r="G61" i="4"/>
  <c r="H61" i="4"/>
  <c r="I61" i="4"/>
  <c r="V52" i="10" l="1"/>
  <c r="W26" i="10"/>
  <c r="W27" i="10" s="1"/>
  <c r="X24" i="10" s="1"/>
  <c r="W41" i="10"/>
  <c r="W35" i="10"/>
  <c r="V54" i="10"/>
  <c r="J61" i="4"/>
  <c r="CF67" i="4"/>
  <c r="E62" i="4"/>
  <c r="E63" i="4" s="1"/>
  <c r="F59" i="4" s="1"/>
  <c r="F62" i="4"/>
  <c r="G62" i="4"/>
  <c r="H62" i="4"/>
  <c r="I62" i="4"/>
  <c r="J62" i="4"/>
  <c r="CF63" i="4"/>
  <c r="W42" i="10" l="1"/>
  <c r="W43" i="10" s="1"/>
  <c r="V55" i="10"/>
  <c r="V56" i="10" s="1"/>
  <c r="V53" i="10"/>
  <c r="F63" i="4"/>
  <c r="G59" i="4" s="1"/>
  <c r="G63" i="4" s="1"/>
  <c r="H59" i="4" s="1"/>
  <c r="H63" i="4" s="1"/>
  <c r="I59" i="4" s="1"/>
  <c r="I63" i="4" s="1"/>
  <c r="J59" i="4" s="1"/>
  <c r="J63" i="4" s="1"/>
  <c r="CF69" i="4"/>
  <c r="E67" i="4"/>
  <c r="F67" i="4"/>
  <c r="G67" i="4"/>
  <c r="H67" i="4"/>
  <c r="I67" i="4"/>
  <c r="J67" i="4"/>
  <c r="V58" i="10" l="1"/>
  <c r="V60" i="10" s="1"/>
  <c r="V64" i="10"/>
  <c r="V66" i="10" s="1"/>
  <c r="V57" i="10"/>
  <c r="V59" i="10" s="1"/>
  <c r="V63" i="10"/>
  <c r="V65" i="10" s="1"/>
  <c r="W44" i="10"/>
  <c r="W36" i="10"/>
  <c r="W37" i="10" s="1"/>
  <c r="X34" i="10" s="1"/>
  <c r="CF71" i="4"/>
  <c r="B73" i="4" s="1"/>
  <c r="E69" i="4"/>
  <c r="F69" i="4"/>
  <c r="G69" i="4"/>
  <c r="H69" i="4"/>
  <c r="I69" i="4"/>
  <c r="J69" i="4"/>
  <c r="V67" i="10" l="1"/>
  <c r="W22" i="10"/>
  <c r="W23" i="10" s="1"/>
  <c r="W45" i="10"/>
  <c r="W48" i="10"/>
  <c r="W49" i="10"/>
  <c r="B74" i="4"/>
  <c r="B75" i="4" s="1"/>
  <c r="B36" i="7" s="1"/>
  <c r="B72" i="4"/>
  <c r="B102" i="1" s="1"/>
  <c r="E71" i="4"/>
  <c r="F71" i="4"/>
  <c r="G71" i="4"/>
  <c r="H71" i="4"/>
  <c r="I71" i="4"/>
  <c r="J71" i="4"/>
  <c r="B82" i="1" l="1"/>
  <c r="B92" i="1"/>
  <c r="W50" i="10"/>
  <c r="W46" i="10"/>
  <c r="X20" i="10"/>
  <c r="C36" i="7"/>
  <c r="B35" i="7"/>
  <c r="C35" i="7" s="1"/>
  <c r="X25" i="10" l="1"/>
  <c r="W32" i="10"/>
  <c r="W33" i="10" s="1"/>
  <c r="W47" i="10"/>
  <c r="W51" i="10" l="1"/>
  <c r="W54" i="10" s="1"/>
  <c r="X30" i="10"/>
  <c r="W68" i="10"/>
  <c r="X40" i="10"/>
  <c r="W55" i="10" l="1"/>
  <c r="W56" i="10" s="1"/>
  <c r="X26" i="10"/>
  <c r="X27" i="10" s="1"/>
  <c r="Y24" i="10" s="1"/>
  <c r="X41" i="10"/>
  <c r="X35" i="10"/>
  <c r="W52" i="10"/>
  <c r="W58" i="10" l="1"/>
  <c r="W60" i="10" s="1"/>
  <c r="W64" i="10"/>
  <c r="W66" i="10" s="1"/>
  <c r="W53" i="10"/>
  <c r="X42" i="10"/>
  <c r="X43" i="10" s="1"/>
  <c r="X44" i="10" l="1"/>
  <c r="X36" i="10"/>
  <c r="X37" i="10" s="1"/>
  <c r="Y34" i="10" s="1"/>
  <c r="W57" i="10"/>
  <c r="W59" i="10" s="1"/>
  <c r="W63" i="10"/>
  <c r="W65" i="10" s="1"/>
  <c r="W67" i="10" s="1"/>
  <c r="X49" i="10"/>
  <c r="X48" i="10" l="1"/>
  <c r="X50" i="10" s="1"/>
  <c r="X22" i="10"/>
  <c r="X23" i="10" s="1"/>
  <c r="X45" i="10"/>
  <c r="X46" i="10" l="1"/>
  <c r="Y20" i="10"/>
  <c r="Y25" i="10" l="1"/>
  <c r="X32" i="10"/>
  <c r="X33" i="10" s="1"/>
  <c r="X47" i="10"/>
  <c r="X51" i="10" l="1"/>
  <c r="Y30" i="10"/>
  <c r="X68" i="10"/>
  <c r="Y40" i="10"/>
  <c r="Y26" i="10" l="1"/>
  <c r="Y27" i="10" s="1"/>
  <c r="Z24" i="10" s="1"/>
  <c r="Y41" i="10"/>
  <c r="Y35" i="10"/>
  <c r="X52" i="10"/>
  <c r="X53" i="10" s="1"/>
  <c r="X54" i="10"/>
  <c r="X55" i="10" l="1"/>
  <c r="X57" i="10" s="1"/>
  <c r="X59" i="10" s="1"/>
  <c r="Y42" i="10"/>
  <c r="Y48" i="10" l="1"/>
  <c r="Y36" i="10"/>
  <c r="Y37" i="10" s="1"/>
  <c r="Z34" i="10" s="1"/>
  <c r="X56" i="10"/>
  <c r="Y43" i="10"/>
  <c r="X63" i="10"/>
  <c r="X65" i="10" s="1"/>
  <c r="Y44" i="10" l="1"/>
  <c r="X58" i="10"/>
  <c r="X60" i="10" s="1"/>
  <c r="X64" i="10"/>
  <c r="X66" i="10" s="1"/>
  <c r="X67" i="10" s="1"/>
  <c r="Y49" i="10" l="1"/>
  <c r="Y50" i="10" s="1"/>
  <c r="Y22" i="10"/>
  <c r="Y23" i="10" s="1"/>
  <c r="Y45" i="10"/>
  <c r="Y46" i="10" l="1"/>
  <c r="Z20" i="10"/>
  <c r="Z25" i="10" l="1"/>
  <c r="Y32" i="10"/>
  <c r="Y33" i="10" s="1"/>
  <c r="Y47" i="10"/>
  <c r="Y51" i="10" l="1"/>
  <c r="Z30" i="10"/>
  <c r="Y68" i="10"/>
  <c r="Z40" i="10"/>
  <c r="Z35" i="10" l="1"/>
  <c r="Z26" i="10"/>
  <c r="Z27" i="10" s="1"/>
  <c r="AA24" i="10" s="1"/>
  <c r="Z41" i="10"/>
  <c r="Y52" i="10"/>
  <c r="Y53" i="10" s="1"/>
  <c r="Y54" i="10"/>
  <c r="Y55" i="10" l="1"/>
  <c r="Y56" i="10" s="1"/>
  <c r="Z42" i="10"/>
  <c r="Y58" i="10" l="1"/>
  <c r="Y60" i="10" s="1"/>
  <c r="Y64" i="10"/>
  <c r="Y66" i="10" s="1"/>
  <c r="Z36" i="10"/>
  <c r="Z37" i="10" s="1"/>
  <c r="AA34" i="10" s="1"/>
  <c r="Z43" i="10"/>
  <c r="Y63" i="10"/>
  <c r="Y65" i="10" s="1"/>
  <c r="Y57" i="10"/>
  <c r="Y59" i="10" s="1"/>
  <c r="Y67" i="10" l="1"/>
  <c r="Z44" i="10"/>
  <c r="Z48" i="10"/>
  <c r="Z49" i="10"/>
  <c r="Z50" i="10" l="1"/>
  <c r="Z22" i="10"/>
  <c r="Z23" i="10" s="1"/>
  <c r="Z45" i="10"/>
  <c r="Z46" i="10" l="1"/>
  <c r="AA20" i="10"/>
  <c r="AA25" i="10" l="1"/>
  <c r="Z32" i="10"/>
  <c r="Z33" i="10" s="1"/>
  <c r="Z47" i="10"/>
  <c r="AA30" i="10" l="1"/>
  <c r="Z68" i="10"/>
  <c r="Z51" i="10"/>
  <c r="AA40" i="10"/>
  <c r="AA26" i="10" l="1"/>
  <c r="AA27" i="10" s="1"/>
  <c r="AB24" i="10" s="1"/>
  <c r="AA41" i="10"/>
  <c r="Z52" i="10"/>
  <c r="Z53" i="10" s="1"/>
  <c r="Z54" i="10"/>
  <c r="AA35" i="10"/>
  <c r="AA42" i="10" l="1"/>
  <c r="AA43" i="10" s="1"/>
  <c r="Z55" i="10"/>
  <c r="Z56" i="10" s="1"/>
  <c r="Z63" i="10" l="1"/>
  <c r="Z65" i="10" s="1"/>
  <c r="Z58" i="10"/>
  <c r="Z60" i="10" s="1"/>
  <c r="Z64" i="10"/>
  <c r="Z66" i="10" s="1"/>
  <c r="AA44" i="10"/>
  <c r="Z57" i="10"/>
  <c r="Z59" i="10" s="1"/>
  <c r="AA36" i="10"/>
  <c r="AA37" i="10" s="1"/>
  <c r="AB34" i="10" s="1"/>
  <c r="Z67" i="10" l="1"/>
  <c r="AA22" i="10"/>
  <c r="AA23" i="10" s="1"/>
  <c r="AA48" i="10"/>
  <c r="AA45" i="10"/>
  <c r="AA49" i="10"/>
  <c r="AA46" i="10" l="1"/>
  <c r="AA50" i="10"/>
  <c r="AB20" i="10"/>
  <c r="AB25" i="10" l="1"/>
  <c r="AA32" i="10"/>
  <c r="AA33" i="10" s="1"/>
  <c r="AA47" i="10"/>
  <c r="AA51" i="10" l="1"/>
  <c r="AB30" i="10"/>
  <c r="AA68" i="10"/>
  <c r="AB40" i="10"/>
  <c r="AB26" i="10" l="1"/>
  <c r="AB27" i="10" s="1"/>
  <c r="AC24" i="10" s="1"/>
  <c r="AB41" i="10"/>
  <c r="AB35" i="10"/>
  <c r="AA52" i="10"/>
  <c r="AA53" i="10" s="1"/>
  <c r="AA54" i="10"/>
  <c r="AA55" i="10" l="1"/>
  <c r="AA57" i="10" s="1"/>
  <c r="AA59" i="10" s="1"/>
  <c r="AB42" i="10"/>
  <c r="AB43" i="10" s="1"/>
  <c r="AA56" i="10" l="1"/>
  <c r="AB48" i="10"/>
  <c r="AB44" i="10"/>
  <c r="AB45" i="10" s="1"/>
  <c r="AB36" i="10"/>
  <c r="AB37" i="10" s="1"/>
  <c r="AC34" i="10" s="1"/>
  <c r="AA63" i="10"/>
  <c r="AA65" i="10" s="1"/>
  <c r="AA58" i="10" l="1"/>
  <c r="AA60" i="10" s="1"/>
  <c r="AB49" i="10" s="1"/>
  <c r="AB50" i="10" s="1"/>
  <c r="AA64" i="10"/>
  <c r="AA66" i="10" s="1"/>
  <c r="AA67" i="10" s="1"/>
  <c r="AB46" i="10"/>
  <c r="AB22" i="10"/>
  <c r="AB23" i="10" s="1"/>
  <c r="AC20" i="10" l="1"/>
  <c r="AB32" i="10"/>
  <c r="AB33" i="10" s="1"/>
  <c r="AC30" i="10" s="1"/>
  <c r="AB47" i="10"/>
  <c r="AB51" i="10" l="1"/>
  <c r="AC35" i="10"/>
  <c r="AC25" i="10"/>
  <c r="AB68" i="10"/>
  <c r="AC40" i="10" l="1"/>
  <c r="AB52" i="10"/>
  <c r="AB54" i="10"/>
  <c r="AB55" i="10" l="1"/>
  <c r="AB56" i="10" s="1"/>
  <c r="AB53" i="10"/>
  <c r="AC26" i="10"/>
  <c r="AC27" i="10" s="1"/>
  <c r="AD24" i="10" s="1"/>
  <c r="AC41" i="10"/>
  <c r="AB58" i="10" l="1"/>
  <c r="AB60" i="10" s="1"/>
  <c r="AB64" i="10"/>
  <c r="AB66" i="10" s="1"/>
  <c r="AC42" i="10"/>
  <c r="AB57" i="10"/>
  <c r="AB59" i="10" s="1"/>
  <c r="AB63" i="10"/>
  <c r="AB65" i="10" s="1"/>
  <c r="AB67" i="10" l="1"/>
  <c r="AC48" i="10"/>
  <c r="AC36" i="10"/>
  <c r="AC37" i="10" s="1"/>
  <c r="AD34" i="10" s="1"/>
  <c r="AC43" i="10"/>
  <c r="AC49" i="10"/>
  <c r="AC50" i="10" l="1"/>
  <c r="AC44" i="10"/>
  <c r="AC22" i="10" l="1"/>
  <c r="AC23" i="10" s="1"/>
  <c r="AC45" i="10"/>
  <c r="AC46" i="10" l="1"/>
  <c r="AD20" i="10"/>
  <c r="AD25" i="10" l="1"/>
  <c r="AC32" i="10"/>
  <c r="AC33" i="10" s="1"/>
  <c r="AC47" i="10"/>
  <c r="AC51" i="10" l="1"/>
  <c r="AD30" i="10"/>
  <c r="AC68" i="10"/>
  <c r="AD40" i="10"/>
  <c r="AD26" i="10" l="1"/>
  <c r="AD27" i="10" s="1"/>
  <c r="AE24" i="10" s="1"/>
  <c r="AD41" i="10"/>
  <c r="AD35" i="10"/>
  <c r="AC52" i="10"/>
  <c r="AC53" i="10" s="1"/>
  <c r="AC54" i="10"/>
  <c r="AC55" i="10" l="1"/>
  <c r="AC57" i="10" s="1"/>
  <c r="AC59" i="10" s="1"/>
  <c r="AD42" i="10"/>
  <c r="AD43" i="10" s="1"/>
  <c r="AC56" i="10" l="1"/>
  <c r="AC58" i="10" s="1"/>
  <c r="AC60" i="10" s="1"/>
  <c r="AD49" i="10" s="1"/>
  <c r="AD48" i="10"/>
  <c r="AD44" i="10"/>
  <c r="AD36" i="10"/>
  <c r="AD37" i="10" s="1"/>
  <c r="AE34" i="10" s="1"/>
  <c r="AC63" i="10"/>
  <c r="AC65" i="10" s="1"/>
  <c r="AC64" i="10" l="1"/>
  <c r="AC66" i="10" s="1"/>
  <c r="AC67" i="10" s="1"/>
  <c r="AD50" i="10"/>
  <c r="AD22" i="10"/>
  <c r="AD23" i="10" s="1"/>
  <c r="AD45" i="10"/>
  <c r="AD46" i="10" l="1"/>
  <c r="AE20" i="10"/>
  <c r="AE25" i="10" l="1"/>
  <c r="AD32" i="10"/>
  <c r="AD33" i="10" s="1"/>
  <c r="AD47" i="10"/>
  <c r="AD51" i="10" l="1"/>
  <c r="AD54" i="10" s="1"/>
  <c r="AE30" i="10"/>
  <c r="AD68" i="10"/>
  <c r="AE40" i="10"/>
  <c r="AE26" i="10" l="1"/>
  <c r="AE27" i="10" s="1"/>
  <c r="AF24" i="10" s="1"/>
  <c r="AE41" i="10"/>
  <c r="AE35" i="10"/>
  <c r="AD55" i="10"/>
  <c r="AD56" i="10" s="1"/>
  <c r="AD52" i="10"/>
  <c r="AD53" i="10" s="1"/>
  <c r="AD57" i="10" l="1"/>
  <c r="AD59" i="10" s="1"/>
  <c r="AD63" i="10"/>
  <c r="AD65" i="10" s="1"/>
  <c r="AD58" i="10"/>
  <c r="AD60" i="10" s="1"/>
  <c r="AD64" i="10"/>
  <c r="AD66" i="10" s="1"/>
  <c r="AE42" i="10"/>
  <c r="AE43" i="10" s="1"/>
  <c r="AD67" i="10" l="1"/>
  <c r="AE44" i="10"/>
  <c r="AE36" i="10"/>
  <c r="AE37" i="10" s="1"/>
  <c r="AF34" i="10" s="1"/>
  <c r="AE49" i="10"/>
  <c r="AE48" i="10"/>
  <c r="AE50" i="10" l="1"/>
  <c r="AE22" i="10"/>
  <c r="AE23" i="10" s="1"/>
  <c r="AE45" i="10"/>
  <c r="AE46" i="10" l="1"/>
  <c r="AF20" i="10"/>
  <c r="AF25" i="10" l="1"/>
  <c r="AE32" i="10"/>
  <c r="AE33" i="10" s="1"/>
  <c r="AE47" i="10"/>
  <c r="AF40" i="10" l="1"/>
  <c r="AE51" i="10"/>
  <c r="AF30" i="10"/>
  <c r="AE68" i="10"/>
  <c r="AF35" i="10" l="1"/>
  <c r="AE52" i="10"/>
  <c r="AE53" i="10" s="1"/>
  <c r="AE54" i="10"/>
  <c r="AF26" i="10"/>
  <c r="AF27" i="10" s="1"/>
  <c r="AG24" i="10" s="1"/>
  <c r="AF41" i="10"/>
  <c r="AE55" i="10" l="1"/>
  <c r="AE56" i="10" s="1"/>
  <c r="AE58" i="10" s="1"/>
  <c r="AE60" i="10" s="1"/>
  <c r="AF42" i="10"/>
  <c r="AE63" i="10" l="1"/>
  <c r="AE65" i="10" s="1"/>
  <c r="AE57" i="10"/>
  <c r="AE59" i="10" s="1"/>
  <c r="AF48" i="10" s="1"/>
  <c r="AF49" i="10"/>
  <c r="AF36" i="10"/>
  <c r="AF37" i="10" s="1"/>
  <c r="AG34" i="10" s="1"/>
  <c r="AE64" i="10"/>
  <c r="AE66" i="10" s="1"/>
  <c r="AF43" i="10"/>
  <c r="AE67" i="10" l="1"/>
  <c r="AF50" i="10"/>
  <c r="AF44" i="10"/>
  <c r="AF22" i="10" l="1"/>
  <c r="AF23" i="10" s="1"/>
  <c r="AF45" i="10"/>
  <c r="AF46" i="10" l="1"/>
  <c r="AG20" i="10"/>
  <c r="AG25" i="10" l="1"/>
  <c r="AF32" i="10"/>
  <c r="AF33" i="10" s="1"/>
  <c r="AF47" i="10"/>
  <c r="AF51" i="10" l="1"/>
  <c r="AG30" i="10"/>
  <c r="AF68" i="10"/>
  <c r="AG40" i="10"/>
  <c r="AG26" i="10" l="1"/>
  <c r="AG27" i="10" s="1"/>
  <c r="AH24" i="10" s="1"/>
  <c r="AG41" i="10"/>
  <c r="AF52" i="10"/>
  <c r="AG35" i="10"/>
  <c r="AF54" i="10"/>
  <c r="AF55" i="10" l="1"/>
  <c r="AF56" i="10" s="1"/>
  <c r="AF58" i="10" s="1"/>
  <c r="AF60" i="10" s="1"/>
  <c r="AG42" i="10"/>
  <c r="AG43" i="10" s="1"/>
  <c r="AF53" i="10"/>
  <c r="AG49" i="10" l="1"/>
  <c r="AG44" i="10"/>
  <c r="AF57" i="10"/>
  <c r="AF59" i="10" s="1"/>
  <c r="AF63" i="10"/>
  <c r="AF65" i="10" s="1"/>
  <c r="AG36" i="10"/>
  <c r="AG37" i="10" s="1"/>
  <c r="AH34" i="10" s="1"/>
  <c r="AF64" i="10"/>
  <c r="AF66" i="10" s="1"/>
  <c r="AG48" i="10" l="1"/>
  <c r="AG50" i="10" s="1"/>
  <c r="AF67" i="10"/>
  <c r="AG22" i="10"/>
  <c r="AG23" i="10" s="1"/>
  <c r="AG45" i="10"/>
  <c r="AG46" i="10" l="1"/>
  <c r="AH20" i="10"/>
  <c r="AH25" i="10" l="1"/>
  <c r="AG32" i="10"/>
  <c r="AG33" i="10" s="1"/>
  <c r="AG47" i="10"/>
  <c r="AG51" i="10" l="1"/>
  <c r="AH30" i="10"/>
  <c r="AG68" i="10"/>
  <c r="AH40" i="10"/>
  <c r="AH26" i="10" l="1"/>
  <c r="AH27" i="10" s="1"/>
  <c r="AI24" i="10" s="1"/>
  <c r="AH41" i="10"/>
  <c r="AH35" i="10"/>
  <c r="AG52" i="10"/>
  <c r="AG53" i="10" s="1"/>
  <c r="AG54" i="10"/>
  <c r="AG55" i="10" l="1"/>
  <c r="AG57" i="10" s="1"/>
  <c r="AG59" i="10" s="1"/>
  <c r="AH42" i="10"/>
  <c r="AH43" i="10" s="1"/>
  <c r="AG56" i="10" l="1"/>
  <c r="AG58" i="10" s="1"/>
  <c r="AG60" i="10" s="1"/>
  <c r="AH49" i="10" s="1"/>
  <c r="AG63" i="10"/>
  <c r="AG65" i="10" s="1"/>
  <c r="AH48" i="10"/>
  <c r="AH44" i="10"/>
  <c r="AH45" i="10" s="1"/>
  <c r="AH36" i="10"/>
  <c r="AH37" i="10" s="1"/>
  <c r="AI34" i="10" s="1"/>
  <c r="AG64" i="10" l="1"/>
  <c r="AG66" i="10" s="1"/>
  <c r="AG67" i="10" s="1"/>
  <c r="AH50" i="10"/>
  <c r="AH46" i="10"/>
  <c r="AH22" i="10"/>
  <c r="AH23" i="10" s="1"/>
  <c r="AI20" i="10" l="1"/>
  <c r="AH32" i="10"/>
  <c r="AH33" i="10" s="1"/>
  <c r="AI30" i="10" s="1"/>
  <c r="AH47" i="10"/>
  <c r="AH51" i="10" l="1"/>
  <c r="AH54" i="10" s="1"/>
  <c r="AI35" i="10"/>
  <c r="AI25" i="10"/>
  <c r="AH68" i="10"/>
  <c r="AH55" i="10" l="1"/>
  <c r="AH56" i="10" s="1"/>
  <c r="AI40" i="10"/>
  <c r="AH52" i="10"/>
  <c r="AH58" i="10" l="1"/>
  <c r="AH60" i="10" s="1"/>
  <c r="AH64" i="10"/>
  <c r="AH66" i="10" s="1"/>
  <c r="AH53" i="10"/>
  <c r="AI26" i="10"/>
  <c r="AI27" i="10" s="1"/>
  <c r="AJ24" i="10" s="1"/>
  <c r="AI41" i="10"/>
  <c r="AI42" i="10" l="1"/>
  <c r="AI49" i="10" s="1"/>
  <c r="AH57" i="10"/>
  <c r="AH59" i="10" s="1"/>
  <c r="AH63" i="10"/>
  <c r="AH65" i="10" s="1"/>
  <c r="AH67" i="10" s="1"/>
  <c r="AI48" i="10" l="1"/>
  <c r="AI50" i="10" s="1"/>
  <c r="AI36" i="10"/>
  <c r="AI37" i="10" s="1"/>
  <c r="AJ34" i="10" s="1"/>
  <c r="AI43" i="10"/>
  <c r="AI44" i="10" l="1"/>
  <c r="AI22" i="10" l="1"/>
  <c r="AI23" i="10" s="1"/>
  <c r="AI45" i="10"/>
  <c r="AI46" i="10" l="1"/>
  <c r="AJ20" i="10"/>
  <c r="AJ25" i="10" l="1"/>
  <c r="AI32" i="10"/>
  <c r="AI33" i="10" s="1"/>
  <c r="AI47" i="10"/>
  <c r="AI51" i="10" l="1"/>
  <c r="AJ30" i="10"/>
  <c r="AI68" i="10"/>
  <c r="AJ40" i="10"/>
  <c r="AJ26" i="10" l="1"/>
  <c r="AJ27" i="10" s="1"/>
  <c r="AK24" i="10" s="1"/>
  <c r="AJ41" i="10"/>
  <c r="AJ35" i="10"/>
  <c r="AI52" i="10"/>
  <c r="AI54" i="10"/>
  <c r="AI55" i="10" l="1"/>
  <c r="AI56" i="10" s="1"/>
  <c r="AI53" i="10"/>
  <c r="AJ42" i="10"/>
  <c r="AI64" i="10" l="1"/>
  <c r="AI66" i="10" s="1"/>
  <c r="AI58" i="10"/>
  <c r="AI60" i="10" s="1"/>
  <c r="AJ36" i="10"/>
  <c r="AJ37" i="10" s="1"/>
  <c r="AK34" i="10" s="1"/>
  <c r="AJ43" i="10"/>
  <c r="AI57" i="10"/>
  <c r="AI59" i="10" s="1"/>
  <c r="AI63" i="10"/>
  <c r="AI65" i="10" s="1"/>
  <c r="AI67" i="10" l="1"/>
  <c r="AJ48" i="10"/>
  <c r="AJ44" i="10"/>
  <c r="AJ49" i="10"/>
  <c r="AJ22" i="10" l="1"/>
  <c r="AJ23" i="10" s="1"/>
  <c r="AJ45" i="10"/>
  <c r="AJ50" i="10"/>
  <c r="AJ46" i="10" l="1"/>
  <c r="AK20" i="10"/>
  <c r="AK25" i="10" l="1"/>
  <c r="AJ32" i="10"/>
  <c r="AJ33" i="10" s="1"/>
  <c r="AJ47" i="10"/>
  <c r="AJ51" i="10" l="1"/>
  <c r="AJ54" i="10" s="1"/>
  <c r="AK30" i="10"/>
  <c r="AJ68" i="10"/>
  <c r="AK40" i="10"/>
  <c r="AK26" i="10" l="1"/>
  <c r="AK27" i="10" s="1"/>
  <c r="AL24" i="10" s="1"/>
  <c r="AK41" i="10"/>
  <c r="AK35" i="10"/>
  <c r="AJ55" i="10"/>
  <c r="AJ56" i="10" s="1"/>
  <c r="AJ52" i="10"/>
  <c r="AJ58" i="10" l="1"/>
  <c r="AJ60" i="10" s="1"/>
  <c r="AJ64" i="10"/>
  <c r="AJ66" i="10" s="1"/>
  <c r="AJ53" i="10"/>
  <c r="AK42" i="10"/>
  <c r="AK43" i="10" s="1"/>
  <c r="AK44" i="10" l="1"/>
  <c r="AK36" i="10"/>
  <c r="AK37" i="10" s="1"/>
  <c r="AL34" i="10" s="1"/>
  <c r="AJ57" i="10"/>
  <c r="AJ59" i="10" s="1"/>
  <c r="AJ63" i="10"/>
  <c r="AJ65" i="10" s="1"/>
  <c r="AJ67" i="10" s="1"/>
  <c r="AK49" i="10"/>
  <c r="AK48" i="10" l="1"/>
  <c r="AK50" i="10" s="1"/>
  <c r="AK22" i="10"/>
  <c r="AK23" i="10" s="1"/>
  <c r="AK45" i="10"/>
  <c r="AK46" i="10" l="1"/>
  <c r="AL20" i="10"/>
  <c r="AL25" i="10" l="1"/>
  <c r="AK32" i="10"/>
  <c r="AK33" i="10" s="1"/>
  <c r="AK47" i="10"/>
  <c r="AK51" i="10" l="1"/>
  <c r="AK54" i="10" s="1"/>
  <c r="AL30" i="10"/>
  <c r="AK68" i="10"/>
  <c r="AL40" i="10"/>
  <c r="AL26" i="10" l="1"/>
  <c r="AL27" i="10" s="1"/>
  <c r="AM24" i="10" s="1"/>
  <c r="AL41" i="10"/>
  <c r="AL35" i="10"/>
  <c r="AK55" i="10"/>
  <c r="AK56" i="10" s="1"/>
  <c r="AK52" i="10"/>
  <c r="AK58" i="10" l="1"/>
  <c r="AK60" i="10" s="1"/>
  <c r="AK64" i="10"/>
  <c r="AK66" i="10" s="1"/>
  <c r="AK53" i="10"/>
  <c r="AL42" i="10"/>
  <c r="AL43" i="10" s="1"/>
  <c r="AL44" i="10" l="1"/>
  <c r="AL36" i="10"/>
  <c r="AL37" i="10" s="1"/>
  <c r="AM34" i="10" s="1"/>
  <c r="AK57" i="10"/>
  <c r="AK59" i="10" s="1"/>
  <c r="AK63" i="10"/>
  <c r="AK65" i="10" s="1"/>
  <c r="AK67" i="10" s="1"/>
  <c r="AL49" i="10"/>
  <c r="AL48" i="10" l="1"/>
  <c r="AL50" i="10" s="1"/>
  <c r="AL22" i="10"/>
  <c r="AL23" i="10" s="1"/>
  <c r="AL45" i="10"/>
  <c r="AL46" i="10" l="1"/>
  <c r="AM20" i="10"/>
  <c r="AM25" i="10" l="1"/>
  <c r="AL32" i="10"/>
  <c r="AL33" i="10" s="1"/>
  <c r="AL47" i="10"/>
  <c r="AL51" i="10" l="1"/>
  <c r="AM30" i="10"/>
  <c r="AL68" i="10"/>
  <c r="AM40" i="10"/>
  <c r="AM26" i="10" l="1"/>
  <c r="AM27" i="10" s="1"/>
  <c r="AN24" i="10" s="1"/>
  <c r="AM41" i="10"/>
  <c r="AM35" i="10"/>
  <c r="AL52" i="10"/>
  <c r="AL54" i="10"/>
  <c r="AL55" i="10" l="1"/>
  <c r="AL56" i="10" s="1"/>
  <c r="AL53" i="10"/>
  <c r="AM42" i="10"/>
  <c r="AM43" i="10" s="1"/>
  <c r="AL58" i="10" l="1"/>
  <c r="AL60" i="10" s="1"/>
  <c r="AL64" i="10"/>
  <c r="AL66" i="10" s="1"/>
  <c r="AM44" i="10"/>
  <c r="AM36" i="10"/>
  <c r="AM37" i="10" s="1"/>
  <c r="AN34" i="10" s="1"/>
  <c r="AL57" i="10"/>
  <c r="AL59" i="10" s="1"/>
  <c r="AL63" i="10"/>
  <c r="AL65" i="10" s="1"/>
  <c r="AL67" i="10" l="1"/>
  <c r="AM48" i="10"/>
  <c r="AM22" i="10"/>
  <c r="AM23" i="10" s="1"/>
  <c r="AM45" i="10"/>
  <c r="AM49" i="10"/>
  <c r="AM46" i="10" l="1"/>
  <c r="AN20" i="10"/>
  <c r="AM50" i="10"/>
  <c r="AN25" i="10" l="1"/>
  <c r="AM32" i="10"/>
  <c r="AM33" i="10" s="1"/>
  <c r="AM47" i="10"/>
  <c r="AM51" i="10" l="1"/>
  <c r="AM54" i="10" s="1"/>
  <c r="AN30" i="10"/>
  <c r="AM68" i="10"/>
  <c r="AN40" i="10"/>
  <c r="AM55" i="10" l="1"/>
  <c r="AM56" i="10" s="1"/>
  <c r="AN26" i="10"/>
  <c r="AN27" i="10" s="1"/>
  <c r="AO24" i="10" s="1"/>
  <c r="AN41" i="10"/>
  <c r="AN35" i="10"/>
  <c r="AM52" i="10"/>
  <c r="AM58" i="10" l="1"/>
  <c r="AM60" i="10" s="1"/>
  <c r="AM64" i="10"/>
  <c r="AM66" i="10" s="1"/>
  <c r="AM53" i="10"/>
  <c r="AN42" i="10"/>
  <c r="AN36" i="10" l="1"/>
  <c r="AN37" i="10" s="1"/>
  <c r="AO34" i="10" s="1"/>
  <c r="AM57" i="10"/>
  <c r="AM59" i="10" s="1"/>
  <c r="AM63" i="10"/>
  <c r="AM65" i="10" s="1"/>
  <c r="AM67" i="10" s="1"/>
  <c r="AN43" i="10"/>
  <c r="AN49" i="10"/>
  <c r="AN44" i="10" l="1"/>
  <c r="AN48" i="10"/>
  <c r="AN50" i="10" s="1"/>
  <c r="AN22" i="10" l="1"/>
  <c r="AN23" i="10" s="1"/>
  <c r="AN45" i="10"/>
  <c r="AN46" i="10" l="1"/>
  <c r="AO20" i="10"/>
  <c r="AO25" i="10" l="1"/>
  <c r="AN32" i="10"/>
  <c r="AN33" i="10" s="1"/>
  <c r="AN47" i="10"/>
  <c r="AN51" i="10" l="1"/>
  <c r="AN54" i="10" s="1"/>
  <c r="AO30" i="10"/>
  <c r="AN68" i="10"/>
  <c r="AO40" i="10"/>
  <c r="AO26" i="10" l="1"/>
  <c r="AO27" i="10" s="1"/>
  <c r="AP24" i="10" s="1"/>
  <c r="AO41" i="10"/>
  <c r="AO35" i="10"/>
  <c r="AN55" i="10"/>
  <c r="AN56" i="10" s="1"/>
  <c r="AN52" i="10"/>
  <c r="AN53" i="10" s="1"/>
  <c r="AN57" i="10" l="1"/>
  <c r="AN59" i="10" s="1"/>
  <c r="AN63" i="10"/>
  <c r="AN65" i="10" s="1"/>
  <c r="AN58" i="10"/>
  <c r="AN60" i="10" s="1"/>
  <c r="AN64" i="10"/>
  <c r="AN66" i="10" s="1"/>
  <c r="AO42" i="10"/>
  <c r="AO36" i="10" l="1"/>
  <c r="AO37" i="10" s="1"/>
  <c r="AP34" i="10" s="1"/>
  <c r="AO49" i="10"/>
  <c r="AO48" i="10"/>
  <c r="AN67" i="10"/>
  <c r="AO43" i="10"/>
  <c r="AO50" i="10" l="1"/>
  <c r="AO44" i="10"/>
  <c r="AO22" i="10" l="1"/>
  <c r="AO23" i="10" s="1"/>
  <c r="AO45" i="10"/>
  <c r="AO46" i="10" l="1"/>
  <c r="AP20" i="10"/>
  <c r="AP25" i="10" l="1"/>
  <c r="AO32" i="10"/>
  <c r="AO33" i="10" s="1"/>
  <c r="AO47" i="10"/>
  <c r="AO51" i="10" l="1"/>
  <c r="AO54" i="10" s="1"/>
  <c r="AP30" i="10"/>
  <c r="AO68" i="10"/>
  <c r="AP40" i="10"/>
  <c r="AP26" i="10" l="1"/>
  <c r="AP27" i="10" s="1"/>
  <c r="AQ24" i="10" s="1"/>
  <c r="AP41" i="10"/>
  <c r="AP35" i="10"/>
  <c r="AO55" i="10"/>
  <c r="AO56" i="10" s="1"/>
  <c r="AO52" i="10"/>
  <c r="AO53" i="10" s="1"/>
  <c r="AO57" i="10" l="1"/>
  <c r="AO59" i="10" s="1"/>
  <c r="AO63" i="10"/>
  <c r="AO65" i="10" s="1"/>
  <c r="AO58" i="10"/>
  <c r="AO60" i="10" s="1"/>
  <c r="AO64" i="10"/>
  <c r="AO66" i="10" s="1"/>
  <c r="AP42" i="10"/>
  <c r="AP43" i="10" s="1"/>
  <c r="AP44" i="10" l="1"/>
  <c r="AP36" i="10"/>
  <c r="AP37" i="10" s="1"/>
  <c r="AQ34" i="10" s="1"/>
  <c r="AP49" i="10"/>
  <c r="AO67" i="10"/>
  <c r="AP48" i="10"/>
  <c r="AP50" i="10" l="1"/>
  <c r="AP22" i="10"/>
  <c r="AP23" i="10" s="1"/>
  <c r="AP45" i="10"/>
  <c r="AP46" i="10" l="1"/>
  <c r="AQ20" i="10"/>
  <c r="AP32" i="10" l="1"/>
  <c r="AP33" i="10" s="1"/>
  <c r="AQ25" i="10"/>
  <c r="AP47" i="10"/>
  <c r="AP51" i="10" l="1"/>
  <c r="AP54" i="10" s="1"/>
  <c r="AQ40" i="10"/>
  <c r="AQ30" i="10"/>
  <c r="AP68" i="10"/>
  <c r="AQ26" i="10" l="1"/>
  <c r="AQ27" i="10" s="1"/>
  <c r="AR24" i="10" s="1"/>
  <c r="AQ41" i="10"/>
  <c r="AP52" i="10"/>
  <c r="AQ35" i="10"/>
  <c r="AP55" i="10"/>
  <c r="AP56" i="10" s="1"/>
  <c r="AQ42" i="10" l="1"/>
  <c r="AQ43" i="10" s="1"/>
  <c r="AP58" i="10"/>
  <c r="AP60" i="10" s="1"/>
  <c r="AP64" i="10"/>
  <c r="AP66" i="10" s="1"/>
  <c r="AP53" i="10"/>
  <c r="AQ44" i="10" l="1"/>
  <c r="AP57" i="10"/>
  <c r="AP59" i="10" s="1"/>
  <c r="AP63" i="10"/>
  <c r="AP65" i="10" s="1"/>
  <c r="AP67" i="10" s="1"/>
  <c r="AQ49" i="10"/>
  <c r="AQ36" i="10"/>
  <c r="AQ37" i="10" s="1"/>
  <c r="AR34" i="10" s="1"/>
  <c r="AQ22" i="10" l="1"/>
  <c r="AQ23" i="10" s="1"/>
  <c r="AQ48" i="10"/>
  <c r="AQ50" i="10" s="1"/>
  <c r="AQ45" i="10"/>
  <c r="AQ46" i="10" l="1"/>
  <c r="AR20" i="10"/>
  <c r="AR25" i="10" l="1"/>
  <c r="AQ32" i="10"/>
  <c r="AQ33" i="10" s="1"/>
  <c r="AQ47" i="10"/>
  <c r="AQ51" i="10" l="1"/>
  <c r="AR30" i="10"/>
  <c r="AQ68" i="10"/>
  <c r="AR40" i="10"/>
  <c r="AR26" i="10" l="1"/>
  <c r="AR27" i="10" s="1"/>
  <c r="AS24" i="10" s="1"/>
  <c r="AR41" i="10"/>
  <c r="AR35" i="10"/>
  <c r="AQ52" i="10"/>
  <c r="AQ53" i="10" s="1"/>
  <c r="AQ54" i="10"/>
  <c r="AQ55" i="10" l="1"/>
  <c r="AQ56" i="10" s="1"/>
  <c r="AR42" i="10"/>
  <c r="AR43" i="10" s="1"/>
  <c r="AR44" i="10" l="1"/>
  <c r="AQ58" i="10"/>
  <c r="AQ60" i="10" s="1"/>
  <c r="AQ64" i="10"/>
  <c r="AQ66" i="10" s="1"/>
  <c r="AR36" i="10"/>
  <c r="AR37" i="10" s="1"/>
  <c r="AS34" i="10" s="1"/>
  <c r="AQ63" i="10"/>
  <c r="AQ65" i="10" s="1"/>
  <c r="AQ57" i="10"/>
  <c r="AQ59" i="10" s="1"/>
  <c r="AQ67" i="10" l="1"/>
  <c r="AR48" i="10"/>
  <c r="AR49" i="10"/>
  <c r="AR22" i="10"/>
  <c r="AR23" i="10" s="1"/>
  <c r="AR45" i="10"/>
  <c r="AR46" i="10" l="1"/>
  <c r="AS20" i="10"/>
  <c r="AR50" i="10"/>
  <c r="AS25" i="10" l="1"/>
  <c r="AR32" i="10"/>
  <c r="AR33" i="10" s="1"/>
  <c r="AR47" i="10"/>
  <c r="AR51" i="10" l="1"/>
  <c r="AR54" i="10" s="1"/>
  <c r="AS30" i="10"/>
  <c r="AR68" i="10"/>
  <c r="AS40" i="10"/>
  <c r="AS26" i="10" l="1"/>
  <c r="AS27" i="10" s="1"/>
  <c r="AT24" i="10" s="1"/>
  <c r="AS41" i="10"/>
  <c r="AS35" i="10"/>
  <c r="AR55" i="10"/>
  <c r="AR56" i="10" s="1"/>
  <c r="AR52" i="10"/>
  <c r="AR53" i="10" s="1"/>
  <c r="AR57" i="10" l="1"/>
  <c r="AR59" i="10" s="1"/>
  <c r="AR63" i="10"/>
  <c r="AR65" i="10" s="1"/>
  <c r="AR58" i="10"/>
  <c r="AR60" i="10" s="1"/>
  <c r="AR64" i="10"/>
  <c r="AR66" i="10" s="1"/>
  <c r="AS42" i="10"/>
  <c r="AS43" i="10" s="1"/>
  <c r="AS44" i="10" l="1"/>
  <c r="AS36" i="10"/>
  <c r="AS37" i="10" s="1"/>
  <c r="AT34" i="10" s="1"/>
  <c r="AS49" i="10"/>
  <c r="AR67" i="10"/>
  <c r="AS48" i="10"/>
  <c r="AS50" i="10" l="1"/>
  <c r="AS22" i="10"/>
  <c r="AS23" i="10" s="1"/>
  <c r="AS45" i="10"/>
  <c r="AS46" i="10" l="1"/>
  <c r="AT20" i="10"/>
  <c r="AT25" i="10" l="1"/>
  <c r="AS32" i="10"/>
  <c r="AS33" i="10" s="1"/>
  <c r="AS47" i="10"/>
  <c r="AT30" i="10" l="1"/>
  <c r="AS68" i="10"/>
  <c r="AS51" i="10"/>
  <c r="AS54" i="10" s="1"/>
  <c r="AT40" i="10"/>
  <c r="AS55" i="10" l="1"/>
  <c r="AS56" i="10" s="1"/>
  <c r="AT26" i="10"/>
  <c r="AT27" i="10" s="1"/>
  <c r="AU24" i="10" s="1"/>
  <c r="AT41" i="10"/>
  <c r="AS52" i="10"/>
  <c r="AT35" i="10"/>
  <c r="AT42" i="10" l="1"/>
  <c r="AT43" i="10" s="1"/>
  <c r="AS58" i="10"/>
  <c r="AS60" i="10" s="1"/>
  <c r="AS64" i="10"/>
  <c r="AS66" i="10" s="1"/>
  <c r="AS53" i="10"/>
  <c r="AS57" i="10" l="1"/>
  <c r="AS59" i="10" s="1"/>
  <c r="AS63" i="10"/>
  <c r="AS65" i="10" s="1"/>
  <c r="AS67" i="10" s="1"/>
  <c r="AT49" i="10"/>
  <c r="AT44" i="10"/>
  <c r="AT36" i="10"/>
  <c r="AT37" i="10" s="1"/>
  <c r="AU34" i="10" s="1"/>
  <c r="AT22" i="10" l="1"/>
  <c r="AT23" i="10" s="1"/>
  <c r="AT45" i="10"/>
  <c r="AT48" i="10"/>
  <c r="AT50" i="10" s="1"/>
  <c r="AT46" i="10" l="1"/>
  <c r="AU20" i="10"/>
  <c r="AU25" i="10" l="1"/>
  <c r="AT32" i="10"/>
  <c r="AT33" i="10" s="1"/>
  <c r="AT47" i="10"/>
  <c r="AU40" i="10" l="1"/>
  <c r="AT51" i="10"/>
  <c r="AU30" i="10"/>
  <c r="AT68" i="10"/>
  <c r="AT52" i="10" l="1"/>
  <c r="AT53" i="10" s="1"/>
  <c r="AU35" i="10"/>
  <c r="AT54" i="10"/>
  <c r="AU26" i="10"/>
  <c r="AU27" i="10" s="1"/>
  <c r="AV24" i="10" s="1"/>
  <c r="AU41" i="10"/>
  <c r="AT55" i="10" l="1"/>
  <c r="AT56" i="10" s="1"/>
  <c r="AU42" i="10"/>
  <c r="AT63" i="10" l="1"/>
  <c r="AT65" i="10" s="1"/>
  <c r="AT58" i="10"/>
  <c r="AT60" i="10" s="1"/>
  <c r="AT64" i="10"/>
  <c r="AT66" i="10" s="1"/>
  <c r="AT57" i="10"/>
  <c r="AT59" i="10" s="1"/>
  <c r="AU36" i="10"/>
  <c r="AU37" i="10" s="1"/>
  <c r="AV34" i="10" s="1"/>
  <c r="AU43" i="10"/>
  <c r="AT67" i="10" l="1"/>
  <c r="AU44" i="10"/>
  <c r="AU48" i="10"/>
  <c r="AU49" i="10"/>
  <c r="AU50" i="10" l="1"/>
  <c r="AU22" i="10"/>
  <c r="AU23" i="10" s="1"/>
  <c r="AU45" i="10"/>
  <c r="AU46" i="10" l="1"/>
  <c r="AV20" i="10"/>
  <c r="AV25" i="10" l="1"/>
  <c r="AU32" i="10"/>
  <c r="AU33" i="10" s="1"/>
  <c r="AU47" i="10"/>
  <c r="AU51" i="10" l="1"/>
  <c r="AU54" i="10" s="1"/>
  <c r="AV30" i="10"/>
  <c r="AU68" i="10"/>
  <c r="AV40" i="10"/>
  <c r="AV26" i="10" l="1"/>
  <c r="AV27" i="10" s="1"/>
  <c r="AW24" i="10" s="1"/>
  <c r="AV41" i="10"/>
  <c r="AV35" i="10"/>
  <c r="AU55" i="10"/>
  <c r="AU56" i="10" s="1"/>
  <c r="AU52" i="10"/>
  <c r="AU58" i="10" l="1"/>
  <c r="AU60" i="10" s="1"/>
  <c r="AU64" i="10"/>
  <c r="AU66" i="10" s="1"/>
  <c r="AU53" i="10"/>
  <c r="AV42" i="10"/>
  <c r="AV36" i="10" l="1"/>
  <c r="AV37" i="10" s="1"/>
  <c r="AW34" i="10" s="1"/>
  <c r="AV43" i="10"/>
  <c r="AU57" i="10"/>
  <c r="AU59" i="10" s="1"/>
  <c r="AU63" i="10"/>
  <c r="AU65" i="10" s="1"/>
  <c r="AU67" i="10" s="1"/>
  <c r="AV49" i="10"/>
  <c r="AV48" i="10" l="1"/>
  <c r="AV50" i="10" s="1"/>
  <c r="AV44" i="10"/>
  <c r="AV45" i="10" s="1"/>
  <c r="AV46" i="10" l="1"/>
  <c r="AV22" i="10"/>
  <c r="AV23" i="10" s="1"/>
  <c r="AW20" i="10" l="1"/>
  <c r="AV32" i="10"/>
  <c r="AV33" i="10" s="1"/>
  <c r="AW30" i="10" s="1"/>
  <c r="AV47" i="10"/>
  <c r="AV51" i="10" l="1"/>
  <c r="AW35" i="10"/>
  <c r="AW25" i="10"/>
  <c r="AV68" i="10"/>
  <c r="AW40" i="10" l="1"/>
  <c r="AV52" i="10"/>
  <c r="AV54" i="10"/>
  <c r="AV55" i="10" l="1"/>
  <c r="AV56" i="10" s="1"/>
  <c r="AW26" i="10"/>
  <c r="AW27" i="10" s="1"/>
  <c r="AX24" i="10" s="1"/>
  <c r="AW41" i="10"/>
  <c r="AV53" i="10"/>
  <c r="AV58" i="10" l="1"/>
  <c r="AV60" i="10" s="1"/>
  <c r="AV64" i="10"/>
  <c r="AV66" i="10" s="1"/>
  <c r="AW42" i="10"/>
  <c r="AV57" i="10"/>
  <c r="AV59" i="10" s="1"/>
  <c r="AV63" i="10"/>
  <c r="AV65" i="10" s="1"/>
  <c r="AV67" i="10" l="1"/>
  <c r="AW49" i="10"/>
  <c r="AW48" i="10"/>
  <c r="AW50" i="10" s="1"/>
  <c r="AW36" i="10"/>
  <c r="AW37" i="10" s="1"/>
  <c r="AX34" i="10" s="1"/>
  <c r="AW43" i="10"/>
  <c r="AW44" i="10" l="1"/>
  <c r="AW22" i="10" l="1"/>
  <c r="AW23" i="10" s="1"/>
  <c r="AW45" i="10"/>
  <c r="AW46" i="10" l="1"/>
  <c r="AX20" i="10"/>
  <c r="AX25" i="10" l="1"/>
  <c r="AW32" i="10"/>
  <c r="AW33" i="10" s="1"/>
  <c r="AW47" i="10"/>
  <c r="AW51" i="10" l="1"/>
  <c r="AW54" i="10" s="1"/>
  <c r="AX30" i="10"/>
  <c r="AW68" i="10"/>
  <c r="AX40" i="10"/>
  <c r="AX26" i="10" l="1"/>
  <c r="AX27" i="10" s="1"/>
  <c r="AY24" i="10" s="1"/>
  <c r="AX41" i="10"/>
  <c r="AX35" i="10"/>
  <c r="AW55" i="10"/>
  <c r="AW56" i="10" s="1"/>
  <c r="AW52" i="10"/>
  <c r="AW53" i="10" s="1"/>
  <c r="AW57" i="10" l="1"/>
  <c r="AW59" i="10" s="1"/>
  <c r="AW63" i="10"/>
  <c r="AW65" i="10" s="1"/>
  <c r="AW58" i="10"/>
  <c r="AW60" i="10" s="1"/>
  <c r="AW64" i="10"/>
  <c r="AW66" i="10" s="1"/>
  <c r="AX42" i="10"/>
  <c r="AX36" i="10" l="1"/>
  <c r="AX37" i="10" s="1"/>
  <c r="AY34" i="10" s="1"/>
  <c r="AW67" i="10"/>
  <c r="AX43" i="10"/>
  <c r="AX49" i="10"/>
  <c r="AX48" i="10"/>
  <c r="AX50" i="10" s="1"/>
  <c r="AX44" i="10" l="1"/>
  <c r="AX22" i="10" l="1"/>
  <c r="AX23" i="10" s="1"/>
  <c r="AX45" i="10"/>
  <c r="AX46" i="10" l="1"/>
  <c r="AY20" i="10"/>
  <c r="AY25" i="10" l="1"/>
  <c r="AX32" i="10"/>
  <c r="AX33" i="10" s="1"/>
  <c r="AX47" i="10"/>
  <c r="AX51" i="10" l="1"/>
  <c r="AX54" i="10" s="1"/>
  <c r="AY30" i="10"/>
  <c r="AX68" i="10"/>
  <c r="AY40" i="10"/>
  <c r="AX55" i="10" l="1"/>
  <c r="AX56" i="10" s="1"/>
  <c r="AY26" i="10"/>
  <c r="AY27" i="10" s="1"/>
  <c r="AZ24" i="10" s="1"/>
  <c r="AY41" i="10"/>
  <c r="AY35" i="10"/>
  <c r="AX52" i="10"/>
  <c r="AX58" i="10" l="1"/>
  <c r="AX60" i="10" s="1"/>
  <c r="AX64" i="10"/>
  <c r="AX66" i="10" s="1"/>
  <c r="AX53" i="10"/>
  <c r="AY42" i="10"/>
  <c r="AY36" i="10" l="1"/>
  <c r="AY37" i="10" s="1"/>
  <c r="AZ34" i="10" s="1"/>
  <c r="AX57" i="10"/>
  <c r="AX59" i="10" s="1"/>
  <c r="AX63" i="10"/>
  <c r="AX65" i="10" s="1"/>
  <c r="AX67" i="10" s="1"/>
  <c r="AY49" i="10"/>
  <c r="AY43" i="10"/>
  <c r="AY44" i="10" l="1"/>
  <c r="AY48" i="10"/>
  <c r="AY50" i="10" s="1"/>
  <c r="AY22" i="10" l="1"/>
  <c r="AY23" i="10" s="1"/>
  <c r="AY45" i="10"/>
  <c r="AY46" i="10" l="1"/>
  <c r="AZ20" i="10"/>
  <c r="AZ25" i="10" l="1"/>
  <c r="AY32" i="10"/>
  <c r="AY33" i="10" s="1"/>
  <c r="AY47" i="10"/>
  <c r="AY51" i="10" l="1"/>
  <c r="AY54" i="10" s="1"/>
  <c r="AZ30" i="10"/>
  <c r="AY68" i="10"/>
  <c r="AZ40" i="10"/>
  <c r="AZ26" i="10" l="1"/>
  <c r="AZ27" i="10" s="1"/>
  <c r="BA24" i="10" s="1"/>
  <c r="AZ41" i="10"/>
  <c r="AZ35" i="10"/>
  <c r="AY55" i="10"/>
  <c r="AY56" i="10" s="1"/>
  <c r="AY52" i="10"/>
  <c r="AY53" i="10" s="1"/>
  <c r="AY57" i="10" l="1"/>
  <c r="AY59" i="10" s="1"/>
  <c r="AY63" i="10"/>
  <c r="AY65" i="10" s="1"/>
  <c r="AZ42" i="10"/>
  <c r="AZ43" i="10" s="1"/>
  <c r="AY58" i="10"/>
  <c r="AY60" i="10" s="1"/>
  <c r="AY64" i="10"/>
  <c r="AY66" i="10" s="1"/>
  <c r="AY67" i="10" l="1"/>
  <c r="AZ44" i="10"/>
  <c r="AZ45" i="10" s="1"/>
  <c r="AZ49" i="10"/>
  <c r="AZ36" i="10"/>
  <c r="AZ37" i="10" s="1"/>
  <c r="BA34" i="10" s="1"/>
  <c r="AZ48" i="10"/>
  <c r="AZ50" i="10" l="1"/>
  <c r="AZ46" i="10"/>
  <c r="AZ22" i="10"/>
  <c r="AZ23" i="10" s="1"/>
  <c r="BA20" i="10" l="1"/>
  <c r="AZ32" i="10"/>
  <c r="AZ33" i="10" s="1"/>
  <c r="BA30" i="10" s="1"/>
  <c r="AZ47" i="10"/>
  <c r="AZ68" i="10" l="1"/>
  <c r="AZ51" i="10"/>
  <c r="AZ54" i="10" s="1"/>
  <c r="BA35" i="10"/>
  <c r="BA25" i="10"/>
  <c r="BA40" i="10" l="1"/>
  <c r="AZ55" i="10"/>
  <c r="AZ56" i="10" s="1"/>
  <c r="AZ52" i="10"/>
  <c r="BA26" i="10" l="1"/>
  <c r="BA27" i="10" s="1"/>
  <c r="BB24" i="10" s="1"/>
  <c r="BA41" i="10"/>
  <c r="AZ58" i="10"/>
  <c r="AZ60" i="10" s="1"/>
  <c r="AZ64" i="10"/>
  <c r="AZ66" i="10" s="1"/>
  <c r="AZ53" i="10"/>
  <c r="AZ57" i="10" l="1"/>
  <c r="AZ59" i="10" s="1"/>
  <c r="AZ63" i="10"/>
  <c r="AZ65" i="10" s="1"/>
  <c r="AZ67" i="10" s="1"/>
  <c r="BA42" i="10"/>
  <c r="BA49" i="10" s="1"/>
  <c r="BA36" i="10" l="1"/>
  <c r="BA37" i="10" s="1"/>
  <c r="BB34" i="10" s="1"/>
  <c r="BA43" i="10"/>
  <c r="BA48" i="10"/>
  <c r="BA50" i="10" s="1"/>
  <c r="BA44" i="10" l="1"/>
  <c r="BA22" i="10" l="1"/>
  <c r="BA23" i="10" s="1"/>
  <c r="BA45" i="10"/>
  <c r="BA46" i="10" l="1"/>
  <c r="BB20" i="10"/>
  <c r="BB25" i="10" l="1"/>
  <c r="BA32" i="10"/>
  <c r="BA33" i="10" s="1"/>
  <c r="BA47" i="10"/>
  <c r="BB40" i="10" l="1"/>
  <c r="BA51" i="10"/>
  <c r="BA54" i="10" s="1"/>
  <c r="BB30" i="10"/>
  <c r="BA68" i="10"/>
  <c r="BA55" i="10" l="1"/>
  <c r="BA56" i="10" s="1"/>
  <c r="BB35" i="10"/>
  <c r="BA52" i="10"/>
  <c r="BA53" i="10" s="1"/>
  <c r="BB26" i="10"/>
  <c r="BB27" i="10" s="1"/>
  <c r="BC24" i="10" s="1"/>
  <c r="BB41" i="10"/>
  <c r="BA58" i="10" l="1"/>
  <c r="BA60" i="10" s="1"/>
  <c r="BA64" i="10"/>
  <c r="BA66" i="10" s="1"/>
  <c r="BA57" i="10"/>
  <c r="BA59" i="10" s="1"/>
  <c r="BA63" i="10"/>
  <c r="BA65" i="10" s="1"/>
  <c r="BB42" i="10"/>
  <c r="BA67" i="10" l="1"/>
  <c r="BB36" i="10"/>
  <c r="BB37" i="10" s="1"/>
  <c r="BC34" i="10" s="1"/>
  <c r="BB48" i="10"/>
  <c r="BB49" i="10"/>
  <c r="BB43" i="10"/>
  <c r="BB44" i="10" l="1"/>
  <c r="BB50" i="10"/>
  <c r="BB22" i="10" l="1"/>
  <c r="BB23" i="10" s="1"/>
  <c r="BB45" i="10"/>
  <c r="BB46" i="10" l="1"/>
  <c r="BC20" i="10"/>
  <c r="BC25" i="10" l="1"/>
  <c r="BB32" i="10"/>
  <c r="BB33" i="10" s="1"/>
  <c r="BB47" i="10"/>
  <c r="BB51" i="10" l="1"/>
  <c r="BB54" i="10" s="1"/>
  <c r="BC30" i="10"/>
  <c r="BB68" i="10"/>
  <c r="BC40" i="10"/>
  <c r="BB55" i="10" l="1"/>
  <c r="BB56" i="10" s="1"/>
  <c r="BC26" i="10"/>
  <c r="BC27" i="10" s="1"/>
  <c r="BD24" i="10" s="1"/>
  <c r="BC41" i="10"/>
  <c r="BC35" i="10"/>
  <c r="BB52" i="10"/>
  <c r="BB53" i="10" s="1"/>
  <c r="BB57" i="10" l="1"/>
  <c r="BB59" i="10" s="1"/>
  <c r="BB63" i="10"/>
  <c r="BB65" i="10" s="1"/>
  <c r="BB58" i="10"/>
  <c r="BB60" i="10" s="1"/>
  <c r="BB64" i="10"/>
  <c r="BB66" i="10" s="1"/>
  <c r="BC42" i="10"/>
  <c r="BC43" i="10" s="1"/>
  <c r="BC44" i="10" l="1"/>
  <c r="BC36" i="10"/>
  <c r="BC37" i="10" s="1"/>
  <c r="BD34" i="10" s="1"/>
  <c r="BC49" i="10"/>
  <c r="BB67" i="10"/>
  <c r="BC48" i="10"/>
  <c r="BC50" i="10" l="1"/>
  <c r="BC22" i="10"/>
  <c r="BC23" i="10" s="1"/>
  <c r="BC45" i="10"/>
  <c r="BC46" i="10" l="1"/>
  <c r="BD20" i="10"/>
  <c r="BD25" i="10" l="1"/>
  <c r="BC32" i="10"/>
  <c r="BC33" i="10" s="1"/>
  <c r="BC47" i="10"/>
  <c r="BC51" i="10" l="1"/>
  <c r="BC54" i="10" s="1"/>
  <c r="BD30" i="10"/>
  <c r="BC68" i="10"/>
  <c r="BD40" i="10"/>
  <c r="BD26" i="10" l="1"/>
  <c r="BD27" i="10" s="1"/>
  <c r="BE24" i="10" s="1"/>
  <c r="BD41" i="10"/>
  <c r="BD35" i="10"/>
  <c r="BC55" i="10"/>
  <c r="BC56" i="10" s="1"/>
  <c r="BC52" i="10"/>
  <c r="BC53" i="10" s="1"/>
  <c r="BC57" i="10" l="1"/>
  <c r="BC59" i="10" s="1"/>
  <c r="BC63" i="10"/>
  <c r="BC65" i="10" s="1"/>
  <c r="BD42" i="10"/>
  <c r="BD43" i="10" s="1"/>
  <c r="BC58" i="10"/>
  <c r="BC60" i="10" s="1"/>
  <c r="BC64" i="10"/>
  <c r="BC66" i="10" s="1"/>
  <c r="BD36" i="10" l="1"/>
  <c r="BD37" i="10" s="1"/>
  <c r="BE34" i="10" s="1"/>
  <c r="BD44" i="10"/>
  <c r="BD49" i="10"/>
  <c r="BC67" i="10"/>
  <c r="BD48" i="10"/>
  <c r="BD50" i="10" l="1"/>
  <c r="BD22" i="10"/>
  <c r="BD23" i="10" s="1"/>
  <c r="BD45" i="10"/>
  <c r="BD46" i="10" l="1"/>
  <c r="BE20" i="10"/>
  <c r="BE25" i="10" l="1"/>
  <c r="BD32" i="10"/>
  <c r="BD33" i="10" s="1"/>
  <c r="BD47" i="10"/>
  <c r="BD51" i="10" l="1"/>
  <c r="BE30" i="10"/>
  <c r="BD68" i="10"/>
  <c r="BE40" i="10"/>
  <c r="BD52" i="10" l="1"/>
  <c r="BD53" i="10" s="1"/>
  <c r="BE26" i="10"/>
  <c r="BE27" i="10" s="1"/>
  <c r="BF24" i="10" s="1"/>
  <c r="BE41" i="10"/>
  <c r="BE35" i="10"/>
  <c r="BD54" i="10"/>
  <c r="BD55" i="10" l="1"/>
  <c r="BD56" i="10" s="1"/>
  <c r="BE42" i="10"/>
  <c r="BD63" i="10" l="1"/>
  <c r="BD65" i="10" s="1"/>
  <c r="BD57" i="10"/>
  <c r="BD59" i="10" s="1"/>
  <c r="BE48" i="10" s="1"/>
  <c r="BD58" i="10"/>
  <c r="BD60" i="10" s="1"/>
  <c r="BD64" i="10"/>
  <c r="BD66" i="10" s="1"/>
  <c r="BE36" i="10"/>
  <c r="BE37" i="10" s="1"/>
  <c r="BF34" i="10" s="1"/>
  <c r="BE43" i="10"/>
  <c r="BD67" i="10" l="1"/>
  <c r="BE44" i="10"/>
  <c r="BE49" i="10"/>
  <c r="BE50" i="10" s="1"/>
  <c r="BE22" i="10" l="1"/>
  <c r="BE23" i="10" s="1"/>
  <c r="BE45" i="10"/>
  <c r="BE46" i="10" l="1"/>
  <c r="BF20" i="10"/>
  <c r="BF25" i="10" l="1"/>
  <c r="BE32" i="10"/>
  <c r="BE33" i="10" s="1"/>
  <c r="BE47" i="10"/>
  <c r="BE51" i="10" l="1"/>
  <c r="BF30" i="10"/>
  <c r="BE68" i="10"/>
  <c r="BF40" i="10"/>
  <c r="BF26" i="10" l="1"/>
  <c r="BF27" i="10" s="1"/>
  <c r="BG24" i="10" s="1"/>
  <c r="BF41" i="10"/>
  <c r="BF35" i="10"/>
  <c r="BE52" i="10"/>
  <c r="BE54" i="10"/>
  <c r="BE55" i="10" l="1"/>
  <c r="BE56" i="10" s="1"/>
  <c r="BE53" i="10"/>
  <c r="BF42" i="10"/>
  <c r="BE58" i="10" l="1"/>
  <c r="BE60" i="10" s="1"/>
  <c r="BF49" i="10" s="1"/>
  <c r="BE64" i="10"/>
  <c r="BE66" i="10" s="1"/>
  <c r="BF36" i="10"/>
  <c r="BF37" i="10" s="1"/>
  <c r="BG34" i="10" s="1"/>
  <c r="BE57" i="10"/>
  <c r="BE59" i="10" s="1"/>
  <c r="BE63" i="10"/>
  <c r="BE65" i="10" s="1"/>
  <c r="BF43" i="10"/>
  <c r="BE67" i="10" l="1"/>
  <c r="BF44" i="10"/>
  <c r="BF48" i="10"/>
  <c r="BF50" i="10" s="1"/>
  <c r="BF22" i="10" l="1"/>
  <c r="BF23" i="10" s="1"/>
  <c r="BF45" i="10"/>
  <c r="BF46" i="10" l="1"/>
  <c r="BG20" i="10"/>
  <c r="BG25" i="10" l="1"/>
  <c r="BF32" i="10"/>
  <c r="BF33" i="10" s="1"/>
  <c r="BF47" i="10"/>
  <c r="BG30" i="10" l="1"/>
  <c r="BF68" i="10"/>
  <c r="BF51" i="10"/>
  <c r="BF54" i="10" s="1"/>
  <c r="BG40" i="10"/>
  <c r="BF55" i="10" l="1"/>
  <c r="BF56" i="10" s="1"/>
  <c r="BG26" i="10"/>
  <c r="BG27" i="10" s="1"/>
  <c r="BH24" i="10" s="1"/>
  <c r="BG41" i="10"/>
  <c r="BF52" i="10"/>
  <c r="BG35" i="10"/>
  <c r="BG42" i="10" l="1"/>
  <c r="BG43" i="10" s="1"/>
  <c r="BF58" i="10"/>
  <c r="BF60" i="10" s="1"/>
  <c r="BF64" i="10"/>
  <c r="BF66" i="10" s="1"/>
  <c r="BF53" i="10"/>
  <c r="BG44" i="10" l="1"/>
  <c r="BF57" i="10"/>
  <c r="BF59" i="10" s="1"/>
  <c r="BF63" i="10"/>
  <c r="BF65" i="10" s="1"/>
  <c r="BF67" i="10" s="1"/>
  <c r="BG49" i="10"/>
  <c r="BG36" i="10"/>
  <c r="BG37" i="10" s="1"/>
  <c r="BH34" i="10" s="1"/>
  <c r="BG48" i="10" l="1"/>
  <c r="BG50" i="10" s="1"/>
  <c r="BG22" i="10"/>
  <c r="BG23" i="10" s="1"/>
  <c r="BG45" i="10"/>
  <c r="BG46" i="10" l="1"/>
  <c r="BH20" i="10"/>
  <c r="BH25" i="10" l="1"/>
  <c r="BG32" i="10"/>
  <c r="BG33" i="10" s="1"/>
  <c r="BG47" i="10"/>
  <c r="BG51" i="10" l="1"/>
  <c r="BH30" i="10"/>
  <c r="BG68" i="10"/>
  <c r="BH40" i="10"/>
  <c r="BH26" i="10" l="1"/>
  <c r="BH27" i="10" s="1"/>
  <c r="BI24" i="10" s="1"/>
  <c r="BH41" i="10"/>
  <c r="BH35" i="10"/>
  <c r="BG52" i="10"/>
  <c r="BG54" i="10"/>
  <c r="BG53" i="10" l="1"/>
  <c r="BG55" i="10"/>
  <c r="BG56" i="10" s="1"/>
  <c r="BH42" i="10"/>
  <c r="BH43" i="10" s="1"/>
  <c r="BG58" i="10" l="1"/>
  <c r="BG60" i="10" s="1"/>
  <c r="BG64" i="10"/>
  <c r="BG66" i="10" s="1"/>
  <c r="BH44" i="10"/>
  <c r="BH36" i="10"/>
  <c r="BH37" i="10" s="1"/>
  <c r="BI34" i="10" s="1"/>
  <c r="BG57" i="10"/>
  <c r="BG59" i="10" s="1"/>
  <c r="BG63" i="10"/>
  <c r="BG65" i="10" s="1"/>
  <c r="BG67" i="10" l="1"/>
  <c r="BH48" i="10"/>
  <c r="BH22" i="10"/>
  <c r="BH23" i="10" s="1"/>
  <c r="BH45" i="10"/>
  <c r="BH49" i="10"/>
  <c r="BH46" i="10" l="1"/>
  <c r="BH47" i="10" s="1"/>
  <c r="BI20" i="10"/>
  <c r="BH50" i="10"/>
  <c r="BH51" i="10" l="1"/>
  <c r="BH54" i="10" s="1"/>
  <c r="BI25" i="10"/>
  <c r="BH32" i="10"/>
  <c r="BH33" i="10" s="1"/>
  <c r="BH55" i="10" l="1"/>
  <c r="BH56" i="10" s="1"/>
  <c r="BH52" i="10"/>
  <c r="BI40" i="10"/>
  <c r="BI30" i="10"/>
  <c r="BH68" i="10"/>
  <c r="BI26" i="10" l="1"/>
  <c r="BI27" i="10" s="1"/>
  <c r="BJ24" i="10" s="1"/>
  <c r="BI41" i="10"/>
  <c r="BI35" i="10"/>
  <c r="BH58" i="10"/>
  <c r="BH60" i="10" s="1"/>
  <c r="BH64" i="10"/>
  <c r="BH66" i="10" s="1"/>
  <c r="BH53" i="10"/>
  <c r="BH57" i="10" l="1"/>
  <c r="BH59" i="10" s="1"/>
  <c r="BH63" i="10"/>
  <c r="BH65" i="10" s="1"/>
  <c r="BH67" i="10" s="1"/>
  <c r="BI42" i="10"/>
  <c r="BI43" i="10" s="1"/>
  <c r="BI49" i="10" l="1"/>
  <c r="BI44" i="10"/>
  <c r="BI36" i="10"/>
  <c r="BI37" i="10" s="1"/>
  <c r="BJ34" i="10" s="1"/>
  <c r="BI48" i="10"/>
  <c r="BI50" i="10" l="1"/>
  <c r="BI22" i="10"/>
  <c r="BI23" i="10" s="1"/>
  <c r="BI45" i="10"/>
  <c r="BI46" i="10" l="1"/>
  <c r="BJ20" i="10"/>
  <c r="BJ25" i="10" l="1"/>
  <c r="BI32" i="10"/>
  <c r="BI33" i="10" s="1"/>
  <c r="BI47" i="10"/>
  <c r="BI51" i="10" l="1"/>
  <c r="BJ30" i="10"/>
  <c r="BI68" i="10"/>
  <c r="BJ40" i="10"/>
  <c r="BI52" i="10" l="1"/>
  <c r="BJ26" i="10"/>
  <c r="BJ27" i="10" s="1"/>
  <c r="BK24" i="10" s="1"/>
  <c r="BJ41" i="10"/>
  <c r="BJ35" i="10"/>
  <c r="BI54" i="10"/>
  <c r="BJ42" i="10" l="1"/>
  <c r="BJ43" i="10" s="1"/>
  <c r="BI55" i="10"/>
  <c r="BI56" i="10" s="1"/>
  <c r="BI53" i="10"/>
  <c r="BI64" i="10" l="1"/>
  <c r="BI66" i="10" s="1"/>
  <c r="BI58" i="10"/>
  <c r="BI60" i="10" s="1"/>
  <c r="BI57" i="10"/>
  <c r="BI59" i="10" s="1"/>
  <c r="BI63" i="10"/>
  <c r="BI65" i="10" s="1"/>
  <c r="BJ44" i="10"/>
  <c r="BJ36" i="10"/>
  <c r="BJ37" i="10" s="1"/>
  <c r="BK34" i="10" s="1"/>
  <c r="BI67" i="10" l="1"/>
  <c r="BJ22" i="10"/>
  <c r="BJ23" i="10" s="1"/>
  <c r="BJ45" i="10"/>
  <c r="BJ49" i="10"/>
  <c r="BJ48" i="10"/>
  <c r="BJ50" i="10" l="1"/>
  <c r="BK20" i="10"/>
  <c r="BJ46" i="10"/>
  <c r="BJ32" i="10" l="1"/>
  <c r="BJ33" i="10" s="1"/>
  <c r="BJ47" i="10"/>
  <c r="BK25" i="10"/>
  <c r="BK40" i="10" l="1"/>
  <c r="BJ51" i="10"/>
  <c r="BK30" i="10"/>
  <c r="BJ68" i="10"/>
  <c r="BJ52" i="10" l="1"/>
  <c r="BJ53" i="10" s="1"/>
  <c r="BK26" i="10"/>
  <c r="BK27" i="10" s="1"/>
  <c r="BL24" i="10" s="1"/>
  <c r="BK41" i="10"/>
  <c r="BK35" i="10"/>
  <c r="BJ54" i="10"/>
  <c r="BK42" i="10" l="1"/>
  <c r="BK43" i="10" s="1"/>
  <c r="BJ55" i="10"/>
  <c r="BJ57" i="10" s="1"/>
  <c r="BJ59" i="10" s="1"/>
  <c r="BK48" i="10" l="1"/>
  <c r="BK44" i="10"/>
  <c r="BK36" i="10"/>
  <c r="BK37" i="10" s="1"/>
  <c r="BL34" i="10" s="1"/>
  <c r="BJ63" i="10"/>
  <c r="BJ65" i="10" s="1"/>
  <c r="BJ56" i="10"/>
  <c r="BJ58" i="10" l="1"/>
  <c r="BJ60" i="10" s="1"/>
  <c r="BJ64" i="10"/>
  <c r="BJ66" i="10" s="1"/>
  <c r="BJ67" i="10" s="1"/>
  <c r="BK22" i="10"/>
  <c r="BK23" i="10" s="1"/>
  <c r="BK45" i="10"/>
  <c r="BL20" i="10" l="1"/>
  <c r="BK46" i="10"/>
  <c r="BK49" i="10"/>
  <c r="BK50" i="10" s="1"/>
  <c r="BK32" i="10" l="1"/>
  <c r="BK33" i="10" s="1"/>
  <c r="BK47" i="10"/>
  <c r="BL25" i="10"/>
  <c r="BL40" i="10" l="1"/>
  <c r="BK51" i="10"/>
  <c r="BK54" i="10" s="1"/>
  <c r="BL30" i="10"/>
  <c r="BK68" i="10"/>
  <c r="BK55" i="10" l="1"/>
  <c r="BK56" i="10" s="1"/>
  <c r="BL35" i="10"/>
  <c r="BK52" i="10"/>
  <c r="BL26" i="10"/>
  <c r="BL27" i="10" s="1"/>
  <c r="BL41" i="10"/>
  <c r="BK58" i="10" l="1"/>
  <c r="BK60" i="10" s="1"/>
  <c r="BK64" i="10"/>
  <c r="BK66" i="10" s="1"/>
  <c r="BK53" i="10"/>
  <c r="BL42" i="10"/>
  <c r="BL36" i="10" l="1"/>
  <c r="BL37" i="10" s="1"/>
  <c r="B89" i="10" s="1"/>
  <c r="C89" i="10" s="1"/>
  <c r="BK57" i="10"/>
  <c r="BK59" i="10" s="1"/>
  <c r="BK63" i="10"/>
  <c r="BK65" i="10" s="1"/>
  <c r="BK67" i="10" s="1"/>
  <c r="BL49" i="10"/>
  <c r="BL43" i="10"/>
  <c r="BL44" i="10" l="1"/>
  <c r="BL48" i="10"/>
  <c r="BL50" i="10" s="1"/>
  <c r="BL22" i="10" l="1"/>
  <c r="BL23" i="10" s="1"/>
  <c r="BL45" i="10"/>
  <c r="B81" i="10" l="1"/>
  <c r="BL46" i="10"/>
  <c r="BL32" i="10" l="1"/>
  <c r="BL33" i="10" s="1"/>
  <c r="B88" i="10" s="1"/>
  <c r="C88" i="10" s="1"/>
  <c r="BL47" i="10"/>
  <c r="BL68" i="10" l="1"/>
  <c r="B80" i="10" s="1"/>
  <c r="B82" i="10"/>
  <c r="BL51" i="10"/>
  <c r="BL52" i="10" l="1"/>
  <c r="BL53" i="10" s="1"/>
  <c r="BL54" i="10"/>
  <c r="BL55" i="10" l="1"/>
  <c r="BL56" i="10" s="1"/>
  <c r="BL57" i="10" l="1"/>
  <c r="BL59" i="10" s="1"/>
  <c r="BL63" i="10"/>
  <c r="BL64" i="10"/>
  <c r="BL58" i="10"/>
  <c r="B86" i="10" l="1" a="1"/>
  <c r="B86" i="10" s="1"/>
  <c r="C86" i="10" s="1"/>
  <c r="BL60" i="10"/>
  <c r="B83" i="10"/>
  <c r="B90" i="10" s="1"/>
  <c r="C90" i="10" s="1"/>
  <c r="B76" i="10"/>
  <c r="BL66" i="10"/>
  <c r="B72" i="10" s="1"/>
  <c r="D64" i="12" s="1"/>
  <c r="B75" i="10"/>
  <c r="D66" i="12" s="1"/>
  <c r="BL65" i="10"/>
  <c r="B74" i="10"/>
  <c r="D67" i="12" s="1"/>
  <c r="B71" i="10" l="1"/>
  <c r="D65" i="12" s="1"/>
  <c r="B87" i="10" a="1"/>
  <c r="B87" i="10" s="1"/>
  <c r="C87" i="10" s="1"/>
  <c r="BL67" i="10"/>
  <c r="B73" i="10" s="1"/>
  <c r="C73" i="10" l="1"/>
  <c r="D68" i="12"/>
  <c r="D71" i="12" s="1"/>
  <c r="C91" i="1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<sst xmlns="http://schemas.openxmlformats.org/spreadsheetml/2006/main" count="1734" uniqueCount="1032">
  <si>
    <t>PROPERTY</t>
  </si>
  <si>
    <t>Purchase Price</t>
  </si>
  <si>
    <t>Stories</t>
  </si>
  <si>
    <t>Parking Spaces</t>
  </si>
  <si>
    <t>4.2 per 1,000 SF</t>
  </si>
  <si>
    <t>Close Date</t>
  </si>
  <si>
    <t>HOLD &amp; EXIT</t>
  </si>
  <si>
    <t>Hold Period (months)</t>
  </si>
  <si>
    <t>5 years</t>
  </si>
  <si>
    <t>Exit Cap Rate</t>
  </si>
  <si>
    <t>GROWTH &amp; ESCALATION</t>
  </si>
  <si>
    <t>OPERATING EXPENSES (Annual, Year 1)</t>
  </si>
  <si>
    <t>Real Estate Taxes</t>
  </si>
  <si>
    <t>Insurance</t>
  </si>
  <si>
    <t>Utilities</t>
  </si>
  <si>
    <t>Repairs &amp; Maintenance</t>
  </si>
  <si>
    <t>Janitorial</t>
  </si>
  <si>
    <t>Landscaping</t>
  </si>
  <si>
    <t>Security</t>
  </si>
  <si>
    <t>Elevator</t>
  </si>
  <si>
    <t>HVAC</t>
  </si>
  <si>
    <t>General &amp; Admin</t>
  </si>
  <si>
    <t>Marketing</t>
  </si>
  <si>
    <t>Management Fee (% of EGI)</t>
  </si>
  <si>
    <t>OTHER INCOME (Annual)</t>
  </si>
  <si>
    <t>Parking Income</t>
  </si>
  <si>
    <t>Antenna Income (T-Mobile)</t>
  </si>
  <si>
    <t>Storage Income</t>
  </si>
  <si>
    <t>Renovation Budget (Pinnacle)</t>
  </si>
  <si>
    <t>Building Reserves ($/SF/yr)</t>
  </si>
  <si>
    <t>Renew %</t>
  </si>
  <si>
    <t>Downtime (mo)</t>
  </si>
  <si>
    <t>LC %</t>
  </si>
  <si>
    <t>Free New</t>
  </si>
  <si>
    <t>#</t>
  </si>
  <si>
    <t>Tenant</t>
  </si>
  <si>
    <t>SF</t>
  </si>
  <si>
    <t>Rent $/SF</t>
  </si>
  <si>
    <t>Annual Rent</t>
  </si>
  <si>
    <t>Esc %</t>
  </si>
  <si>
    <t>Esc Mo</t>
  </si>
  <si>
    <t>Start</t>
  </si>
  <si>
    <t>Expiry</t>
  </si>
  <si>
    <t>Renewal</t>
  </si>
  <si>
    <t>Expiry Mo#</t>
  </si>
  <si>
    <t>None</t>
  </si>
  <si>
    <t>1x5yr</t>
  </si>
  <si>
    <t>1x3yr</t>
  </si>
  <si>
    <t>TechBridge Solutions</t>
  </si>
  <si>
    <t>Brightpath Insurance</t>
  </si>
  <si>
    <t>TOTAL</t>
  </si>
  <si>
    <t>Month #</t>
  </si>
  <si>
    <t>Suite 610</t>
  </si>
  <si>
    <t>Suite 620</t>
  </si>
  <si>
    <t>Suite 710</t>
  </si>
  <si>
    <t>Suite 720</t>
  </si>
  <si>
    <t>Suite 810</t>
  </si>
  <si>
    <t>Suite 820</t>
  </si>
  <si>
    <t>Other Income</t>
  </si>
  <si>
    <t>Effective Gross Income</t>
  </si>
  <si>
    <t>Operating Expenses</t>
  </si>
  <si>
    <t>Management Fee</t>
  </si>
  <si>
    <t>Net Operating Income</t>
  </si>
  <si>
    <t>Renovation CapEx</t>
  </si>
  <si>
    <t>Building Reserves</t>
  </si>
  <si>
    <t>Exit Month</t>
  </si>
  <si>
    <t>Forward 12-Month NOI</t>
  </si>
  <si>
    <t>Gross Exit Value</t>
  </si>
  <si>
    <t>Net Sale Proceeds</t>
  </si>
  <si>
    <t>Min SF</t>
  </si>
  <si>
    <t>Bucket Label</t>
  </si>
  <si>
    <t>&lt;2,000</t>
  </si>
  <si>
    <t>2,000-5,000</t>
  </si>
  <si>
    <t>5,000-15,000</t>
  </si>
  <si>
    <t>&gt;15,000</t>
  </si>
  <si>
    <t>Downtime</t>
  </si>
  <si>
    <t>Suite</t>
  </si>
  <si>
    <t>New TI $/SF</t>
  </si>
  <si>
    <t>Ren TI $/SF</t>
  </si>
  <si>
    <t>Free New (mo)</t>
  </si>
  <si>
    <t>Free Ren (mo)</t>
  </si>
  <si>
    <t>Tenant Improvements</t>
  </si>
  <si>
    <t>Leasing Commissions</t>
  </si>
  <si>
    <t>Occupancy Flag</t>
  </si>
  <si>
    <t>Net Base Rent</t>
  </si>
  <si>
    <t>Opex Recovery (NNN)</t>
  </si>
  <si>
    <t>TI (capital)</t>
  </si>
  <si>
    <t>LC (capital)</t>
  </si>
  <si>
    <t>Building SF (RSF)</t>
  </si>
  <si>
    <t>Total rentable area</t>
  </si>
  <si>
    <t>Price per SF</t>
  </si>
  <si>
    <t>= Price / SF</t>
  </si>
  <si>
    <t>Floor Plate (SF)</t>
  </si>
  <si>
    <t>Disposition Costs (% of gross)</t>
  </si>
  <si>
    <t>Rent Growth (annual)</t>
  </si>
  <si>
    <t>30-yr US CPI avg per Standard Guide</t>
  </si>
  <si>
    <t>Expense Growth (annual)</t>
  </si>
  <si>
    <t>Parking Income Growth</t>
  </si>
  <si>
    <t>Antenna Income Growth</t>
  </si>
  <si>
    <t>Building Reserves Growth</t>
  </si>
  <si>
    <t>Reimbursable?</t>
  </si>
  <si>
    <t>Yes</t>
  </si>
  <si>
    <t>No</t>
  </si>
  <si>
    <t>Total OpEx (ex-mgmt fee)</t>
  </si>
  <si>
    <t>Reimbursable OpEx Pool</t>
  </si>
  <si>
    <t>Excl. marketing &amp; mgmt fee</t>
  </si>
  <si>
    <t>Growth</t>
  </si>
  <si>
    <t>Flat</t>
  </si>
  <si>
    <t>LEASING ASSUMPTIONS BY SIZE (Standard Guide)</t>
  </si>
  <si>
    <t>Mkt Rent $/SF</t>
  </si>
  <si>
    <t>Renewal market rent = 95% of new-lease market rent</t>
  </si>
  <si>
    <t>Renewal Discount %</t>
  </si>
  <si>
    <t>Spec Suite TI ($/SF)</t>
  </si>
  <si>
    <t>VP-revised from $35</t>
  </si>
  <si>
    <t>Spec Suite Buildout Duration (mo)</t>
  </si>
  <si>
    <t>SouthPark Centre — Rent Roll</t>
  </si>
  <si>
    <t>Flr</t>
  </si>
  <si>
    <t>Status</t>
  </si>
  <si>
    <t>Size Key</t>
  </si>
  <si>
    <t>Bucket</t>
  </si>
  <si>
    <t>Meridian Financial Group</t>
  </si>
  <si>
    <t>600-820</t>
  </si>
  <si>
    <t>Departing</t>
  </si>
  <si>
    <t>Southeast Regional Health</t>
  </si>
  <si>
    <t>Occupied</t>
  </si>
  <si>
    <t>Carter &amp; Associates Law</t>
  </si>
  <si>
    <t>Pinnacle Wealth Advisors</t>
  </si>
  <si>
    <t>Caldwell Consulting Group</t>
  </si>
  <si>
    <t>Queen City Accounting</t>
  </si>
  <si>
    <t>Monarch Marketing Group</t>
  </si>
  <si>
    <t>Davidson &amp; Reed Architects</t>
  </si>
  <si>
    <t>Greenway Environmental</t>
  </si>
  <si>
    <t>Trellis HR Solutions</t>
  </si>
  <si>
    <t>Summit Digital Media</t>
  </si>
  <si>
    <t>Lakeview Financial Planning</t>
  </si>
  <si>
    <t>Cornerstone Title Services</t>
  </si>
  <si>
    <t>Appalachian Wealth Mgmt</t>
  </si>
  <si>
    <t>Blue Ridge Legal Services</t>
  </si>
  <si>
    <t>Magnolia Event Planning</t>
  </si>
  <si>
    <t>Horizon Physical Therapy</t>
  </si>
  <si>
    <t>SouthPark Dental Associates</t>
  </si>
  <si>
    <t>Ghost</t>
  </si>
  <si>
    <t>Vacant — Suite 130</t>
  </si>
  <si>
    <t>—</t>
  </si>
  <si>
    <t>Vacant</t>
  </si>
  <si>
    <t>Vacant — Suite 250</t>
  </si>
  <si>
    <t>Vacant — Suite 360</t>
  </si>
  <si>
    <t>Vacant — Suite 450</t>
  </si>
  <si>
    <t>Vacant — Suite 460</t>
  </si>
  <si>
    <t>Vacant — Suite 540</t>
  </si>
  <si>
    <t>Vacant — Suite 550</t>
  </si>
  <si>
    <t>Vacant — Suite 830</t>
  </si>
  <si>
    <t>28 entries</t>
  </si>
  <si>
    <t>SF check vs Building SF:</t>
  </si>
  <si>
    <t>Cols N–U: occupied = expiry mo# + size lookups; vacant = lease-up commencement mo# (blue) + size lookups</t>
  </si>
  <si>
    <t>Period End</t>
  </si>
  <si>
    <t>Year</t>
  </si>
  <si>
    <t>Rent Growth Index</t>
  </si>
  <si>
    <t>Expense Growth Index</t>
  </si>
  <si>
    <t>In-Place Rent</t>
  </si>
  <si>
    <t>Re-Let Flag</t>
  </si>
  <si>
    <t>Blend Rent $/SF</t>
  </si>
  <si>
    <t>Re-Let Rent (gross)</t>
  </si>
  <si>
    <t>Free Rent Adj</t>
  </si>
  <si>
    <t>1st Esc Date &gt;close</t>
  </si>
  <si>
    <t>SPEC SUITES (Meridian re-demise — 76,000 SF, not additive)</t>
  </si>
  <si>
    <t>Floor</t>
  </si>
  <si>
    <t>Commence Mo#</t>
  </si>
  <si>
    <t>TI $/SF</t>
  </si>
  <si>
    <t>Total (= Meridian 76,000)</t>
  </si>
  <si>
    <t>Buildout Flag</t>
  </si>
  <si>
    <t>TOTALS (feed Cash Flow)</t>
  </si>
  <si>
    <t>Net Rental Income</t>
  </si>
  <si>
    <t>Expense Recovery (NNN)</t>
  </si>
  <si>
    <t>SouthPark Centre — Exit Analysis</t>
  </si>
  <si>
    <t>EXIT VALUATION</t>
  </si>
  <si>
    <t>= Hold Period</t>
  </si>
  <si>
    <t>Exit Value $/SF</t>
  </si>
  <si>
    <t>Less: Disposition Costs</t>
  </si>
  <si>
    <t>UNLEVERED RETURN SUMMARY</t>
  </si>
  <si>
    <t>Months 1–60, before sale</t>
  </si>
  <si>
    <t>Net Sale Proceeds (exit)</t>
  </si>
  <si>
    <t>Total Profit</t>
  </si>
  <si>
    <t>Equity Multiple (unlevered)</t>
  </si>
  <si>
    <t>SENSE CHECKS</t>
  </si>
  <si>
    <t>Rent Roll SF = Building SF</t>
  </si>
  <si>
    <t>Year-5 NOI positive</t>
  </si>
  <si>
    <t>Exit value &gt; purchase price</t>
  </si>
  <si>
    <t>Occupied Sqft</t>
  </si>
  <si>
    <t>6-8</t>
  </si>
  <si>
    <t>Occupancy %</t>
  </si>
  <si>
    <t>Total Capital Expenditure</t>
  </si>
  <si>
    <t>Unlevered Operating Cash Flow</t>
  </si>
  <si>
    <t>Acquisition Price</t>
  </si>
  <si>
    <t>Acquisition Costs</t>
  </si>
  <si>
    <t>Disposition Price</t>
  </si>
  <si>
    <t>Exit Costs</t>
  </si>
  <si>
    <t>IRR</t>
  </si>
  <si>
    <t>MoIC</t>
  </si>
  <si>
    <t>Acquisition Costs (% of gross)</t>
  </si>
  <si>
    <t>SouthPark Centre — Cash Flow Summary</t>
  </si>
  <si>
    <t>Year #</t>
  </si>
  <si>
    <t>Projection month 0 = this month</t>
  </si>
  <si>
    <t>Required Capital</t>
  </si>
  <si>
    <t>Profit</t>
  </si>
  <si>
    <t>in $'000s</t>
  </si>
  <si>
    <t>Purchase Price (net)</t>
  </si>
  <si>
    <t>Operating Profit during Hold</t>
  </si>
  <si>
    <t>Additional Capital Required</t>
  </si>
  <si>
    <t>Atlantic Life Insurance</t>
  </si>
  <si>
    <t>Loan Type</t>
  </si>
  <si>
    <t>Construction-to-Permanent</t>
  </si>
  <si>
    <t>Rate Type</t>
  </si>
  <si>
    <t>Spread</t>
  </si>
  <si>
    <t>SOFR + 200 bps</t>
  </si>
  <si>
    <t>Current SOFR</t>
  </si>
  <si>
    <t>4.35%</t>
  </si>
  <si>
    <t>All-In Rate (indicative)</t>
  </si>
  <si>
    <t>6.35%</t>
  </si>
  <si>
    <t>Maximum LTC</t>
  </si>
  <si>
    <t>80%</t>
  </si>
  <si>
    <t>Maximum LTV (stabilized)</t>
  </si>
  <si>
    <t>75%</t>
  </si>
  <si>
    <t>DSCR at Conversion</t>
  </si>
  <si>
    <t>Interest-Only Period</t>
  </si>
  <si>
    <t>36 months from close</t>
  </si>
  <si>
    <t>Amortization</t>
  </si>
  <si>
    <t>Term</t>
  </si>
  <si>
    <t>Extension Options</t>
  </si>
  <si>
    <t>Recourse</t>
  </si>
  <si>
    <t>Non-recourse</t>
  </si>
  <si>
    <t>Origination Fee</t>
  </si>
  <si>
    <t>0.50%</t>
  </si>
  <si>
    <t>Prepayment</t>
  </si>
  <si>
    <t>Yield maintenance Years 1-7; 1% Years 8-9; open Year 10</t>
  </si>
  <si>
    <t>Interest Reserve</t>
  </si>
  <si>
    <t>First Southeast Bank</t>
  </si>
  <si>
    <t>SOFR + 275 bps</t>
  </si>
  <si>
    <t>7.10%</t>
  </si>
  <si>
    <t>70%</t>
  </si>
  <si>
    <t>24 months from close</t>
  </si>
  <si>
    <t>1 x 1-year (subject to DSCR test)</t>
  </si>
  <si>
    <t>Non-recourse with standard carve-outs</t>
  </si>
  <si>
    <t>1.00%</t>
  </si>
  <si>
    <t>Open after Year 2</t>
  </si>
  <si>
    <t>Piedmont Capital</t>
  </si>
  <si>
    <t>SOFR + 250 bps</t>
  </si>
  <si>
    <t>6.85%</t>
  </si>
  <si>
    <t>65%</t>
  </si>
  <si>
    <t>18 months from close</t>
  </si>
  <si>
    <t>2 x 1-year</t>
  </si>
  <si>
    <t>25% recourse during construction; non-recourse at conversion</t>
  </si>
  <si>
    <t>0.75%</t>
  </si>
  <si>
    <t>1% in Year 1, open after</t>
  </si>
  <si>
    <t>Lender Quote Comparison — SouthPark Centre</t>
  </si>
  <si>
    <t>Floating (swapped)</t>
  </si>
  <si>
    <t>Active Selection</t>
  </si>
  <si>
    <t>NOI, months 61-72</t>
  </si>
  <si>
    <t>Imputed Figures</t>
  </si>
  <si>
    <t>Max Dev Loan</t>
  </si>
  <si>
    <t>Max Permanent Loan (DSCR at Conversion)</t>
  </si>
  <si>
    <t>Max Permanent Loan (LTV stabilized)</t>
  </si>
  <si>
    <t>Conversion Month</t>
  </si>
  <si>
    <t>Min DSCR at Conversion (NOI based)</t>
  </si>
  <si>
    <t>n/a</t>
  </si>
  <si>
    <t>Amortization (after conversion)</t>
  </si>
  <si>
    <t>Financing Cash Flow</t>
  </si>
  <si>
    <t>Permanent Loan</t>
  </si>
  <si>
    <t>Acquisition / Dev Loan</t>
  </si>
  <si>
    <t>BoP Balance</t>
  </si>
  <si>
    <t>Drawdown</t>
  </si>
  <si>
    <t>Repayment</t>
  </si>
  <si>
    <t>EoP Balance</t>
  </si>
  <si>
    <t>Cash Interest</t>
  </si>
  <si>
    <t>Acquisition / Dev Loan Cash Flow</t>
  </si>
  <si>
    <t>Scheduled Amortization</t>
  </si>
  <si>
    <t>Permanent Loan Cash Flow</t>
  </si>
  <si>
    <t>Total CF from Financing</t>
  </si>
  <si>
    <t>Total Levered Cash Flow</t>
  </si>
  <si>
    <t>Total Unlevered Cash Flow</t>
  </si>
  <si>
    <t>Address</t>
  </si>
  <si>
    <t>Submarket</t>
  </si>
  <si>
    <t>Class</t>
  </si>
  <si>
    <t>Sale Date</t>
  </si>
  <si>
    <t>Price ($)</t>
  </si>
  <si>
    <t>$/SF</t>
  </si>
  <si>
    <t>Cap Rate</t>
  </si>
  <si>
    <t>Occ at Sale</t>
  </si>
  <si>
    <t>Buyer Type</t>
  </si>
  <si>
    <t>Notes</t>
  </si>
  <si>
    <t>5200 Park Road</t>
  </si>
  <si>
    <t>SouthPark</t>
  </si>
  <si>
    <t>B+</t>
  </si>
  <si>
    <t>03/15/2026</t>
  </si>
  <si>
    <t>Private Equity</t>
  </si>
  <si>
    <t>Value-add buyer. Similar size and class to subject.</t>
  </si>
  <si>
    <t>6800 Morrison Boulevard</t>
  </si>
  <si>
    <t>A</t>
  </si>
  <si>
    <t>11/08/2025</t>
  </si>
  <si>
    <t>REIT</t>
  </si>
  <si>
    <t>Class A. Sets ceiling for renovated value.</t>
  </si>
  <si>
    <t>4400 Sharon Road</t>
  </si>
  <si>
    <t>B</t>
  </si>
  <si>
    <t>08/22/2025</t>
  </si>
  <si>
    <t>Private</t>
  </si>
  <si>
    <t>Lower quality B. Floor for unrenovated product.</t>
  </si>
  <si>
    <t>7000 Fairview Road</t>
  </si>
  <si>
    <t>05/03/2025</t>
  </si>
  <si>
    <t>Institutional</t>
  </si>
  <si>
    <t>Recently renovated lobby. Good post-reno comparable.</t>
  </si>
  <si>
    <t>1200 Barclay Downs Drive</t>
  </si>
  <si>
    <t>02/14/2025</t>
  </si>
  <si>
    <t>Small building. High cap reflects size and risk.</t>
  </si>
  <si>
    <t>3100 Randolph Road</t>
  </si>
  <si>
    <t>Midtown</t>
  </si>
  <si>
    <t>12/05/2025</t>
  </si>
  <si>
    <t>Different submarket but similar profile.</t>
  </si>
  <si>
    <t>8500 University Executive Park</t>
  </si>
  <si>
    <t>University City</t>
  </si>
  <si>
    <t>A-</t>
  </si>
  <si>
    <t>06/20/2025</t>
  </si>
  <si>
    <t>University City. Quality reference point.</t>
  </si>
  <si>
    <t>2200 Rexford Road</t>
  </si>
  <si>
    <t>09/12/2025</t>
  </si>
  <si>
    <t>Very close in $/SF to subject asking price.</t>
  </si>
  <si>
    <t>4100 Barclay Downs Drive</t>
  </si>
  <si>
    <t>01/20/2026</t>
  </si>
  <si>
    <t>Recent trade. Good current benchmark.</t>
  </si>
  <si>
    <t>5600 Fairview Road</t>
  </si>
  <si>
    <t>07/18/2025</t>
  </si>
  <si>
    <t>Larger B building. Below subject pricing.</t>
  </si>
  <si>
    <t>3400 Coltsgate Road</t>
  </si>
  <si>
    <t>04/10/2025</t>
  </si>
  <si>
    <t>Smaller but comparable class.</t>
  </si>
  <si>
    <t>6100 Piedmont Row Drive</t>
  </si>
  <si>
    <t>10/25/2025</t>
  </si>
  <si>
    <t>Class A-. Upper end of range.</t>
  </si>
  <si>
    <t>4500 Cameron Valley Parkway</t>
  </si>
  <si>
    <t>03/10/2009</t>
  </si>
  <si>
    <t>N/A</t>
  </si>
  <si>
    <t>Distressed Buyer</t>
  </si>
  <si>
    <t>GFC distressed sale. Bank-directed.</t>
  </si>
  <si>
    <t>6200 Fairview Road</t>
  </si>
  <si>
    <t>11/20/2009</t>
  </si>
  <si>
    <t>Opportunity Fund</t>
  </si>
  <si>
    <t>GFC REO sale.</t>
  </si>
  <si>
    <t>3300 Park Road</t>
  </si>
  <si>
    <t>07/15/2020</t>
  </si>
  <si>
    <t>COVID pricing. 12% below pre-COVID basis.</t>
  </si>
  <si>
    <t>5100 Sharon Road</t>
  </si>
  <si>
    <t>12/03/2020</t>
  </si>
  <si>
    <t>Deep COVID discount.</t>
  </si>
  <si>
    <t>7800 Colony Road</t>
  </si>
  <si>
    <t>09/22/2020</t>
  </si>
  <si>
    <t>COVID-era trade.</t>
  </si>
  <si>
    <t>7200 Pineville-Matthews Road</t>
  </si>
  <si>
    <t>South Charlotte</t>
  </si>
  <si>
    <t>01/28/2026</t>
  </si>
  <si>
    <t>Unknown</t>
  </si>
  <si>
    <t>Cap rate and occupancy not disclosed.</t>
  </si>
  <si>
    <t>9800 Northlake Centre Parkway</t>
  </si>
  <si>
    <t>Northlake</t>
  </si>
  <si>
    <t>Price not disclosed. Only occ available.</t>
  </si>
  <si>
    <t>2800 Selwyn Avenue</t>
  </si>
  <si>
    <t>Myers Park</t>
  </si>
  <si>
    <t>06/15/2025</t>
  </si>
  <si>
    <t>Cap rate not available.</t>
  </si>
  <si>
    <t>4300 Park Road</t>
  </si>
  <si>
    <t>03/05/2026</t>
  </si>
  <si>
    <t>Cap rate and occ missing.</t>
  </si>
  <si>
    <t>401 South Tryon Street</t>
  </si>
  <si>
    <t>Uptown CBD</t>
  </si>
  <si>
    <t>08/18/2025</t>
  </si>
  <si>
    <t>Uptown CBD tower. Wrong submarket, wrong size class.</t>
  </si>
  <si>
    <t>1100 South Mint Street</t>
  </si>
  <si>
    <t>South End</t>
  </si>
  <si>
    <t>11/10/2025</t>
  </si>
  <si>
    <t>South End. Different market dynamics entirely.</t>
  </si>
  <si>
    <t>8200 Arrowridge Boulevard</t>
  </si>
  <si>
    <t>Airport/I-77</t>
  </si>
  <si>
    <t>Flex</t>
  </si>
  <si>
    <t>05/08/2025</t>
  </si>
  <si>
    <t>Flex/industrial product. Wrong property type.</t>
  </si>
  <si>
    <t>3800 Arco Corporate Drive</t>
  </si>
  <si>
    <t>Ballantyne</t>
  </si>
  <si>
    <t>02/22/2025</t>
  </si>
  <si>
    <t>Too small (45K SF vs 280K subject).</t>
  </si>
  <si>
    <t>Legend:</t>
  </si>
  <si>
    <t>(1) White = current market comps (primary benchmarks)</t>
  </si>
  <si>
    <t>(2) Yellow = crisis-era trades (stress-test / floor)</t>
  </si>
  <si>
    <t>(3) Gray = incomplete data (exclude from statistics)</t>
  </si>
  <si>
    <t>(4) Pink = non-comparable (wrong submarket/type/size)</t>
  </si>
  <si>
    <t>Comp Type (see legend)</t>
  </si>
  <si>
    <t>#FFF2CC</t>
  </si>
  <si>
    <t>#F2F2F2</t>
  </si>
  <si>
    <t>#FCE4EC</t>
  </si>
  <si>
    <t>Average of Current Market Comps</t>
  </si>
  <si>
    <t>Average of Crisis Era Comps</t>
  </si>
  <si>
    <t>Target Property (Underwritten)</t>
  </si>
  <si>
    <t>Target Property (Going-in)</t>
  </si>
  <si>
    <t>General Vacancy Adjustment</t>
  </si>
  <si>
    <t>Gross Rental Income</t>
  </si>
  <si>
    <t>Free Rent</t>
  </si>
  <si>
    <t>Stabilised Occupancy</t>
  </si>
  <si>
    <t>Lease Date</t>
  </si>
  <si>
    <t>Term (yr)</t>
  </si>
  <si>
    <t>Rent $/SF (NNN)</t>
  </si>
  <si>
    <t>Escalation</t>
  </si>
  <si>
    <t>Free Rent (mo)</t>
  </si>
  <si>
    <t>Ballantyne Corporate Center</t>
  </si>
  <si>
    <t>01/15/2026</t>
  </si>
  <si>
    <t>5400 Park South Drive</t>
  </si>
  <si>
    <t>Southeast Analytics LLC</t>
  </si>
  <si>
    <t>03/01/2026</t>
  </si>
  <si>
    <t>Renovated B+ building.</t>
  </si>
  <si>
    <t>Apex Advisory Group</t>
  </si>
  <si>
    <t>12/10/2025</t>
  </si>
  <si>
    <t>Unrenovated B+.</t>
  </si>
  <si>
    <t>4200 Sharon Road</t>
  </si>
  <si>
    <t>Trident Capital Partners</t>
  </si>
  <si>
    <t>10/22/2025</t>
  </si>
  <si>
    <t>Recently renovated space.</t>
  </si>
  <si>
    <t>7100 Fairview Road</t>
  </si>
  <si>
    <t>Palmer &amp; Associates CPA</t>
  </si>
  <si>
    <t>08/05/2025</t>
  </si>
  <si>
    <t>Unrenovated. Reflects current-condition market.</t>
  </si>
  <si>
    <t>5800 Morrison Boulevard</t>
  </si>
  <si>
    <t>Waverly Tech Inc</t>
  </si>
  <si>
    <t>06/18/2025</t>
  </si>
  <si>
    <t>Largest recent small-block lease. Class A- building.</t>
  </si>
  <si>
    <t>4600 Park Road</t>
  </si>
  <si>
    <t>Bridgewater Legal Group</t>
  </si>
  <si>
    <t>05/02/2025</t>
  </si>
  <si>
    <t>Small suite in unrenovated building.</t>
  </si>
  <si>
    <t>6400 Carmel Road</t>
  </si>
  <si>
    <t>Carolina Med Group</t>
  </si>
  <si>
    <t>04/15/2025</t>
  </si>
  <si>
    <t>Standard office TI package.</t>
  </si>
  <si>
    <t>5200 Park South Drive</t>
  </si>
  <si>
    <t>Nexus Financial Corp</t>
  </si>
  <si>
    <t>02/28/2025</t>
  </si>
  <si>
    <t>Mid-size professional services.</t>
  </si>
  <si>
    <t>DataStream Corp</t>
  </si>
  <si>
    <t>01/12/2025</t>
  </si>
  <si>
    <t>Class A building. Premium location.</t>
  </si>
  <si>
    <t>Vanguard Consulting LLC</t>
  </si>
  <si>
    <t>11/05/2024</t>
  </si>
  <si>
    <t>Short term. Tenant-funded buildout.</t>
  </si>
  <si>
    <t>Summit Group LLC</t>
  </si>
  <si>
    <t>09/20/2024</t>
  </si>
  <si>
    <t>Recently renovated building.</t>
  </si>
  <si>
    <t>3200 Randolph Road</t>
  </si>
  <si>
    <t>Redline Digital Agency</t>
  </si>
  <si>
    <t>Midtown but directly adjacent to SouthPark.</t>
  </si>
  <si>
    <t>Pinnacle HR Solutions</t>
  </si>
  <si>
    <t>01/25/2026</t>
  </si>
  <si>
    <t>Standard B+ terms.</t>
  </si>
  <si>
    <t>4800 Coltsgate Road</t>
  </si>
  <si>
    <t>Crawford Engineering</t>
  </si>
  <si>
    <t>11/18/2025</t>
  </si>
  <si>
    <t>Larger suite, slightly below top of market.</t>
  </si>
  <si>
    <t>6600 Fairview Road</t>
  </si>
  <si>
    <t>Southline Insurance Co</t>
  </si>
  <si>
    <t>09/10/2025</t>
  </si>
  <si>
    <t>Mid-size financial services.</t>
  </si>
  <si>
    <t>3400 Park Road</t>
  </si>
  <si>
    <t>Metro Title Company</t>
  </si>
  <si>
    <t>07/22/2025</t>
  </si>
  <si>
    <t>Small professional services.</t>
  </si>
  <si>
    <t>5500 Morrison Boulevard</t>
  </si>
  <si>
    <t>Beacon Advisors LLC</t>
  </si>
  <si>
    <t>05/15/2025</t>
  </si>
  <si>
    <t>Premium Morrison Blvd location.</t>
  </si>
  <si>
    <t>4100 Barclay Downs</t>
  </si>
  <si>
    <t>Heritage Law Partners</t>
  </si>
  <si>
    <t>04/08/2025</t>
  </si>
  <si>
    <t>Small law firm.</t>
  </si>
  <si>
    <t>6300 Carmel Road</t>
  </si>
  <si>
    <t>Clearwater CPA Group</t>
  </si>
  <si>
    <t>02/20/2025</t>
  </si>
  <si>
    <t>Professional services.</t>
  </si>
  <si>
    <t>3800 Coltsgate Road</t>
  </si>
  <si>
    <t>Parkview Marketing Inc</t>
  </si>
  <si>
    <t>12/12/2024</t>
  </si>
  <si>
    <t>Marketing agency.</t>
  </si>
  <si>
    <t>5700 Fairview Road</t>
  </si>
  <si>
    <t>Atlas Consulting Group</t>
  </si>
  <si>
    <t>10/28/2024</t>
  </si>
  <si>
    <t>Larger suite in renovated building.</t>
  </si>
  <si>
    <t>4500 Sharon Road</t>
  </si>
  <si>
    <t>Sterling Financial LLC</t>
  </si>
  <si>
    <t>08/15/2024</t>
  </si>
  <si>
    <t>Mid-2024 deal.</t>
  </si>
  <si>
    <t>6100 Park South Drive</t>
  </si>
  <si>
    <t>Oakhill Partners</t>
  </si>
  <si>
    <t>Professional services firm.</t>
  </si>
  <si>
    <t>3600 Randolph Road</t>
  </si>
  <si>
    <t>Crestwood Design Inc</t>
  </si>
  <si>
    <t>03/05/2025</t>
  </si>
  <si>
    <t>Adjacent submarket.</t>
  </si>
  <si>
    <t>5300 Morrison Boulevard</t>
  </si>
  <si>
    <t>Lumen Analytics</t>
  </si>
  <si>
    <t>01/18/2025</t>
  </si>
  <si>
    <t>Data analytics firm.</t>
  </si>
  <si>
    <t>3200 Park Road</t>
  </si>
  <si>
    <t>Westfield Group LLC</t>
  </si>
  <si>
    <t>06/15/2023</t>
  </si>
  <si>
    <t>2023. Useful for trend analysis, too dated for current levels.</t>
  </si>
  <si>
    <t>4100 Sharon Road</t>
  </si>
  <si>
    <t>Magnolia Corp</t>
  </si>
  <si>
    <t>03/10/2023</t>
  </si>
  <si>
    <t>Early 2023.</t>
  </si>
  <si>
    <t>Elm Street Partners</t>
  </si>
  <si>
    <t>11/20/2022</t>
  </si>
  <si>
    <t>Late 2022.</t>
  </si>
  <si>
    <t>Oakdale Financial</t>
  </si>
  <si>
    <t>08/05/2023</t>
  </si>
  <si>
    <t>Mid 2023.</t>
  </si>
  <si>
    <t>4400 Barclay Downs</t>
  </si>
  <si>
    <t>Riverstone Law PLLC</t>
  </si>
  <si>
    <t>01/15/2023</t>
  </si>
  <si>
    <t>Parkway Design LLC</t>
  </si>
  <si>
    <t>05/20/2023</t>
  </si>
  <si>
    <t>Mid 2023. Larger suite.</t>
  </si>
  <si>
    <t>Colonial Insurance</t>
  </si>
  <si>
    <t>09/10/2022</t>
  </si>
  <si>
    <t>Late 2022. Pre-rate-hike pricing.</t>
  </si>
  <si>
    <t>6100 Fairview Road</t>
  </si>
  <si>
    <t>Meadow Analytics Inc</t>
  </si>
  <si>
    <t>04/25/2023</t>
  </si>
  <si>
    <t>University Analytics</t>
  </si>
  <si>
    <t>10/15/2025</t>
  </si>
  <si>
    <t>University City. Different market dynamics.</t>
  </si>
  <si>
    <t>9200 Northlake Centre Pkwy</t>
  </si>
  <si>
    <t>Northlake Partners LLC</t>
  </si>
  <si>
    <t>07/20/2025</t>
  </si>
  <si>
    <t>Northlake. Not comparable.</t>
  </si>
  <si>
    <t>16400 Northcross Drive</t>
  </si>
  <si>
    <t>Lake Norman</t>
  </si>
  <si>
    <t>Lake Norman Group</t>
  </si>
  <si>
    <t>Lake Norman. Exurban location.</t>
  </si>
  <si>
    <t>10200 Statesville Road</t>
  </si>
  <si>
    <t>Huntersville</t>
  </si>
  <si>
    <t>Huntersville Tech Co</t>
  </si>
  <si>
    <t>01/08/2026</t>
  </si>
  <si>
    <t>Huntersville. Suburban/exurban.</t>
  </si>
  <si>
    <t>7800 Concord Mills Blvd</t>
  </si>
  <si>
    <t>Concord</t>
  </si>
  <si>
    <t>Concord Financial Inc</t>
  </si>
  <si>
    <t>09/20/2025</t>
  </si>
  <si>
    <t>Concord. Different market entirely.</t>
  </si>
  <si>
    <t>135 Mooresville Highway</t>
  </si>
  <si>
    <t>Mooresville</t>
  </si>
  <si>
    <t>Mooresville Law Group</t>
  </si>
  <si>
    <t>Mooresville. Not comparable.</t>
  </si>
  <si>
    <t>3200 Medical Plaza Drive</t>
  </si>
  <si>
    <t>Charlotte Ortho Assoc</t>
  </si>
  <si>
    <t>Medical office. Different use class.</t>
  </si>
  <si>
    <t>7800 Distribution Drive</t>
  </si>
  <si>
    <t>Flex Logistics Inc</t>
  </si>
  <si>
    <t>05/10/2025</t>
  </si>
  <si>
    <t>Flex/warehouse. Wrong property type.</t>
  </si>
  <si>
    <t>1200 Old Pineville Road</t>
  </si>
  <si>
    <t>Budget Office Co</t>
  </si>
  <si>
    <t>11/15/2025</t>
  </si>
  <si>
    <t>Class C office. Not comparable.</t>
  </si>
  <si>
    <t>9400 Warehouse Boulevard</t>
  </si>
  <si>
    <t>QuickShip Dist LLC</t>
  </si>
  <si>
    <t>03/08/2025</t>
  </si>
  <si>
    <t>Industrial distribution. Wrong type.</t>
  </si>
  <si>
    <t>4500 Medical Center Dr</t>
  </si>
  <si>
    <t>Med Imaging LLC</t>
  </si>
  <si>
    <t>Medical imaging suite. Specialized build.</t>
  </si>
  <si>
    <t>5500 Park Road</t>
  </si>
  <si>
    <t>Delta Advisory LLC</t>
  </si>
  <si>
    <t>02/10/2026</t>
  </si>
  <si>
    <t/>
  </si>
  <si>
    <t>Missing rent, term, and TI data.</t>
  </si>
  <si>
    <t>Sigma Partners Inc</t>
  </si>
  <si>
    <t>10/05/2025</t>
  </si>
  <si>
    <t>Missing escalation data.</t>
  </si>
  <si>
    <t>Omega Group LLC</t>
  </si>
  <si>
    <t>Missing rent, TI, and free rent.</t>
  </si>
  <si>
    <t>3800 Morrison Boulevard</t>
  </si>
  <si>
    <t>Lambda Corp</t>
  </si>
  <si>
    <t>12/08/2025</t>
  </si>
  <si>
    <t>Missing term and TI.</t>
  </si>
  <si>
    <t>5900 Carmel Road</t>
  </si>
  <si>
    <t>Theta Financial Inc</t>
  </si>
  <si>
    <t>08/25/2025</t>
  </si>
  <si>
    <t>Missing rent and free rent.</t>
  </si>
  <si>
    <t>(3) Gray = older transactions (2023 or earlier)</t>
  </si>
  <si>
    <t>(4) Purple = wrong submarket</t>
  </si>
  <si>
    <t>(5) Pink = wrong property type/class</t>
  </si>
  <si>
    <t>(6) Light yellow = incomplete data</t>
  </si>
  <si>
    <t>#E8EAF6</t>
  </si>
  <si>
    <t>#FFF9C4</t>
  </si>
  <si>
    <t>(2) White = current comps, SouthPark area (usable benchmarks)</t>
  </si>
  <si>
    <t>(1) Yellow highlight = Meridian BTS (only large-block transaction)</t>
  </si>
  <si>
    <t>Target Property Underwriting (Vacancy)</t>
  </si>
  <si>
    <t>Build-to-suit. ONLY transaction &gt;30,000 SF in this dataset.</t>
  </si>
  <si>
    <t>Levered IRR</t>
  </si>
  <si>
    <t>Levered MoIC</t>
  </si>
  <si>
    <t>Lender Scenario Analysis (sensitivity)</t>
  </si>
  <si>
    <t>Active</t>
  </si>
  <si>
    <t>Max</t>
  </si>
  <si>
    <t>STALE QUOTE</t>
  </si>
  <si>
    <t>PIK During Construction</t>
  </si>
  <si>
    <t>PIK Interest</t>
  </si>
  <si>
    <t>JV / EQUITY WATERFALL</t>
  </si>
  <si>
    <t>GP Equity Share</t>
  </si>
  <si>
    <t>Contributions called 90/10 LP/GP</t>
  </si>
  <si>
    <t>LP Equity Share</t>
  </si>
  <si>
    <t>Preferred Return (effective annual)</t>
  </si>
  <si>
    <t>Compounds monthly; accrues on GP and LP capital</t>
  </si>
  <si>
    <t>Monthly Pref Rate</t>
  </si>
  <si>
    <t>Catch-up — GP Share of Catch-up Dists</t>
  </si>
  <si>
    <t>50/50 GP/LP during catch-up</t>
  </si>
  <si>
    <t>Catch-up — GP Target Share of Profits</t>
  </si>
  <si>
    <t>Catch-up runs until GP has 20% of cumulative profit</t>
  </si>
  <si>
    <t>Residual Split — GP</t>
  </si>
  <si>
    <t>Residual Split — LP</t>
  </si>
  <si>
    <t>SouthPark Centre — JV Equity Waterfall</t>
  </si>
  <si>
    <t>DEAL CASH FLOW</t>
  </si>
  <si>
    <t>Levered Cash Flow (Property CF)</t>
  </si>
  <si>
    <t>Capital Call — Total Equity</t>
  </si>
  <si>
    <t>Available for Distribution</t>
  </si>
  <si>
    <t>CAPITAL CONTRIBUTIONS</t>
  </si>
  <si>
    <t>LP Contribution</t>
  </si>
  <si>
    <t>GP Contribution</t>
  </si>
  <si>
    <t>Cumulative Called — Total</t>
  </si>
  <si>
    <t>Cumulative Called — LP</t>
  </si>
  <si>
    <t>Cumulative Called — GP</t>
  </si>
  <si>
    <t>LP LEDGER</t>
  </si>
  <si>
    <t>BoP Unreturned Capital</t>
  </si>
  <si>
    <t>(+) Contributions</t>
  </si>
  <si>
    <t>(−) Return of Capital</t>
  </si>
  <si>
    <t>EoP Unreturned Capital</t>
  </si>
  <si>
    <t>BoP Accrued Unpaid Pref</t>
  </si>
  <si>
    <t>(+) Pref Accrual</t>
  </si>
  <si>
    <t>(−) Pref Distributions</t>
  </si>
  <si>
    <t>EoP Accrued Unpaid Pref</t>
  </si>
  <si>
    <t>GP LEDGER</t>
  </si>
  <si>
    <t>DISTRIBUTION WATERFALL</t>
  </si>
  <si>
    <t>Tier 1 — LP Pref</t>
  </si>
  <si>
    <t>Remaining after Tier 1</t>
  </si>
  <si>
    <t>Tier 2 — GP Pref</t>
  </si>
  <si>
    <t>Remaining after Tier 2</t>
  </si>
  <si>
    <t>Tier 3 — LP Return of Capital</t>
  </si>
  <si>
    <t>Remaining after Tier 3</t>
  </si>
  <si>
    <t>Tier 4 — GP Return of Capital</t>
  </si>
  <si>
    <t>Remaining after Tier 4</t>
  </si>
  <si>
    <t>Cum LP Profit incl. this month's pref</t>
  </si>
  <si>
    <t>Cum GP Profit incl. this month's pref</t>
  </si>
  <si>
    <t>Required Catch-up</t>
  </si>
  <si>
    <t>Tier 5 — Catch-up Paid</t>
  </si>
  <si>
    <t xml:space="preserve">   of which GP</t>
  </si>
  <si>
    <t xml:space="preserve">   of which LP</t>
  </si>
  <si>
    <t>Remaining after Tier 5</t>
  </si>
  <si>
    <t>Tier 6 — Residual to LP</t>
  </si>
  <si>
    <t>Tier 6 — Residual to GP</t>
  </si>
  <si>
    <t>LP Profit (month)</t>
  </si>
  <si>
    <t>GP Profit (month)</t>
  </si>
  <si>
    <t>Cumulative LP Profit</t>
  </si>
  <si>
    <t>Cumulative GP Profit</t>
  </si>
  <si>
    <t>PARTNER CASH FLOWS</t>
  </si>
  <si>
    <t>LP Distributions</t>
  </si>
  <si>
    <t>GP Distributions</t>
  </si>
  <si>
    <t>LP Net Cash Flow</t>
  </si>
  <si>
    <t>GP Net Cash Flow</t>
  </si>
  <si>
    <t>Total Equity Net CF</t>
  </si>
  <si>
    <t>Total Unreturned Capital (EoP)</t>
  </si>
  <si>
    <t>RETURNS SUMMARY</t>
  </si>
  <si>
    <t>LP IRR</t>
  </si>
  <si>
    <t>GP IRR</t>
  </si>
  <si>
    <t>Deal IRR (Total Equity)</t>
  </si>
  <si>
    <t>LP Equity Multiple</t>
  </si>
  <si>
    <t>GP Equity Multiple</t>
  </si>
  <si>
    <t>Deal Equity Multiple</t>
  </si>
  <si>
    <t>Total Capital Called — Total</t>
  </si>
  <si>
    <t>Total Capital Called — LP</t>
  </si>
  <si>
    <t>Total Capital Called — GP</t>
  </si>
  <si>
    <t>Peak Equity Outstanding — Total</t>
  </si>
  <si>
    <t>Peak Equity Outstanding — LP</t>
  </si>
  <si>
    <t>Peak Equity Outstanding — GP</t>
  </si>
  <si>
    <t>GP Share of Total Profit</t>
  </si>
  <si>
    <t>Unreturned capital = 0 after exit</t>
  </si>
  <si>
    <t>Accrued unpaid pref = 0 after exit</t>
  </si>
  <si>
    <t>GP profit share ≥ target (catch-up complete)</t>
  </si>
  <si>
    <t>LP IRR &lt; Deal IRR &lt; GP IRR (promote intact)</t>
  </si>
  <si>
    <t>=(1+annual)^(1/12)-1</t>
  </si>
  <si>
    <t>Tier dists = Available, every month</t>
  </si>
  <si>
    <t>LP + GP Net CF = Levered CF, every month</t>
  </si>
  <si>
    <t>GP 10% / LP 90% · 8% pref (effective annual, monthly compounding) · 50/50 catch-up to 20% GP profit share · 80/20 LP/GP residual</t>
  </si>
  <si>
    <t>RENOVATION TIMELINE - SOUTHPARK CENTRE</t>
  </si>
  <si>
    <t>Prepared by: Pinnacle Builders Inc.</t>
  </si>
  <si>
    <t>Assumes close August 1, 2026. Months numbered from close.</t>
  </si>
  <si>
    <t>Work Item</t>
  </si>
  <si>
    <t>Budget</t>
  </si>
  <si>
    <t>Duration</t>
  </si>
  <si>
    <t>COMMON AREA RENOVATION</t>
  </si>
  <si>
    <t>Lobby Demolition</t>
  </si>
  <si>
    <t>Lobby Renovation (Entrance + Reception)</t>
  </si>
  <si>
    <t>Corridor Refresh - Floor 1</t>
  </si>
  <si>
    <t>Corridor Refresh - Floor 2</t>
  </si>
  <si>
    <t>Corridor Refresh - Floor 3</t>
  </si>
  <si>
    <t>Corridor Refresh - Floor 4</t>
  </si>
  <si>
    <t>Corridor Refresh - Floor 5</t>
  </si>
  <si>
    <t>Signage &amp; Wayfinding</t>
  </si>
  <si>
    <t>Punch List &amp; Closeout - Common Areas</t>
  </si>
  <si>
    <t>SPEC SUITE BUILDOUT (MERIDIAN FLOORS)</t>
  </si>
  <si>
    <t>Suite 610 (14,000 SF) - Floor 6</t>
  </si>
  <si>
    <t>Suite 620 (13,000 SF) - Floor 6</t>
  </si>
  <si>
    <t>Suite 710 (13,000 SF) - Floor 7</t>
  </si>
  <si>
    <t>Suite 720 (12,000 SF) - Floor 7</t>
  </si>
  <si>
    <t>Suite 810 (12,500 SF) - Floor 8</t>
  </si>
  <si>
    <t>Suite 820 (11,500 SF) - Floor 8</t>
  </si>
  <si>
    <t>Punch List &amp; Closeout - Spec Suites</t>
  </si>
  <si>
    <t>NOTES</t>
  </si>
  <si>
    <t>1. Spec suite buildout at $65/SF per James Whitfield's site assessment (Email 5, May 31).</t>
  </si>
  <si>
    <t>3. Floors 7 and 8 phased at 2-month intervals to manage subcontractor scheduling.</t>
  </si>
  <si>
    <t>4. Common area renovation and spec suites run in parallel where possible.</t>
  </si>
  <si>
    <t>6. Budget excludes ongoing tenant TI/LC for existing tenant rollovers (separate line in operating budget).</t>
  </si>
  <si>
    <t>7. Contingency of 5% included in line items. No separate contingency line.</t>
  </si>
  <si>
    <t>Start Month</t>
  </si>
  <si>
    <t>5. TI allowance for spec suites not included herein</t>
  </si>
  <si>
    <t>Total CapEx</t>
  </si>
  <si>
    <t>CapEx Sensitivity</t>
  </si>
  <si>
    <t>RENOVATION</t>
  </si>
  <si>
    <t>Renovation Sensitivity</t>
  </si>
  <si>
    <t>Positive numbers increase renovation budget</t>
  </si>
  <si>
    <t>Purchase Price vs. Exit Cap Rate</t>
  </si>
  <si>
    <t>SENSITIVITY TABLES - Levered Deal-level Returns (IRR &amp; MoIC)</t>
  </si>
  <si>
    <t>Construction Cost Overrun vs. Lease-up Delay</t>
  </si>
  <si>
    <t>Construction Cost Overrun</t>
  </si>
  <si>
    <t>Lease-up Delay</t>
  </si>
  <si>
    <t>Downtime (mo) - base reference</t>
  </si>
  <si>
    <t>&lt;-- Sensi input</t>
  </si>
  <si>
    <t>Rent Growth</t>
  </si>
  <si>
    <t>INVESTMENT COMMITTEE SUMMARY</t>
  </si>
  <si>
    <t>DEAL OVERVIEW</t>
  </si>
  <si>
    <t>Property Name</t>
  </si>
  <si>
    <t>Total SF</t>
  </si>
  <si>
    <t>Year Built</t>
  </si>
  <si>
    <t>Price / SF</t>
  </si>
  <si>
    <t>Going-In Cap Rate (Reconciled)</t>
  </si>
  <si>
    <t>Physical Occupancy (Corrected)</t>
  </si>
  <si>
    <t>Number of Tenants (Actual)</t>
  </si>
  <si>
    <t>WALT (Years)</t>
  </si>
  <si>
    <t>Largest Tenant</t>
  </si>
  <si>
    <t>Near-Term Rollover Exposure (SF)</t>
  </si>
  <si>
    <t>MARKET CONTEXT</t>
  </si>
  <si>
    <t>Submarket Vacancy</t>
  </si>
  <si>
    <t>Class B+ Asking Rent (NNN)</t>
  </si>
  <si>
    <t>12-Month Rent Growth</t>
  </si>
  <si>
    <t>TTM Net Absorption</t>
  </si>
  <si>
    <t>Supply Pipeline</t>
  </si>
  <si>
    <t>TENANCY SUMMARY</t>
  </si>
  <si>
    <t>WALT</t>
  </si>
  <si>
    <t>Top 5 Tenant Concentration (% of SF)</t>
  </si>
  <si>
    <t>Near-Term Rollover (SF / % of Bldg)</t>
  </si>
  <si>
    <t>Avg Mark-to-Market Spread</t>
  </si>
  <si>
    <t>Weighted Avg In-Place Rent</t>
  </si>
  <si>
    <t>FINANCIAL SUMMARY</t>
  </si>
  <si>
    <t>Broker's Stated NOI</t>
  </si>
  <si>
    <t>Reconciled NOI</t>
  </si>
  <si>
    <t>Year 1 Proforma NOI</t>
  </si>
  <si>
    <t>Stabilized NOI</t>
  </si>
  <si>
    <t>Exit Year NOI</t>
  </si>
  <si>
    <t>Unlevered IRR</t>
  </si>
  <si>
    <t>DEBT TERMS</t>
  </si>
  <si>
    <t>Selected Lender</t>
  </si>
  <si>
    <t>Rate</t>
  </si>
  <si>
    <t>Loan Amount</t>
  </si>
  <si>
    <t>LTC</t>
  </si>
  <si>
    <t>LTV at Stabilization</t>
  </si>
  <si>
    <t>IO Period</t>
  </si>
  <si>
    <t>Lender Selection Rationale</t>
  </si>
  <si>
    <t>RENOVATION PROGRAM</t>
  </si>
  <si>
    <t>Selected Contractor</t>
  </si>
  <si>
    <t>Total Budget</t>
  </si>
  <si>
    <t>Timeline</t>
  </si>
  <si>
    <t>Selection Rationale</t>
  </si>
  <si>
    <t>JV STRUCTURE &amp; RETURNS</t>
  </si>
  <si>
    <t>GP / LP Equity Split</t>
  </si>
  <si>
    <t>Preferred Return</t>
  </si>
  <si>
    <t>Promote Structure</t>
  </si>
  <si>
    <t>Total Project IRR</t>
  </si>
  <si>
    <t>RECOMMENDATION</t>
  </si>
  <si>
    <t>Go / No-Go</t>
  </si>
  <si>
    <t>Rationale</t>
  </si>
  <si>
    <t>Key Return Metric vs Fund Threshold</t>
  </si>
  <si>
    <t>LETTER OF INTENT</t>
  </si>
  <si>
    <t>HARBORVIEW CAPITAL PARTNERS</t>
  </si>
  <si>
    <t>PROPERTY DETAILS</t>
  </si>
  <si>
    <t>Property Name:</t>
  </si>
  <si>
    <t>Address:</t>
  </si>
  <si>
    <t>Total SF:</t>
  </si>
  <si>
    <t>TRANSACTION TERMS</t>
  </si>
  <si>
    <t>Buyer:</t>
  </si>
  <si>
    <t>e.g. Harborview Capital Partners or its designee</t>
  </si>
  <si>
    <t>Purchase Price:</t>
  </si>
  <si>
    <t>Link to model</t>
  </si>
  <si>
    <t>Deposit:</t>
  </si>
  <si>
    <t>Typically 1% of purchase price</t>
  </si>
  <si>
    <t>Due Diligence Period:</t>
  </si>
  <si>
    <t>Calendar days from execution</t>
  </si>
  <si>
    <t>Financing Contingency:</t>
  </si>
  <si>
    <t>Calendar days from DD expiration</t>
  </si>
  <si>
    <t>Target Close Date:</t>
  </si>
  <si>
    <t>CONDITIONS</t>
  </si>
  <si>
    <t>Access:</t>
  </si>
  <si>
    <t>Property access during DD period</t>
  </si>
  <si>
    <t>Exclusivity:</t>
  </si>
  <si>
    <t>Period of exclusivity from execution</t>
  </si>
  <si>
    <t>Existing Contracts:</t>
  </si>
  <si>
    <t>Assignment of service contracts</t>
  </si>
  <si>
    <t>Tenant Estoppels:</t>
  </si>
  <si>
    <t>Required from what % of tenants</t>
  </si>
  <si>
    <t>Title &amp; Survey:</t>
  </si>
  <si>
    <t>Clean title, ALTA survey</t>
  </si>
  <si>
    <t>Environmental:</t>
  </si>
  <si>
    <t>Phase I/II requirements</t>
  </si>
  <si>
    <t>EXPIRATION</t>
  </si>
  <si>
    <t>This LOI expires:</t>
  </si>
  <si>
    <t>Business days from date of issuance</t>
  </si>
  <si>
    <t>4800 Sharon Road, Charlotte, NC 2821</t>
  </si>
  <si>
    <t>Class B+ Multi-Tenant Office</t>
  </si>
  <si>
    <t>All inputs blue, formulas black</t>
  </si>
  <si>
    <t>SouthPark Centre</t>
  </si>
  <si>
    <t>SouthPark Centre — Rent Roll Calc</t>
  </si>
  <si>
    <t>Charlotte Office Market</t>
  </si>
  <si>
    <t>SouthPark Submarket Report - Q1 2026</t>
  </si>
  <si>
    <t>Prepared by Charlotte Commercial Research</t>
  </si>
  <si>
    <t>SUBMARKET OVERVIEW</t>
  </si>
  <si>
    <t>Total Inventory</t>
  </si>
  <si>
    <t>8,200,000 SF</t>
  </si>
  <si>
    <t>Number of Buildings</t>
  </si>
  <si>
    <t>42</t>
  </si>
  <si>
    <t>Class A through C</t>
  </si>
  <si>
    <t>Average Building Age</t>
  </si>
  <si>
    <t>18 years</t>
  </si>
  <si>
    <t>Mix of 1990s-2010s vintage</t>
  </si>
  <si>
    <t>VACANCY &amp; OCCUPANCY</t>
  </si>
  <si>
    <t>Overall Vacancy Rate</t>
  </si>
  <si>
    <t>14.8%</t>
  </si>
  <si>
    <t>Down from 16.2% a year ago</t>
  </si>
  <si>
    <t>Class A Vacancy</t>
  </si>
  <si>
    <t>12.2%</t>
  </si>
  <si>
    <t>Limited new supply keeping Class A tight</t>
  </si>
  <si>
    <t>Class B/B+ Vacancy</t>
  </si>
  <si>
    <t>17.5%</t>
  </si>
  <si>
    <t>Elevated due to several large blocks returning to market</t>
  </si>
  <si>
    <t>Class C Vacancy</t>
  </si>
  <si>
    <t>22.1%</t>
  </si>
  <si>
    <t>Struggling with flight to quality</t>
  </si>
  <si>
    <t>Direct Vacancy</t>
  </si>
  <si>
    <t>13.5%</t>
  </si>
  <si>
    <t>Sublease Vacancy</t>
  </si>
  <si>
    <t>1.3%</t>
  </si>
  <si>
    <t>Limited sublease overhang</t>
  </si>
  <si>
    <t>ASKING RENTS (NNN)</t>
  </si>
  <si>
    <t>Class A</t>
  </si>
  <si>
    <t>$28.50/SF</t>
  </si>
  <si>
    <t>Premium product, recently renovated</t>
  </si>
  <si>
    <t>Class B+ - Renovated</t>
  </si>
  <si>
    <t>$24.00 - $27.00/SF</t>
  </si>
  <si>
    <t>Post-renovation product commands significant premium</t>
  </si>
  <si>
    <t>Class B+ - Unrenovated</t>
  </si>
  <si>
    <t>$18.00 - $21.00/SF</t>
  </si>
  <si>
    <t>Older product with deferred maintenance</t>
  </si>
  <si>
    <t>Class B</t>
  </si>
  <si>
    <t>$15.00 - $18.00/SF</t>
  </si>
  <si>
    <t>Commodity space</t>
  </si>
  <si>
    <t>Class C</t>
  </si>
  <si>
    <t>$12.00 - $15.00/SF</t>
  </si>
  <si>
    <t>Functional obsolescence risk</t>
  </si>
  <si>
    <t>Weighted Average (All Classes)</t>
  </si>
  <si>
    <t>$21.50/SF</t>
  </si>
  <si>
    <t>ABSORPTION &amp; DEMAND</t>
  </si>
  <si>
    <t>Net Absorption (TTM)</t>
  </si>
  <si>
    <t>185,000 SF</t>
  </si>
  <si>
    <t>Positive for 6 consecutive quarters</t>
  </si>
  <si>
    <t>Gross Absorption (TTM)</t>
  </si>
  <si>
    <t>420,000 SF</t>
  </si>
  <si>
    <t>Healthy leasing velocity</t>
  </si>
  <si>
    <t>Avg Deal Size (TTM)</t>
  </si>
  <si>
    <t>5,800 SF</t>
  </si>
  <si>
    <t>Small/medium deals dominate. No large-block transactions &gt;15,000 SF except one build-to-suit in Ballantyne.</t>
  </si>
  <si>
    <t>Key Demand Drivers</t>
  </si>
  <si>
    <t>Financial services, professional services, healthcare admin</t>
  </si>
  <si>
    <t>SouthPark benefits from proximity to residential affluence</t>
  </si>
  <si>
    <t>CONSTRUCTION PIPELINE</t>
  </si>
  <si>
    <t>Under Construction</t>
  </si>
  <si>
    <t>320,000 SF</t>
  </si>
  <si>
    <t>1 project only</t>
  </si>
  <si>
    <t>Project</t>
  </si>
  <si>
    <t>4700 Sharon Road</t>
  </si>
  <si>
    <t>Class A, 320,000 SF, delivery Q3 2027</t>
  </si>
  <si>
    <t>Developer</t>
  </si>
  <si>
    <t>Lincoln Harris</t>
  </si>
  <si>
    <t>Pre-leased: 35% as of Q1 2026</t>
  </si>
  <si>
    <t>Impact on Subject</t>
  </si>
  <si>
    <t>Moderate</t>
  </si>
  <si>
    <t>Competes at Class A rent levels ($28+). Subject's B+ positioning is a different segment, but the new supply could slow absorption of larger blocks.</t>
  </si>
  <si>
    <t>Planned Pipeline</t>
  </si>
  <si>
    <t>No other office projects in planning or entitlement in SouthPark</t>
  </si>
  <si>
    <t>RENT GROWTH TRENDS</t>
  </si>
  <si>
    <t>12-Month Rent Growth (Class B+)</t>
  </si>
  <si>
    <t>2.8%</t>
  </si>
  <si>
    <t>5-Year Avg Rent Growth</t>
  </si>
  <si>
    <t>2.4%</t>
  </si>
  <si>
    <t>Pre-COVID through current</t>
  </si>
  <si>
    <t>COVID Impact</t>
  </si>
  <si>
    <t>Rents declined ~8% from peak in 2020-2021, fully recovered by Q2 2024</t>
  </si>
  <si>
    <t>Forecast</t>
  </si>
  <si>
    <t>2.5-3.0% annual growth expected</t>
  </si>
  <si>
    <t>Supported by limited supply and steady demand</t>
  </si>
  <si>
    <t>NOTABLE TRANSACTIONS (LAST 12 MONTHS)</t>
  </si>
  <si>
    <t>Meridian Financial BTS</t>
  </si>
  <si>
    <t>80,000 SF build-to-suit in Ballantyne, $28.50/SF NNN</t>
  </si>
  <si>
    <t>Largest office transaction in greater SouthPark/South Charlotte in 2+ years. Relocated from SouthPark submarket.</t>
  </si>
  <si>
    <t>Waverly Tech</t>
  </si>
  <si>
    <t>8,200 SF at 5800 Morrison Blvd, $27.00/SF NNN</t>
  </si>
  <si>
    <t>Largest non-BTS lease in submarket. 10-year term.</t>
  </si>
  <si>
    <t>Overall Trend</t>
  </si>
  <si>
    <t>Small/medium deals (3,000-8,000 SF) driving absorption</t>
  </si>
  <si>
    <t>No large-block leasing activity. Buildings with blocks &gt;15,000 SF are struggling to lease in single transactions.</t>
  </si>
  <si>
    <t>Size Rank</t>
  </si>
  <si>
    <t>incl. vacancy</t>
  </si>
  <si>
    <t>Max Returns</t>
  </si>
  <si>
    <t>Returns</t>
  </si>
  <si>
    <t>IRR &amp; MOIC</t>
  </si>
  <si>
    <t>Pinnacle Builders</t>
  </si>
  <si>
    <t>18 months</t>
  </si>
  <si>
    <t>Closest in pricing to Headof Development</t>
  </si>
  <si>
    <t>From email 4</t>
  </si>
  <si>
    <t>60 days</t>
  </si>
  <si>
    <t>Line Item</t>
  </si>
  <si>
    <t>Jun 2025</t>
  </si>
  <si>
    <t>Jul 2025</t>
  </si>
  <si>
    <t>Aug 2025</t>
  </si>
  <si>
    <t>Sep 2025</t>
  </si>
  <si>
    <t>Oct 2025</t>
  </si>
  <si>
    <t>Nov 2025</t>
  </si>
  <si>
    <t>Dec 2025</t>
  </si>
  <si>
    <t>Jan 2026</t>
  </si>
  <si>
    <t>Feb 2026</t>
  </si>
  <si>
    <t>Mar 2026</t>
  </si>
  <si>
    <t>Apr 2026</t>
  </si>
  <si>
    <t>May 2026</t>
  </si>
  <si>
    <t>REVENUE</t>
  </si>
  <si>
    <t>Base Rental Revenue</t>
  </si>
  <si>
    <t>Expense Reimbursements</t>
  </si>
  <si>
    <t>Antenna / Telecom Income</t>
  </si>
  <si>
    <t>Other Income - Lease Termination Fee</t>
  </si>
  <si>
    <t>TOTAL REVENUE</t>
  </si>
  <si>
    <t>OPERATING EXPENSES</t>
  </si>
  <si>
    <t>Janitorial / Cleaning</t>
  </si>
  <si>
    <t>Landscaping &amp; Grounds</t>
  </si>
  <si>
    <t>Elevator Maintenance</t>
  </si>
  <si>
    <t>HVAC Maintenance</t>
  </si>
  <si>
    <t>General &amp; Administrative</t>
  </si>
  <si>
    <t>Marketing &amp; Leasing</t>
  </si>
  <si>
    <t>Management Fee (3.5% EGI)</t>
  </si>
  <si>
    <t>TOTAL OPERATING EXPENSES</t>
  </si>
  <si>
    <t>NET OPERATING INCOME</t>
  </si>
  <si>
    <t>Vendor</t>
  </si>
  <si>
    <t>Service</t>
  </si>
  <si>
    <t>Annual Cost</t>
  </si>
  <si>
    <t>Start Date</t>
  </si>
  <si>
    <t>Auto-Renew</t>
  </si>
  <si>
    <t>T-Mobile USA</t>
  </si>
  <si>
    <t>Antenna Lease</t>
  </si>
  <si>
    <t>1/1/2024</t>
  </si>
  <si>
    <t>12/31/2028</t>
  </si>
  <si>
    <t>Rooftop antenna. 2% annual escalation.</t>
  </si>
  <si>
    <t>Sprint / T-Mobile</t>
  </si>
  <si>
    <t>Antenna Lease (Legacy)</t>
  </si>
  <si>
    <t>1/1/2020</t>
  </si>
  <si>
    <t>2/28/2026</t>
  </si>
  <si>
    <t>EXPIRED</t>
  </si>
  <si>
    <t>Legacy Sprint contract. Expired Feb 2026. NOT renewed.</t>
  </si>
  <si>
    <t>Greystone Property Mgmt</t>
  </si>
  <si>
    <t>Property Management</t>
  </si>
  <si>
    <t>12/31/2026</t>
  </si>
  <si>
    <t>3.5% of EGI. See PM agreement for details.</t>
  </si>
  <si>
    <t>ABM Industries</t>
  </si>
  <si>
    <t>7/1/2024</t>
  </si>
  <si>
    <t>6/30/2027</t>
  </si>
  <si>
    <t>5 day/week service. All floors.</t>
  </si>
  <si>
    <t>Otis Elevator</t>
  </si>
  <si>
    <t>1/1/2025</t>
  </si>
  <si>
    <t>12/31/2027</t>
  </si>
  <si>
    <t>2 passenger + 1 freight. Quarterly inspections.</t>
  </si>
  <si>
    <t>Trane Technologies</t>
  </si>
  <si>
    <t>4/1/2025</t>
  </si>
  <si>
    <t>3/31/2028</t>
  </si>
  <si>
    <t>8 RTUs. Note: new contract mid-year, adds ~$45K annually on go-forward.</t>
  </si>
  <si>
    <t>BrightView Landscapes</t>
  </si>
  <si>
    <t>3/1/2024</t>
  </si>
  <si>
    <t>2/28/2027</t>
  </si>
  <si>
    <t>Full grounds maintenance.</t>
  </si>
  <si>
    <t>Allied Universal</t>
  </si>
  <si>
    <t>Lobby guard + after-hours patrol.</t>
  </si>
  <si>
    <t>Waste Management</t>
  </si>
  <si>
    <t>Trash / Recycling</t>
  </si>
  <si>
    <t>3x/week pickup.</t>
  </si>
  <si>
    <t>General Conditions &amp; Mobilization</t>
  </si>
  <si>
    <t>Restroom Renovation - Floor 1</t>
  </si>
  <si>
    <t>Restroom Renovation - Floor 2</t>
  </si>
  <si>
    <t>Restroom Renovation - Floor 3</t>
  </si>
  <si>
    <t>Restroom Renovation - Floor 4</t>
  </si>
  <si>
    <t>Restroom Renovation - Floor 5</t>
  </si>
  <si>
    <t>Elevator Lobby Upgrades</t>
  </si>
  <si>
    <t>INDIRECT COSTS</t>
  </si>
  <si>
    <t>Soft Costs (A&amp;E, Permits, CM Fee)</t>
  </si>
  <si>
    <t>Contingency (~7% of hard costs)</t>
  </si>
  <si>
    <t>Date: May 28, 2026  |  Revision: 0  |  Contract Value: $7,500,000</t>
  </si>
  <si>
    <t>Adjusted per VP feedback (email 9)</t>
  </si>
  <si>
    <t>from OM</t>
  </si>
  <si>
    <t>Full access to property and all books/records during DD</t>
  </si>
  <si>
    <t>Assignable at close, subject to review during diligence</t>
  </si>
  <si>
    <t>At least 75% of tenants by occupied SF</t>
  </si>
  <si>
    <t>Standard title commitment and ALTA survey</t>
  </si>
  <si>
    <t>Phase I at seller's cost, Phase II if flagged</t>
  </si>
  <si>
    <t>Purchase Price vs. Rent Growth</t>
  </si>
  <si>
    <t>VP revised down from Broker Guidance of $52.0m</t>
  </si>
  <si>
    <t>2. Floor 6 spec suites assume access beginning Month 4 (Meridian lease expires Oct 31, 2026).</t>
  </si>
  <si>
    <t>Closing Costs</t>
  </si>
  <si>
    <t>Loan Closing Costs</t>
  </si>
  <si>
    <t>Reference from fund return targets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</si>
</sst>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164" formatCode="0.0%"/>
    <numFmt numFmtId="165" formatCode="#,##0;\(#,##0\);&quot;-&quot;"/>
    <numFmt numFmtId="166" formatCode="&quot;£&quot;#,##0.00"/>
    <numFmt numFmtId="167" formatCode="mm/dd/yyyy"/>
    <numFmt numFmtId="168" formatCode="0.000"/>
    <numFmt numFmtId="169" formatCode="0.00\x"/>
    <numFmt numFmtId="170" formatCode="#,##0\ &quot;sqft&quot;"/>
    <numFmt numFmtId="171" formatCode="&quot;Year &quot;0"/>
    <numFmt numFmtId="172" formatCode="#,##0,;\(#,##0,\);\-"/>
    <numFmt numFmtId="173" formatCode="[$$-409]#,##0"/>
    <numFmt numFmtId="174" formatCode="0.00&quot; years&quot;"/>
    <numFmt numFmtId="175" formatCode="\$#,##0"/>
    <numFmt numFmtId="176" formatCode="\$#,##0.00"/>
    <numFmt numFmtId="177" formatCode="[$$-409]#,##0.00"/>
    <numFmt numFmtId="178" formatCode="0.0"/>
    <numFmt numFmtId="179" formatCode="0.000%"/>
    <numFmt numFmtId="180" formatCode="0&quot; mo&quot;"/>
    <numFmt numFmtId="181" formatCode="&quot;M&quot;0"/>
    <numFmt numFmtId="182" formatCode="#,##0.0,;\(#,##0.0,\);"/>
    <numFmt numFmtId="183" formatCode="0&quot; mos&quot;"/>
    <numFmt numFmtId="184" formatCode="@&quot; — Assumptions&quot;"/>
  </numFmts>
  <fonts count="59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1F3864"/>
      <name val="Calibri"/>
      <family val="2"/>
      <scheme val="minor"/>
    </font>
    <font>
      <sz val="9"/>
      <color rgb="FF808080"/>
      <name val="Calibri"/>
      <family val="2"/>
      <scheme val="minor"/>
    </font>
    <font>
      <i/>
      <sz val="9"/>
      <color rgb="FF808080"/>
      <name val="Calibri"/>
      <family val="2"/>
      <scheme val="minor"/>
    </font>
    <font>
      <sz val="11"/>
      <color rgb="FF0000CC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9"/>
      <color rgb="FF0000CC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BF8F00"/>
      <name val="Calibri"/>
      <family val="2"/>
      <scheme val="minor"/>
    </font>
    <font>
      <i/>
      <sz val="8"/>
      <color rgb="FF808080"/>
      <name val="Calibri"/>
      <family val="2"/>
      <scheme val="minor"/>
    </font>
    <font>
      <b/>
      <sz val="13"/>
      <color rgb="FF1F3864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BF8F00"/>
      <name val="Calibri"/>
      <family val="2"/>
      <scheme val="minor"/>
    </font>
    <font>
      <b/>
      <sz val="11"/>
      <color rgb="FF2F5496"/>
      <name val="Calibri"/>
      <family val="2"/>
      <scheme val="minor"/>
    </font>
    <font>
      <b/>
      <sz val="11"/>
      <color rgb="FF1F3864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rgb="FF002060"/>
      <name val="Calibri"/>
      <family val="2"/>
    </font>
    <font>
      <b/>
      <sz val="11"/>
      <color rgb="FF002060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b/>
      <sz val="12"/>
      <color rgb="FF002060"/>
      <name val="Calibri"/>
      <family val="2"/>
    </font>
    <font>
      <b/>
      <sz val="1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i/>
      <sz val="9"/>
      <color rgb="FF666666"/>
      <name val="Calibri"/>
      <family val="2"/>
    </font>
    <font>
      <i/>
      <sz val="10"/>
      <color rgb="FF666666"/>
      <name val="Calibri"/>
      <family val="2"/>
    </font>
    <font>
      <b/>
      <sz val="10"/>
      <color theme="1"/>
      <name val="Calibri"/>
      <family val="2"/>
      <scheme val="minor"/>
    </font>
    <font>
      <b/>
      <i/>
      <sz val="10"/>
      <color rgb="FF666666"/>
      <name val="Calibri"/>
      <family val="2"/>
    </font>
    <font>
      <b/>
      <sz val="12"/>
      <color theme="0"/>
      <name val="Calibri"/>
      <family val="2"/>
    </font>
    <font>
      <sz val="11"/>
      <color rgb="FF00000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rgb="FF1F3864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rgb="FF00B050"/>
      <name val="Calibri"/>
      <family val="2"/>
    </font>
    <font>
      <u val="singleAccounting"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FF"/>
      <name val="Calibri"/>
      <family val="2"/>
      <scheme val="minor"/>
    </font>
    <font>
      <b/>
      <u val="singleAccounting"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1"/>
      <color rgb="FF00B050"/>
      <name val="Calibri"/>
      <family val="2"/>
      <scheme val="minor"/>
    </font>
    <font>
      <sz val="10"/>
      <color rgb="FF0000CC"/>
      <name val="Calibri"/>
      <family val="2"/>
    </font>
    <font>
      <i/>
      <sz val="9"/>
      <color rgb="FF999999"/>
      <name val="Calibri"/>
      <family val="2"/>
    </font>
    <font>
      <b/>
      <sz val="12"/>
      <name val="Calibri"/>
      <family val="2"/>
    </font>
    <font>
      <b/>
      <sz val="10"/>
      <color rgb="FFFFFFFF"/>
      <name val="Calibri"/>
    </font>
    <font>
      <b/>
      <sz val="11"/>
      <color rgb="FF002060"/>
      <name val="Calibri"/>
    </font>
    <font>
      <sz val="10"/>
      <name val="Calibri"/>
    </font>
    <font>
      <b/>
      <sz val="10"/>
      <name val="Calibri"/>
    </font>
    <font>
      <i/>
      <sz val="9"/>
      <color rgb="FF666666"/>
      <name val="Calibri"/>
    </font>
    <font>
      <i/>
      <sz val="10"/>
      <color rgb="FF808080"/>
      <name val="Calibri"/>
      <family val="2"/>
      <scheme val="minor"/>
    </font>
    <font>
      <sz val="10"/>
      <color rgb="FF00B05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  <fill>
      <patternFill patternType="solid">
        <fgColor rgb="FFF2F4F8"/>
        <bgColor indexed="64"/>
      </patternFill>
    </fill>
    <fill>
      <patternFill patternType="solid">
        <fgColor rgb="FF002060"/>
      </patternFill>
    </fill>
    <fill>
      <patternFill patternType="solid">
        <fgColor rgb="FFFFF2CC"/>
      </patternFill>
    </fill>
    <fill>
      <patternFill patternType="solid">
        <fgColor rgb="FFFCE4EC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E8EAF6"/>
      </patternFill>
    </fill>
    <fill>
      <patternFill patternType="solid">
        <fgColor rgb="FFFFF9C4"/>
      </patternFill>
    </fill>
    <fill>
      <patternFill patternType="solid">
        <fgColor rgb="FFC00000"/>
        <bgColor indexed="64"/>
      </patternFill>
    </fill>
    <fill>
      <patternFill patternType="solid">
        <fgColor rgb="FFD6E4F0"/>
      </patternFill>
    </fill>
    <fill>
      <patternFill patternType="solid">
        <fgColor rgb="FFE2EFDA"/>
      </patternFill>
    </fill>
    <fill>
      <patternFill patternType="solid">
        <fgColor theme="9" tint="0.79998168889431442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rgb="FF002060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002060"/>
      </bottom>
      <diagonal/>
    </border>
    <border>
      <left/>
      <right style="thin">
        <color rgb="FFBFBFBF"/>
      </right>
      <top style="thin">
        <color rgb="FFBFBFBF"/>
      </top>
      <bottom style="medium">
        <color rgb="FF00206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1F3864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273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2" fillId="3" borderId="0" xfId="0" applyFont="1" applyFill="1"/>
    <xf numFmtId="0" fontId="0" fillId="3" borderId="0" xfId="0" applyFill="1"/>
    <xf numFmtId="0" fontId="7" fillId="0" borderId="0" xfId="0" applyFont="1"/>
    <xf numFmtId="3" fontId="7" fillId="0" borderId="0" xfId="0" applyNumberFormat="1" applyFont="1"/>
    <xf numFmtId="166" fontId="0" fillId="0" borderId="0" xfId="0" applyNumberFormat="1"/>
    <xf numFmtId="0" fontId="5" fillId="0" borderId="0" xfId="0" quotePrefix="1" applyFont="1"/>
    <xf numFmtId="1" fontId="7" fillId="0" borderId="0" xfId="0" applyNumberFormat="1" applyFont="1"/>
    <xf numFmtId="167" fontId="7" fillId="0" borderId="0" xfId="0" applyNumberFormat="1" applyFont="1"/>
    <xf numFmtId="10" fontId="7" fillId="0" borderId="0" xfId="0" applyNumberFormat="1" applyFont="1"/>
    <xf numFmtId="164" fontId="7" fillId="0" borderId="0" xfId="0" applyNumberFormat="1" applyFont="1"/>
    <xf numFmtId="0" fontId="8" fillId="3" borderId="0" xfId="0" applyFont="1" applyFill="1"/>
    <xf numFmtId="0" fontId="8" fillId="3" borderId="0" xfId="0" applyFont="1" applyFill="1" applyAlignment="1">
      <alignment horizontal="center"/>
    </xf>
    <xf numFmtId="0" fontId="9" fillId="0" borderId="0" xfId="0" applyFont="1" applyAlignment="1">
      <alignment horizontal="center"/>
    </xf>
    <xf numFmtId="0" fontId="3" fillId="0" borderId="0" xfId="0" applyFont="1"/>
    <xf numFmtId="0" fontId="5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64" fontId="10" fillId="0" borderId="0" xfId="0" applyNumberFormat="1" applyFont="1" applyAlignment="1">
      <alignment horizontal="center"/>
    </xf>
    <xf numFmtId="0" fontId="11" fillId="0" borderId="0" xfId="0" applyFont="1"/>
    <xf numFmtId="0" fontId="1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3" fontId="7" fillId="0" borderId="0" xfId="0" applyNumberFormat="1" applyFont="1" applyAlignment="1">
      <alignment horizontal="center"/>
    </xf>
    <xf numFmtId="9" fontId="7" fillId="0" borderId="0" xfId="0" applyNumberFormat="1" applyFont="1" applyAlignment="1">
      <alignment horizontal="center"/>
    </xf>
    <xf numFmtId="9" fontId="7" fillId="0" borderId="0" xfId="0" applyNumberFormat="1" applyFont="1"/>
    <xf numFmtId="0" fontId="8" fillId="4" borderId="0" xfId="0" applyFont="1" applyFill="1" applyAlignment="1">
      <alignment horizontal="center"/>
    </xf>
    <xf numFmtId="3" fontId="0" fillId="0" borderId="0" xfId="0" applyNumberFormat="1"/>
    <xf numFmtId="0" fontId="0" fillId="0" borderId="0" xfId="0" applyAlignment="1">
      <alignment horizontal="center"/>
    </xf>
    <xf numFmtId="167" fontId="0" fillId="0" borderId="0" xfId="0" applyNumberFormat="1"/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1" fontId="7" fillId="0" borderId="0" xfId="0" applyNumberFormat="1" applyFont="1" applyAlignment="1">
      <alignment horizontal="center"/>
    </xf>
    <xf numFmtId="3" fontId="3" fillId="0" borderId="1" xfId="0" applyNumberFormat="1" applyFont="1" applyBorder="1"/>
    <xf numFmtId="3" fontId="3" fillId="0" borderId="2" xfId="0" applyNumberFormat="1" applyFont="1" applyBorder="1"/>
    <xf numFmtId="165" fontId="10" fillId="0" borderId="0" xfId="0" applyNumberFormat="1" applyFont="1" applyAlignment="1">
      <alignment horizontal="center"/>
    </xf>
    <xf numFmtId="0" fontId="14" fillId="0" borderId="0" xfId="0" applyFont="1"/>
    <xf numFmtId="0" fontId="15" fillId="0" borderId="0" xfId="0" applyFont="1"/>
    <xf numFmtId="1" fontId="0" fillId="0" borderId="0" xfId="0" applyNumberFormat="1"/>
    <xf numFmtId="17" fontId="0" fillId="0" borderId="0" xfId="0" applyNumberFormat="1"/>
    <xf numFmtId="168" fontId="0" fillId="0" borderId="0" xfId="0" applyNumberForma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165" fontId="0" fillId="0" borderId="0" xfId="0" applyNumberFormat="1"/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right"/>
    </xf>
    <xf numFmtId="10" fontId="0" fillId="0" borderId="0" xfId="0" applyNumberFormat="1" applyAlignment="1">
      <alignment horizontal="right"/>
    </xf>
    <xf numFmtId="169" fontId="3" fillId="0" borderId="0" xfId="0" applyNumberFormat="1" applyFont="1"/>
    <xf numFmtId="164" fontId="0" fillId="0" borderId="0" xfId="0" applyNumberFormat="1" applyAlignment="1">
      <alignment horizontal="right"/>
    </xf>
    <xf numFmtId="0" fontId="2" fillId="5" borderId="0" xfId="0" applyFont="1" applyFill="1"/>
    <xf numFmtId="0" fontId="0" fillId="5" borderId="0" xfId="0" applyFill="1"/>
    <xf numFmtId="170" fontId="0" fillId="0" borderId="0" xfId="0" applyNumberFormat="1"/>
    <xf numFmtId="49" fontId="0" fillId="0" borderId="0" xfId="0" applyNumberFormat="1" applyAlignment="1">
      <alignment horizontal="right"/>
    </xf>
    <xf numFmtId="164" fontId="0" fillId="0" borderId="0" xfId="0" applyNumberFormat="1"/>
    <xf numFmtId="1" fontId="2" fillId="3" borderId="0" xfId="0" applyNumberFormat="1" applyFont="1" applyFill="1"/>
    <xf numFmtId="17" fontId="2" fillId="3" borderId="0" xfId="0" applyNumberFormat="1" applyFont="1" applyFill="1"/>
    <xf numFmtId="15" fontId="0" fillId="0" borderId="0" xfId="0" applyNumberFormat="1"/>
    <xf numFmtId="164" fontId="22" fillId="0" borderId="0" xfId="0" applyNumberFormat="1" applyFont="1"/>
    <xf numFmtId="0" fontId="23" fillId="0" borderId="0" xfId="0" applyFont="1"/>
    <xf numFmtId="171" fontId="2" fillId="3" borderId="0" xfId="0" applyNumberFormat="1" applyFont="1" applyFill="1" applyAlignment="1">
      <alignment horizontal="center"/>
    </xf>
    <xf numFmtId="171" fontId="2" fillId="3" borderId="0" xfId="0" applyNumberFormat="1" applyFont="1" applyFill="1" applyAlignment="1">
      <alignment horizontal="right"/>
    </xf>
    <xf numFmtId="164" fontId="23" fillId="0" borderId="0" xfId="0" applyNumberFormat="1" applyFont="1"/>
    <xf numFmtId="169" fontId="23" fillId="0" borderId="0" xfId="0" applyNumberFormat="1" applyFont="1"/>
    <xf numFmtId="172" fontId="0" fillId="0" borderId="0" xfId="0" applyNumberFormat="1"/>
    <xf numFmtId="172" fontId="3" fillId="0" borderId="0" xfId="0" applyNumberFormat="1" applyFont="1"/>
    <xf numFmtId="172" fontId="23" fillId="0" borderId="0" xfId="0" applyNumberFormat="1" applyFont="1"/>
    <xf numFmtId="173" fontId="0" fillId="0" borderId="0" xfId="0" applyNumberFormat="1"/>
    <xf numFmtId="173" fontId="3" fillId="0" borderId="1" xfId="0" applyNumberFormat="1" applyFont="1" applyBorder="1"/>
    <xf numFmtId="173" fontId="0" fillId="0" borderId="0" xfId="0" applyNumberFormat="1" applyAlignment="1">
      <alignment horizontal="right"/>
    </xf>
    <xf numFmtId="173" fontId="3" fillId="0" borderId="2" xfId="0" applyNumberFormat="1" applyFont="1" applyBorder="1"/>
    <xf numFmtId="0" fontId="24" fillId="0" borderId="0" xfId="0" applyFont="1"/>
    <xf numFmtId="0" fontId="25" fillId="0" borderId="3" xfId="0" applyFont="1" applyBorder="1"/>
    <xf numFmtId="0" fontId="26" fillId="0" borderId="0" xfId="0" applyFont="1"/>
    <xf numFmtId="0" fontId="27" fillId="0" borderId="0" xfId="0" applyFont="1"/>
    <xf numFmtId="0" fontId="28" fillId="0" borderId="0" xfId="0" applyFont="1"/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2" fillId="2" borderId="11" xfId="0" applyFont="1" applyFill="1" applyBorder="1" applyAlignment="1">
      <alignment vertical="top" wrapText="1"/>
    </xf>
    <xf numFmtId="0" fontId="2" fillId="2" borderId="11" xfId="0" applyFont="1" applyFill="1" applyBorder="1" applyAlignment="1">
      <alignment horizontal="center" vertical="top" wrapText="1"/>
    </xf>
    <xf numFmtId="0" fontId="3" fillId="0" borderId="10" xfId="0" applyFont="1" applyBorder="1" applyAlignment="1">
      <alignment vertical="top" wrapText="1"/>
    </xf>
    <xf numFmtId="0" fontId="0" fillId="0" borderId="10" xfId="0" applyBorder="1" applyAlignment="1">
      <alignment horizontal="center" vertical="top" wrapText="1"/>
    </xf>
    <xf numFmtId="0" fontId="3" fillId="8" borderId="7" xfId="0" applyFont="1" applyFill="1" applyBorder="1" applyAlignment="1">
      <alignment vertical="top" wrapText="1"/>
    </xf>
    <xf numFmtId="0" fontId="0" fillId="8" borderId="7" xfId="0" applyFill="1" applyBorder="1" applyAlignment="1">
      <alignment horizontal="center" vertical="top" wrapText="1"/>
    </xf>
    <xf numFmtId="0" fontId="3" fillId="0" borderId="7" xfId="0" applyFont="1" applyBorder="1" applyAlignment="1">
      <alignment vertical="top" wrapText="1"/>
    </xf>
    <xf numFmtId="0" fontId="0" fillId="0" borderId="7" xfId="0" applyBorder="1" applyAlignment="1">
      <alignment horizontal="center" vertical="top" wrapText="1"/>
    </xf>
    <xf numFmtId="0" fontId="2" fillId="2" borderId="12" xfId="0" applyFont="1" applyFill="1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0" fillId="8" borderId="9" xfId="0" applyFill="1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28" fillId="7" borderId="0" xfId="0" applyFont="1" applyFill="1" applyAlignment="1">
      <alignment horizontal="center"/>
    </xf>
    <xf numFmtId="0" fontId="28" fillId="0" borderId="0" xfId="0" applyFont="1" applyAlignment="1">
      <alignment horizontal="center"/>
    </xf>
    <xf numFmtId="0" fontId="29" fillId="7" borderId="11" xfId="0" applyFont="1" applyFill="1" applyBorder="1" applyAlignment="1">
      <alignment horizontal="center" vertical="top" wrapText="1"/>
    </xf>
    <xf numFmtId="169" fontId="0" fillId="8" borderId="9" xfId="0" applyNumberFormat="1" applyFill="1" applyBorder="1" applyAlignment="1">
      <alignment horizontal="center" vertical="top" wrapText="1"/>
    </xf>
    <xf numFmtId="169" fontId="0" fillId="8" borderId="7" xfId="0" applyNumberFormat="1" applyFill="1" applyBorder="1" applyAlignment="1">
      <alignment horizontal="center" vertical="top" wrapText="1"/>
    </xf>
    <xf numFmtId="174" fontId="0" fillId="8" borderId="9" xfId="0" applyNumberFormat="1" applyFill="1" applyBorder="1" applyAlignment="1">
      <alignment horizontal="center" vertical="top" wrapText="1"/>
    </xf>
    <xf numFmtId="174" fontId="0" fillId="0" borderId="9" xfId="0" applyNumberFormat="1" applyBorder="1" applyAlignment="1">
      <alignment horizontal="center" vertical="top" wrapText="1"/>
    </xf>
    <xf numFmtId="0" fontId="30" fillId="0" borderId="0" xfId="0" applyFont="1"/>
    <xf numFmtId="0" fontId="0" fillId="0" borderId="0" xfId="0" applyAlignment="1">
      <alignment horizontal="left" indent="1"/>
    </xf>
    <xf numFmtId="0" fontId="0" fillId="0" borderId="0" xfId="0" applyAlignment="1">
      <alignment horizontal="right"/>
    </xf>
    <xf numFmtId="10" fontId="0" fillId="0" borderId="0" xfId="0" applyNumberFormat="1"/>
    <xf numFmtId="0" fontId="31" fillId="9" borderId="0" xfId="0" applyFont="1" applyFill="1" applyAlignment="1">
      <alignment horizontal="center" vertical="center" wrapText="1"/>
    </xf>
    <xf numFmtId="3" fontId="27" fillId="0" borderId="0" xfId="0" applyNumberFormat="1" applyFont="1"/>
    <xf numFmtId="175" fontId="27" fillId="0" borderId="0" xfId="0" applyNumberFormat="1" applyFont="1"/>
    <xf numFmtId="176" fontId="27" fillId="0" borderId="0" xfId="0" applyNumberFormat="1" applyFont="1"/>
    <xf numFmtId="0" fontId="32" fillId="0" borderId="0" xfId="0" applyFont="1"/>
    <xf numFmtId="0" fontId="27" fillId="10" borderId="0" xfId="0" applyFont="1" applyFill="1"/>
    <xf numFmtId="3" fontId="27" fillId="10" borderId="0" xfId="0" applyNumberFormat="1" applyFont="1" applyFill="1"/>
    <xf numFmtId="176" fontId="27" fillId="10" borderId="0" xfId="0" applyNumberFormat="1" applyFont="1" applyFill="1"/>
    <xf numFmtId="0" fontId="32" fillId="10" borderId="0" xfId="0" applyFont="1" applyFill="1"/>
    <xf numFmtId="0" fontId="27" fillId="6" borderId="0" xfId="0" applyFont="1" applyFill="1"/>
    <xf numFmtId="3" fontId="27" fillId="6" borderId="0" xfId="0" applyNumberFormat="1" applyFont="1" applyFill="1"/>
    <xf numFmtId="176" fontId="27" fillId="6" borderId="0" xfId="0" applyNumberFormat="1" applyFont="1" applyFill="1"/>
    <xf numFmtId="0" fontId="32" fillId="6" borderId="0" xfId="0" applyFont="1" applyFill="1"/>
    <xf numFmtId="0" fontId="27" fillId="11" borderId="0" xfId="0" applyFont="1" applyFill="1"/>
    <xf numFmtId="3" fontId="27" fillId="11" borderId="0" xfId="0" applyNumberFormat="1" applyFont="1" applyFill="1"/>
    <xf numFmtId="0" fontId="32" fillId="11" borderId="0" xfId="0" applyFont="1" applyFill="1"/>
    <xf numFmtId="0" fontId="33" fillId="0" borderId="0" xfId="0" applyFont="1"/>
    <xf numFmtId="0" fontId="1" fillId="0" borderId="0" xfId="0" applyFont="1"/>
    <xf numFmtId="0" fontId="34" fillId="0" borderId="0" xfId="0" applyFont="1"/>
    <xf numFmtId="0" fontId="26" fillId="12" borderId="13" xfId="0" applyFont="1" applyFill="1" applyBorder="1"/>
    <xf numFmtId="0" fontId="26" fillId="12" borderId="1" xfId="0" applyFont="1" applyFill="1" applyBorder="1"/>
    <xf numFmtId="3" fontId="26" fillId="12" borderId="1" xfId="0" applyNumberFormat="1" applyFont="1" applyFill="1" applyBorder="1"/>
    <xf numFmtId="175" fontId="26" fillId="12" borderId="1" xfId="0" applyNumberFormat="1" applyFont="1" applyFill="1" applyBorder="1"/>
    <xf numFmtId="176" fontId="26" fillId="12" borderId="1" xfId="0" applyNumberFormat="1" applyFont="1" applyFill="1" applyBorder="1"/>
    <xf numFmtId="164" fontId="26" fillId="12" borderId="1" xfId="0" applyNumberFormat="1" applyFont="1" applyFill="1" applyBorder="1"/>
    <xf numFmtId="0" fontId="35" fillId="12" borderId="1" xfId="0" applyFont="1" applyFill="1" applyBorder="1"/>
    <xf numFmtId="0" fontId="34" fillId="12" borderId="14" xfId="0" applyFont="1" applyFill="1" applyBorder="1"/>
    <xf numFmtId="0" fontId="27" fillId="0" borderId="0" xfId="0" applyFont="1" applyAlignment="1">
      <alignment horizontal="center"/>
    </xf>
    <xf numFmtId="0" fontId="26" fillId="0" borderId="13" xfId="0" applyFont="1" applyBorder="1"/>
    <xf numFmtId="0" fontId="26" fillId="0" borderId="1" xfId="0" applyFont="1" applyBorder="1"/>
    <xf numFmtId="3" fontId="26" fillId="0" borderId="1" xfId="0" applyNumberFormat="1" applyFont="1" applyBorder="1"/>
    <xf numFmtId="175" fontId="26" fillId="0" borderId="1" xfId="0" applyNumberFormat="1" applyFont="1" applyBorder="1"/>
    <xf numFmtId="176" fontId="26" fillId="0" borderId="1" xfId="0" applyNumberFormat="1" applyFont="1" applyBorder="1"/>
    <xf numFmtId="164" fontId="26" fillId="0" borderId="1" xfId="0" applyNumberFormat="1" applyFont="1" applyBorder="1"/>
    <xf numFmtId="0" fontId="35" fillId="0" borderId="1" xfId="0" applyFont="1" applyBorder="1"/>
    <xf numFmtId="0" fontId="34" fillId="0" borderId="14" xfId="0" applyFont="1" applyBorder="1"/>
    <xf numFmtId="0" fontId="26" fillId="0" borderId="17" xfId="0" applyFont="1" applyBorder="1"/>
    <xf numFmtId="0" fontId="26" fillId="0" borderId="2" xfId="0" applyFont="1" applyBorder="1"/>
    <xf numFmtId="3" fontId="26" fillId="0" borderId="2" xfId="0" applyNumberFormat="1" applyFont="1" applyBorder="1"/>
    <xf numFmtId="175" fontId="26" fillId="0" borderId="2" xfId="0" applyNumberFormat="1" applyFont="1" applyBorder="1"/>
    <xf numFmtId="176" fontId="26" fillId="0" borderId="2" xfId="0" applyNumberFormat="1" applyFont="1" applyBorder="1"/>
    <xf numFmtId="164" fontId="26" fillId="0" borderId="2" xfId="0" applyNumberFormat="1" applyFont="1" applyBorder="1"/>
    <xf numFmtId="0" fontId="35" fillId="0" borderId="2" xfId="0" applyFont="1" applyBorder="1"/>
    <xf numFmtId="0" fontId="34" fillId="0" borderId="18" xfId="0" applyFont="1" applyBorder="1"/>
    <xf numFmtId="173" fontId="7" fillId="0" borderId="0" xfId="0" applyNumberFormat="1" applyFont="1"/>
    <xf numFmtId="177" fontId="7" fillId="0" borderId="0" xfId="0" applyNumberFormat="1" applyFont="1" applyAlignment="1">
      <alignment horizontal="center"/>
    </xf>
    <xf numFmtId="177" fontId="7" fillId="0" borderId="0" xfId="0" applyNumberFormat="1" applyFont="1"/>
    <xf numFmtId="173" fontId="3" fillId="0" borderId="0" xfId="0" applyNumberFormat="1" applyFont="1"/>
    <xf numFmtId="0" fontId="27" fillId="13" borderId="0" xfId="0" applyFont="1" applyFill="1"/>
    <xf numFmtId="3" fontId="27" fillId="13" borderId="0" xfId="0" applyNumberFormat="1" applyFont="1" applyFill="1"/>
    <xf numFmtId="176" fontId="27" fillId="13" borderId="0" xfId="0" applyNumberFormat="1" applyFont="1" applyFill="1"/>
    <xf numFmtId="0" fontId="32" fillId="13" borderId="0" xfId="0" applyFont="1" applyFill="1"/>
    <xf numFmtId="0" fontId="27" fillId="13" borderId="0" xfId="0" applyFont="1" applyFill="1" applyAlignment="1">
      <alignment horizontal="right"/>
    </xf>
    <xf numFmtId="176" fontId="27" fillId="13" borderId="0" xfId="0" applyNumberFormat="1" applyFont="1" applyFill="1" applyAlignment="1">
      <alignment horizontal="right"/>
    </xf>
    <xf numFmtId="3" fontId="27" fillId="13" borderId="0" xfId="0" applyNumberFormat="1" applyFont="1" applyFill="1" applyAlignment="1">
      <alignment horizontal="right"/>
    </xf>
    <xf numFmtId="0" fontId="27" fillId="11" borderId="0" xfId="0" applyFont="1" applyFill="1" applyAlignment="1">
      <alignment horizontal="right"/>
    </xf>
    <xf numFmtId="176" fontId="27" fillId="11" borderId="0" xfId="0" applyNumberFormat="1" applyFont="1" applyFill="1" applyAlignment="1">
      <alignment horizontal="right"/>
    </xf>
    <xf numFmtId="3" fontId="27" fillId="11" borderId="0" xfId="0" applyNumberFormat="1" applyFont="1" applyFill="1" applyAlignment="1">
      <alignment horizontal="right"/>
    </xf>
    <xf numFmtId="0" fontId="27" fillId="14" borderId="0" xfId="0" applyFont="1" applyFill="1"/>
    <xf numFmtId="3" fontId="27" fillId="14" borderId="0" xfId="0" applyNumberFormat="1" applyFont="1" applyFill="1"/>
    <xf numFmtId="0" fontId="27" fillId="14" borderId="0" xfId="0" applyFont="1" applyFill="1" applyAlignment="1">
      <alignment horizontal="right"/>
    </xf>
    <xf numFmtId="0" fontId="32" fillId="14" borderId="0" xfId="0" applyFont="1" applyFill="1"/>
    <xf numFmtId="176" fontId="27" fillId="14" borderId="0" xfId="0" applyNumberFormat="1" applyFont="1" applyFill="1" applyAlignment="1">
      <alignment horizontal="right"/>
    </xf>
    <xf numFmtId="3" fontId="27" fillId="14" borderId="0" xfId="0" applyNumberFormat="1" applyFont="1" applyFill="1" applyAlignment="1">
      <alignment horizontal="right"/>
    </xf>
    <xf numFmtId="0" fontId="27" fillId="0" borderId="0" xfId="0" applyFont="1" applyAlignment="1">
      <alignment horizontal="right"/>
    </xf>
    <xf numFmtId="178" fontId="26" fillId="12" borderId="1" xfId="0" applyNumberFormat="1" applyFont="1" applyFill="1" applyBorder="1"/>
    <xf numFmtId="178" fontId="26" fillId="0" borderId="2" xfId="0" applyNumberFormat="1" applyFont="1" applyBorder="1"/>
    <xf numFmtId="10" fontId="27" fillId="13" borderId="0" xfId="0" applyNumberFormat="1" applyFont="1" applyFill="1" applyAlignment="1">
      <alignment horizontal="right"/>
    </xf>
    <xf numFmtId="10" fontId="27" fillId="11" borderId="0" xfId="0" applyNumberFormat="1" applyFont="1" applyFill="1" applyAlignment="1">
      <alignment horizontal="right"/>
    </xf>
    <xf numFmtId="10" fontId="27" fillId="14" borderId="0" xfId="0" applyNumberFormat="1" applyFont="1" applyFill="1" applyAlignment="1">
      <alignment horizontal="right"/>
    </xf>
    <xf numFmtId="10" fontId="27" fillId="10" borderId="0" xfId="0" applyNumberFormat="1" applyFont="1" applyFill="1" applyAlignment="1">
      <alignment horizontal="right"/>
    </xf>
    <xf numFmtId="10" fontId="27" fillId="0" borderId="0" xfId="0" applyNumberFormat="1" applyFont="1" applyAlignment="1">
      <alignment horizontal="right"/>
    </xf>
    <xf numFmtId="10" fontId="27" fillId="6" borderId="0" xfId="0" applyNumberFormat="1" applyFont="1" applyFill="1" applyAlignment="1">
      <alignment horizontal="right"/>
    </xf>
    <xf numFmtId="176" fontId="27" fillId="0" borderId="0" xfId="0" applyNumberFormat="1" applyFont="1" applyAlignment="1">
      <alignment horizontal="right"/>
    </xf>
    <xf numFmtId="175" fontId="27" fillId="0" borderId="0" xfId="0" applyNumberFormat="1" applyFont="1" applyAlignment="1">
      <alignment horizontal="right"/>
    </xf>
    <xf numFmtId="164" fontId="27" fillId="0" borderId="0" xfId="0" applyNumberFormat="1" applyFont="1" applyAlignment="1">
      <alignment horizontal="right"/>
    </xf>
    <xf numFmtId="169" fontId="0" fillId="0" borderId="0" xfId="0" applyNumberFormat="1"/>
    <xf numFmtId="164" fontId="21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169" fontId="21" fillId="0" borderId="0" xfId="0" applyNumberFormat="1" applyFont="1" applyAlignment="1">
      <alignment horizontal="center"/>
    </xf>
    <xf numFmtId="169" fontId="0" fillId="0" borderId="0" xfId="0" applyNumberFormat="1" applyAlignment="1">
      <alignment horizontal="center"/>
    </xf>
    <xf numFmtId="0" fontId="36" fillId="15" borderId="0" xfId="0" applyFont="1" applyFill="1" applyAlignment="1">
      <alignment horizontal="center"/>
    </xf>
    <xf numFmtId="164" fontId="37" fillId="0" borderId="0" xfId="0" applyNumberFormat="1" applyFont="1"/>
    <xf numFmtId="179" fontId="37" fillId="0" borderId="0" xfId="0" applyNumberFormat="1" applyFont="1"/>
    <xf numFmtId="0" fontId="0" fillId="0" borderId="0" xfId="0" quotePrefix="1"/>
    <xf numFmtId="0" fontId="38" fillId="0" borderId="0" xfId="0" applyFont="1"/>
    <xf numFmtId="0" fontId="40" fillId="3" borderId="0" xfId="0" applyFont="1" applyFill="1"/>
    <xf numFmtId="171" fontId="40" fillId="3" borderId="0" xfId="0" applyNumberFormat="1" applyFont="1" applyFill="1" applyAlignment="1">
      <alignment horizontal="right"/>
    </xf>
    <xf numFmtId="1" fontId="40" fillId="3" borderId="0" xfId="0" applyNumberFormat="1" applyFont="1" applyFill="1" applyAlignment="1">
      <alignment horizontal="right"/>
    </xf>
    <xf numFmtId="17" fontId="40" fillId="3" borderId="0" xfId="0" applyNumberFormat="1" applyFont="1" applyFill="1" applyAlignment="1">
      <alignment horizontal="right"/>
    </xf>
    <xf numFmtId="0" fontId="39" fillId="0" borderId="19" xfId="0" applyFont="1" applyBorder="1"/>
    <xf numFmtId="165" fontId="1" fillId="0" borderId="0" xfId="0" applyNumberFormat="1" applyFont="1"/>
    <xf numFmtId="165" fontId="34" fillId="0" borderId="0" xfId="0" applyNumberFormat="1" applyFont="1"/>
    <xf numFmtId="165" fontId="38" fillId="0" borderId="0" xfId="0" applyNumberFormat="1" applyFont="1"/>
    <xf numFmtId="4" fontId="1" fillId="0" borderId="0" xfId="0" applyNumberFormat="1" applyFont="1"/>
    <xf numFmtId="10" fontId="1" fillId="0" borderId="0" xfId="0" applyNumberFormat="1" applyFont="1"/>
    <xf numFmtId="164" fontId="38" fillId="0" borderId="0" xfId="0" applyNumberFormat="1" applyFont="1"/>
    <xf numFmtId="169" fontId="38" fillId="0" borderId="0" xfId="0" applyNumberFormat="1" applyFont="1"/>
    <xf numFmtId="0" fontId="34" fillId="0" borderId="0" xfId="0" applyFont="1" applyAlignment="1">
      <alignment horizontal="center"/>
    </xf>
    <xf numFmtId="9" fontId="38" fillId="0" borderId="0" xfId="0" applyNumberFormat="1" applyFont="1"/>
    <xf numFmtId="2" fontId="0" fillId="0" borderId="0" xfId="0" applyNumberFormat="1"/>
    <xf numFmtId="1" fontId="27" fillId="0" borderId="0" xfId="0" applyNumberFormat="1" applyFont="1" applyAlignment="1">
      <alignment horizontal="center"/>
    </xf>
    <xf numFmtId="1" fontId="25" fillId="0" borderId="3" xfId="0" applyNumberFormat="1" applyFont="1" applyBorder="1" applyAlignment="1">
      <alignment horizontal="center"/>
    </xf>
    <xf numFmtId="180" fontId="27" fillId="0" borderId="0" xfId="0" applyNumberFormat="1" applyFont="1" applyAlignment="1">
      <alignment horizontal="center"/>
    </xf>
    <xf numFmtId="180" fontId="0" fillId="0" borderId="0" xfId="0" applyNumberFormat="1" applyAlignment="1">
      <alignment horizontal="center"/>
    </xf>
    <xf numFmtId="180" fontId="25" fillId="0" borderId="3" xfId="0" applyNumberFormat="1" applyFont="1" applyBorder="1" applyAlignment="1">
      <alignment horizontal="center"/>
    </xf>
    <xf numFmtId="181" fontId="31" fillId="9" borderId="0" xfId="0" applyNumberFormat="1" applyFont="1" applyFill="1" applyAlignment="1">
      <alignment horizontal="center" vertical="center" wrapText="1"/>
    </xf>
    <xf numFmtId="182" fontId="0" fillId="6" borderId="0" xfId="0" applyNumberFormat="1" applyFill="1"/>
    <xf numFmtId="182" fontId="0" fillId="0" borderId="0" xfId="0" applyNumberFormat="1"/>
    <xf numFmtId="182" fontId="0" fillId="16" borderId="0" xfId="0" applyNumberFormat="1" applyFill="1"/>
    <xf numFmtId="182" fontId="0" fillId="17" borderId="0" xfId="0" applyNumberFormat="1" applyFill="1"/>
    <xf numFmtId="0" fontId="20" fillId="2" borderId="0" xfId="0" applyFont="1" applyFill="1"/>
    <xf numFmtId="182" fontId="20" fillId="2" borderId="0" xfId="0" applyNumberFormat="1" applyFont="1" applyFill="1"/>
    <xf numFmtId="9" fontId="41" fillId="0" borderId="0" xfId="0" applyNumberFormat="1" applyFont="1"/>
    <xf numFmtId="10" fontId="0" fillId="0" borderId="0" xfId="0" applyNumberFormat="1" applyAlignment="1">
      <alignment horizontal="center"/>
    </xf>
    <xf numFmtId="0" fontId="42" fillId="0" borderId="0" xfId="0" applyFont="1" applyAlignment="1">
      <alignment horizontal="centerContinuous"/>
    </xf>
    <xf numFmtId="0" fontId="21" fillId="0" borderId="0" xfId="0" applyFont="1" applyAlignment="1">
      <alignment horizontal="right"/>
    </xf>
    <xf numFmtId="173" fontId="43" fillId="0" borderId="0" xfId="0" applyNumberFormat="1" applyFont="1"/>
    <xf numFmtId="173" fontId="44" fillId="0" borderId="0" xfId="0" applyNumberFormat="1" applyFont="1"/>
    <xf numFmtId="0" fontId="45" fillId="0" borderId="0" xfId="0" applyFont="1" applyAlignment="1">
      <alignment horizontal="centerContinuous"/>
    </xf>
    <xf numFmtId="0" fontId="46" fillId="0" borderId="0" xfId="0" applyFont="1"/>
    <xf numFmtId="0" fontId="47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1" fillId="0" borderId="0" xfId="0" applyFont="1"/>
    <xf numFmtId="0" fontId="48" fillId="0" borderId="0" xfId="0" applyFont="1" applyAlignment="1">
      <alignment horizontal="center"/>
    </xf>
    <xf numFmtId="183" fontId="43" fillId="0" borderId="0" xfId="0" applyNumberFormat="1" applyFont="1"/>
    <xf numFmtId="164" fontId="7" fillId="0" borderId="0" xfId="0" applyNumberFormat="1" applyFont="1" applyAlignment="1">
      <alignment horizontal="center"/>
    </xf>
    <xf numFmtId="0" fontId="0" fillId="0" borderId="1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49" fillId="0" borderId="0" xfId="0" applyFont="1"/>
    <xf numFmtId="0" fontId="50" fillId="0" borderId="0" xfId="0" applyFont="1"/>
    <xf numFmtId="184" fontId="4" fillId="0" borderId="0" xfId="0" applyNumberFormat="1" applyFont="1"/>
    <xf numFmtId="177" fontId="0" fillId="0" borderId="0" xfId="0" applyNumberFormat="1"/>
    <xf numFmtId="0" fontId="51" fillId="0" borderId="0" xfId="0" applyFont="1"/>
    <xf numFmtId="177" fontId="0" fillId="0" borderId="0" xfId="0" applyNumberFormat="1" applyAlignment="1">
      <alignment horizontal="center"/>
    </xf>
    <xf numFmtId="167" fontId="27" fillId="0" borderId="0" xfId="0" applyNumberFormat="1" applyFont="1" applyAlignment="1">
      <alignment horizontal="right"/>
    </xf>
    <xf numFmtId="177" fontId="27" fillId="0" borderId="0" xfId="0" applyNumberFormat="1" applyFont="1"/>
    <xf numFmtId="177" fontId="7" fillId="7" borderId="0" xfId="0" applyNumberFormat="1" applyFont="1" applyFill="1"/>
    <xf numFmtId="0" fontId="52" fillId="9" borderId="0" xfId="0" applyFont="1" applyFill="1" applyAlignment="1">
      <alignment horizontal="center" vertical="center" wrapText="1"/>
    </xf>
    <xf numFmtId="0" fontId="53" fillId="0" borderId="3" xfId="0" applyFont="1" applyBorder="1"/>
    <xf numFmtId="0" fontId="54" fillId="0" borderId="0" xfId="0" applyFont="1"/>
    <xf numFmtId="175" fontId="54" fillId="0" borderId="0" xfId="0" applyNumberFormat="1" applyFont="1"/>
    <xf numFmtId="0" fontId="55" fillId="0" borderId="0" xfId="0" applyFont="1"/>
    <xf numFmtId="175" fontId="54" fillId="0" borderId="20" xfId="0" applyNumberFormat="1" applyFont="1" applyBorder="1"/>
    <xf numFmtId="0" fontId="56" fillId="0" borderId="0" xfId="0" applyFont="1"/>
    <xf numFmtId="0" fontId="54" fillId="10" borderId="0" xfId="0" applyFont="1" applyFill="1"/>
    <xf numFmtId="175" fontId="54" fillId="10" borderId="0" xfId="0" applyNumberFormat="1" applyFont="1" applyFill="1"/>
    <xf numFmtId="0" fontId="56" fillId="10" borderId="0" xfId="0" applyFont="1" applyFill="1"/>
    <xf numFmtId="9" fontId="44" fillId="7" borderId="0" xfId="0" applyNumberFormat="1" applyFont="1" applyFill="1" applyAlignment="1">
      <alignment horizontal="center"/>
    </xf>
    <xf numFmtId="0" fontId="5" fillId="0" borderId="0" xfId="0" applyFont="1" applyAlignment="1">
      <alignment horizontal="left"/>
    </xf>
    <xf numFmtId="0" fontId="7" fillId="18" borderId="0" xfId="0" applyFont="1" applyFill="1" applyAlignment="1">
      <alignment horizontal="center"/>
    </xf>
    <xf numFmtId="0" fontId="57" fillId="0" borderId="0" xfId="0" applyFont="1" applyAlignment="1">
      <alignment horizontal="left"/>
    </xf>
    <xf numFmtId="165" fontId="58" fillId="0" borderId="0" xfId="0" applyNumberFormat="1" applyFont="1"/>
    <xf numFmtId="10" fontId="0" fillId="8" borderId="9" xfId="0" applyNumberFormat="1" applyFill="1" applyBorder="1" applyAlignment="1">
      <alignment horizontal="center" vertical="top" wrapText="1"/>
    </xf>
    <xf numFmtId="179" fontId="26" fillId="0" borderId="1" xfId="0" applyNumberFormat="1" applyFont="1" applyBorder="1"/>
    <xf numFmtId="0" fontId="3" fillId="0" borderId="6" xfId="0" applyFont="1" applyBorder="1" applyAlignment="1">
      <alignment horizontal="right" vertical="center" textRotation="90"/>
    </xf>
    <xf numFmtId="0" fontId="25" fillId="0" borderId="3" xfId="0" applyFont="1" applyBorder="1"/>
    <xf numFmtId="0" fontId="32" fillId="0" borderId="0" xfId="0" applyFont="1"/>
    <xf numFmtId="0" fontId="7" fillId="0" borderId="0" xfId="0" applyFont="1" applyFill="1" applyAlignment="1">
      <alignment horizontal="center"/>
    </xf>
    <xf numFmtId="0" fontId="0" fillId="0" borderId="0" xfId="0" applyFill="1"/>
    <xf numFmtId="10" fontId="23" fillId="0" borderId="0" xfId="0" applyNumberFormat="1" applyFont="1"/>
  </cellXfs>
  <cellStyles count="1">
    <cellStyle name="Normal" xfId="0" builtinId="0"/>
  </cellStyles>
  <dxfs count="8">
    <dxf>
      <fill>
        <patternFill>
          <bgColor rgb="FFF2F2F2"/>
        </patternFill>
      </fill>
    </dxf>
    <dxf>
      <fill>
        <patternFill>
          <bgColor rgb="FFE8EAF6"/>
        </patternFill>
      </fill>
    </dxf>
    <dxf>
      <fill>
        <patternFill>
          <bgColor rgb="FFFCE4EC"/>
        </patternFill>
      </fill>
    </dxf>
    <dxf>
      <fill>
        <patternFill>
          <bgColor rgb="FFFFF9C4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2F2F2"/>
        </patternFill>
      </fill>
    </dxf>
    <dxf>
      <fill>
        <patternFill>
          <bgColor rgb="FFFCE4EC"/>
        </patternFill>
      </fill>
    </dxf>
  </dxfs>
  <tableStyles count="0" defaultTableStyle="TableStyleMedium2" defaultPivotStyle="PivotStyleLight16"/>
  <colors>
    <mruColors>
      <color rgb="FF0000FF"/>
      <color rgb="FFFFF9C4"/>
      <color rgb="FFFCE4EC"/>
      <color rgb="FFE8EAF6"/>
      <color rgb="FFF2F2F2"/>
      <color rgb="FFFFF2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976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557B7CC-1D8C-46B3-BCA1-9D216E518CBF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33302440-250d-49a1-ba52-6f71ed7cd248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</sheetPr>
  <dimension ref="A1:L107"/>
  <sheetViews>
    <sheetView showGridLines="0" tabSelected="1" zoomScale="85" zoomScaleNormal="85" workbookViewId="0">
      <pane ySplit="1" topLeftCell="A70" activePane="bottomLeft" state="frozen"/>
      <selection pane="bottomLeft" activeCell="E87" sqref="E87"/>
    </sheetView>
  </sheetViews>
  <sheetFormatPr defaultRowHeight="14.75"/>
  <cols>
    <col min="1" max="1" width="36.36328125" customWidth="1"/>
    <col min="2" max="2" width="17.26953125" customWidth="1"/>
    <col min="3" max="11" width="17.6796875" customWidth="1"/>
  </cols>
  <sheetData>
    <row r="1" spans="1:4" ht="24" customHeight="1">
      <c r="A1" s="243" t="s">
        <v>829</v>
      </c>
    </row>
    <row r="2" spans="1:4">
      <c r="A2" s="3" t="s">
        <v>826</v>
      </c>
      <c r="B2" s="3" t="s">
        <v>827</v>
      </c>
      <c r="C2" s="3"/>
      <c r="D2" s="3" t="s">
        <v>828</v>
      </c>
    </row>
    <row r="4" spans="1:4">
      <c r="A4" s="4" t="s">
        <v>0</v>
      </c>
      <c r="B4" s="5"/>
      <c r="C4" s="5"/>
    </row>
    <row r="5" spans="1:4">
      <c r="A5" t="s">
        <v>88</v>
      </c>
      <c r="B5" s="7">
        <v>280000</v>
      </c>
      <c r="C5" s="2" t="s">
        <v>89</v>
      </c>
    </row>
    <row r="6" spans="1:4">
      <c r="A6" t="s">
        <v>1</v>
      </c>
      <c r="B6" s="152">
        <v>50000000</v>
      </c>
      <c r="C6" s="2" t="s">
        <v>1027</v>
      </c>
    </row>
    <row r="7" spans="1:4">
      <c r="A7" t="s">
        <v>199</v>
      </c>
      <c r="B7" s="13">
        <v>0.03</v>
      </c>
      <c r="C7" s="2"/>
    </row>
    <row r="8" spans="1:4">
      <c r="A8" t="s">
        <v>90</v>
      </c>
      <c r="B8" s="8">
        <f>B6/B5</f>
        <v>178.57142857142858</v>
      </c>
      <c r="C8" s="9" t="s">
        <v>91</v>
      </c>
    </row>
    <row r="9" spans="1:4">
      <c r="A9" t="s">
        <v>2</v>
      </c>
      <c r="B9" s="10">
        <v>8</v>
      </c>
    </row>
    <row r="10" spans="1:4">
      <c r="A10" t="s">
        <v>92</v>
      </c>
      <c r="B10" s="7">
        <v>35000</v>
      </c>
    </row>
    <row r="11" spans="1:4">
      <c r="A11" t="s">
        <v>3</v>
      </c>
      <c r="B11" s="7">
        <v>1176</v>
      </c>
      <c r="C11" s="2" t="s">
        <v>4</v>
      </c>
    </row>
    <row r="12" spans="1:4">
      <c r="A12" t="s">
        <v>5</v>
      </c>
      <c r="B12" s="11">
        <v>46265</v>
      </c>
      <c r="C12" s="2" t="s">
        <v>202</v>
      </c>
    </row>
    <row r="14" spans="1:4">
      <c r="A14" s="4" t="s">
        <v>6</v>
      </c>
      <c r="B14" s="5"/>
      <c r="C14" s="5"/>
    </row>
    <row r="15" spans="1:4">
      <c r="A15" t="s">
        <v>7</v>
      </c>
      <c r="B15" s="10">
        <v>60</v>
      </c>
      <c r="C15" s="2" t="s">
        <v>8</v>
      </c>
    </row>
    <row r="16" spans="1:4">
      <c r="A16" t="s">
        <v>9</v>
      </c>
      <c r="B16" s="12">
        <v>7.7499999999999999E-2</v>
      </c>
    </row>
    <row r="17" spans="1:3">
      <c r="A17" t="s">
        <v>93</v>
      </c>
      <c r="B17" s="13">
        <v>0.02</v>
      </c>
    </row>
    <row r="19" spans="1:3">
      <c r="A19" s="4" t="s">
        <v>10</v>
      </c>
      <c r="B19" s="5"/>
      <c r="C19" s="5"/>
    </row>
    <row r="20" spans="1:3">
      <c r="A20" t="s">
        <v>94</v>
      </c>
      <c r="B20" s="13">
        <v>2.7E-2</v>
      </c>
      <c r="C20" s="2" t="s">
        <v>95</v>
      </c>
    </row>
    <row r="21" spans="1:3">
      <c r="A21" t="s">
        <v>96</v>
      </c>
      <c r="B21" s="13">
        <v>2.7E-2</v>
      </c>
    </row>
    <row r="22" spans="1:3">
      <c r="A22" t="s">
        <v>403</v>
      </c>
      <c r="B22" s="13">
        <v>0.88</v>
      </c>
    </row>
    <row r="23" spans="1:3">
      <c r="A23" t="s">
        <v>97</v>
      </c>
      <c r="B23" s="13">
        <v>2.5000000000000001E-2</v>
      </c>
    </row>
    <row r="24" spans="1:3">
      <c r="A24" t="s">
        <v>98</v>
      </c>
      <c r="B24" s="13">
        <v>0.02</v>
      </c>
    </row>
    <row r="25" spans="1:3">
      <c r="A25" t="s">
        <v>99</v>
      </c>
      <c r="B25" s="13">
        <v>2.5000000000000001E-2</v>
      </c>
    </row>
    <row r="27" spans="1:3">
      <c r="A27" s="4" t="s">
        <v>11</v>
      </c>
      <c r="B27" s="5"/>
      <c r="C27" s="15" t="s">
        <v>100</v>
      </c>
    </row>
    <row r="28" spans="1:3">
      <c r="A28" t="s">
        <v>12</v>
      </c>
      <c r="B28" s="152">
        <v>742000</v>
      </c>
      <c r="C28" s="16" t="s">
        <v>101</v>
      </c>
    </row>
    <row r="29" spans="1:3">
      <c r="A29" t="s">
        <v>13</v>
      </c>
      <c r="B29" s="152">
        <v>210000</v>
      </c>
      <c r="C29" s="16" t="s">
        <v>101</v>
      </c>
    </row>
    <row r="30" spans="1:3">
      <c r="A30" t="s">
        <v>14</v>
      </c>
      <c r="B30" s="152">
        <v>700000</v>
      </c>
      <c r="C30" s="16" t="s">
        <v>101</v>
      </c>
    </row>
    <row r="31" spans="1:3">
      <c r="A31" t="s">
        <v>15</v>
      </c>
      <c r="B31" s="152">
        <v>490000</v>
      </c>
      <c r="C31" s="16" t="s">
        <v>101</v>
      </c>
    </row>
    <row r="32" spans="1:3">
      <c r="A32" t="s">
        <v>16</v>
      </c>
      <c r="B32" s="152">
        <v>378000</v>
      </c>
      <c r="C32" s="16" t="s">
        <v>101</v>
      </c>
    </row>
    <row r="33" spans="1:3">
      <c r="A33" t="s">
        <v>17</v>
      </c>
      <c r="B33" s="152">
        <v>84000</v>
      </c>
      <c r="C33" s="16" t="s">
        <v>101</v>
      </c>
    </row>
    <row r="34" spans="1:3">
      <c r="A34" t="s">
        <v>18</v>
      </c>
      <c r="B34" s="152">
        <v>112000</v>
      </c>
      <c r="C34" s="16" t="s">
        <v>101</v>
      </c>
    </row>
    <row r="35" spans="1:3">
      <c r="A35" t="s">
        <v>19</v>
      </c>
      <c r="B35" s="152">
        <v>50400</v>
      </c>
      <c r="C35" s="16" t="s">
        <v>101</v>
      </c>
    </row>
    <row r="36" spans="1:3">
      <c r="A36" t="s">
        <v>20</v>
      </c>
      <c r="B36" s="152">
        <v>98000</v>
      </c>
      <c r="C36" s="16" t="s">
        <v>101</v>
      </c>
    </row>
    <row r="37" spans="1:3">
      <c r="A37" t="s">
        <v>21</v>
      </c>
      <c r="B37" s="152">
        <v>67200</v>
      </c>
      <c r="C37" s="16" t="s">
        <v>101</v>
      </c>
    </row>
    <row r="38" spans="1:3">
      <c r="A38" t="s">
        <v>22</v>
      </c>
      <c r="B38" s="152">
        <v>39200</v>
      </c>
      <c r="C38" s="16" t="s">
        <v>102</v>
      </c>
    </row>
    <row r="39" spans="1:3">
      <c r="A39" s="17" t="s">
        <v>103</v>
      </c>
      <c r="B39" s="73">
        <f>SUM(B28:B38)</f>
        <v>2970800</v>
      </c>
    </row>
    <row r="40" spans="1:3">
      <c r="A40" s="17" t="s">
        <v>104</v>
      </c>
      <c r="B40" s="155">
        <f>SUMIF(C28:C38,"Yes",B28:B38)</f>
        <v>2931600</v>
      </c>
      <c r="C40" s="261" t="s">
        <v>105</v>
      </c>
    </row>
    <row r="41" spans="1:3">
      <c r="A41" t="s">
        <v>23</v>
      </c>
      <c r="B41" s="13">
        <v>3.5000000000000003E-2</v>
      </c>
    </row>
    <row r="42" spans="1:3">
      <c r="A42" t="s">
        <v>29</v>
      </c>
      <c r="B42" s="154">
        <v>0.5</v>
      </c>
    </row>
    <row r="43" spans="1:3">
      <c r="B43" s="154"/>
    </row>
    <row r="44" spans="1:3">
      <c r="A44" s="4" t="s">
        <v>24</v>
      </c>
      <c r="B44" s="5"/>
      <c r="C44" s="15" t="s">
        <v>106</v>
      </c>
    </row>
    <row r="45" spans="1:3">
      <c r="A45" t="s">
        <v>25</v>
      </c>
      <c r="B45" s="152">
        <v>230000</v>
      </c>
      <c r="C45" s="20">
        <f>B23</f>
        <v>2.5000000000000001E-2</v>
      </c>
    </row>
    <row r="46" spans="1:3">
      <c r="A46" t="s">
        <v>26</v>
      </c>
      <c r="B46" s="152">
        <v>32000</v>
      </c>
      <c r="C46" s="20">
        <f>B24</f>
        <v>0.02</v>
      </c>
    </row>
    <row r="47" spans="1:3">
      <c r="A47" t="s">
        <v>27</v>
      </c>
      <c r="B47" s="152">
        <v>20000</v>
      </c>
      <c r="C47" s="18" t="s">
        <v>107</v>
      </c>
    </row>
    <row r="48" spans="1:3" ht="24" customHeight="1"/>
    <row r="49" spans="1:12">
      <c r="A49" s="4" t="s">
        <v>728</v>
      </c>
      <c r="B49" s="5"/>
      <c r="C49" s="5"/>
    </row>
    <row r="50" spans="1:12">
      <c r="A50" t="s">
        <v>28</v>
      </c>
      <c r="B50" s="152">
        <f>SUM('CapEx Schedule'!B8:B36)</f>
        <v>7500000</v>
      </c>
    </row>
    <row r="51" spans="1:12">
      <c r="A51" t="s">
        <v>729</v>
      </c>
      <c r="B51" s="13">
        <v>0</v>
      </c>
      <c r="C51" s="2" t="s">
        <v>730</v>
      </c>
    </row>
    <row r="54" spans="1:12">
      <c r="A54" s="4" t="s">
        <v>108</v>
      </c>
      <c r="B54" s="5"/>
      <c r="C54" s="5"/>
      <c r="D54" s="5"/>
      <c r="E54" s="5"/>
      <c r="F54" s="5"/>
      <c r="G54" s="5"/>
      <c r="H54" s="5"/>
      <c r="I54" s="5"/>
      <c r="J54" s="5"/>
      <c r="K54" s="231"/>
      <c r="L54" t="s">
        <v>737</v>
      </c>
    </row>
    <row r="55" spans="1:12">
      <c r="A55" s="22" t="s">
        <v>69</v>
      </c>
      <c r="B55" s="21" t="s">
        <v>70</v>
      </c>
      <c r="C55" s="22" t="s">
        <v>109</v>
      </c>
      <c r="D55" s="22" t="s">
        <v>30</v>
      </c>
      <c r="E55" s="22" t="s">
        <v>31</v>
      </c>
      <c r="F55" s="22" t="s">
        <v>77</v>
      </c>
      <c r="G55" s="22" t="s">
        <v>78</v>
      </c>
      <c r="H55" s="22" t="s">
        <v>32</v>
      </c>
      <c r="I55" s="22" t="s">
        <v>79</v>
      </c>
      <c r="J55" s="22" t="s">
        <v>80</v>
      </c>
      <c r="K55" s="229" t="s">
        <v>736</v>
      </c>
      <c r="L55" s="22"/>
    </row>
    <row r="56" spans="1:12">
      <c r="A56" s="24">
        <v>0</v>
      </c>
      <c r="B56" s="6" t="s">
        <v>71</v>
      </c>
      <c r="C56" s="153">
        <v>24</v>
      </c>
      <c r="D56" s="25">
        <v>0.5</v>
      </c>
      <c r="E56" s="232">
        <f>K56+$K$54</f>
        <v>7</v>
      </c>
      <c r="F56" s="23">
        <v>28</v>
      </c>
      <c r="G56" s="23">
        <v>10</v>
      </c>
      <c r="H56" s="25">
        <v>0.06</v>
      </c>
      <c r="I56" s="23">
        <v>3</v>
      </c>
      <c r="J56" s="23">
        <v>1</v>
      </c>
      <c r="K56" s="230">
        <v>7</v>
      </c>
      <c r="L56" s="23"/>
    </row>
    <row r="57" spans="1:12">
      <c r="A57" s="24">
        <v>2000</v>
      </c>
      <c r="B57" s="6" t="s">
        <v>72</v>
      </c>
      <c r="C57" s="153">
        <v>25</v>
      </c>
      <c r="D57" s="25">
        <v>0.55000000000000004</v>
      </c>
      <c r="E57" s="232">
        <f t="shared" ref="E57:E59" si="0">K57+$K$54</f>
        <v>6</v>
      </c>
      <c r="F57" s="23">
        <v>32</v>
      </c>
      <c r="G57" s="23">
        <v>12</v>
      </c>
      <c r="H57" s="25">
        <v>0.06</v>
      </c>
      <c r="I57" s="23">
        <v>2</v>
      </c>
      <c r="J57" s="23">
        <v>1</v>
      </c>
      <c r="K57" s="230">
        <v>6</v>
      </c>
      <c r="L57" s="23"/>
    </row>
    <row r="58" spans="1:12">
      <c r="A58" s="24">
        <v>5000</v>
      </c>
      <c r="B58" s="6" t="s">
        <v>73</v>
      </c>
      <c r="C58" s="153">
        <v>25.5</v>
      </c>
      <c r="D58" s="25">
        <v>0.65</v>
      </c>
      <c r="E58" s="232">
        <f t="shared" si="0"/>
        <v>5</v>
      </c>
      <c r="F58" s="23">
        <v>36</v>
      </c>
      <c r="G58" s="23">
        <v>16</v>
      </c>
      <c r="H58" s="25">
        <v>0.05</v>
      </c>
      <c r="I58" s="23">
        <v>2</v>
      </c>
      <c r="J58" s="23">
        <v>1</v>
      </c>
      <c r="K58" s="230">
        <v>5</v>
      </c>
      <c r="L58" s="23"/>
    </row>
    <row r="59" spans="1:12">
      <c r="A59" s="24">
        <v>15000</v>
      </c>
      <c r="B59" s="6" t="s">
        <v>74</v>
      </c>
      <c r="C59" s="153">
        <v>25</v>
      </c>
      <c r="D59" s="25">
        <v>0.75</v>
      </c>
      <c r="E59" s="232">
        <f t="shared" si="0"/>
        <v>4</v>
      </c>
      <c r="F59" s="23">
        <v>40</v>
      </c>
      <c r="G59" s="23">
        <v>20</v>
      </c>
      <c r="H59" s="25">
        <v>0.04</v>
      </c>
      <c r="I59" s="23">
        <v>2</v>
      </c>
      <c r="J59" s="23">
        <v>0</v>
      </c>
      <c r="K59" s="230">
        <v>4</v>
      </c>
      <c r="L59" s="23"/>
    </row>
    <row r="61" spans="1:12">
      <c r="A61" s="3" t="s">
        <v>110</v>
      </c>
    </row>
    <row r="62" spans="1:12">
      <c r="A62" t="s">
        <v>111</v>
      </c>
      <c r="B62" s="26">
        <v>0.95</v>
      </c>
    </row>
    <row r="63" spans="1:12">
      <c r="A63" t="s">
        <v>112</v>
      </c>
      <c r="B63" s="152">
        <v>40</v>
      </c>
      <c r="C63" s="2" t="s">
        <v>113</v>
      </c>
    </row>
    <row r="64" spans="1:12">
      <c r="A64" t="s">
        <v>114</v>
      </c>
      <c r="B64" s="10">
        <v>6</v>
      </c>
    </row>
    <row r="66" spans="1:9">
      <c r="A66" s="48" t="s">
        <v>609</v>
      </c>
    </row>
    <row r="67" spans="1:9">
      <c r="A67" t="s">
        <v>610</v>
      </c>
      <c r="B67" s="13">
        <v>0.1</v>
      </c>
      <c r="C67" t="s">
        <v>611</v>
      </c>
    </row>
    <row r="68" spans="1:9">
      <c r="A68" t="s">
        <v>612</v>
      </c>
      <c r="B68" s="190">
        <f>1-B67</f>
        <v>0.9</v>
      </c>
    </row>
    <row r="69" spans="1:9">
      <c r="A69" t="s">
        <v>613</v>
      </c>
      <c r="B69" s="13">
        <v>0.08</v>
      </c>
      <c r="C69" t="s">
        <v>614</v>
      </c>
    </row>
    <row r="70" spans="1:9">
      <c r="A70" t="s">
        <v>615</v>
      </c>
      <c r="B70" s="191">
        <f>(1+B69)^(1/12)-1</f>
        <v>6.4340301100034303E-3</v>
      </c>
      <c r="C70" s="192" t="s">
        <v>690</v>
      </c>
    </row>
    <row r="71" spans="1:9">
      <c r="A71" t="s">
        <v>616</v>
      </c>
      <c r="B71" s="13">
        <v>0.5</v>
      </c>
      <c r="C71" t="s">
        <v>617</v>
      </c>
    </row>
    <row r="72" spans="1:9">
      <c r="A72" t="s">
        <v>618</v>
      </c>
      <c r="B72" s="13">
        <v>0.2</v>
      </c>
      <c r="C72" t="s">
        <v>619</v>
      </c>
    </row>
    <row r="73" spans="1:9">
      <c r="A73" t="s">
        <v>620</v>
      </c>
      <c r="B73" s="13">
        <v>0.2</v>
      </c>
    </row>
    <row r="74" spans="1:9">
      <c r="A74" t="s">
        <v>621</v>
      </c>
      <c r="B74" s="190">
        <f>1-B73</f>
        <v>0.8</v>
      </c>
    </row>
    <row r="77" spans="1:9">
      <c r="A77" s="4" t="s">
        <v>732</v>
      </c>
      <c r="B77" s="5"/>
      <c r="C77" s="5"/>
      <c r="D77" s="5"/>
      <c r="E77" s="5"/>
      <c r="F77" s="5"/>
      <c r="G77" s="5"/>
      <c r="H77" s="5"/>
      <c r="I77" s="5"/>
    </row>
    <row r="79" spans="1:9">
      <c r="A79" s="17"/>
      <c r="B79" s="228" t="s">
        <v>731</v>
      </c>
    </row>
    <row r="80" spans="1:9" ht="17">
      <c r="A80" s="17"/>
      <c r="B80" s="17"/>
      <c r="C80" s="227" t="s">
        <v>9</v>
      </c>
      <c r="D80" s="223"/>
      <c r="E80" s="223"/>
      <c r="F80" s="223"/>
      <c r="G80" s="223"/>
    </row>
    <row r="81" spans="1:7">
      <c r="C81" s="222">
        <v>-5.0000000000000001E-3</v>
      </c>
      <c r="D81" s="222">
        <v>-2.5000000000000001E-3</v>
      </c>
      <c r="E81" s="222">
        <v>0</v>
      </c>
      <c r="F81" s="222">
        <v>2.5000000000000001E-3</v>
      </c>
      <c r="G81" s="222">
        <v>5.0000000000000001E-3</v>
      </c>
    </row>
    <row r="82" spans="1:7">
      <c r="B82" s="224" t="str">
        <f ca="1">TEXT('Property Cash Flow'!$B$72,"0.00%")&amp;" / "&amp;TEXT('Property Cash Flow'!$B$75,"0.00x")</f>
        <v>21.21% / 2.11x</v>
      </c>
      <c r="C82" s="222">
        <f>+$E82+C81</f>
        <v>7.2499999999999995E-2</v>
      </c>
      <c r="D82" s="222">
        <f>+$E82+D81</f>
        <v>7.4999999999999997E-2</v>
      </c>
      <c r="E82" s="222">
        <v>7.7499999999999999E-2</v>
      </c>
      <c r="F82" s="222">
        <f>+$E82+F81</f>
        <v>0.08</v>
      </c>
      <c r="G82" s="222">
        <f>+$E82+G81</f>
        <v>8.2500000000000004E-2</v>
      </c>
    </row>
    <row r="83" spans="1:7">
      <c r="A83" s="267" t="s">
        <v>1</v>
      </c>
      <c r="B83" s="225">
        <f t="shared" ref="B83:B85" si="1">B84-10^6</f>
        <v>46000000</v>
      </c>
      <c r="C83" s="235" t="str">
        <f t="dataTable" ref="C83:G87" dt2D="1" dtr="1" r1="B16" r2="B6" ca="1"/>
        <v>32.84% / 2.79x</v>
      </c>
      <c r="D83" s="236" t="str">
        <v>30.28% / 2.64x</v>
      </c>
      <c r="E83" s="236" t="str">
        <v>27.82% / 2.49x</v>
      </c>
      <c r="F83" s="236" t="str">
        <v>25.45% / 2.35x</v>
      </c>
      <c r="G83" s="237" t="str">
        <v>23.17% / 2.22x</v>
      </c>
    </row>
    <row r="84" spans="1:7">
      <c r="A84" s="267"/>
      <c r="B84" s="225">
        <f t="shared" si="1"/>
        <v>47000000</v>
      </c>
      <c r="C84" s="238" t="str">
        <v>31.13% / 2.69x</v>
      </c>
      <c r="D84" s="29" t="str">
        <v>28.57% / 2.53x</v>
      </c>
      <c r="E84" s="29" t="str">
        <v>26.11% / 2.39x</v>
      </c>
      <c r="F84" s="29" t="str">
        <v>23.75% / 2.25x</v>
      </c>
      <c r="G84" s="82" t="str">
        <v>21.47% / 2.12x</v>
      </c>
    </row>
    <row r="85" spans="1:7">
      <c r="A85" s="267"/>
      <c r="B85" s="225">
        <f t="shared" si="1"/>
        <v>48000000</v>
      </c>
      <c r="C85" s="238" t="str">
        <v>29.45% / 2.59x</v>
      </c>
      <c r="D85" s="29" t="str">
        <v>26.90% / 2.44x</v>
      </c>
      <c r="E85" s="29" t="str">
        <v>24.44% / 2.29x</v>
      </c>
      <c r="F85" s="29" t="str">
        <v>22.08% / 2.16x</v>
      </c>
      <c r="G85" s="82" t="str">
        <v>19.81% / 2.02x</v>
      </c>
    </row>
    <row r="86" spans="1:7">
      <c r="A86" s="267"/>
      <c r="B86" s="225">
        <f>B87-10^6</f>
        <v>49000000</v>
      </c>
      <c r="C86" s="238" t="str">
        <v>27.81% / 2.49x</v>
      </c>
      <c r="D86" s="29" t="str">
        <v>25.26% / 2.34x</v>
      </c>
      <c r="E86" s="29" t="str">
        <v>22.81% / 2.20x</v>
      </c>
      <c r="F86" s="29" t="str">
        <v>20.46% / 2.07x</v>
      </c>
      <c r="G86" s="82" t="str">
        <v>18.19% / 1.89x</v>
      </c>
    </row>
    <row r="87" spans="1:7">
      <c r="A87" s="267"/>
      <c r="B87" s="226">
        <v>50000000</v>
      </c>
      <c r="C87" s="239" t="str">
        <v>26.20% / 2.40x</v>
      </c>
      <c r="D87" s="81" t="str">
        <v>23.65% / 2.25x</v>
      </c>
      <c r="E87" s="81" t="str">
        <v>21.21% / 2.11x</v>
      </c>
      <c r="F87" s="81" t="str">
        <v>18.86% / 1.96x</v>
      </c>
      <c r="G87" s="240" t="str">
        <v>16.61% / 1.77x</v>
      </c>
    </row>
    <row r="90" spans="1:7">
      <c r="A90" s="17"/>
      <c r="B90" s="228" t="s">
        <v>733</v>
      </c>
    </row>
    <row r="91" spans="1:7" ht="17">
      <c r="A91" s="17"/>
      <c r="B91" s="17"/>
      <c r="C91" s="227" t="s">
        <v>734</v>
      </c>
      <c r="D91" s="223"/>
      <c r="E91" s="223"/>
      <c r="F91" s="223"/>
      <c r="G91" s="223"/>
    </row>
    <row r="92" spans="1:7">
      <c r="B92" s="224" t="str">
        <f ca="1">TEXT('Property Cash Flow'!$B$72,"0.00%")&amp;" / "&amp;TEXT('Property Cash Flow'!$B$75,"0.00x")</f>
        <v>21.21% / 2.11x</v>
      </c>
      <c r="C92" s="222">
        <v>0</v>
      </c>
      <c r="D92" s="222">
        <f>C92+10%</f>
        <v>0.1</v>
      </c>
      <c r="E92" s="222">
        <f t="shared" ref="E92:G92" si="2">D92+10%</f>
        <v>0.2</v>
      </c>
      <c r="F92" s="222">
        <f t="shared" si="2"/>
        <v>0.30000000000000004</v>
      </c>
      <c r="G92" s="222">
        <f t="shared" si="2"/>
        <v>0.4</v>
      </c>
    </row>
    <row r="93" spans="1:7">
      <c r="A93" s="267" t="s">
        <v>735</v>
      </c>
      <c r="B93" s="233">
        <v>0</v>
      </c>
      <c r="C93" s="235" t="str">
        <f t="dataTable" ref="C93:G96" dt2D="1" dtr="1" r1="B51" r2="K54" ca="1"/>
        <v>21.21% / 2.11x</v>
      </c>
      <c r="D93" s="236" t="str">
        <v>20.15% / 2.05x</v>
      </c>
      <c r="E93" s="236" t="str">
        <v>19.11% / 1.99x</v>
      </c>
      <c r="F93" s="236" t="str">
        <v>18.07% / 1.91x</v>
      </c>
      <c r="G93" s="237" t="str">
        <v>17.04% / 1.82x</v>
      </c>
    </row>
    <row r="94" spans="1:7">
      <c r="A94" s="267"/>
      <c r="B94" s="233">
        <v>3</v>
      </c>
      <c r="C94" s="238" t="str">
        <v>21.15% / 2.01x</v>
      </c>
      <c r="D94" s="29" t="str">
        <v>20.09% / 1.95x</v>
      </c>
      <c r="E94" s="29" t="str">
        <v>19.03% / 1.90x</v>
      </c>
      <c r="F94" s="29" t="str">
        <v>17.98% / 1.85x</v>
      </c>
      <c r="G94" s="82" t="str">
        <v>16.94% / 1.79x</v>
      </c>
    </row>
    <row r="95" spans="1:7">
      <c r="A95" s="267"/>
      <c r="B95" s="233">
        <v>6</v>
      </c>
      <c r="C95" s="238" t="str">
        <v>21.31% / 1.97x</v>
      </c>
      <c r="D95" s="29" t="str">
        <v>20.23% / 1.92x</v>
      </c>
      <c r="E95" s="29" t="str">
        <v>19.16% / 1.87x</v>
      </c>
      <c r="F95" s="29" t="str">
        <v>18.10% / 1.82x</v>
      </c>
      <c r="G95" s="82" t="str">
        <v>17.05% / 1.77x</v>
      </c>
    </row>
    <row r="96" spans="1:7">
      <c r="A96" s="267"/>
      <c r="B96" s="233">
        <v>9</v>
      </c>
      <c r="C96" s="239" t="str">
        <v>20.31% / 1.99x</v>
      </c>
      <c r="D96" s="81" t="str">
        <v>19.26% / 1.90x</v>
      </c>
      <c r="E96" s="81" t="str">
        <v>18.22% / 1.83x</v>
      </c>
      <c r="F96" s="81" t="str">
        <v>17.19% / 1.75x</v>
      </c>
      <c r="G96" s="240" t="str">
        <v>16.18% / 1.69x</v>
      </c>
    </row>
    <row r="99" spans="1:11">
      <c r="A99" s="17"/>
      <c r="B99" s="228" t="s">
        <v>1026</v>
      </c>
    </row>
    <row r="100" spans="1:11" ht="17">
      <c r="A100" s="17"/>
      <c r="B100" s="17"/>
      <c r="C100" s="227" t="s">
        <v>738</v>
      </c>
      <c r="D100" s="223"/>
      <c r="E100" s="223"/>
      <c r="F100" s="223"/>
      <c r="G100" s="223"/>
      <c r="H100" s="223"/>
      <c r="I100" s="223"/>
      <c r="J100" s="223"/>
      <c r="K100" s="223"/>
    </row>
    <row r="101" spans="1:11">
      <c r="C101" s="222">
        <f t="shared" ref="C101:E101" si="3">D101-0.5%</f>
        <v>-0.02</v>
      </c>
      <c r="D101" s="222">
        <f t="shared" si="3"/>
        <v>-1.4999999999999999E-2</v>
      </c>
      <c r="E101" s="222">
        <f t="shared" si="3"/>
        <v>-0.01</v>
      </c>
      <c r="F101" s="222">
        <f>G101-0.5%</f>
        <v>-5.0000000000000001E-3</v>
      </c>
      <c r="G101" s="222">
        <v>0</v>
      </c>
      <c r="H101" s="222">
        <f>G101+0.5%</f>
        <v>5.0000000000000001E-3</v>
      </c>
      <c r="I101" s="222">
        <f t="shared" ref="I101:K101" si="4">H101+0.5%</f>
        <v>0.01</v>
      </c>
      <c r="J101" s="222">
        <f t="shared" si="4"/>
        <v>1.4999999999999999E-2</v>
      </c>
      <c r="K101" s="222">
        <f t="shared" si="4"/>
        <v>0.02</v>
      </c>
    </row>
    <row r="102" spans="1:11">
      <c r="B102" s="224" t="str">
        <f ca="1">TEXT('Property Cash Flow'!$B$72,"0.00%")&amp;" / "&amp;TEXT('Property Cash Flow'!$B$75,"0.00x")</f>
        <v>21.21% / 2.11x</v>
      </c>
      <c r="C102" s="222">
        <f t="shared" ref="C102:E102" si="5">+$G102+C101</f>
        <v>6.9999999999999993E-3</v>
      </c>
      <c r="D102" s="222">
        <f t="shared" si="5"/>
        <v>1.2E-2</v>
      </c>
      <c r="E102" s="222">
        <f t="shared" si="5"/>
        <v>1.7000000000000001E-2</v>
      </c>
      <c r="F102" s="222">
        <f>+$G102+F101</f>
        <v>2.1999999999999999E-2</v>
      </c>
      <c r="G102" s="234">
        <v>2.7E-2</v>
      </c>
      <c r="H102" s="222">
        <f t="shared" ref="H102:K102" si="6">+$G102+H101</f>
        <v>3.2000000000000001E-2</v>
      </c>
      <c r="I102" s="222">
        <f t="shared" si="6"/>
        <v>3.6999999999999998E-2</v>
      </c>
      <c r="J102" s="222">
        <f t="shared" si="6"/>
        <v>4.1999999999999996E-2</v>
      </c>
      <c r="K102" s="222">
        <f t="shared" si="6"/>
        <v>4.7E-2</v>
      </c>
    </row>
    <row r="103" spans="1:11">
      <c r="A103" s="267" t="s">
        <v>1</v>
      </c>
      <c r="B103" s="225">
        <f t="shared" ref="B103:B105" si="7">B104-10^6</f>
        <v>46000000</v>
      </c>
      <c r="C103" s="235" t="str">
        <f t="dataTable" ref="C103:K107" dt2D="1" dtr="1" r1="B20" r2="B6" ca="1"/>
        <v>17.81% / 1.85x</v>
      </c>
      <c r="D103" s="236" t="str">
        <v>20.33% / 2.05x</v>
      </c>
      <c r="E103" s="236" t="str">
        <v>22.84% / 2.19x</v>
      </c>
      <c r="F103" s="236" t="str">
        <v>25.33% / 2.34x</v>
      </c>
      <c r="G103" s="236" t="str">
        <v>27.82% / 2.49x</v>
      </c>
      <c r="H103" s="236" t="str">
        <v>30.28% / 2.64x</v>
      </c>
      <c r="I103" s="236" t="str">
        <v>32.74% / 2.80x</v>
      </c>
      <c r="J103" s="236" t="str">
        <v>35.18% / 2.96x</v>
      </c>
      <c r="K103" s="237" t="str">
        <v>37.61% / 3.12x</v>
      </c>
    </row>
    <row r="104" spans="1:11">
      <c r="A104" s="267"/>
      <c r="B104" s="225">
        <f t="shared" si="7"/>
        <v>47000000</v>
      </c>
      <c r="C104" s="238" t="str">
        <v>16.13% / 1.73x</v>
      </c>
      <c r="D104" s="29" t="str">
        <v>18.64% / 1.93x</v>
      </c>
      <c r="E104" s="29" t="str">
        <v>21.14% / 2.10x</v>
      </c>
      <c r="F104" s="29" t="str">
        <v>23.63% / 2.24x</v>
      </c>
      <c r="G104" s="29" t="str">
        <v>26.11% / 2.39x</v>
      </c>
      <c r="H104" s="29" t="str">
        <v>28.58% / 2.54x</v>
      </c>
      <c r="I104" s="29" t="str">
        <v>31.03% / 2.69x</v>
      </c>
      <c r="J104" s="29" t="str">
        <v>33.47% / 2.85x</v>
      </c>
      <c r="K104" s="82" t="str">
        <v>35.89% / 3.01x</v>
      </c>
    </row>
    <row r="105" spans="1:11">
      <c r="A105" s="267"/>
      <c r="B105" s="225">
        <f t="shared" si="7"/>
        <v>48000000</v>
      </c>
      <c r="C105" s="238" t="str">
        <v>14.49% / 1.62x</v>
      </c>
      <c r="D105" s="29" t="str">
        <v>16.99% / 1.80x</v>
      </c>
      <c r="E105" s="29" t="str">
        <v>19.48% / 2.01x</v>
      </c>
      <c r="F105" s="29" t="str">
        <v>21.97% / 2.15x</v>
      </c>
      <c r="G105" s="29" t="str">
        <v>24.44% / 2.29x</v>
      </c>
      <c r="H105" s="29" t="str">
        <v>26.90% / 2.44x</v>
      </c>
      <c r="I105" s="29" t="str">
        <v>29.35% / 2.59x</v>
      </c>
      <c r="J105" s="29" t="str">
        <v>31.79% / 2.75x</v>
      </c>
      <c r="K105" s="82" t="str">
        <v>34.21% / 2.90x</v>
      </c>
    </row>
    <row r="106" spans="1:11">
      <c r="A106" s="267"/>
      <c r="B106" s="225">
        <f>B107-10^6</f>
        <v>49000000</v>
      </c>
      <c r="C106" s="238" t="str">
        <v>12.88% / 1.52x</v>
      </c>
      <c r="D106" s="29" t="str">
        <v>15.38% / 1.68x</v>
      </c>
      <c r="E106" s="29" t="str">
        <v>17.86% / 1.87x</v>
      </c>
      <c r="F106" s="29" t="str">
        <v>20.34% / 2.06x</v>
      </c>
      <c r="G106" s="29" t="str">
        <v>22.81% / 2.20x</v>
      </c>
      <c r="H106" s="29" t="str">
        <v>25.27% / 2.35x</v>
      </c>
      <c r="I106" s="29" t="str">
        <v>27.71% / 2.49x</v>
      </c>
      <c r="J106" s="29" t="str">
        <v>30.14% / 2.65x</v>
      </c>
      <c r="K106" s="82" t="str">
        <v>32.56% / 2.80x</v>
      </c>
    </row>
    <row r="107" spans="1:11">
      <c r="A107" s="267"/>
      <c r="B107" s="226">
        <v>50000000</v>
      </c>
      <c r="C107" s="239" t="str">
        <v>11.32% / 1.44x</v>
      </c>
      <c r="D107" s="81" t="str">
        <v>13.80% / 1.58x</v>
      </c>
      <c r="E107" s="81" t="str">
        <v>16.28% / 1.75x</v>
      </c>
      <c r="F107" s="81" t="str">
        <v>18.75% / 1.96x</v>
      </c>
      <c r="G107" s="81" t="str">
        <v>21.21% / 2.11x</v>
      </c>
      <c r="H107" s="81" t="str">
        <v>23.66% / 2.25x</v>
      </c>
      <c r="I107" s="81" t="str">
        <v>26.10% / 2.40x</v>
      </c>
      <c r="J107" s="81" t="str">
        <v>28.53% / 2.55x</v>
      </c>
      <c r="K107" s="240" t="str">
        <v>30.95% / 2.70x</v>
      </c>
    </row>
  </sheetData>
  <mergeCells count="3">
    <mergeCell ref="A83:A87"/>
    <mergeCell ref="A93:A96"/>
    <mergeCell ref="A103:A107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Y48"/>
  <sheetViews>
    <sheetView showGridLines="0" zoomScale="70" zoomScaleNormal="70" workbookViewId="0">
      <pane xSplit="3" ySplit="4" topLeftCell="D8" activePane="bottomRight" state="frozen"/>
      <selection pane="topRight" activeCell="C1" sqref="C1"/>
      <selection pane="bottomLeft" activeCell="A5" sqref="A5"/>
      <selection pane="bottomRight" activeCell="M41" sqref="M41:N47"/>
    </sheetView>
  </sheetViews>
  <sheetFormatPr defaultRowHeight="14.75"/>
  <cols>
    <col min="2" max="2" width="5.08984375" customWidth="1"/>
    <col min="3" max="3" width="30" customWidth="1"/>
    <col min="4" max="5" width="7.6328125" customWidth="1"/>
    <col min="6" max="8" width="13.08984375" customWidth="1"/>
    <col min="9" max="10" width="8.7265625" customWidth="1"/>
    <col min="11" max="12" width="12.7265625" customWidth="1"/>
    <col min="13" max="14" width="12" customWidth="1"/>
    <col min="15" max="22" width="10.90625" customWidth="1"/>
    <col min="23" max="24" width="12.7265625" customWidth="1"/>
    <col min="25" max="25" width="14.54296875" customWidth="1"/>
  </cols>
  <sheetData>
    <row r="1" spans="1:25" ht="24" customHeight="1">
      <c r="B1" s="1" t="s">
        <v>115</v>
      </c>
    </row>
    <row r="2" spans="1:25">
      <c r="B2" s="3"/>
    </row>
    <row r="3" spans="1:25">
      <c r="O3" s="40" t="s">
        <v>154</v>
      </c>
    </row>
    <row r="4" spans="1:25">
      <c r="A4" s="15" t="s">
        <v>928</v>
      </c>
      <c r="B4" s="15" t="s">
        <v>34</v>
      </c>
      <c r="C4" s="14" t="s">
        <v>35</v>
      </c>
      <c r="D4" s="15" t="s">
        <v>76</v>
      </c>
      <c r="E4" s="15" t="s">
        <v>116</v>
      </c>
      <c r="F4" s="15" t="s">
        <v>36</v>
      </c>
      <c r="G4" s="15" t="s">
        <v>37</v>
      </c>
      <c r="H4" s="15" t="s">
        <v>38</v>
      </c>
      <c r="I4" s="15" t="s">
        <v>39</v>
      </c>
      <c r="J4" s="15" t="s">
        <v>40</v>
      </c>
      <c r="K4" s="15" t="s">
        <v>41</v>
      </c>
      <c r="L4" s="15" t="s">
        <v>42</v>
      </c>
      <c r="M4" s="15" t="s">
        <v>43</v>
      </c>
      <c r="N4" s="15" t="s">
        <v>117</v>
      </c>
      <c r="O4" s="27" t="s">
        <v>44</v>
      </c>
      <c r="P4" s="27" t="s">
        <v>118</v>
      </c>
      <c r="Q4" s="27" t="s">
        <v>119</v>
      </c>
      <c r="R4" s="27" t="s">
        <v>109</v>
      </c>
      <c r="S4" s="27" t="s">
        <v>75</v>
      </c>
      <c r="T4" s="27" t="s">
        <v>77</v>
      </c>
      <c r="U4" s="27" t="s">
        <v>32</v>
      </c>
      <c r="V4" s="27" t="s">
        <v>33</v>
      </c>
      <c r="W4" s="27" t="s">
        <v>30</v>
      </c>
      <c r="X4" s="27" t="s">
        <v>161</v>
      </c>
      <c r="Y4" s="27" t="s">
        <v>164</v>
      </c>
    </row>
    <row r="5" spans="1:25">
      <c r="A5">
        <f>RANK(F5,$F$5:$F$32)</f>
        <v>1</v>
      </c>
      <c r="B5">
        <v>1</v>
      </c>
      <c r="C5" t="s">
        <v>120</v>
      </c>
      <c r="D5" t="s">
        <v>121</v>
      </c>
      <c r="E5" s="58" t="s">
        <v>189</v>
      </c>
      <c r="F5" s="28">
        <v>76000</v>
      </c>
      <c r="G5" s="154">
        <v>19.5</v>
      </c>
      <c r="H5" s="72">
        <f t="shared" ref="H5:H32" si="0">F5*G5</f>
        <v>1482000</v>
      </c>
      <c r="I5" s="13">
        <v>2.5000000000000001E-2</v>
      </c>
      <c r="J5" s="29">
        <v>11</v>
      </c>
      <c r="K5" s="30">
        <v>42675</v>
      </c>
      <c r="L5" s="30">
        <v>46326</v>
      </c>
      <c r="M5" s="29" t="s">
        <v>45</v>
      </c>
      <c r="N5" s="31" t="s">
        <v>122</v>
      </c>
      <c r="O5" s="33">
        <f t="shared" ref="O5:O23" si="1">DATEDIF(CloseDate,L5,"m")+1</f>
        <v>3</v>
      </c>
      <c r="P5" s="34">
        <f>LOOKUP(F5,{0,2000,5000,15000})</f>
        <v>15000</v>
      </c>
      <c r="Q5" s="19" t="str">
        <f t="shared" ref="Q5:Q32" si="2">VLOOKUP(P5,LeaseTable,2,FALSE)</f>
        <v>&gt;15,000</v>
      </c>
      <c r="R5" s="246">
        <f t="shared" ref="R5:R32" si="3">VLOOKUP(P5,LeaseTable,3,FALSE)</f>
        <v>25</v>
      </c>
      <c r="S5" s="33">
        <f t="shared" ref="S5:S32" si="4">VLOOKUP(P5,LeaseTable,5,FALSE)</f>
        <v>4</v>
      </c>
      <c r="T5" s="246">
        <f t="shared" ref="T5:T32" si="5">VLOOKUP(P5,LeaseTable,6,FALSE)</f>
        <v>40</v>
      </c>
      <c r="U5" s="35">
        <f t="shared" ref="U5:U32" si="6">VLOOKUP(P5,LeaseTable,8,FALSE)</f>
        <v>0.04</v>
      </c>
      <c r="V5" s="33">
        <f t="shared" ref="V5:V32" si="7">VLOOKUP(P5,LeaseTable,9,FALSE)</f>
        <v>2</v>
      </c>
      <c r="W5" s="260">
        <v>0</v>
      </c>
      <c r="X5" s="246">
        <f t="shared" ref="X5:X32" si="8">R5*(W5*RenewDiscount+(1-W5))</f>
        <v>25</v>
      </c>
      <c r="Y5" s="43">
        <f t="shared" ref="Y5:Y24" si="9">IF(J5="","",EOMONTH(DATE(YEAR(CloseDate)+IF(J5&gt;MONTH(CloseDate),0,1),J5,1),0))</f>
        <v>46356</v>
      </c>
    </row>
    <row r="6" spans="1:25">
      <c r="A6">
        <f t="shared" ref="A6:A32" si="10">RANK(F6,$F$5:$F$32)</f>
        <v>2</v>
      </c>
      <c r="B6">
        <v>2</v>
      </c>
      <c r="C6" t="s">
        <v>123</v>
      </c>
      <c r="D6">
        <v>200</v>
      </c>
      <c r="E6">
        <v>2</v>
      </c>
      <c r="F6" s="28">
        <v>24000</v>
      </c>
      <c r="G6" s="154">
        <v>21.5</v>
      </c>
      <c r="H6" s="72">
        <f t="shared" si="0"/>
        <v>516000</v>
      </c>
      <c r="I6" s="13">
        <v>0.03</v>
      </c>
      <c r="J6" s="29">
        <v>4</v>
      </c>
      <c r="K6" s="30">
        <v>43556</v>
      </c>
      <c r="L6" s="30">
        <v>47208</v>
      </c>
      <c r="M6" s="29" t="s">
        <v>46</v>
      </c>
      <c r="N6" s="29" t="s">
        <v>124</v>
      </c>
      <c r="O6" s="33">
        <f t="shared" si="1"/>
        <v>32</v>
      </c>
      <c r="P6" s="34">
        <f>LOOKUP(F6,{0,2000,5000,15000})</f>
        <v>15000</v>
      </c>
      <c r="Q6" s="19" t="str">
        <f t="shared" si="2"/>
        <v>&gt;15,000</v>
      </c>
      <c r="R6" s="246">
        <f t="shared" si="3"/>
        <v>25</v>
      </c>
      <c r="S6" s="33">
        <f t="shared" si="4"/>
        <v>4</v>
      </c>
      <c r="T6" s="246">
        <f t="shared" si="5"/>
        <v>40</v>
      </c>
      <c r="U6" s="35">
        <f t="shared" si="6"/>
        <v>0.04</v>
      </c>
      <c r="V6" s="33">
        <f t="shared" si="7"/>
        <v>2</v>
      </c>
      <c r="W6" s="35">
        <f t="shared" ref="W6:W32" si="11">VLOOKUP(P6,LeaseTable,4,FALSE)</f>
        <v>0.75</v>
      </c>
      <c r="X6" s="246">
        <f t="shared" si="8"/>
        <v>24.062499999999996</v>
      </c>
      <c r="Y6" s="43">
        <f t="shared" si="9"/>
        <v>46507</v>
      </c>
    </row>
    <row r="7" spans="1:25">
      <c r="A7">
        <f t="shared" si="10"/>
        <v>3</v>
      </c>
      <c r="B7">
        <v>3</v>
      </c>
      <c r="C7" t="s">
        <v>125</v>
      </c>
      <c r="D7">
        <v>310</v>
      </c>
      <c r="E7">
        <v>3</v>
      </c>
      <c r="F7" s="28">
        <v>12000</v>
      </c>
      <c r="G7" s="154">
        <v>22</v>
      </c>
      <c r="H7" s="72">
        <f t="shared" si="0"/>
        <v>264000</v>
      </c>
      <c r="I7" s="13">
        <v>2.5000000000000001E-2</v>
      </c>
      <c r="J7" s="29">
        <v>10</v>
      </c>
      <c r="K7" s="30">
        <v>44835</v>
      </c>
      <c r="L7" s="30">
        <v>46660</v>
      </c>
      <c r="M7" s="29" t="s">
        <v>45</v>
      </c>
      <c r="N7" s="29" t="s">
        <v>124</v>
      </c>
      <c r="O7" s="33">
        <f t="shared" si="1"/>
        <v>13</v>
      </c>
      <c r="P7" s="34">
        <f>LOOKUP(F7,{0,2000,5000,15000})</f>
        <v>5000</v>
      </c>
      <c r="Q7" s="19" t="str">
        <f t="shared" si="2"/>
        <v>5,000-15,000</v>
      </c>
      <c r="R7" s="246">
        <f t="shared" si="3"/>
        <v>25.5</v>
      </c>
      <c r="S7" s="33">
        <f t="shared" si="4"/>
        <v>5</v>
      </c>
      <c r="T7" s="246">
        <f t="shared" si="5"/>
        <v>36</v>
      </c>
      <c r="U7" s="35">
        <f t="shared" si="6"/>
        <v>0.05</v>
      </c>
      <c r="V7" s="33">
        <f t="shared" si="7"/>
        <v>2</v>
      </c>
      <c r="W7" s="35">
        <f t="shared" si="11"/>
        <v>0.65</v>
      </c>
      <c r="X7" s="246">
        <f t="shared" si="8"/>
        <v>24.671249999999997</v>
      </c>
      <c r="Y7" s="43">
        <f t="shared" si="9"/>
        <v>46326</v>
      </c>
    </row>
    <row r="8" spans="1:25">
      <c r="A8">
        <f t="shared" si="10"/>
        <v>4</v>
      </c>
      <c r="B8">
        <v>4</v>
      </c>
      <c r="C8" t="s">
        <v>126</v>
      </c>
      <c r="D8">
        <v>320</v>
      </c>
      <c r="E8">
        <v>3</v>
      </c>
      <c r="F8" s="28">
        <v>11000</v>
      </c>
      <c r="G8" s="154">
        <v>20.25</v>
      </c>
      <c r="H8" s="72">
        <f t="shared" si="0"/>
        <v>222750</v>
      </c>
      <c r="I8" s="13">
        <v>0.02</v>
      </c>
      <c r="J8" s="29">
        <v>1</v>
      </c>
      <c r="K8" s="30">
        <v>45292</v>
      </c>
      <c r="L8" s="30">
        <v>47118</v>
      </c>
      <c r="M8" s="29" t="s">
        <v>47</v>
      </c>
      <c r="N8" s="29" t="s">
        <v>124</v>
      </c>
      <c r="O8" s="33">
        <f t="shared" si="1"/>
        <v>29</v>
      </c>
      <c r="P8" s="34">
        <f>LOOKUP(F8,{0,2000,5000,15000})</f>
        <v>5000</v>
      </c>
      <c r="Q8" s="19" t="str">
        <f t="shared" si="2"/>
        <v>5,000-15,000</v>
      </c>
      <c r="R8" s="246">
        <f t="shared" si="3"/>
        <v>25.5</v>
      </c>
      <c r="S8" s="33">
        <f t="shared" si="4"/>
        <v>5</v>
      </c>
      <c r="T8" s="246">
        <f t="shared" si="5"/>
        <v>36</v>
      </c>
      <c r="U8" s="35">
        <f t="shared" si="6"/>
        <v>0.05</v>
      </c>
      <c r="V8" s="33">
        <f t="shared" si="7"/>
        <v>2</v>
      </c>
      <c r="W8" s="35">
        <f t="shared" si="11"/>
        <v>0.65</v>
      </c>
      <c r="X8" s="246">
        <f t="shared" si="8"/>
        <v>24.671249999999997</v>
      </c>
      <c r="Y8" s="43">
        <f t="shared" si="9"/>
        <v>46418</v>
      </c>
    </row>
    <row r="9" spans="1:25">
      <c r="A9">
        <f t="shared" si="10"/>
        <v>5</v>
      </c>
      <c r="B9">
        <v>5</v>
      </c>
      <c r="C9" t="s">
        <v>48</v>
      </c>
      <c r="D9">
        <v>410</v>
      </c>
      <c r="E9">
        <v>4</v>
      </c>
      <c r="F9" s="28">
        <v>10500</v>
      </c>
      <c r="G9" s="154">
        <v>21.75</v>
      </c>
      <c r="H9" s="72">
        <f t="shared" si="0"/>
        <v>228375</v>
      </c>
      <c r="I9" s="13">
        <v>0.03</v>
      </c>
      <c r="J9" s="29">
        <v>7</v>
      </c>
      <c r="K9" s="30">
        <v>45839</v>
      </c>
      <c r="L9" s="30">
        <v>47664</v>
      </c>
      <c r="M9" s="29" t="s">
        <v>45</v>
      </c>
      <c r="N9" s="29" t="s">
        <v>124</v>
      </c>
      <c r="O9" s="33">
        <f t="shared" si="1"/>
        <v>46</v>
      </c>
      <c r="P9" s="34">
        <f>LOOKUP(F9,{0,2000,5000,15000})</f>
        <v>5000</v>
      </c>
      <c r="Q9" s="19" t="str">
        <f t="shared" si="2"/>
        <v>5,000-15,000</v>
      </c>
      <c r="R9" s="246">
        <f t="shared" si="3"/>
        <v>25.5</v>
      </c>
      <c r="S9" s="33">
        <f t="shared" si="4"/>
        <v>5</v>
      </c>
      <c r="T9" s="246">
        <f t="shared" si="5"/>
        <v>36</v>
      </c>
      <c r="U9" s="35">
        <f t="shared" si="6"/>
        <v>0.05</v>
      </c>
      <c r="V9" s="33">
        <f t="shared" si="7"/>
        <v>2</v>
      </c>
      <c r="W9" s="35">
        <f t="shared" si="11"/>
        <v>0.65</v>
      </c>
      <c r="X9" s="246">
        <f t="shared" si="8"/>
        <v>24.671249999999997</v>
      </c>
      <c r="Y9" s="43">
        <f t="shared" si="9"/>
        <v>46599</v>
      </c>
    </row>
    <row r="10" spans="1:25">
      <c r="A10">
        <f t="shared" si="10"/>
        <v>12</v>
      </c>
      <c r="B10">
        <v>6</v>
      </c>
      <c r="C10" t="s">
        <v>49</v>
      </c>
      <c r="D10">
        <v>330</v>
      </c>
      <c r="E10">
        <v>3</v>
      </c>
      <c r="F10" s="28">
        <v>7900</v>
      </c>
      <c r="G10" s="249">
        <v>20.75</v>
      </c>
      <c r="H10" s="72">
        <f t="shared" si="0"/>
        <v>163925</v>
      </c>
      <c r="I10" s="13">
        <v>2.5000000000000001E-2</v>
      </c>
      <c r="J10" s="29">
        <v>3</v>
      </c>
      <c r="K10" s="30">
        <v>43525</v>
      </c>
      <c r="L10" s="30">
        <v>47177</v>
      </c>
      <c r="M10" s="29" t="s">
        <v>46</v>
      </c>
      <c r="N10" s="29" t="s">
        <v>124</v>
      </c>
      <c r="O10" s="33">
        <f t="shared" si="1"/>
        <v>30</v>
      </c>
      <c r="P10" s="34">
        <f>LOOKUP(F10,{0,2000,5000,15000})</f>
        <v>5000</v>
      </c>
      <c r="Q10" s="19" t="str">
        <f t="shared" si="2"/>
        <v>5,000-15,000</v>
      </c>
      <c r="R10" s="246">
        <f t="shared" si="3"/>
        <v>25.5</v>
      </c>
      <c r="S10" s="33">
        <f t="shared" si="4"/>
        <v>5</v>
      </c>
      <c r="T10" s="246">
        <f t="shared" si="5"/>
        <v>36</v>
      </c>
      <c r="U10" s="35">
        <f t="shared" si="6"/>
        <v>0.05</v>
      </c>
      <c r="V10" s="33">
        <f t="shared" si="7"/>
        <v>2</v>
      </c>
      <c r="W10" s="35">
        <f t="shared" si="11"/>
        <v>0.65</v>
      </c>
      <c r="X10" s="246">
        <f t="shared" si="8"/>
        <v>24.671249999999997</v>
      </c>
      <c r="Y10" s="43">
        <f t="shared" si="9"/>
        <v>46477</v>
      </c>
    </row>
    <row r="11" spans="1:25">
      <c r="A11">
        <f t="shared" si="10"/>
        <v>6</v>
      </c>
      <c r="B11">
        <v>7</v>
      </c>
      <c r="C11" t="s">
        <v>127</v>
      </c>
      <c r="D11">
        <v>420</v>
      </c>
      <c r="E11">
        <v>4</v>
      </c>
      <c r="F11" s="28">
        <v>9500</v>
      </c>
      <c r="G11" s="154">
        <v>20.5</v>
      </c>
      <c r="H11" s="72">
        <f t="shared" si="0"/>
        <v>194750</v>
      </c>
      <c r="I11" s="13">
        <v>0.02</v>
      </c>
      <c r="J11" s="29">
        <v>9</v>
      </c>
      <c r="K11" s="30">
        <v>44440</v>
      </c>
      <c r="L11" s="30">
        <v>48091</v>
      </c>
      <c r="M11" s="29" t="s">
        <v>46</v>
      </c>
      <c r="N11" s="29" t="s">
        <v>124</v>
      </c>
      <c r="O11" s="33">
        <f t="shared" si="1"/>
        <v>61</v>
      </c>
      <c r="P11" s="34">
        <f>LOOKUP(F11,{0,2000,5000,15000})</f>
        <v>5000</v>
      </c>
      <c r="Q11" s="19" t="str">
        <f t="shared" si="2"/>
        <v>5,000-15,000</v>
      </c>
      <c r="R11" s="246">
        <f t="shared" si="3"/>
        <v>25.5</v>
      </c>
      <c r="S11" s="33">
        <f t="shared" si="4"/>
        <v>5</v>
      </c>
      <c r="T11" s="246">
        <f t="shared" si="5"/>
        <v>36</v>
      </c>
      <c r="U11" s="35">
        <f t="shared" si="6"/>
        <v>0.05</v>
      </c>
      <c r="V11" s="33">
        <f t="shared" si="7"/>
        <v>2</v>
      </c>
      <c r="W11" s="35">
        <f t="shared" si="11"/>
        <v>0.65</v>
      </c>
      <c r="X11" s="246">
        <f t="shared" si="8"/>
        <v>24.671249999999997</v>
      </c>
      <c r="Y11" s="43">
        <f t="shared" si="9"/>
        <v>46295</v>
      </c>
    </row>
    <row r="12" spans="1:25">
      <c r="A12">
        <f t="shared" si="10"/>
        <v>10</v>
      </c>
      <c r="B12">
        <v>8</v>
      </c>
      <c r="C12" t="s">
        <v>128</v>
      </c>
      <c r="D12">
        <v>210</v>
      </c>
      <c r="E12">
        <v>2</v>
      </c>
      <c r="F12" s="28">
        <v>8500</v>
      </c>
      <c r="G12" s="154">
        <v>19.75</v>
      </c>
      <c r="H12" s="72">
        <f t="shared" si="0"/>
        <v>167875</v>
      </c>
      <c r="I12" s="13">
        <v>2.5000000000000001E-2</v>
      </c>
      <c r="J12" s="29">
        <v>2</v>
      </c>
      <c r="K12" s="30">
        <v>44958</v>
      </c>
      <c r="L12" s="30">
        <v>46783</v>
      </c>
      <c r="M12" s="29" t="s">
        <v>45</v>
      </c>
      <c r="N12" s="29" t="s">
        <v>124</v>
      </c>
      <c r="O12" s="33">
        <f t="shared" si="1"/>
        <v>18</v>
      </c>
      <c r="P12" s="34">
        <f>LOOKUP(F12,{0,2000,5000,15000})</f>
        <v>5000</v>
      </c>
      <c r="Q12" s="19" t="str">
        <f t="shared" si="2"/>
        <v>5,000-15,000</v>
      </c>
      <c r="R12" s="246">
        <f t="shared" si="3"/>
        <v>25.5</v>
      </c>
      <c r="S12" s="33">
        <f t="shared" si="4"/>
        <v>5</v>
      </c>
      <c r="T12" s="246">
        <f t="shared" si="5"/>
        <v>36</v>
      </c>
      <c r="U12" s="35">
        <f t="shared" si="6"/>
        <v>0.05</v>
      </c>
      <c r="V12" s="33">
        <f t="shared" si="7"/>
        <v>2</v>
      </c>
      <c r="W12" s="35">
        <f t="shared" si="11"/>
        <v>0.65</v>
      </c>
      <c r="X12" s="246">
        <f t="shared" si="8"/>
        <v>24.671249999999997</v>
      </c>
      <c r="Y12" s="43">
        <f t="shared" si="9"/>
        <v>46446</v>
      </c>
    </row>
    <row r="13" spans="1:25">
      <c r="A13">
        <f t="shared" si="10"/>
        <v>13</v>
      </c>
      <c r="B13">
        <v>9</v>
      </c>
      <c r="C13" t="s">
        <v>129</v>
      </c>
      <c r="D13">
        <v>340</v>
      </c>
      <c r="E13">
        <v>3</v>
      </c>
      <c r="F13" s="28">
        <v>7800</v>
      </c>
      <c r="G13" s="154">
        <v>21</v>
      </c>
      <c r="H13" s="72">
        <f t="shared" si="0"/>
        <v>163800</v>
      </c>
      <c r="I13" s="13">
        <v>2.5000000000000001E-2</v>
      </c>
      <c r="J13" s="29">
        <v>5</v>
      </c>
      <c r="K13" s="30">
        <v>43586</v>
      </c>
      <c r="L13" s="30">
        <v>47238</v>
      </c>
      <c r="M13" s="29" t="s">
        <v>47</v>
      </c>
      <c r="N13" s="29" t="s">
        <v>124</v>
      </c>
      <c r="O13" s="33">
        <f t="shared" si="1"/>
        <v>32</v>
      </c>
      <c r="P13" s="34">
        <f>LOOKUP(F13,{0,2000,5000,15000})</f>
        <v>5000</v>
      </c>
      <c r="Q13" s="19" t="str">
        <f t="shared" si="2"/>
        <v>5,000-15,000</v>
      </c>
      <c r="R13" s="246">
        <f t="shared" si="3"/>
        <v>25.5</v>
      </c>
      <c r="S13" s="33">
        <f t="shared" si="4"/>
        <v>5</v>
      </c>
      <c r="T13" s="246">
        <f t="shared" si="5"/>
        <v>36</v>
      </c>
      <c r="U13" s="35">
        <f t="shared" si="6"/>
        <v>0.05</v>
      </c>
      <c r="V13" s="33">
        <f t="shared" si="7"/>
        <v>2</v>
      </c>
      <c r="W13" s="35">
        <f t="shared" si="11"/>
        <v>0.65</v>
      </c>
      <c r="X13" s="246">
        <f t="shared" si="8"/>
        <v>24.671249999999997</v>
      </c>
      <c r="Y13" s="43">
        <f t="shared" si="9"/>
        <v>46538</v>
      </c>
    </row>
    <row r="14" spans="1:25">
      <c r="A14">
        <f t="shared" si="10"/>
        <v>15</v>
      </c>
      <c r="B14">
        <v>10</v>
      </c>
      <c r="C14" t="s">
        <v>130</v>
      </c>
      <c r="D14">
        <v>430</v>
      </c>
      <c r="E14">
        <v>4</v>
      </c>
      <c r="F14" s="28">
        <v>7200</v>
      </c>
      <c r="G14" s="154">
        <v>20.75</v>
      </c>
      <c r="H14" s="72">
        <f t="shared" si="0"/>
        <v>149400</v>
      </c>
      <c r="I14" s="13">
        <v>0.02</v>
      </c>
      <c r="J14" s="29">
        <v>12</v>
      </c>
      <c r="K14" s="30">
        <v>43435</v>
      </c>
      <c r="L14" s="30">
        <v>47087</v>
      </c>
      <c r="M14" s="29" t="s">
        <v>45</v>
      </c>
      <c r="N14" s="29" t="s">
        <v>124</v>
      </c>
      <c r="O14" s="33">
        <f t="shared" si="1"/>
        <v>27</v>
      </c>
      <c r="P14" s="34">
        <f>LOOKUP(F14,{0,2000,5000,15000})</f>
        <v>5000</v>
      </c>
      <c r="Q14" s="19" t="str">
        <f t="shared" si="2"/>
        <v>5,000-15,000</v>
      </c>
      <c r="R14" s="246">
        <f t="shared" si="3"/>
        <v>25.5</v>
      </c>
      <c r="S14" s="33">
        <f t="shared" si="4"/>
        <v>5</v>
      </c>
      <c r="T14" s="246">
        <f t="shared" si="5"/>
        <v>36</v>
      </c>
      <c r="U14" s="35">
        <f t="shared" si="6"/>
        <v>0.05</v>
      </c>
      <c r="V14" s="33">
        <f t="shared" si="7"/>
        <v>2</v>
      </c>
      <c r="W14" s="35">
        <f t="shared" si="11"/>
        <v>0.65</v>
      </c>
      <c r="X14" s="246">
        <f t="shared" si="8"/>
        <v>24.671249999999997</v>
      </c>
      <c r="Y14" s="43">
        <f t="shared" si="9"/>
        <v>46387</v>
      </c>
    </row>
    <row r="15" spans="1:25">
      <c r="A15">
        <f t="shared" si="10"/>
        <v>16</v>
      </c>
      <c r="B15">
        <v>11</v>
      </c>
      <c r="C15" t="s">
        <v>131</v>
      </c>
      <c r="D15">
        <v>220</v>
      </c>
      <c r="E15">
        <v>2</v>
      </c>
      <c r="F15" s="28">
        <v>6800</v>
      </c>
      <c r="G15" s="154">
        <v>19.5</v>
      </c>
      <c r="H15" s="72">
        <f t="shared" si="0"/>
        <v>132600</v>
      </c>
      <c r="I15" s="13">
        <v>2.5000000000000001E-2</v>
      </c>
      <c r="J15" s="29">
        <v>8</v>
      </c>
      <c r="K15" s="30">
        <v>43678</v>
      </c>
      <c r="L15" s="30">
        <v>47330</v>
      </c>
      <c r="M15" s="29" t="s">
        <v>45</v>
      </c>
      <c r="N15" s="29" t="s">
        <v>124</v>
      </c>
      <c r="O15" s="33">
        <f t="shared" si="1"/>
        <v>36</v>
      </c>
      <c r="P15" s="34">
        <f>LOOKUP(F15,{0,2000,5000,15000})</f>
        <v>5000</v>
      </c>
      <c r="Q15" s="19" t="str">
        <f t="shared" si="2"/>
        <v>5,000-15,000</v>
      </c>
      <c r="R15" s="246">
        <f t="shared" si="3"/>
        <v>25.5</v>
      </c>
      <c r="S15" s="33">
        <f t="shared" si="4"/>
        <v>5</v>
      </c>
      <c r="T15" s="246">
        <f t="shared" si="5"/>
        <v>36</v>
      </c>
      <c r="U15" s="35">
        <f t="shared" si="6"/>
        <v>0.05</v>
      </c>
      <c r="V15" s="33">
        <f t="shared" si="7"/>
        <v>2</v>
      </c>
      <c r="W15" s="35">
        <f t="shared" si="11"/>
        <v>0.65</v>
      </c>
      <c r="X15" s="246">
        <f t="shared" si="8"/>
        <v>24.671249999999997</v>
      </c>
      <c r="Y15" s="43">
        <f t="shared" si="9"/>
        <v>46630</v>
      </c>
    </row>
    <row r="16" spans="1:25">
      <c r="A16">
        <f t="shared" si="10"/>
        <v>18</v>
      </c>
      <c r="B16">
        <v>12</v>
      </c>
      <c r="C16" t="s">
        <v>132</v>
      </c>
      <c r="D16">
        <v>510</v>
      </c>
      <c r="E16">
        <v>5</v>
      </c>
      <c r="F16" s="28">
        <v>6200</v>
      </c>
      <c r="G16" s="154">
        <v>22.25</v>
      </c>
      <c r="H16" s="72">
        <f t="shared" si="0"/>
        <v>137950</v>
      </c>
      <c r="I16" s="13">
        <v>2.5000000000000001E-2</v>
      </c>
      <c r="J16" s="29">
        <v>6</v>
      </c>
      <c r="K16" s="30">
        <v>45078</v>
      </c>
      <c r="L16" s="30">
        <v>47634</v>
      </c>
      <c r="M16" s="29" t="s">
        <v>47</v>
      </c>
      <c r="N16" s="29" t="s">
        <v>124</v>
      </c>
      <c r="O16" s="33">
        <f t="shared" si="1"/>
        <v>46</v>
      </c>
      <c r="P16" s="34">
        <f>LOOKUP(F16,{0,2000,5000,15000})</f>
        <v>5000</v>
      </c>
      <c r="Q16" s="19" t="str">
        <f t="shared" si="2"/>
        <v>5,000-15,000</v>
      </c>
      <c r="R16" s="246">
        <f t="shared" si="3"/>
        <v>25.5</v>
      </c>
      <c r="S16" s="33">
        <f t="shared" si="4"/>
        <v>5</v>
      </c>
      <c r="T16" s="246">
        <f t="shared" si="5"/>
        <v>36</v>
      </c>
      <c r="U16" s="35">
        <f t="shared" si="6"/>
        <v>0.05</v>
      </c>
      <c r="V16" s="33">
        <f t="shared" si="7"/>
        <v>2</v>
      </c>
      <c r="W16" s="35">
        <f t="shared" si="11"/>
        <v>0.65</v>
      </c>
      <c r="X16" s="246">
        <f t="shared" si="8"/>
        <v>24.671249999999997</v>
      </c>
      <c r="Y16" s="43">
        <f t="shared" si="9"/>
        <v>46568</v>
      </c>
    </row>
    <row r="17" spans="1:25">
      <c r="A17">
        <f t="shared" si="10"/>
        <v>21</v>
      </c>
      <c r="B17">
        <v>13</v>
      </c>
      <c r="C17" t="s">
        <v>133</v>
      </c>
      <c r="D17">
        <v>350</v>
      </c>
      <c r="E17">
        <v>3</v>
      </c>
      <c r="F17" s="28">
        <v>5400</v>
      </c>
      <c r="G17" s="154">
        <v>21.5</v>
      </c>
      <c r="H17" s="72">
        <f t="shared" si="0"/>
        <v>116100</v>
      </c>
      <c r="I17" s="13">
        <v>0.03</v>
      </c>
      <c r="J17" s="29">
        <v>11</v>
      </c>
      <c r="K17" s="30">
        <v>45231</v>
      </c>
      <c r="L17" s="30">
        <v>47057</v>
      </c>
      <c r="M17" s="29" t="s">
        <v>45</v>
      </c>
      <c r="N17" s="29" t="s">
        <v>124</v>
      </c>
      <c r="O17" s="33">
        <f t="shared" si="1"/>
        <v>27</v>
      </c>
      <c r="P17" s="34">
        <f>LOOKUP(F17,{0,2000,5000,15000})</f>
        <v>5000</v>
      </c>
      <c r="Q17" s="19" t="str">
        <f t="shared" si="2"/>
        <v>5,000-15,000</v>
      </c>
      <c r="R17" s="246">
        <f t="shared" si="3"/>
        <v>25.5</v>
      </c>
      <c r="S17" s="33">
        <f t="shared" si="4"/>
        <v>5</v>
      </c>
      <c r="T17" s="246">
        <f t="shared" si="5"/>
        <v>36</v>
      </c>
      <c r="U17" s="35">
        <f t="shared" si="6"/>
        <v>0.05</v>
      </c>
      <c r="V17" s="33">
        <f t="shared" si="7"/>
        <v>2</v>
      </c>
      <c r="W17" s="35">
        <f t="shared" si="11"/>
        <v>0.65</v>
      </c>
      <c r="X17" s="246">
        <f t="shared" si="8"/>
        <v>24.671249999999997</v>
      </c>
      <c r="Y17" s="43">
        <f t="shared" si="9"/>
        <v>46356</v>
      </c>
    </row>
    <row r="18" spans="1:25">
      <c r="A18">
        <f t="shared" si="10"/>
        <v>23</v>
      </c>
      <c r="B18">
        <v>14</v>
      </c>
      <c r="C18" t="s">
        <v>134</v>
      </c>
      <c r="D18">
        <v>230</v>
      </c>
      <c r="E18">
        <v>2</v>
      </c>
      <c r="F18" s="28">
        <v>4800</v>
      </c>
      <c r="G18" s="154">
        <v>19.5</v>
      </c>
      <c r="H18" s="72">
        <f t="shared" si="0"/>
        <v>93600</v>
      </c>
      <c r="I18" s="13">
        <v>0.02</v>
      </c>
      <c r="J18" s="29">
        <v>8</v>
      </c>
      <c r="K18" s="30">
        <v>44774</v>
      </c>
      <c r="L18" s="30">
        <v>46599</v>
      </c>
      <c r="M18" s="29" t="s">
        <v>45</v>
      </c>
      <c r="N18" s="29" t="s">
        <v>124</v>
      </c>
      <c r="O18" s="33">
        <f t="shared" si="1"/>
        <v>12</v>
      </c>
      <c r="P18" s="34">
        <f>LOOKUP(F18,{0,2000,5000,15000})</f>
        <v>2000</v>
      </c>
      <c r="Q18" s="19" t="str">
        <f t="shared" si="2"/>
        <v>2,000-5,000</v>
      </c>
      <c r="R18" s="246">
        <f t="shared" si="3"/>
        <v>25</v>
      </c>
      <c r="S18" s="33">
        <f t="shared" si="4"/>
        <v>6</v>
      </c>
      <c r="T18" s="246">
        <f t="shared" si="5"/>
        <v>32</v>
      </c>
      <c r="U18" s="35">
        <f t="shared" si="6"/>
        <v>0.06</v>
      </c>
      <c r="V18" s="33">
        <f t="shared" si="7"/>
        <v>2</v>
      </c>
      <c r="W18" s="35">
        <f t="shared" si="11"/>
        <v>0.55000000000000004</v>
      </c>
      <c r="X18" s="246">
        <f t="shared" si="8"/>
        <v>24.312499999999996</v>
      </c>
      <c r="Y18" s="43">
        <f t="shared" si="9"/>
        <v>46630</v>
      </c>
    </row>
    <row r="19" spans="1:25">
      <c r="A19">
        <f t="shared" si="10"/>
        <v>22</v>
      </c>
      <c r="B19">
        <v>15</v>
      </c>
      <c r="C19" t="s">
        <v>135</v>
      </c>
      <c r="D19">
        <v>440</v>
      </c>
      <c r="E19">
        <v>4</v>
      </c>
      <c r="F19" s="28">
        <v>5000</v>
      </c>
      <c r="G19" s="154">
        <v>20.5</v>
      </c>
      <c r="H19" s="72">
        <f t="shared" si="0"/>
        <v>102500</v>
      </c>
      <c r="I19" s="13">
        <v>2.5000000000000001E-2</v>
      </c>
      <c r="J19" s="29">
        <v>1</v>
      </c>
      <c r="K19" s="30">
        <v>43831</v>
      </c>
      <c r="L19" s="30">
        <v>47483</v>
      </c>
      <c r="M19" s="29" t="s">
        <v>46</v>
      </c>
      <c r="N19" s="29" t="s">
        <v>124</v>
      </c>
      <c r="O19" s="33">
        <f t="shared" si="1"/>
        <v>41</v>
      </c>
      <c r="P19" s="34">
        <f>LOOKUP(F19,{0,2000,5000,15000})</f>
        <v>5000</v>
      </c>
      <c r="Q19" s="19" t="str">
        <f t="shared" si="2"/>
        <v>5,000-15,000</v>
      </c>
      <c r="R19" s="246">
        <f t="shared" si="3"/>
        <v>25.5</v>
      </c>
      <c r="S19" s="33">
        <f t="shared" si="4"/>
        <v>5</v>
      </c>
      <c r="T19" s="246">
        <f t="shared" si="5"/>
        <v>36</v>
      </c>
      <c r="U19" s="35">
        <f t="shared" si="6"/>
        <v>0.05</v>
      </c>
      <c r="V19" s="33">
        <f t="shared" si="7"/>
        <v>2</v>
      </c>
      <c r="W19" s="35">
        <f t="shared" si="11"/>
        <v>0.65</v>
      </c>
      <c r="X19" s="246">
        <f t="shared" si="8"/>
        <v>24.671249999999997</v>
      </c>
      <c r="Y19" s="43">
        <f t="shared" si="9"/>
        <v>46418</v>
      </c>
    </row>
    <row r="20" spans="1:25">
      <c r="A20">
        <f t="shared" si="10"/>
        <v>24</v>
      </c>
      <c r="B20">
        <v>16</v>
      </c>
      <c r="C20" t="s">
        <v>136</v>
      </c>
      <c r="D20">
        <v>520</v>
      </c>
      <c r="E20">
        <v>5</v>
      </c>
      <c r="F20" s="28">
        <v>4200</v>
      </c>
      <c r="G20" s="154">
        <v>21</v>
      </c>
      <c r="H20" s="72">
        <f t="shared" si="0"/>
        <v>88200</v>
      </c>
      <c r="I20" s="13">
        <v>0.02</v>
      </c>
      <c r="J20" s="29">
        <v>4</v>
      </c>
      <c r="K20" s="30">
        <v>43922</v>
      </c>
      <c r="L20" s="30">
        <v>47938</v>
      </c>
      <c r="M20" s="29" t="s">
        <v>47</v>
      </c>
      <c r="N20" s="29" t="s">
        <v>124</v>
      </c>
      <c r="O20" s="33">
        <f t="shared" si="1"/>
        <v>56</v>
      </c>
      <c r="P20" s="34">
        <f>LOOKUP(F20,{0,2000,5000,15000})</f>
        <v>2000</v>
      </c>
      <c r="Q20" s="19" t="str">
        <f t="shared" si="2"/>
        <v>2,000-5,000</v>
      </c>
      <c r="R20" s="246">
        <f t="shared" si="3"/>
        <v>25</v>
      </c>
      <c r="S20" s="33">
        <f t="shared" si="4"/>
        <v>6</v>
      </c>
      <c r="T20" s="246">
        <f t="shared" si="5"/>
        <v>32</v>
      </c>
      <c r="U20" s="35">
        <f t="shared" si="6"/>
        <v>0.06</v>
      </c>
      <c r="V20" s="33">
        <f t="shared" si="7"/>
        <v>2</v>
      </c>
      <c r="W20" s="35">
        <f t="shared" si="11"/>
        <v>0.55000000000000004</v>
      </c>
      <c r="X20" s="246">
        <f t="shared" si="8"/>
        <v>24.312499999999996</v>
      </c>
      <c r="Y20" s="43">
        <f t="shared" si="9"/>
        <v>46507</v>
      </c>
    </row>
    <row r="21" spans="1:25">
      <c r="A21">
        <f t="shared" si="10"/>
        <v>25</v>
      </c>
      <c r="B21">
        <v>17</v>
      </c>
      <c r="C21" t="s">
        <v>137</v>
      </c>
      <c r="D21">
        <v>530</v>
      </c>
      <c r="E21">
        <v>5</v>
      </c>
      <c r="F21" s="28">
        <v>3800</v>
      </c>
      <c r="G21" s="154">
        <v>20</v>
      </c>
      <c r="H21" s="72">
        <f t="shared" si="0"/>
        <v>76000</v>
      </c>
      <c r="I21" s="13">
        <v>2.5000000000000001E-2</v>
      </c>
      <c r="J21" s="29">
        <v>9</v>
      </c>
      <c r="K21" s="30">
        <v>43344</v>
      </c>
      <c r="L21" s="30">
        <v>46996</v>
      </c>
      <c r="M21" s="29" t="s">
        <v>45</v>
      </c>
      <c r="N21" s="29" t="s">
        <v>124</v>
      </c>
      <c r="O21" s="33">
        <f t="shared" si="1"/>
        <v>25</v>
      </c>
      <c r="P21" s="34">
        <f>LOOKUP(F21,{0,2000,5000,15000})</f>
        <v>2000</v>
      </c>
      <c r="Q21" s="19" t="str">
        <f t="shared" si="2"/>
        <v>2,000-5,000</v>
      </c>
      <c r="R21" s="246">
        <f t="shared" si="3"/>
        <v>25</v>
      </c>
      <c r="S21" s="33">
        <f t="shared" si="4"/>
        <v>6</v>
      </c>
      <c r="T21" s="246">
        <f t="shared" si="5"/>
        <v>32</v>
      </c>
      <c r="U21" s="35">
        <f t="shared" si="6"/>
        <v>0.06</v>
      </c>
      <c r="V21" s="33">
        <f t="shared" si="7"/>
        <v>2</v>
      </c>
      <c r="W21" s="35">
        <f t="shared" si="11"/>
        <v>0.55000000000000004</v>
      </c>
      <c r="X21" s="246">
        <f t="shared" si="8"/>
        <v>24.312499999999996</v>
      </c>
      <c r="Y21" s="43">
        <f t="shared" si="9"/>
        <v>46295</v>
      </c>
    </row>
    <row r="22" spans="1:25">
      <c r="A22">
        <f t="shared" si="10"/>
        <v>26</v>
      </c>
      <c r="B22">
        <v>18</v>
      </c>
      <c r="C22" t="s">
        <v>138</v>
      </c>
      <c r="D22">
        <v>240</v>
      </c>
      <c r="E22">
        <v>2</v>
      </c>
      <c r="F22" s="28">
        <v>3500</v>
      </c>
      <c r="G22" s="154">
        <v>21.25</v>
      </c>
      <c r="H22" s="72">
        <f t="shared" si="0"/>
        <v>74375</v>
      </c>
      <c r="I22" s="13">
        <v>0.03</v>
      </c>
      <c r="J22" s="29">
        <v>12</v>
      </c>
      <c r="K22" s="30">
        <v>45627</v>
      </c>
      <c r="L22" s="30">
        <v>47452</v>
      </c>
      <c r="M22" s="29" t="s">
        <v>45</v>
      </c>
      <c r="N22" s="29" t="s">
        <v>124</v>
      </c>
      <c r="O22" s="33">
        <f t="shared" si="1"/>
        <v>39</v>
      </c>
      <c r="P22" s="34">
        <f>LOOKUP(F22,{0,2000,5000,15000})</f>
        <v>2000</v>
      </c>
      <c r="Q22" s="19" t="str">
        <f t="shared" si="2"/>
        <v>2,000-5,000</v>
      </c>
      <c r="R22" s="246">
        <f t="shared" si="3"/>
        <v>25</v>
      </c>
      <c r="S22" s="33">
        <f t="shared" si="4"/>
        <v>6</v>
      </c>
      <c r="T22" s="246">
        <f t="shared" si="5"/>
        <v>32</v>
      </c>
      <c r="U22" s="35">
        <f t="shared" si="6"/>
        <v>0.06</v>
      </c>
      <c r="V22" s="33">
        <f t="shared" si="7"/>
        <v>2</v>
      </c>
      <c r="W22" s="35">
        <f t="shared" si="11"/>
        <v>0.55000000000000004</v>
      </c>
      <c r="X22" s="246">
        <f t="shared" si="8"/>
        <v>24.312499999999996</v>
      </c>
      <c r="Y22" s="43">
        <f t="shared" si="9"/>
        <v>46387</v>
      </c>
    </row>
    <row r="23" spans="1:25">
      <c r="A23">
        <f t="shared" si="10"/>
        <v>27</v>
      </c>
      <c r="B23">
        <v>19</v>
      </c>
      <c r="C23" t="s">
        <v>139</v>
      </c>
      <c r="D23">
        <v>110</v>
      </c>
      <c r="E23">
        <v>1</v>
      </c>
      <c r="F23" s="28">
        <v>2500</v>
      </c>
      <c r="G23" s="154">
        <v>18.5</v>
      </c>
      <c r="H23" s="72">
        <f t="shared" si="0"/>
        <v>46250</v>
      </c>
      <c r="I23" s="13">
        <v>0.02</v>
      </c>
      <c r="J23" s="29">
        <v>3</v>
      </c>
      <c r="K23" s="30">
        <v>44986</v>
      </c>
      <c r="L23" s="30">
        <v>46811</v>
      </c>
      <c r="M23" s="29" t="s">
        <v>45</v>
      </c>
      <c r="N23" s="29" t="s">
        <v>124</v>
      </c>
      <c r="O23" s="33">
        <f t="shared" si="1"/>
        <v>18</v>
      </c>
      <c r="P23" s="34">
        <f>LOOKUP(F23,{0,2000,5000,15000})</f>
        <v>2000</v>
      </c>
      <c r="Q23" s="19" t="str">
        <f t="shared" si="2"/>
        <v>2,000-5,000</v>
      </c>
      <c r="R23" s="246">
        <f t="shared" si="3"/>
        <v>25</v>
      </c>
      <c r="S23" s="33">
        <f t="shared" si="4"/>
        <v>6</v>
      </c>
      <c r="T23" s="246">
        <f t="shared" si="5"/>
        <v>32</v>
      </c>
      <c r="U23" s="35">
        <f t="shared" si="6"/>
        <v>0.06</v>
      </c>
      <c r="V23" s="33">
        <f t="shared" si="7"/>
        <v>2</v>
      </c>
      <c r="W23" s="35">
        <f t="shared" si="11"/>
        <v>0.55000000000000004</v>
      </c>
      <c r="X23" s="246">
        <f t="shared" si="8"/>
        <v>24.312499999999996</v>
      </c>
      <c r="Y23" s="43">
        <f t="shared" si="9"/>
        <v>46477</v>
      </c>
    </row>
    <row r="24" spans="1:25">
      <c r="A24">
        <f t="shared" si="10"/>
        <v>28</v>
      </c>
      <c r="B24">
        <v>20</v>
      </c>
      <c r="C24" t="s">
        <v>140</v>
      </c>
      <c r="D24">
        <v>120</v>
      </c>
      <c r="E24">
        <v>1</v>
      </c>
      <c r="F24" s="28">
        <v>1800</v>
      </c>
      <c r="G24" s="154">
        <v>18</v>
      </c>
      <c r="H24" s="72">
        <f t="shared" si="0"/>
        <v>32400</v>
      </c>
      <c r="I24" s="13">
        <v>0.02</v>
      </c>
      <c r="J24" s="29">
        <v>4</v>
      </c>
      <c r="K24" s="30">
        <v>44287</v>
      </c>
      <c r="L24" s="30">
        <v>46112</v>
      </c>
      <c r="M24" s="29" t="s">
        <v>45</v>
      </c>
      <c r="N24" s="31" t="s">
        <v>141</v>
      </c>
      <c r="O24" s="33">
        <f>IF(L24&lt;CloseDate,0,DATEDIF(CloseDate,L24,"m")+1)</f>
        <v>0</v>
      </c>
      <c r="P24" s="34">
        <f>LOOKUP(F24,{0,2000,5000,15000})</f>
        <v>0</v>
      </c>
      <c r="Q24" s="19" t="str">
        <f t="shared" si="2"/>
        <v>&lt;2,000</v>
      </c>
      <c r="R24" s="246">
        <f t="shared" si="3"/>
        <v>24</v>
      </c>
      <c r="S24" s="33">
        <f t="shared" si="4"/>
        <v>7</v>
      </c>
      <c r="T24" s="246">
        <f t="shared" si="5"/>
        <v>28</v>
      </c>
      <c r="U24" s="35">
        <f t="shared" si="6"/>
        <v>0.06</v>
      </c>
      <c r="V24" s="33">
        <f t="shared" si="7"/>
        <v>3</v>
      </c>
      <c r="W24" s="35">
        <f t="shared" si="11"/>
        <v>0.5</v>
      </c>
      <c r="X24" s="246">
        <f t="shared" si="8"/>
        <v>23.4</v>
      </c>
      <c r="Y24" s="43">
        <f t="shared" si="9"/>
        <v>46507</v>
      </c>
    </row>
    <row r="25" spans="1:25">
      <c r="A25">
        <f t="shared" si="10"/>
        <v>10</v>
      </c>
      <c r="B25">
        <v>21</v>
      </c>
      <c r="C25" t="s">
        <v>142</v>
      </c>
      <c r="D25">
        <v>130</v>
      </c>
      <c r="E25">
        <v>1</v>
      </c>
      <c r="F25" s="28">
        <v>8500</v>
      </c>
      <c r="G25" s="154">
        <v>0</v>
      </c>
      <c r="H25" s="72">
        <f t="shared" si="0"/>
        <v>0</v>
      </c>
      <c r="M25" s="29" t="s">
        <v>143</v>
      </c>
      <c r="N25" s="32" t="s">
        <v>144</v>
      </c>
      <c r="O25" s="36">
        <v>3</v>
      </c>
      <c r="P25" s="34">
        <f>LOOKUP(F25,{0,2000,5000,15000})</f>
        <v>5000</v>
      </c>
      <c r="Q25" s="19" t="str">
        <f t="shared" si="2"/>
        <v>5,000-15,000</v>
      </c>
      <c r="R25" s="246">
        <f t="shared" si="3"/>
        <v>25.5</v>
      </c>
      <c r="S25" s="33">
        <f t="shared" si="4"/>
        <v>5</v>
      </c>
      <c r="T25" s="246">
        <f t="shared" si="5"/>
        <v>36</v>
      </c>
      <c r="U25" s="35">
        <f t="shared" si="6"/>
        <v>0.05</v>
      </c>
      <c r="V25" s="33">
        <f t="shared" si="7"/>
        <v>2</v>
      </c>
      <c r="W25" s="35">
        <f t="shared" si="11"/>
        <v>0.65</v>
      </c>
      <c r="X25" s="246">
        <f t="shared" si="8"/>
        <v>24.671249999999997</v>
      </c>
    </row>
    <row r="26" spans="1:25">
      <c r="A26">
        <f t="shared" si="10"/>
        <v>17</v>
      </c>
      <c r="B26">
        <v>22</v>
      </c>
      <c r="C26" t="s">
        <v>145</v>
      </c>
      <c r="D26">
        <v>250</v>
      </c>
      <c r="E26">
        <v>2</v>
      </c>
      <c r="F26" s="28">
        <v>6400</v>
      </c>
      <c r="G26" s="154">
        <v>0</v>
      </c>
      <c r="H26" s="72">
        <f t="shared" si="0"/>
        <v>0</v>
      </c>
      <c r="M26" s="29" t="s">
        <v>143</v>
      </c>
      <c r="N26" s="32" t="s">
        <v>144</v>
      </c>
      <c r="O26" s="36">
        <v>4</v>
      </c>
      <c r="P26" s="34">
        <f>LOOKUP(F26,{0,2000,5000,15000})</f>
        <v>5000</v>
      </c>
      <c r="Q26" s="19" t="str">
        <f t="shared" si="2"/>
        <v>5,000-15,000</v>
      </c>
      <c r="R26" s="246">
        <f t="shared" si="3"/>
        <v>25.5</v>
      </c>
      <c r="S26" s="33">
        <f t="shared" si="4"/>
        <v>5</v>
      </c>
      <c r="T26" s="246">
        <f t="shared" si="5"/>
        <v>36</v>
      </c>
      <c r="U26" s="35">
        <f t="shared" si="6"/>
        <v>0.05</v>
      </c>
      <c r="V26" s="33">
        <f t="shared" si="7"/>
        <v>2</v>
      </c>
      <c r="W26" s="35">
        <f t="shared" si="11"/>
        <v>0.65</v>
      </c>
      <c r="X26" s="246">
        <f t="shared" si="8"/>
        <v>24.671249999999997</v>
      </c>
    </row>
    <row r="27" spans="1:25">
      <c r="A27">
        <f t="shared" si="10"/>
        <v>20</v>
      </c>
      <c r="B27">
        <v>23</v>
      </c>
      <c r="C27" t="s">
        <v>146</v>
      </c>
      <c r="D27">
        <v>360</v>
      </c>
      <c r="E27">
        <v>3</v>
      </c>
      <c r="F27" s="28">
        <v>5800</v>
      </c>
      <c r="G27" s="154">
        <v>0</v>
      </c>
      <c r="H27" s="72">
        <f t="shared" si="0"/>
        <v>0</v>
      </c>
      <c r="M27" s="29" t="s">
        <v>143</v>
      </c>
      <c r="N27" s="32" t="s">
        <v>144</v>
      </c>
      <c r="O27" s="36">
        <v>5</v>
      </c>
      <c r="P27" s="34">
        <f>LOOKUP(F27,{0,2000,5000,15000})</f>
        <v>5000</v>
      </c>
      <c r="Q27" s="19" t="str">
        <f t="shared" si="2"/>
        <v>5,000-15,000</v>
      </c>
      <c r="R27" s="246">
        <f t="shared" si="3"/>
        <v>25.5</v>
      </c>
      <c r="S27" s="33">
        <f t="shared" si="4"/>
        <v>5</v>
      </c>
      <c r="T27" s="246">
        <f t="shared" si="5"/>
        <v>36</v>
      </c>
      <c r="U27" s="35">
        <f t="shared" si="6"/>
        <v>0.05</v>
      </c>
      <c r="V27" s="33">
        <f t="shared" si="7"/>
        <v>2</v>
      </c>
      <c r="W27" s="35">
        <f t="shared" si="11"/>
        <v>0.65</v>
      </c>
      <c r="X27" s="246">
        <f t="shared" si="8"/>
        <v>24.671249999999997</v>
      </c>
    </row>
    <row r="28" spans="1:25">
      <c r="A28">
        <f t="shared" si="10"/>
        <v>7</v>
      </c>
      <c r="B28">
        <v>24</v>
      </c>
      <c r="C28" t="s">
        <v>147</v>
      </c>
      <c r="D28">
        <v>450</v>
      </c>
      <c r="E28">
        <v>4</v>
      </c>
      <c r="F28" s="28">
        <v>9200</v>
      </c>
      <c r="G28" s="154">
        <v>0</v>
      </c>
      <c r="H28" s="72">
        <f t="shared" si="0"/>
        <v>0</v>
      </c>
      <c r="M28" s="29" t="s">
        <v>143</v>
      </c>
      <c r="N28" s="32" t="s">
        <v>144</v>
      </c>
      <c r="O28" s="36">
        <v>6</v>
      </c>
      <c r="P28" s="34">
        <f>LOOKUP(F28,{0,2000,5000,15000})</f>
        <v>5000</v>
      </c>
      <c r="Q28" s="19" t="str">
        <f t="shared" si="2"/>
        <v>5,000-15,000</v>
      </c>
      <c r="R28" s="246">
        <f t="shared" si="3"/>
        <v>25.5</v>
      </c>
      <c r="S28" s="33">
        <f t="shared" si="4"/>
        <v>5</v>
      </c>
      <c r="T28" s="246">
        <f t="shared" si="5"/>
        <v>36</v>
      </c>
      <c r="U28" s="35">
        <f t="shared" si="6"/>
        <v>0.05</v>
      </c>
      <c r="V28" s="33">
        <f t="shared" si="7"/>
        <v>2</v>
      </c>
      <c r="W28" s="35">
        <f t="shared" si="11"/>
        <v>0.65</v>
      </c>
      <c r="X28" s="246">
        <f t="shared" si="8"/>
        <v>24.671249999999997</v>
      </c>
    </row>
    <row r="29" spans="1:25">
      <c r="A29">
        <f t="shared" si="10"/>
        <v>14</v>
      </c>
      <c r="B29">
        <v>25</v>
      </c>
      <c r="C29" t="s">
        <v>148</v>
      </c>
      <c r="D29">
        <v>460</v>
      </c>
      <c r="E29">
        <v>4</v>
      </c>
      <c r="F29" s="28">
        <v>7500</v>
      </c>
      <c r="G29" s="154">
        <v>0</v>
      </c>
      <c r="H29" s="72">
        <f t="shared" si="0"/>
        <v>0</v>
      </c>
      <c r="M29" s="29" t="s">
        <v>143</v>
      </c>
      <c r="N29" s="32" t="s">
        <v>144</v>
      </c>
      <c r="O29" s="36">
        <v>7</v>
      </c>
      <c r="P29" s="34">
        <f>LOOKUP(F29,{0,2000,5000,15000})</f>
        <v>5000</v>
      </c>
      <c r="Q29" s="19" t="str">
        <f t="shared" si="2"/>
        <v>5,000-15,000</v>
      </c>
      <c r="R29" s="246">
        <f t="shared" si="3"/>
        <v>25.5</v>
      </c>
      <c r="S29" s="33">
        <f t="shared" si="4"/>
        <v>5</v>
      </c>
      <c r="T29" s="246">
        <f t="shared" si="5"/>
        <v>36</v>
      </c>
      <c r="U29" s="35">
        <f t="shared" si="6"/>
        <v>0.05</v>
      </c>
      <c r="V29" s="33">
        <f t="shared" si="7"/>
        <v>2</v>
      </c>
      <c r="W29" s="35">
        <f t="shared" si="11"/>
        <v>0.65</v>
      </c>
      <c r="X29" s="246">
        <f t="shared" si="8"/>
        <v>24.671249999999997</v>
      </c>
    </row>
    <row r="30" spans="1:25">
      <c r="A30">
        <f t="shared" si="10"/>
        <v>9</v>
      </c>
      <c r="B30">
        <v>26</v>
      </c>
      <c r="C30" t="s">
        <v>149</v>
      </c>
      <c r="D30">
        <v>540</v>
      </c>
      <c r="E30">
        <v>5</v>
      </c>
      <c r="F30" s="28">
        <v>8800</v>
      </c>
      <c r="G30" s="154">
        <v>0</v>
      </c>
      <c r="H30" s="72">
        <f t="shared" si="0"/>
        <v>0</v>
      </c>
      <c r="M30" s="29" t="s">
        <v>143</v>
      </c>
      <c r="N30" s="32" t="s">
        <v>144</v>
      </c>
      <c r="O30" s="36">
        <v>9</v>
      </c>
      <c r="P30" s="34">
        <f>LOOKUP(F30,{0,2000,5000,15000})</f>
        <v>5000</v>
      </c>
      <c r="Q30" s="19" t="str">
        <f t="shared" si="2"/>
        <v>5,000-15,000</v>
      </c>
      <c r="R30" s="246">
        <f t="shared" si="3"/>
        <v>25.5</v>
      </c>
      <c r="S30" s="33">
        <f t="shared" si="4"/>
        <v>5</v>
      </c>
      <c r="T30" s="246">
        <f t="shared" si="5"/>
        <v>36</v>
      </c>
      <c r="U30" s="35">
        <f t="shared" si="6"/>
        <v>0.05</v>
      </c>
      <c r="V30" s="33">
        <f t="shared" si="7"/>
        <v>2</v>
      </c>
      <c r="W30" s="35">
        <f t="shared" si="11"/>
        <v>0.65</v>
      </c>
      <c r="X30" s="246">
        <f t="shared" si="8"/>
        <v>24.671249999999997</v>
      </c>
    </row>
    <row r="31" spans="1:25">
      <c r="A31">
        <f t="shared" si="10"/>
        <v>18</v>
      </c>
      <c r="B31">
        <v>27</v>
      </c>
      <c r="C31" t="s">
        <v>150</v>
      </c>
      <c r="D31">
        <v>550</v>
      </c>
      <c r="E31">
        <v>5</v>
      </c>
      <c r="F31" s="28">
        <v>6200</v>
      </c>
      <c r="G31" s="154">
        <v>0</v>
      </c>
      <c r="H31" s="72">
        <f t="shared" si="0"/>
        <v>0</v>
      </c>
      <c r="M31" s="29" t="s">
        <v>143</v>
      </c>
      <c r="N31" s="32" t="s">
        <v>144</v>
      </c>
      <c r="O31" s="36">
        <v>10</v>
      </c>
      <c r="P31" s="34">
        <f>LOOKUP(F31,{0,2000,5000,15000})</f>
        <v>5000</v>
      </c>
      <c r="Q31" s="19" t="str">
        <f t="shared" si="2"/>
        <v>5,000-15,000</v>
      </c>
      <c r="R31" s="246">
        <f t="shared" si="3"/>
        <v>25.5</v>
      </c>
      <c r="S31" s="33">
        <f t="shared" si="4"/>
        <v>5</v>
      </c>
      <c r="T31" s="246">
        <f t="shared" si="5"/>
        <v>36</v>
      </c>
      <c r="U31" s="35">
        <f t="shared" si="6"/>
        <v>0.05</v>
      </c>
      <c r="V31" s="33">
        <f t="shared" si="7"/>
        <v>2</v>
      </c>
      <c r="W31" s="35">
        <f t="shared" si="11"/>
        <v>0.65</v>
      </c>
      <c r="X31" s="246">
        <f t="shared" si="8"/>
        <v>24.671249999999997</v>
      </c>
    </row>
    <row r="32" spans="1:25">
      <c r="A32">
        <f t="shared" si="10"/>
        <v>7</v>
      </c>
      <c r="B32">
        <v>28</v>
      </c>
      <c r="C32" t="s">
        <v>151</v>
      </c>
      <c r="D32">
        <v>830</v>
      </c>
      <c r="E32">
        <v>8</v>
      </c>
      <c r="F32" s="28">
        <v>9200</v>
      </c>
      <c r="G32" s="154">
        <v>0</v>
      </c>
      <c r="H32" s="72">
        <f t="shared" si="0"/>
        <v>0</v>
      </c>
      <c r="M32" s="29" t="s">
        <v>143</v>
      </c>
      <c r="N32" s="32" t="s">
        <v>144</v>
      </c>
      <c r="O32" s="36">
        <v>12</v>
      </c>
      <c r="P32" s="34">
        <f>LOOKUP(F32,{0,2000,5000,15000})</f>
        <v>5000</v>
      </c>
      <c r="Q32" s="19" t="str">
        <f t="shared" si="2"/>
        <v>5,000-15,000</v>
      </c>
      <c r="R32" s="246">
        <f t="shared" si="3"/>
        <v>25.5</v>
      </c>
      <c r="S32" s="33">
        <f t="shared" si="4"/>
        <v>5</v>
      </c>
      <c r="T32" s="246">
        <f t="shared" si="5"/>
        <v>36</v>
      </c>
      <c r="U32" s="35">
        <f t="shared" si="6"/>
        <v>0.05</v>
      </c>
      <c r="V32" s="33">
        <f t="shared" si="7"/>
        <v>2</v>
      </c>
      <c r="W32" s="35">
        <f t="shared" si="11"/>
        <v>0.65</v>
      </c>
      <c r="X32" s="246">
        <f t="shared" si="8"/>
        <v>24.671249999999997</v>
      </c>
    </row>
    <row r="33" spans="2:24">
      <c r="G33" s="244"/>
      <c r="X33" s="246"/>
    </row>
    <row r="34" spans="2:24">
      <c r="B34" s="17" t="s">
        <v>50</v>
      </c>
      <c r="C34" s="2" t="s">
        <v>152</v>
      </c>
      <c r="F34" s="38">
        <f>SUM(F5:F32)</f>
        <v>280000</v>
      </c>
      <c r="G34" s="244">
        <f>H34/F34</f>
        <v>15.903035714285714</v>
      </c>
      <c r="H34" s="75">
        <f>SUM(H5:H32)</f>
        <v>4452850</v>
      </c>
      <c r="L34" s="30" cm="1">
        <f t="array" ref="L34">SUMPRODUCT((L5:L32)*(H5:H32)*(N5:N32&lt;&gt;"Vacant"))/H34</f>
        <v>46928.586938702181</v>
      </c>
      <c r="X34" s="246">
        <f>SUMPRODUCT(X5:X32,F5:F32)/F34</f>
        <v>24.676043750000002</v>
      </c>
    </row>
    <row r="35" spans="2:24">
      <c r="X35" s="244"/>
    </row>
    <row r="36" spans="2:24">
      <c r="B36" s="2" t="s">
        <v>153</v>
      </c>
      <c r="F36" s="39">
        <f>F34-BldgSF</f>
        <v>0</v>
      </c>
      <c r="G36" s="22" t="str">
        <f>IF(F36=0,"OK","CHECK")</f>
        <v>OK</v>
      </c>
    </row>
    <row r="38" spans="2:24">
      <c r="B38" s="4" t="s">
        <v>165</v>
      </c>
      <c r="C38" s="4"/>
      <c r="D38" s="4"/>
      <c r="E38" s="4"/>
      <c r="F38" s="4"/>
      <c r="G38" s="4"/>
      <c r="H38" s="4"/>
      <c r="I38" s="4"/>
      <c r="J38" s="4"/>
      <c r="K38" s="4"/>
    </row>
    <row r="40" spans="2:24">
      <c r="B40" s="22" t="s">
        <v>34</v>
      </c>
      <c r="C40" s="21" t="s">
        <v>76</v>
      </c>
      <c r="D40" s="22" t="s">
        <v>166</v>
      </c>
      <c r="F40" s="22" t="s">
        <v>36</v>
      </c>
      <c r="O40" s="22" t="s">
        <v>167</v>
      </c>
      <c r="T40" s="22" t="s">
        <v>168</v>
      </c>
      <c r="U40" s="22" t="s">
        <v>32</v>
      </c>
      <c r="V40" s="22" t="s">
        <v>33</v>
      </c>
      <c r="X40" s="22" t="s">
        <v>37</v>
      </c>
    </row>
    <row r="41" spans="2:24">
      <c r="B41">
        <v>29</v>
      </c>
      <c r="C41" t="s">
        <v>52</v>
      </c>
      <c r="D41">
        <v>6</v>
      </c>
      <c r="F41" s="28">
        <v>14000</v>
      </c>
      <c r="M41" s="270"/>
      <c r="N41" s="270"/>
      <c r="O41" s="262">
        <v>12</v>
      </c>
      <c r="P41" s="263" t="s">
        <v>1019</v>
      </c>
      <c r="T41" s="246">
        <f t="shared" ref="T41:T46" si="12">SpecTI</f>
        <v>40</v>
      </c>
      <c r="U41" s="25">
        <v>0.05</v>
      </c>
      <c r="V41" s="23">
        <v>2</v>
      </c>
      <c r="X41" s="153">
        <v>26</v>
      </c>
    </row>
    <row r="42" spans="2:24">
      <c r="B42">
        <v>30</v>
      </c>
      <c r="C42" t="s">
        <v>53</v>
      </c>
      <c r="D42">
        <v>6</v>
      </c>
      <c r="F42" s="28">
        <v>13000</v>
      </c>
      <c r="M42" s="270"/>
      <c r="N42" s="270"/>
      <c r="O42" s="262">
        <v>12</v>
      </c>
      <c r="P42" s="263" t="s">
        <v>1019</v>
      </c>
      <c r="T42" s="246">
        <f t="shared" si="12"/>
        <v>40</v>
      </c>
      <c r="U42" s="25">
        <v>0.05</v>
      </c>
      <c r="V42" s="23">
        <v>2</v>
      </c>
      <c r="X42" s="153">
        <v>26</v>
      </c>
    </row>
    <row r="43" spans="2:24">
      <c r="B43">
        <v>31</v>
      </c>
      <c r="C43" t="s">
        <v>54</v>
      </c>
      <c r="D43">
        <v>7</v>
      </c>
      <c r="F43" s="28">
        <v>13000</v>
      </c>
      <c r="M43" s="270"/>
      <c r="N43" s="270"/>
      <c r="O43" s="262">
        <v>14</v>
      </c>
      <c r="P43" s="263" t="s">
        <v>1019</v>
      </c>
      <c r="T43" s="246">
        <f t="shared" si="12"/>
        <v>40</v>
      </c>
      <c r="U43" s="25">
        <v>0.05</v>
      </c>
      <c r="V43" s="23">
        <v>2</v>
      </c>
      <c r="X43" s="153">
        <v>26</v>
      </c>
    </row>
    <row r="44" spans="2:24">
      <c r="B44">
        <v>32</v>
      </c>
      <c r="C44" t="s">
        <v>55</v>
      </c>
      <c r="D44">
        <v>7</v>
      </c>
      <c r="F44" s="28">
        <v>12000</v>
      </c>
      <c r="M44" s="270"/>
      <c r="N44" s="270"/>
      <c r="O44" s="262">
        <v>14</v>
      </c>
      <c r="P44" s="263" t="s">
        <v>1019</v>
      </c>
      <c r="T44" s="246">
        <f t="shared" si="12"/>
        <v>40</v>
      </c>
      <c r="U44" s="25">
        <v>0.05</v>
      </c>
      <c r="V44" s="23">
        <v>2</v>
      </c>
      <c r="X44" s="153">
        <v>26</v>
      </c>
    </row>
    <row r="45" spans="2:24">
      <c r="B45">
        <v>33</v>
      </c>
      <c r="C45" t="s">
        <v>56</v>
      </c>
      <c r="D45">
        <v>8</v>
      </c>
      <c r="F45" s="28">
        <v>12500</v>
      </c>
      <c r="M45" s="270"/>
      <c r="N45" s="270"/>
      <c r="O45" s="262">
        <v>16</v>
      </c>
      <c r="P45" s="263" t="s">
        <v>1019</v>
      </c>
      <c r="T45" s="246">
        <f t="shared" si="12"/>
        <v>40</v>
      </c>
      <c r="U45" s="25">
        <v>0.05</v>
      </c>
      <c r="V45" s="23">
        <v>2</v>
      </c>
      <c r="X45" s="153">
        <v>26</v>
      </c>
    </row>
    <row r="46" spans="2:24">
      <c r="B46">
        <v>34</v>
      </c>
      <c r="C46" t="s">
        <v>57</v>
      </c>
      <c r="D46">
        <v>8</v>
      </c>
      <c r="F46" s="28">
        <v>11500</v>
      </c>
      <c r="M46" s="270"/>
      <c r="N46" s="270"/>
      <c r="O46" s="262">
        <v>16</v>
      </c>
      <c r="P46" s="263" t="s">
        <v>1019</v>
      </c>
      <c r="T46" s="246">
        <f t="shared" si="12"/>
        <v>40</v>
      </c>
      <c r="U46" s="25">
        <v>0.05</v>
      </c>
      <c r="V46" s="23">
        <v>2</v>
      </c>
      <c r="X46" s="153">
        <v>26</v>
      </c>
    </row>
    <row r="47" spans="2:24">
      <c r="C47" s="2" t="s">
        <v>169</v>
      </c>
      <c r="F47" s="37">
        <f>SUM(F41:F46)</f>
        <v>76000</v>
      </c>
      <c r="M47" s="271"/>
      <c r="N47" s="271"/>
      <c r="X47" s="244"/>
    </row>
    <row r="48" spans="2:24">
      <c r="X48" s="244"/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BX360"/>
  <sheetViews>
    <sheetView showGridLines="0" zoomScale="84" workbookViewId="0">
      <pane xSplit="3" ySplit="5" topLeftCell="D96" activePane="bottomRight" state="frozen"/>
      <selection pane="topRight" activeCell="D1" sqref="D1"/>
      <selection pane="bottomLeft" activeCell="A6" sqref="A6"/>
      <selection pane="bottomRight" activeCell="J290" sqref="J290"/>
    </sheetView>
  </sheetViews>
  <sheetFormatPr defaultRowHeight="14.75" outlineLevelRow="1"/>
  <cols>
    <col min="1" max="1" width="27.26953125" customWidth="1"/>
    <col min="2" max="2" width="25.453125" customWidth="1"/>
    <col min="3" max="3" width="1.81640625" customWidth="1"/>
    <col min="4" max="76" width="12" customWidth="1"/>
  </cols>
  <sheetData>
    <row r="1" spans="1:76" ht="18.5">
      <c r="A1" s="1" t="s">
        <v>830</v>
      </c>
    </row>
    <row r="3" spans="1:76">
      <c r="A3" s="17" t="s">
        <v>51</v>
      </c>
      <c r="D3" s="42">
        <v>0</v>
      </c>
      <c r="E3" s="42">
        <f>D3+1</f>
        <v>1</v>
      </c>
      <c r="F3" s="42">
        <f t="shared" ref="F3:BJ3" si="0">E3+1</f>
        <v>2</v>
      </c>
      <c r="G3" s="42">
        <f t="shared" si="0"/>
        <v>3</v>
      </c>
      <c r="H3" s="42">
        <f t="shared" si="0"/>
        <v>4</v>
      </c>
      <c r="I3" s="42">
        <f t="shared" si="0"/>
        <v>5</v>
      </c>
      <c r="J3" s="42">
        <f t="shared" si="0"/>
        <v>6</v>
      </c>
      <c r="K3" s="42">
        <f t="shared" si="0"/>
        <v>7</v>
      </c>
      <c r="L3" s="42">
        <f t="shared" si="0"/>
        <v>8</v>
      </c>
      <c r="M3" s="42">
        <f t="shared" si="0"/>
        <v>9</v>
      </c>
      <c r="N3" s="42">
        <f t="shared" si="0"/>
        <v>10</v>
      </c>
      <c r="O3" s="42">
        <f t="shared" si="0"/>
        <v>11</v>
      </c>
      <c r="P3" s="42">
        <f t="shared" si="0"/>
        <v>12</v>
      </c>
      <c r="Q3" s="42">
        <f t="shared" si="0"/>
        <v>13</v>
      </c>
      <c r="R3" s="42">
        <f t="shared" si="0"/>
        <v>14</v>
      </c>
      <c r="S3" s="42">
        <f t="shared" si="0"/>
        <v>15</v>
      </c>
      <c r="T3" s="42">
        <f t="shared" si="0"/>
        <v>16</v>
      </c>
      <c r="U3" s="42">
        <f t="shared" si="0"/>
        <v>17</v>
      </c>
      <c r="V3" s="42">
        <f t="shared" si="0"/>
        <v>18</v>
      </c>
      <c r="W3" s="42">
        <f t="shared" si="0"/>
        <v>19</v>
      </c>
      <c r="X3" s="42">
        <f t="shared" si="0"/>
        <v>20</v>
      </c>
      <c r="Y3" s="42">
        <f t="shared" si="0"/>
        <v>21</v>
      </c>
      <c r="Z3" s="42">
        <f t="shared" si="0"/>
        <v>22</v>
      </c>
      <c r="AA3" s="42">
        <f t="shared" si="0"/>
        <v>23</v>
      </c>
      <c r="AB3" s="42">
        <f t="shared" si="0"/>
        <v>24</v>
      </c>
      <c r="AC3" s="42">
        <f t="shared" si="0"/>
        <v>25</v>
      </c>
      <c r="AD3" s="42">
        <f t="shared" si="0"/>
        <v>26</v>
      </c>
      <c r="AE3" s="42">
        <f t="shared" si="0"/>
        <v>27</v>
      </c>
      <c r="AF3" s="42">
        <f t="shared" si="0"/>
        <v>28</v>
      </c>
      <c r="AG3" s="42">
        <f t="shared" si="0"/>
        <v>29</v>
      </c>
      <c r="AH3" s="42">
        <f t="shared" si="0"/>
        <v>30</v>
      </c>
      <c r="AI3" s="42">
        <f t="shared" si="0"/>
        <v>31</v>
      </c>
      <c r="AJ3" s="42">
        <f t="shared" si="0"/>
        <v>32</v>
      </c>
      <c r="AK3" s="42">
        <f t="shared" si="0"/>
        <v>33</v>
      </c>
      <c r="AL3" s="42">
        <f t="shared" si="0"/>
        <v>34</v>
      </c>
      <c r="AM3" s="42">
        <f t="shared" si="0"/>
        <v>35</v>
      </c>
      <c r="AN3" s="42">
        <f t="shared" si="0"/>
        <v>36</v>
      </c>
      <c r="AO3" s="42">
        <f t="shared" si="0"/>
        <v>37</v>
      </c>
      <c r="AP3" s="42">
        <f t="shared" si="0"/>
        <v>38</v>
      </c>
      <c r="AQ3" s="42">
        <f t="shared" si="0"/>
        <v>39</v>
      </c>
      <c r="AR3" s="42">
        <f t="shared" si="0"/>
        <v>40</v>
      </c>
      <c r="AS3" s="42">
        <f t="shared" si="0"/>
        <v>41</v>
      </c>
      <c r="AT3" s="42">
        <f t="shared" si="0"/>
        <v>42</v>
      </c>
      <c r="AU3" s="42">
        <f t="shared" si="0"/>
        <v>43</v>
      </c>
      <c r="AV3" s="42">
        <f t="shared" si="0"/>
        <v>44</v>
      </c>
      <c r="AW3" s="42">
        <f t="shared" si="0"/>
        <v>45</v>
      </c>
      <c r="AX3" s="42">
        <f t="shared" si="0"/>
        <v>46</v>
      </c>
      <c r="AY3" s="42">
        <f t="shared" si="0"/>
        <v>47</v>
      </c>
      <c r="AZ3" s="42">
        <f t="shared" si="0"/>
        <v>48</v>
      </c>
      <c r="BA3" s="42">
        <f t="shared" si="0"/>
        <v>49</v>
      </c>
      <c r="BB3" s="42">
        <f t="shared" si="0"/>
        <v>50</v>
      </c>
      <c r="BC3" s="42">
        <f t="shared" si="0"/>
        <v>51</v>
      </c>
      <c r="BD3" s="42">
        <f t="shared" si="0"/>
        <v>52</v>
      </c>
      <c r="BE3" s="42">
        <f t="shared" si="0"/>
        <v>53</v>
      </c>
      <c r="BF3" s="42">
        <f t="shared" si="0"/>
        <v>54</v>
      </c>
      <c r="BG3" s="42">
        <f t="shared" si="0"/>
        <v>55</v>
      </c>
      <c r="BH3" s="42">
        <f t="shared" si="0"/>
        <v>56</v>
      </c>
      <c r="BI3" s="42">
        <f t="shared" si="0"/>
        <v>57</v>
      </c>
      <c r="BJ3" s="42">
        <f t="shared" si="0"/>
        <v>58</v>
      </c>
      <c r="BK3" s="42">
        <f t="shared" ref="BK3:BX3" si="1">BJ3+1</f>
        <v>59</v>
      </c>
      <c r="BL3" s="42">
        <f t="shared" si="1"/>
        <v>60</v>
      </c>
      <c r="BM3" s="42">
        <f t="shared" si="1"/>
        <v>61</v>
      </c>
      <c r="BN3" s="42">
        <f t="shared" si="1"/>
        <v>62</v>
      </c>
      <c r="BO3" s="42">
        <f t="shared" si="1"/>
        <v>63</v>
      </c>
      <c r="BP3" s="42">
        <f t="shared" si="1"/>
        <v>64</v>
      </c>
      <c r="BQ3" s="42">
        <f t="shared" si="1"/>
        <v>65</v>
      </c>
      <c r="BR3" s="42">
        <f t="shared" si="1"/>
        <v>66</v>
      </c>
      <c r="BS3" s="42">
        <f t="shared" si="1"/>
        <v>67</v>
      </c>
      <c r="BT3" s="42">
        <f t="shared" si="1"/>
        <v>68</v>
      </c>
      <c r="BU3" s="42">
        <f t="shared" si="1"/>
        <v>69</v>
      </c>
      <c r="BV3" s="42">
        <f t="shared" si="1"/>
        <v>70</v>
      </c>
      <c r="BW3" s="42">
        <f t="shared" si="1"/>
        <v>71</v>
      </c>
      <c r="BX3" s="42">
        <f t="shared" si="1"/>
        <v>72</v>
      </c>
    </row>
    <row r="4" spans="1:76">
      <c r="A4" s="17" t="s">
        <v>155</v>
      </c>
      <c r="D4" s="62">
        <f t="shared" ref="D4:AI4" si="2">EOMONTH(CloseDate,D3)</f>
        <v>46265</v>
      </c>
      <c r="E4" s="62">
        <f t="shared" si="2"/>
        <v>46295</v>
      </c>
      <c r="F4" s="62">
        <f t="shared" si="2"/>
        <v>46326</v>
      </c>
      <c r="G4" s="62">
        <f t="shared" si="2"/>
        <v>46356</v>
      </c>
      <c r="H4" s="62">
        <f t="shared" si="2"/>
        <v>46387</v>
      </c>
      <c r="I4" s="62">
        <f t="shared" si="2"/>
        <v>46418</v>
      </c>
      <c r="J4" s="62">
        <f t="shared" si="2"/>
        <v>46446</v>
      </c>
      <c r="K4" s="62">
        <f t="shared" si="2"/>
        <v>46477</v>
      </c>
      <c r="L4" s="62">
        <f t="shared" si="2"/>
        <v>46507</v>
      </c>
      <c r="M4" s="62">
        <f t="shared" si="2"/>
        <v>46538</v>
      </c>
      <c r="N4" s="62">
        <f t="shared" si="2"/>
        <v>46568</v>
      </c>
      <c r="O4" s="62">
        <f t="shared" si="2"/>
        <v>46599</v>
      </c>
      <c r="P4" s="62">
        <f t="shared" si="2"/>
        <v>46630</v>
      </c>
      <c r="Q4" s="62">
        <f t="shared" si="2"/>
        <v>46660</v>
      </c>
      <c r="R4" s="62">
        <f t="shared" si="2"/>
        <v>46691</v>
      </c>
      <c r="S4" s="62">
        <f t="shared" si="2"/>
        <v>46721</v>
      </c>
      <c r="T4" s="62">
        <f t="shared" si="2"/>
        <v>46752</v>
      </c>
      <c r="U4" s="62">
        <f t="shared" si="2"/>
        <v>46783</v>
      </c>
      <c r="V4" s="62">
        <f t="shared" si="2"/>
        <v>46812</v>
      </c>
      <c r="W4" s="62">
        <f t="shared" si="2"/>
        <v>46843</v>
      </c>
      <c r="X4" s="62">
        <f t="shared" si="2"/>
        <v>46873</v>
      </c>
      <c r="Y4" s="62">
        <f t="shared" si="2"/>
        <v>46904</v>
      </c>
      <c r="Z4" s="62">
        <f t="shared" si="2"/>
        <v>46934</v>
      </c>
      <c r="AA4" s="62">
        <f t="shared" si="2"/>
        <v>46965</v>
      </c>
      <c r="AB4" s="62">
        <f t="shared" si="2"/>
        <v>46996</v>
      </c>
      <c r="AC4" s="62">
        <f t="shared" si="2"/>
        <v>47026</v>
      </c>
      <c r="AD4" s="62">
        <f t="shared" si="2"/>
        <v>47057</v>
      </c>
      <c r="AE4" s="62">
        <f t="shared" si="2"/>
        <v>47087</v>
      </c>
      <c r="AF4" s="62">
        <f t="shared" si="2"/>
        <v>47118</v>
      </c>
      <c r="AG4" s="62">
        <f t="shared" si="2"/>
        <v>47149</v>
      </c>
      <c r="AH4" s="62">
        <f t="shared" si="2"/>
        <v>47177</v>
      </c>
      <c r="AI4" s="62">
        <f t="shared" si="2"/>
        <v>47208</v>
      </c>
      <c r="AJ4" s="62">
        <f t="shared" ref="AJ4:BO4" si="3">EOMONTH(CloseDate,AJ3)</f>
        <v>47238</v>
      </c>
      <c r="AK4" s="62">
        <f t="shared" si="3"/>
        <v>47269</v>
      </c>
      <c r="AL4" s="62">
        <f t="shared" si="3"/>
        <v>47299</v>
      </c>
      <c r="AM4" s="62">
        <f t="shared" si="3"/>
        <v>47330</v>
      </c>
      <c r="AN4" s="62">
        <f t="shared" si="3"/>
        <v>47361</v>
      </c>
      <c r="AO4" s="62">
        <f t="shared" si="3"/>
        <v>47391</v>
      </c>
      <c r="AP4" s="62">
        <f t="shared" si="3"/>
        <v>47422</v>
      </c>
      <c r="AQ4" s="62">
        <f t="shared" si="3"/>
        <v>47452</v>
      </c>
      <c r="AR4" s="62">
        <f t="shared" si="3"/>
        <v>47483</v>
      </c>
      <c r="AS4" s="62">
        <f t="shared" si="3"/>
        <v>47514</v>
      </c>
      <c r="AT4" s="62">
        <f t="shared" si="3"/>
        <v>47542</v>
      </c>
      <c r="AU4" s="62">
        <f t="shared" si="3"/>
        <v>47573</v>
      </c>
      <c r="AV4" s="62">
        <f t="shared" si="3"/>
        <v>47603</v>
      </c>
      <c r="AW4" s="62">
        <f t="shared" si="3"/>
        <v>47634</v>
      </c>
      <c r="AX4" s="62">
        <f t="shared" si="3"/>
        <v>47664</v>
      </c>
      <c r="AY4" s="62">
        <f t="shared" si="3"/>
        <v>47695</v>
      </c>
      <c r="AZ4" s="62">
        <f t="shared" si="3"/>
        <v>47726</v>
      </c>
      <c r="BA4" s="62">
        <f t="shared" si="3"/>
        <v>47756</v>
      </c>
      <c r="BB4" s="62">
        <f t="shared" si="3"/>
        <v>47787</v>
      </c>
      <c r="BC4" s="62">
        <f t="shared" si="3"/>
        <v>47817</v>
      </c>
      <c r="BD4" s="62">
        <f t="shared" si="3"/>
        <v>47848</v>
      </c>
      <c r="BE4" s="62">
        <f t="shared" si="3"/>
        <v>47879</v>
      </c>
      <c r="BF4" s="62">
        <f t="shared" si="3"/>
        <v>47907</v>
      </c>
      <c r="BG4" s="62">
        <f t="shared" si="3"/>
        <v>47938</v>
      </c>
      <c r="BH4" s="62">
        <f t="shared" si="3"/>
        <v>47968</v>
      </c>
      <c r="BI4" s="62">
        <f t="shared" si="3"/>
        <v>47999</v>
      </c>
      <c r="BJ4" s="62">
        <f t="shared" si="3"/>
        <v>48029</v>
      </c>
      <c r="BK4" s="62">
        <f t="shared" si="3"/>
        <v>48060</v>
      </c>
      <c r="BL4" s="62">
        <f t="shared" si="3"/>
        <v>48091</v>
      </c>
      <c r="BM4" s="62">
        <f t="shared" si="3"/>
        <v>48121</v>
      </c>
      <c r="BN4" s="62">
        <f t="shared" si="3"/>
        <v>48152</v>
      </c>
      <c r="BO4" s="62">
        <f t="shared" si="3"/>
        <v>48182</v>
      </c>
      <c r="BP4" s="62">
        <f t="shared" ref="BP4:BX4" si="4">EOMONTH(CloseDate,BP3)</f>
        <v>48213</v>
      </c>
      <c r="BQ4" s="62">
        <f t="shared" si="4"/>
        <v>48244</v>
      </c>
      <c r="BR4" s="62">
        <f t="shared" si="4"/>
        <v>48273</v>
      </c>
      <c r="BS4" s="62">
        <f t="shared" si="4"/>
        <v>48304</v>
      </c>
      <c r="BT4" s="62">
        <f t="shared" si="4"/>
        <v>48334</v>
      </c>
      <c r="BU4" s="62">
        <f t="shared" si="4"/>
        <v>48365</v>
      </c>
      <c r="BV4" s="62">
        <f t="shared" si="4"/>
        <v>48395</v>
      </c>
      <c r="BW4" s="62">
        <f t="shared" si="4"/>
        <v>48426</v>
      </c>
      <c r="BX4" s="62">
        <f t="shared" si="4"/>
        <v>48457</v>
      </c>
    </row>
    <row r="5" spans="1:76">
      <c r="A5" s="17" t="s">
        <v>156</v>
      </c>
      <c r="D5" s="42">
        <f>INT((D3-1)/12)+1</f>
        <v>0</v>
      </c>
      <c r="E5" s="42">
        <f t="shared" ref="E5:BJ5" si="5">INT((E3-1)/12)+1</f>
        <v>1</v>
      </c>
      <c r="F5" s="42">
        <f t="shared" si="5"/>
        <v>1</v>
      </c>
      <c r="G5" s="42">
        <f t="shared" si="5"/>
        <v>1</v>
      </c>
      <c r="H5" s="42">
        <f t="shared" si="5"/>
        <v>1</v>
      </c>
      <c r="I5" s="42">
        <f t="shared" si="5"/>
        <v>1</v>
      </c>
      <c r="J5" s="42">
        <f t="shared" si="5"/>
        <v>1</v>
      </c>
      <c r="K5" s="42">
        <f t="shared" si="5"/>
        <v>1</v>
      </c>
      <c r="L5" s="42">
        <f t="shared" si="5"/>
        <v>1</v>
      </c>
      <c r="M5" s="42">
        <f t="shared" si="5"/>
        <v>1</v>
      </c>
      <c r="N5" s="42">
        <f t="shared" si="5"/>
        <v>1</v>
      </c>
      <c r="O5" s="42">
        <f t="shared" si="5"/>
        <v>1</v>
      </c>
      <c r="P5" s="42">
        <f t="shared" si="5"/>
        <v>1</v>
      </c>
      <c r="Q5" s="42">
        <f t="shared" si="5"/>
        <v>2</v>
      </c>
      <c r="R5" s="42">
        <f t="shared" si="5"/>
        <v>2</v>
      </c>
      <c r="S5" s="42">
        <f t="shared" si="5"/>
        <v>2</v>
      </c>
      <c r="T5" s="42">
        <f t="shared" si="5"/>
        <v>2</v>
      </c>
      <c r="U5" s="42">
        <f t="shared" si="5"/>
        <v>2</v>
      </c>
      <c r="V5" s="42">
        <f t="shared" si="5"/>
        <v>2</v>
      </c>
      <c r="W5" s="42">
        <f t="shared" si="5"/>
        <v>2</v>
      </c>
      <c r="X5" s="42">
        <f t="shared" si="5"/>
        <v>2</v>
      </c>
      <c r="Y5" s="42">
        <f t="shared" si="5"/>
        <v>2</v>
      </c>
      <c r="Z5" s="42">
        <f t="shared" si="5"/>
        <v>2</v>
      </c>
      <c r="AA5" s="42">
        <f t="shared" si="5"/>
        <v>2</v>
      </c>
      <c r="AB5" s="42">
        <f t="shared" si="5"/>
        <v>2</v>
      </c>
      <c r="AC5" s="42">
        <f t="shared" si="5"/>
        <v>3</v>
      </c>
      <c r="AD5" s="42">
        <f t="shared" si="5"/>
        <v>3</v>
      </c>
      <c r="AE5" s="42">
        <f t="shared" si="5"/>
        <v>3</v>
      </c>
      <c r="AF5" s="42">
        <f t="shared" si="5"/>
        <v>3</v>
      </c>
      <c r="AG5" s="42">
        <f t="shared" si="5"/>
        <v>3</v>
      </c>
      <c r="AH5" s="42">
        <f t="shared" si="5"/>
        <v>3</v>
      </c>
      <c r="AI5" s="42">
        <f t="shared" si="5"/>
        <v>3</v>
      </c>
      <c r="AJ5" s="42">
        <f t="shared" si="5"/>
        <v>3</v>
      </c>
      <c r="AK5" s="42">
        <f t="shared" si="5"/>
        <v>3</v>
      </c>
      <c r="AL5" s="42">
        <f t="shared" si="5"/>
        <v>3</v>
      </c>
      <c r="AM5" s="42">
        <f t="shared" si="5"/>
        <v>3</v>
      </c>
      <c r="AN5" s="42">
        <f t="shared" si="5"/>
        <v>3</v>
      </c>
      <c r="AO5" s="42">
        <f t="shared" si="5"/>
        <v>4</v>
      </c>
      <c r="AP5" s="42">
        <f t="shared" si="5"/>
        <v>4</v>
      </c>
      <c r="AQ5" s="42">
        <f t="shared" si="5"/>
        <v>4</v>
      </c>
      <c r="AR5" s="42">
        <f t="shared" si="5"/>
        <v>4</v>
      </c>
      <c r="AS5" s="42">
        <f t="shared" si="5"/>
        <v>4</v>
      </c>
      <c r="AT5" s="42">
        <f t="shared" si="5"/>
        <v>4</v>
      </c>
      <c r="AU5" s="42">
        <f t="shared" si="5"/>
        <v>4</v>
      </c>
      <c r="AV5" s="42">
        <f t="shared" si="5"/>
        <v>4</v>
      </c>
      <c r="AW5" s="42">
        <f t="shared" si="5"/>
        <v>4</v>
      </c>
      <c r="AX5" s="42">
        <f t="shared" si="5"/>
        <v>4</v>
      </c>
      <c r="AY5" s="42">
        <f t="shared" si="5"/>
        <v>4</v>
      </c>
      <c r="AZ5" s="42">
        <f t="shared" si="5"/>
        <v>4</v>
      </c>
      <c r="BA5" s="42">
        <f t="shared" si="5"/>
        <v>5</v>
      </c>
      <c r="BB5" s="42">
        <f t="shared" si="5"/>
        <v>5</v>
      </c>
      <c r="BC5" s="42">
        <f t="shared" si="5"/>
        <v>5</v>
      </c>
      <c r="BD5" s="42">
        <f t="shared" si="5"/>
        <v>5</v>
      </c>
      <c r="BE5" s="42">
        <f t="shared" si="5"/>
        <v>5</v>
      </c>
      <c r="BF5" s="42">
        <f t="shared" si="5"/>
        <v>5</v>
      </c>
      <c r="BG5" s="42">
        <f t="shared" si="5"/>
        <v>5</v>
      </c>
      <c r="BH5" s="42">
        <f t="shared" si="5"/>
        <v>5</v>
      </c>
      <c r="BI5" s="42">
        <f t="shared" si="5"/>
        <v>5</v>
      </c>
      <c r="BJ5" s="42">
        <f t="shared" si="5"/>
        <v>5</v>
      </c>
      <c r="BK5" s="42">
        <f t="shared" ref="BK5" si="6">INT((BK3-1)/12)+1</f>
        <v>5</v>
      </c>
      <c r="BL5" s="42">
        <f t="shared" ref="BL5:BX5" si="7">INT((BL3-1)/12)+1</f>
        <v>5</v>
      </c>
      <c r="BM5" s="42">
        <f t="shared" si="7"/>
        <v>6</v>
      </c>
      <c r="BN5" s="42">
        <f t="shared" si="7"/>
        <v>6</v>
      </c>
      <c r="BO5" s="42">
        <f t="shared" si="7"/>
        <v>6</v>
      </c>
      <c r="BP5" s="42">
        <f t="shared" si="7"/>
        <v>6</v>
      </c>
      <c r="BQ5" s="42">
        <f t="shared" si="7"/>
        <v>6</v>
      </c>
      <c r="BR5" s="42">
        <f t="shared" si="7"/>
        <v>6</v>
      </c>
      <c r="BS5" s="42">
        <f t="shared" si="7"/>
        <v>6</v>
      </c>
      <c r="BT5" s="42">
        <f t="shared" si="7"/>
        <v>6</v>
      </c>
      <c r="BU5" s="42">
        <f t="shared" si="7"/>
        <v>6</v>
      </c>
      <c r="BV5" s="42">
        <f t="shared" si="7"/>
        <v>6</v>
      </c>
      <c r="BW5" s="42">
        <f t="shared" si="7"/>
        <v>6</v>
      </c>
      <c r="BX5" s="42">
        <f t="shared" si="7"/>
        <v>6</v>
      </c>
    </row>
    <row r="6" spans="1:76">
      <c r="A6" s="17" t="s">
        <v>157</v>
      </c>
      <c r="D6" s="44">
        <f>IF(MONTH(D4)=1,(1+RentGrowth),1)</f>
        <v>1</v>
      </c>
      <c r="E6" s="44">
        <f t="shared" ref="E6:AJ6" si="8">IF(MONTH(E4)=1,D6*(1+RentGrowth),D6)</f>
        <v>1</v>
      </c>
      <c r="F6" s="44">
        <f t="shared" si="8"/>
        <v>1</v>
      </c>
      <c r="G6" s="44">
        <f t="shared" si="8"/>
        <v>1</v>
      </c>
      <c r="H6" s="44">
        <f t="shared" si="8"/>
        <v>1</v>
      </c>
      <c r="I6" s="44">
        <f t="shared" si="8"/>
        <v>1.0269999999999999</v>
      </c>
      <c r="J6" s="44">
        <f t="shared" si="8"/>
        <v>1.0269999999999999</v>
      </c>
      <c r="K6" s="44">
        <f t="shared" si="8"/>
        <v>1.0269999999999999</v>
      </c>
      <c r="L6" s="44">
        <f t="shared" si="8"/>
        <v>1.0269999999999999</v>
      </c>
      <c r="M6" s="44">
        <f t="shared" si="8"/>
        <v>1.0269999999999999</v>
      </c>
      <c r="N6" s="44">
        <f t="shared" si="8"/>
        <v>1.0269999999999999</v>
      </c>
      <c r="O6" s="44">
        <f t="shared" si="8"/>
        <v>1.0269999999999999</v>
      </c>
      <c r="P6" s="44">
        <f t="shared" si="8"/>
        <v>1.0269999999999999</v>
      </c>
      <c r="Q6" s="44">
        <f t="shared" si="8"/>
        <v>1.0269999999999999</v>
      </c>
      <c r="R6" s="44">
        <f t="shared" si="8"/>
        <v>1.0269999999999999</v>
      </c>
      <c r="S6" s="44">
        <f t="shared" si="8"/>
        <v>1.0269999999999999</v>
      </c>
      <c r="T6" s="44">
        <f t="shared" si="8"/>
        <v>1.0269999999999999</v>
      </c>
      <c r="U6" s="44">
        <f t="shared" si="8"/>
        <v>1.0547289999999998</v>
      </c>
      <c r="V6" s="44">
        <f t="shared" si="8"/>
        <v>1.0547289999999998</v>
      </c>
      <c r="W6" s="44">
        <f t="shared" si="8"/>
        <v>1.0547289999999998</v>
      </c>
      <c r="X6" s="44">
        <f t="shared" si="8"/>
        <v>1.0547289999999998</v>
      </c>
      <c r="Y6" s="44">
        <f t="shared" si="8"/>
        <v>1.0547289999999998</v>
      </c>
      <c r="Z6" s="44">
        <f t="shared" si="8"/>
        <v>1.0547289999999998</v>
      </c>
      <c r="AA6" s="44">
        <f t="shared" si="8"/>
        <v>1.0547289999999998</v>
      </c>
      <c r="AB6" s="44">
        <f t="shared" si="8"/>
        <v>1.0547289999999998</v>
      </c>
      <c r="AC6" s="44">
        <f t="shared" si="8"/>
        <v>1.0547289999999998</v>
      </c>
      <c r="AD6" s="44">
        <f t="shared" si="8"/>
        <v>1.0547289999999998</v>
      </c>
      <c r="AE6" s="44">
        <f t="shared" si="8"/>
        <v>1.0547289999999998</v>
      </c>
      <c r="AF6" s="44">
        <f t="shared" si="8"/>
        <v>1.0547289999999998</v>
      </c>
      <c r="AG6" s="44">
        <f t="shared" si="8"/>
        <v>1.0832066829999998</v>
      </c>
      <c r="AH6" s="44">
        <f t="shared" si="8"/>
        <v>1.0832066829999998</v>
      </c>
      <c r="AI6" s="44">
        <f t="shared" si="8"/>
        <v>1.0832066829999998</v>
      </c>
      <c r="AJ6" s="44">
        <f t="shared" si="8"/>
        <v>1.0832066829999998</v>
      </c>
      <c r="AK6" s="44">
        <f t="shared" ref="AK6:BJ6" si="9">IF(MONTH(AK4)=1,AJ6*(1+RentGrowth),AJ6)</f>
        <v>1.0832066829999998</v>
      </c>
      <c r="AL6" s="44">
        <f t="shared" si="9"/>
        <v>1.0832066829999998</v>
      </c>
      <c r="AM6" s="44">
        <f t="shared" si="9"/>
        <v>1.0832066829999998</v>
      </c>
      <c r="AN6" s="44">
        <f t="shared" si="9"/>
        <v>1.0832066829999998</v>
      </c>
      <c r="AO6" s="44">
        <f t="shared" si="9"/>
        <v>1.0832066829999998</v>
      </c>
      <c r="AP6" s="44">
        <f t="shared" si="9"/>
        <v>1.0832066829999998</v>
      </c>
      <c r="AQ6" s="44">
        <f t="shared" si="9"/>
        <v>1.0832066829999998</v>
      </c>
      <c r="AR6" s="44">
        <f t="shared" si="9"/>
        <v>1.0832066829999998</v>
      </c>
      <c r="AS6" s="44">
        <f t="shared" si="9"/>
        <v>1.1124532634409996</v>
      </c>
      <c r="AT6" s="44">
        <f t="shared" si="9"/>
        <v>1.1124532634409996</v>
      </c>
      <c r="AU6" s="44">
        <f t="shared" si="9"/>
        <v>1.1124532634409996</v>
      </c>
      <c r="AV6" s="44">
        <f t="shared" si="9"/>
        <v>1.1124532634409996</v>
      </c>
      <c r="AW6" s="44">
        <f t="shared" si="9"/>
        <v>1.1124532634409996</v>
      </c>
      <c r="AX6" s="44">
        <f t="shared" si="9"/>
        <v>1.1124532634409996</v>
      </c>
      <c r="AY6" s="44">
        <f t="shared" si="9"/>
        <v>1.1124532634409996</v>
      </c>
      <c r="AZ6" s="44">
        <f t="shared" si="9"/>
        <v>1.1124532634409996</v>
      </c>
      <c r="BA6" s="44">
        <f t="shared" si="9"/>
        <v>1.1124532634409996</v>
      </c>
      <c r="BB6" s="44">
        <f t="shared" si="9"/>
        <v>1.1124532634409996</v>
      </c>
      <c r="BC6" s="44">
        <f t="shared" si="9"/>
        <v>1.1124532634409996</v>
      </c>
      <c r="BD6" s="44">
        <f t="shared" si="9"/>
        <v>1.1124532634409996</v>
      </c>
      <c r="BE6" s="44">
        <f t="shared" si="9"/>
        <v>1.1424895015539065</v>
      </c>
      <c r="BF6" s="44">
        <f t="shared" si="9"/>
        <v>1.1424895015539065</v>
      </c>
      <c r="BG6" s="44">
        <f t="shared" si="9"/>
        <v>1.1424895015539065</v>
      </c>
      <c r="BH6" s="44">
        <f t="shared" si="9"/>
        <v>1.1424895015539065</v>
      </c>
      <c r="BI6" s="44">
        <f t="shared" si="9"/>
        <v>1.1424895015539065</v>
      </c>
      <c r="BJ6" s="44">
        <f t="shared" si="9"/>
        <v>1.1424895015539065</v>
      </c>
      <c r="BK6" s="44">
        <f t="shared" ref="BK6:BX6" si="10">IF(MONTH(BK4)=1,BJ6*(1+RentGrowth),BJ6)</f>
        <v>1.1424895015539065</v>
      </c>
      <c r="BL6" s="44">
        <f t="shared" si="10"/>
        <v>1.1424895015539065</v>
      </c>
      <c r="BM6" s="44">
        <f t="shared" si="10"/>
        <v>1.1424895015539065</v>
      </c>
      <c r="BN6" s="44">
        <f t="shared" si="10"/>
        <v>1.1424895015539065</v>
      </c>
      <c r="BO6" s="44">
        <f t="shared" si="10"/>
        <v>1.1424895015539065</v>
      </c>
      <c r="BP6" s="44">
        <f t="shared" si="10"/>
        <v>1.1424895015539065</v>
      </c>
      <c r="BQ6" s="44">
        <f t="shared" si="10"/>
        <v>1.1733367180958618</v>
      </c>
      <c r="BR6" s="44">
        <f t="shared" si="10"/>
        <v>1.1733367180958618</v>
      </c>
      <c r="BS6" s="44">
        <f t="shared" si="10"/>
        <v>1.1733367180958618</v>
      </c>
      <c r="BT6" s="44">
        <f t="shared" si="10"/>
        <v>1.1733367180958618</v>
      </c>
      <c r="BU6" s="44">
        <f t="shared" si="10"/>
        <v>1.1733367180958618</v>
      </c>
      <c r="BV6" s="44">
        <f t="shared" si="10"/>
        <v>1.1733367180958618</v>
      </c>
      <c r="BW6" s="44">
        <f t="shared" si="10"/>
        <v>1.1733367180958618</v>
      </c>
      <c r="BX6" s="44">
        <f t="shared" si="10"/>
        <v>1.1733367180958618</v>
      </c>
    </row>
    <row r="7" spans="1:76" outlineLevel="1">
      <c r="A7" s="17" t="s">
        <v>158</v>
      </c>
      <c r="D7" s="44">
        <f>IF(MONTH(D4)=1,(1+ExpGrowth),1)</f>
        <v>1</v>
      </c>
      <c r="E7" s="44">
        <f t="shared" ref="E7:AJ7" si="11">IF(MONTH(E4)=1,D7*(1+ExpGrowth),D7)</f>
        <v>1</v>
      </c>
      <c r="F7" s="44">
        <f t="shared" si="11"/>
        <v>1</v>
      </c>
      <c r="G7" s="44">
        <f t="shared" si="11"/>
        <v>1</v>
      </c>
      <c r="H7" s="44">
        <f t="shared" si="11"/>
        <v>1</v>
      </c>
      <c r="I7" s="44">
        <f t="shared" si="11"/>
        <v>1.0269999999999999</v>
      </c>
      <c r="J7" s="44">
        <f t="shared" si="11"/>
        <v>1.0269999999999999</v>
      </c>
      <c r="K7" s="44">
        <f t="shared" si="11"/>
        <v>1.0269999999999999</v>
      </c>
      <c r="L7" s="44">
        <f t="shared" si="11"/>
        <v>1.0269999999999999</v>
      </c>
      <c r="M7" s="44">
        <f t="shared" si="11"/>
        <v>1.0269999999999999</v>
      </c>
      <c r="N7" s="44">
        <f t="shared" si="11"/>
        <v>1.0269999999999999</v>
      </c>
      <c r="O7" s="44">
        <f t="shared" si="11"/>
        <v>1.0269999999999999</v>
      </c>
      <c r="P7" s="44">
        <f t="shared" si="11"/>
        <v>1.0269999999999999</v>
      </c>
      <c r="Q7" s="44">
        <f t="shared" si="11"/>
        <v>1.0269999999999999</v>
      </c>
      <c r="R7" s="44">
        <f t="shared" si="11"/>
        <v>1.0269999999999999</v>
      </c>
      <c r="S7" s="44">
        <f t="shared" si="11"/>
        <v>1.0269999999999999</v>
      </c>
      <c r="T7" s="44">
        <f t="shared" si="11"/>
        <v>1.0269999999999999</v>
      </c>
      <c r="U7" s="44">
        <f t="shared" si="11"/>
        <v>1.0547289999999998</v>
      </c>
      <c r="V7" s="44">
        <f t="shared" si="11"/>
        <v>1.0547289999999998</v>
      </c>
      <c r="W7" s="44">
        <f t="shared" si="11"/>
        <v>1.0547289999999998</v>
      </c>
      <c r="X7" s="44">
        <f t="shared" si="11"/>
        <v>1.0547289999999998</v>
      </c>
      <c r="Y7" s="44">
        <f t="shared" si="11"/>
        <v>1.0547289999999998</v>
      </c>
      <c r="Z7" s="44">
        <f t="shared" si="11"/>
        <v>1.0547289999999998</v>
      </c>
      <c r="AA7" s="44">
        <f t="shared" si="11"/>
        <v>1.0547289999999998</v>
      </c>
      <c r="AB7" s="44">
        <f t="shared" si="11"/>
        <v>1.0547289999999998</v>
      </c>
      <c r="AC7" s="44">
        <f t="shared" si="11"/>
        <v>1.0547289999999998</v>
      </c>
      <c r="AD7" s="44">
        <f t="shared" si="11"/>
        <v>1.0547289999999998</v>
      </c>
      <c r="AE7" s="44">
        <f t="shared" si="11"/>
        <v>1.0547289999999998</v>
      </c>
      <c r="AF7" s="44">
        <f t="shared" si="11"/>
        <v>1.0547289999999998</v>
      </c>
      <c r="AG7" s="44">
        <f t="shared" si="11"/>
        <v>1.0832066829999998</v>
      </c>
      <c r="AH7" s="44">
        <f t="shared" si="11"/>
        <v>1.0832066829999998</v>
      </c>
      <c r="AI7" s="44">
        <f t="shared" si="11"/>
        <v>1.0832066829999998</v>
      </c>
      <c r="AJ7" s="44">
        <f t="shared" si="11"/>
        <v>1.0832066829999998</v>
      </c>
      <c r="AK7" s="44">
        <f t="shared" ref="AK7:BP7" si="12">IF(MONTH(AK4)=1,AJ7*(1+ExpGrowth),AJ7)</f>
        <v>1.0832066829999998</v>
      </c>
      <c r="AL7" s="44">
        <f t="shared" si="12"/>
        <v>1.0832066829999998</v>
      </c>
      <c r="AM7" s="44">
        <f t="shared" si="12"/>
        <v>1.0832066829999998</v>
      </c>
      <c r="AN7" s="44">
        <f t="shared" si="12"/>
        <v>1.0832066829999998</v>
      </c>
      <c r="AO7" s="44">
        <f t="shared" si="12"/>
        <v>1.0832066829999998</v>
      </c>
      <c r="AP7" s="44">
        <f t="shared" si="12"/>
        <v>1.0832066829999998</v>
      </c>
      <c r="AQ7" s="44">
        <f t="shared" si="12"/>
        <v>1.0832066829999998</v>
      </c>
      <c r="AR7" s="44">
        <f t="shared" si="12"/>
        <v>1.0832066829999998</v>
      </c>
      <c r="AS7" s="44">
        <f t="shared" si="12"/>
        <v>1.1124532634409996</v>
      </c>
      <c r="AT7" s="44">
        <f t="shared" si="12"/>
        <v>1.1124532634409996</v>
      </c>
      <c r="AU7" s="44">
        <f t="shared" si="12"/>
        <v>1.1124532634409996</v>
      </c>
      <c r="AV7" s="44">
        <f t="shared" si="12"/>
        <v>1.1124532634409996</v>
      </c>
      <c r="AW7" s="44">
        <f t="shared" si="12"/>
        <v>1.1124532634409996</v>
      </c>
      <c r="AX7" s="44">
        <f t="shared" si="12"/>
        <v>1.1124532634409996</v>
      </c>
      <c r="AY7" s="44">
        <f t="shared" si="12"/>
        <v>1.1124532634409996</v>
      </c>
      <c r="AZ7" s="44">
        <f t="shared" si="12"/>
        <v>1.1124532634409996</v>
      </c>
      <c r="BA7" s="44">
        <f t="shared" si="12"/>
        <v>1.1124532634409996</v>
      </c>
      <c r="BB7" s="44">
        <f t="shared" si="12"/>
        <v>1.1124532634409996</v>
      </c>
      <c r="BC7" s="44">
        <f t="shared" si="12"/>
        <v>1.1124532634409996</v>
      </c>
      <c r="BD7" s="44">
        <f t="shared" si="12"/>
        <v>1.1124532634409996</v>
      </c>
      <c r="BE7" s="44">
        <f t="shared" si="12"/>
        <v>1.1424895015539065</v>
      </c>
      <c r="BF7" s="44">
        <f t="shared" si="12"/>
        <v>1.1424895015539065</v>
      </c>
      <c r="BG7" s="44">
        <f t="shared" si="12"/>
        <v>1.1424895015539065</v>
      </c>
      <c r="BH7" s="44">
        <f t="shared" si="12"/>
        <v>1.1424895015539065</v>
      </c>
      <c r="BI7" s="44">
        <f t="shared" si="12"/>
        <v>1.1424895015539065</v>
      </c>
      <c r="BJ7" s="44">
        <f t="shared" si="12"/>
        <v>1.1424895015539065</v>
      </c>
      <c r="BK7" s="44">
        <f t="shared" si="12"/>
        <v>1.1424895015539065</v>
      </c>
      <c r="BL7" s="44">
        <f t="shared" si="12"/>
        <v>1.1424895015539065</v>
      </c>
      <c r="BM7" s="44">
        <f t="shared" si="12"/>
        <v>1.1424895015539065</v>
      </c>
      <c r="BN7" s="44">
        <f t="shared" si="12"/>
        <v>1.1424895015539065</v>
      </c>
      <c r="BO7" s="44">
        <f t="shared" si="12"/>
        <v>1.1424895015539065</v>
      </c>
      <c r="BP7" s="44">
        <f t="shared" si="12"/>
        <v>1.1424895015539065</v>
      </c>
      <c r="BQ7" s="44">
        <f t="shared" ref="BQ7:BX7" si="13">IF(MONTH(BQ4)=1,BP7*(1+ExpGrowth),BP7)</f>
        <v>1.1733367180958618</v>
      </c>
      <c r="BR7" s="44">
        <f t="shared" si="13"/>
        <v>1.1733367180958618</v>
      </c>
      <c r="BS7" s="44">
        <f t="shared" si="13"/>
        <v>1.1733367180958618</v>
      </c>
      <c r="BT7" s="44">
        <f t="shared" si="13"/>
        <v>1.1733367180958618</v>
      </c>
      <c r="BU7" s="44">
        <f t="shared" si="13"/>
        <v>1.1733367180958618</v>
      </c>
      <c r="BV7" s="44">
        <f t="shared" si="13"/>
        <v>1.1733367180958618</v>
      </c>
      <c r="BW7" s="44">
        <f t="shared" si="13"/>
        <v>1.1733367180958618</v>
      </c>
      <c r="BX7" s="44">
        <f t="shared" si="13"/>
        <v>1.1733367180958618</v>
      </c>
    </row>
    <row r="8" spans="1:76" outlineLevel="1"/>
    <row r="9" spans="1:76" outlineLevel="1">
      <c r="A9" s="45" t="str">
        <f>'Rent Roll'!C5</f>
        <v>Meridian Financial Group</v>
      </c>
      <c r="B9" s="57">
        <f>INDEX('Rent Roll'!$F$5:$F$46,MATCH('Rent Roll Calc'!A9,'Rent Roll'!$C$5:$C$46,0))</f>
        <v>76000</v>
      </c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  <c r="AW9" s="49"/>
      <c r="AX9" s="49"/>
      <c r="AY9" s="49"/>
      <c r="AZ9" s="49"/>
      <c r="BA9" s="49"/>
      <c r="BB9" s="49"/>
      <c r="BC9" s="49"/>
      <c r="BD9" s="49"/>
      <c r="BE9" s="49"/>
      <c r="BF9" s="49"/>
      <c r="BG9" s="49"/>
      <c r="BH9" s="49"/>
      <c r="BI9" s="49"/>
      <c r="BJ9" s="49"/>
      <c r="BK9" s="49"/>
      <c r="BL9" s="49"/>
      <c r="BM9" s="49"/>
      <c r="BN9" s="49"/>
      <c r="BO9" s="49"/>
      <c r="BP9" s="49"/>
      <c r="BQ9" s="49"/>
      <c r="BR9" s="49"/>
      <c r="BS9" s="49"/>
      <c r="BT9" s="49"/>
      <c r="BU9" s="49"/>
      <c r="BV9" s="49"/>
      <c r="BW9" s="49"/>
      <c r="BX9" s="49"/>
    </row>
    <row r="10" spans="1:76" outlineLevel="1">
      <c r="A10" s="17"/>
      <c r="B10" t="s">
        <v>83</v>
      </c>
      <c r="D10" s="49">
        <f>IF(AND('Rent Roll'!$N$5&lt;&gt;"Ghost",D$4&lt;='Rent Roll'!$L$5),1,0)</f>
        <v>1</v>
      </c>
      <c r="E10" s="49">
        <f>IF(AND('Rent Roll'!$N$5&lt;&gt;"Ghost",E$4&lt;='Rent Roll'!$L$5),1,0)</f>
        <v>1</v>
      </c>
      <c r="F10" s="49">
        <f>IF(AND('Rent Roll'!$N$5&lt;&gt;"Ghost",F$4&lt;='Rent Roll'!$L$5),1,0)</f>
        <v>1</v>
      </c>
      <c r="G10" s="49">
        <f>IF(AND('Rent Roll'!$N$5&lt;&gt;"Ghost",G$4&lt;='Rent Roll'!$L$5),1,0)</f>
        <v>0</v>
      </c>
      <c r="H10" s="49">
        <f>IF(AND('Rent Roll'!$N$5&lt;&gt;"Ghost",H$4&lt;='Rent Roll'!$L$5),1,0)</f>
        <v>0</v>
      </c>
      <c r="I10" s="49">
        <f>IF(AND('Rent Roll'!$N$5&lt;&gt;"Ghost",I$4&lt;='Rent Roll'!$L$5),1,0)</f>
        <v>0</v>
      </c>
      <c r="J10" s="49">
        <f>IF(AND('Rent Roll'!$N$5&lt;&gt;"Ghost",J$4&lt;='Rent Roll'!$L$5),1,0)</f>
        <v>0</v>
      </c>
      <c r="K10" s="49">
        <f>IF(AND('Rent Roll'!$N$5&lt;&gt;"Ghost",K$4&lt;='Rent Roll'!$L$5),1,0)</f>
        <v>0</v>
      </c>
      <c r="L10" s="49">
        <f>IF(AND('Rent Roll'!$N$5&lt;&gt;"Ghost",L$4&lt;='Rent Roll'!$L$5),1,0)</f>
        <v>0</v>
      </c>
      <c r="M10" s="49">
        <f>IF(AND('Rent Roll'!$N$5&lt;&gt;"Ghost",M$4&lt;='Rent Roll'!$L$5),1,0)</f>
        <v>0</v>
      </c>
      <c r="N10" s="49">
        <f>IF(AND('Rent Roll'!$N$5&lt;&gt;"Ghost",N$4&lt;='Rent Roll'!$L$5),1,0)</f>
        <v>0</v>
      </c>
      <c r="O10" s="49">
        <f>IF(AND('Rent Roll'!$N$5&lt;&gt;"Ghost",O$4&lt;='Rent Roll'!$L$5),1,0)</f>
        <v>0</v>
      </c>
      <c r="P10" s="49">
        <f>IF(AND('Rent Roll'!$N$5&lt;&gt;"Ghost",P$4&lt;='Rent Roll'!$L$5),1,0)</f>
        <v>0</v>
      </c>
      <c r="Q10" s="49">
        <f>IF(AND('Rent Roll'!$N$5&lt;&gt;"Ghost",Q$4&lt;='Rent Roll'!$L$5),1,0)</f>
        <v>0</v>
      </c>
      <c r="R10" s="49">
        <f>IF(AND('Rent Roll'!$N$5&lt;&gt;"Ghost",R$4&lt;='Rent Roll'!$L$5),1,0)</f>
        <v>0</v>
      </c>
      <c r="S10" s="49">
        <f>IF(AND('Rent Roll'!$N$5&lt;&gt;"Ghost",S$4&lt;='Rent Roll'!$L$5),1,0)</f>
        <v>0</v>
      </c>
      <c r="T10" s="49">
        <f>IF(AND('Rent Roll'!$N$5&lt;&gt;"Ghost",T$4&lt;='Rent Roll'!$L$5),1,0)</f>
        <v>0</v>
      </c>
      <c r="U10" s="49">
        <f>IF(AND('Rent Roll'!$N$5&lt;&gt;"Ghost",U$4&lt;='Rent Roll'!$L$5),1,0)</f>
        <v>0</v>
      </c>
      <c r="V10" s="49">
        <f>IF(AND('Rent Roll'!$N$5&lt;&gt;"Ghost",V$4&lt;='Rent Roll'!$L$5),1,0)</f>
        <v>0</v>
      </c>
      <c r="W10" s="49">
        <f>IF(AND('Rent Roll'!$N$5&lt;&gt;"Ghost",W$4&lt;='Rent Roll'!$L$5),1,0)</f>
        <v>0</v>
      </c>
      <c r="X10" s="49">
        <f>IF(AND('Rent Roll'!$N$5&lt;&gt;"Ghost",X$4&lt;='Rent Roll'!$L$5),1,0)</f>
        <v>0</v>
      </c>
      <c r="Y10" s="49">
        <f>IF(AND('Rent Roll'!$N$5&lt;&gt;"Ghost",Y$4&lt;='Rent Roll'!$L$5),1,0)</f>
        <v>0</v>
      </c>
      <c r="Z10" s="49">
        <f>IF(AND('Rent Roll'!$N$5&lt;&gt;"Ghost",Z$4&lt;='Rent Roll'!$L$5),1,0)</f>
        <v>0</v>
      </c>
      <c r="AA10" s="49">
        <f>IF(AND('Rent Roll'!$N$5&lt;&gt;"Ghost",AA$4&lt;='Rent Roll'!$L$5),1,0)</f>
        <v>0</v>
      </c>
      <c r="AB10" s="49">
        <f>IF(AND('Rent Roll'!$N$5&lt;&gt;"Ghost",AB$4&lt;='Rent Roll'!$L$5),1,0)</f>
        <v>0</v>
      </c>
      <c r="AC10" s="49">
        <f>IF(AND('Rent Roll'!$N$5&lt;&gt;"Ghost",AC$4&lt;='Rent Roll'!$L$5),1,0)</f>
        <v>0</v>
      </c>
      <c r="AD10" s="49">
        <f>IF(AND('Rent Roll'!$N$5&lt;&gt;"Ghost",AD$4&lt;='Rent Roll'!$L$5),1,0)</f>
        <v>0</v>
      </c>
      <c r="AE10" s="49">
        <f>IF(AND('Rent Roll'!$N$5&lt;&gt;"Ghost",AE$4&lt;='Rent Roll'!$L$5),1,0)</f>
        <v>0</v>
      </c>
      <c r="AF10" s="49">
        <f>IF(AND('Rent Roll'!$N$5&lt;&gt;"Ghost",AF$4&lt;='Rent Roll'!$L$5),1,0)</f>
        <v>0</v>
      </c>
      <c r="AG10" s="49">
        <f>IF(AND('Rent Roll'!$N$5&lt;&gt;"Ghost",AG$4&lt;='Rent Roll'!$L$5),1,0)</f>
        <v>0</v>
      </c>
      <c r="AH10" s="49">
        <f>IF(AND('Rent Roll'!$N$5&lt;&gt;"Ghost",AH$4&lt;='Rent Roll'!$L$5),1,0)</f>
        <v>0</v>
      </c>
      <c r="AI10" s="49">
        <f>IF(AND('Rent Roll'!$N$5&lt;&gt;"Ghost",AI$4&lt;='Rent Roll'!$L$5),1,0)</f>
        <v>0</v>
      </c>
      <c r="AJ10" s="49">
        <f>IF(AND('Rent Roll'!$N$5&lt;&gt;"Ghost",AJ$4&lt;='Rent Roll'!$L$5),1,0)</f>
        <v>0</v>
      </c>
      <c r="AK10" s="49">
        <f>IF(AND('Rent Roll'!$N$5&lt;&gt;"Ghost",AK$4&lt;='Rent Roll'!$L$5),1,0)</f>
        <v>0</v>
      </c>
      <c r="AL10" s="49">
        <f>IF(AND('Rent Roll'!$N$5&lt;&gt;"Ghost",AL$4&lt;='Rent Roll'!$L$5),1,0)</f>
        <v>0</v>
      </c>
      <c r="AM10" s="49">
        <f>IF(AND('Rent Roll'!$N$5&lt;&gt;"Ghost",AM$4&lt;='Rent Roll'!$L$5),1,0)</f>
        <v>0</v>
      </c>
      <c r="AN10" s="49">
        <f>IF(AND('Rent Roll'!$N$5&lt;&gt;"Ghost",AN$4&lt;='Rent Roll'!$L$5),1,0)</f>
        <v>0</v>
      </c>
      <c r="AO10" s="49">
        <f>IF(AND('Rent Roll'!$N$5&lt;&gt;"Ghost",AO$4&lt;='Rent Roll'!$L$5),1,0)</f>
        <v>0</v>
      </c>
      <c r="AP10" s="49">
        <f>IF(AND('Rent Roll'!$N$5&lt;&gt;"Ghost",AP$4&lt;='Rent Roll'!$L$5),1,0)</f>
        <v>0</v>
      </c>
      <c r="AQ10" s="49">
        <f>IF(AND('Rent Roll'!$N$5&lt;&gt;"Ghost",AQ$4&lt;='Rent Roll'!$L$5),1,0)</f>
        <v>0</v>
      </c>
      <c r="AR10" s="49">
        <f>IF(AND('Rent Roll'!$N$5&lt;&gt;"Ghost",AR$4&lt;='Rent Roll'!$L$5),1,0)</f>
        <v>0</v>
      </c>
      <c r="AS10" s="49">
        <f>IF(AND('Rent Roll'!$N$5&lt;&gt;"Ghost",AS$4&lt;='Rent Roll'!$L$5),1,0)</f>
        <v>0</v>
      </c>
      <c r="AT10" s="49">
        <f>IF(AND('Rent Roll'!$N$5&lt;&gt;"Ghost",AT$4&lt;='Rent Roll'!$L$5),1,0)</f>
        <v>0</v>
      </c>
      <c r="AU10" s="49">
        <f>IF(AND('Rent Roll'!$N$5&lt;&gt;"Ghost",AU$4&lt;='Rent Roll'!$L$5),1,0)</f>
        <v>0</v>
      </c>
      <c r="AV10" s="49">
        <f>IF(AND('Rent Roll'!$N$5&lt;&gt;"Ghost",AV$4&lt;='Rent Roll'!$L$5),1,0)</f>
        <v>0</v>
      </c>
      <c r="AW10" s="49">
        <f>IF(AND('Rent Roll'!$N$5&lt;&gt;"Ghost",AW$4&lt;='Rent Roll'!$L$5),1,0)</f>
        <v>0</v>
      </c>
      <c r="AX10" s="49">
        <f>IF(AND('Rent Roll'!$N$5&lt;&gt;"Ghost",AX$4&lt;='Rent Roll'!$L$5),1,0)</f>
        <v>0</v>
      </c>
      <c r="AY10" s="49">
        <f>IF(AND('Rent Roll'!$N$5&lt;&gt;"Ghost",AY$4&lt;='Rent Roll'!$L$5),1,0)</f>
        <v>0</v>
      </c>
      <c r="AZ10" s="49">
        <f>IF(AND('Rent Roll'!$N$5&lt;&gt;"Ghost",AZ$4&lt;='Rent Roll'!$L$5),1,0)</f>
        <v>0</v>
      </c>
      <c r="BA10" s="49">
        <f>IF(AND('Rent Roll'!$N$5&lt;&gt;"Ghost",BA$4&lt;='Rent Roll'!$L$5),1,0)</f>
        <v>0</v>
      </c>
      <c r="BB10" s="49">
        <f>IF(AND('Rent Roll'!$N$5&lt;&gt;"Ghost",BB$4&lt;='Rent Roll'!$L$5),1,0)</f>
        <v>0</v>
      </c>
      <c r="BC10" s="49">
        <f>IF(AND('Rent Roll'!$N$5&lt;&gt;"Ghost",BC$4&lt;='Rent Roll'!$L$5),1,0)</f>
        <v>0</v>
      </c>
      <c r="BD10" s="49">
        <f>IF(AND('Rent Roll'!$N$5&lt;&gt;"Ghost",BD$4&lt;='Rent Roll'!$L$5),1,0)</f>
        <v>0</v>
      </c>
      <c r="BE10" s="49">
        <f>IF(AND('Rent Roll'!$N$5&lt;&gt;"Ghost",BE$4&lt;='Rent Roll'!$L$5),1,0)</f>
        <v>0</v>
      </c>
      <c r="BF10" s="49">
        <f>IF(AND('Rent Roll'!$N$5&lt;&gt;"Ghost",BF$4&lt;='Rent Roll'!$L$5),1,0)</f>
        <v>0</v>
      </c>
      <c r="BG10" s="49">
        <f>IF(AND('Rent Roll'!$N$5&lt;&gt;"Ghost",BG$4&lt;='Rent Roll'!$L$5),1,0)</f>
        <v>0</v>
      </c>
      <c r="BH10" s="49">
        <f>IF(AND('Rent Roll'!$N$5&lt;&gt;"Ghost",BH$4&lt;='Rent Roll'!$L$5),1,0)</f>
        <v>0</v>
      </c>
      <c r="BI10" s="49">
        <f>IF(AND('Rent Roll'!$N$5&lt;&gt;"Ghost",BI$4&lt;='Rent Roll'!$L$5),1,0)</f>
        <v>0</v>
      </c>
      <c r="BJ10" s="49">
        <f>IF(AND('Rent Roll'!$N$5&lt;&gt;"Ghost",BJ$4&lt;='Rent Roll'!$L$5),1,0)</f>
        <v>0</v>
      </c>
      <c r="BK10" s="49">
        <f>IF(AND('Rent Roll'!$N$5&lt;&gt;"Ghost",BK$4&lt;='Rent Roll'!$L$5),1,0)</f>
        <v>0</v>
      </c>
      <c r="BL10" s="49">
        <f>IF(AND('Rent Roll'!$N$5&lt;&gt;"Ghost",BL$4&lt;='Rent Roll'!$L$5),1,0)</f>
        <v>0</v>
      </c>
      <c r="BM10" s="49">
        <f>IF(AND('Rent Roll'!$N$5&lt;&gt;"Ghost",BM$4&lt;='Rent Roll'!$L$5),1,0)</f>
        <v>0</v>
      </c>
      <c r="BN10" s="49">
        <f>IF(AND('Rent Roll'!$N$5&lt;&gt;"Ghost",BN$4&lt;='Rent Roll'!$L$5),1,0)</f>
        <v>0</v>
      </c>
      <c r="BO10" s="49">
        <f>IF(AND('Rent Roll'!$N$5&lt;&gt;"Ghost",BO$4&lt;='Rent Roll'!$L$5),1,0)</f>
        <v>0</v>
      </c>
      <c r="BP10" s="49">
        <f>IF(AND('Rent Roll'!$N$5&lt;&gt;"Ghost",BP$4&lt;='Rent Roll'!$L$5),1,0)</f>
        <v>0</v>
      </c>
      <c r="BQ10" s="49">
        <f>IF(AND('Rent Roll'!$N$5&lt;&gt;"Ghost",BQ$4&lt;='Rent Roll'!$L$5),1,0)</f>
        <v>0</v>
      </c>
      <c r="BR10" s="49">
        <f>IF(AND('Rent Roll'!$N$5&lt;&gt;"Ghost",BR$4&lt;='Rent Roll'!$L$5),1,0)</f>
        <v>0</v>
      </c>
      <c r="BS10" s="49">
        <f>IF(AND('Rent Roll'!$N$5&lt;&gt;"Ghost",BS$4&lt;='Rent Roll'!$L$5),1,0)</f>
        <v>0</v>
      </c>
      <c r="BT10" s="49">
        <f>IF(AND('Rent Roll'!$N$5&lt;&gt;"Ghost",BT$4&lt;='Rent Roll'!$L$5),1,0)</f>
        <v>0</v>
      </c>
      <c r="BU10" s="49">
        <f>IF(AND('Rent Roll'!$N$5&lt;&gt;"Ghost",BU$4&lt;='Rent Roll'!$L$5),1,0)</f>
        <v>0</v>
      </c>
      <c r="BV10" s="49">
        <f>IF(AND('Rent Roll'!$N$5&lt;&gt;"Ghost",BV$4&lt;='Rent Roll'!$L$5),1,0)</f>
        <v>0</v>
      </c>
      <c r="BW10" s="49">
        <f>IF(AND('Rent Roll'!$N$5&lt;&gt;"Ghost",BW$4&lt;='Rent Roll'!$L$5),1,0)</f>
        <v>0</v>
      </c>
      <c r="BX10" s="49">
        <f>IF(AND('Rent Roll'!$N$5&lt;&gt;"Ghost",BX$4&lt;='Rent Roll'!$L$5),1,0)</f>
        <v>0</v>
      </c>
    </row>
    <row r="11" spans="1:76" outlineLevel="1">
      <c r="A11" s="17"/>
      <c r="B11" t="s">
        <v>159</v>
      </c>
      <c r="D11" s="49">
        <f>IF(D10=1,'Rent Roll'!$H$5/12*(1+'Rent Roll'!$I$5)^IF(D$4&lt;'Rent Roll'!$Y$5,0,YEAR(D$4)-YEAR('Rent Roll'!$Y$5)+1),0)</f>
        <v>123500</v>
      </c>
      <c r="E11" s="49">
        <f>IF(E10=1,'Rent Roll'!$H$5/12*(1+'Rent Roll'!$I$5)^IF(E$4&lt;'Rent Roll'!$Y$5,0,YEAR(E$4)-YEAR('Rent Roll'!$Y$5)+1),0)</f>
        <v>123500</v>
      </c>
      <c r="F11" s="49">
        <f>IF(F10=1,'Rent Roll'!$H$5/12*(1+'Rent Roll'!$I$5)^IF(F$4&lt;'Rent Roll'!$Y$5,0,YEAR(F$4)-YEAR('Rent Roll'!$Y$5)+1),0)</f>
        <v>123500</v>
      </c>
      <c r="G11" s="49">
        <f>IF(G10=1,'Rent Roll'!$H$5/12*(1+'Rent Roll'!$I$5)^IF(G$4&lt;'Rent Roll'!$Y$5,0,YEAR(G$4)-YEAR('Rent Roll'!$Y$5)+1),0)</f>
        <v>0</v>
      </c>
      <c r="H11" s="49">
        <f>IF(H10=1,'Rent Roll'!$H$5/12*(1+'Rent Roll'!$I$5)^IF(H$4&lt;'Rent Roll'!$Y$5,0,YEAR(H$4)-YEAR('Rent Roll'!$Y$5)+1),0)</f>
        <v>0</v>
      </c>
      <c r="I11" s="49">
        <f>IF(I10=1,'Rent Roll'!$H$5/12*(1+'Rent Roll'!$I$5)^IF(I$4&lt;'Rent Roll'!$Y$5,0,YEAR(I$4)-YEAR('Rent Roll'!$Y$5)+1),0)</f>
        <v>0</v>
      </c>
      <c r="J11" s="49">
        <f>IF(J10=1,'Rent Roll'!$H$5/12*(1+'Rent Roll'!$I$5)^IF(J$4&lt;'Rent Roll'!$Y$5,0,YEAR(J$4)-YEAR('Rent Roll'!$Y$5)+1),0)</f>
        <v>0</v>
      </c>
      <c r="K11" s="49">
        <f>IF(K10=1,'Rent Roll'!$H$5/12*(1+'Rent Roll'!$I$5)^IF(K$4&lt;'Rent Roll'!$Y$5,0,YEAR(K$4)-YEAR('Rent Roll'!$Y$5)+1),0)</f>
        <v>0</v>
      </c>
      <c r="L11" s="49">
        <f>IF(L10=1,'Rent Roll'!$H$5/12*(1+'Rent Roll'!$I$5)^IF(L$4&lt;'Rent Roll'!$Y$5,0,YEAR(L$4)-YEAR('Rent Roll'!$Y$5)+1),0)</f>
        <v>0</v>
      </c>
      <c r="M11" s="49">
        <f>IF(M10=1,'Rent Roll'!$H$5/12*(1+'Rent Roll'!$I$5)^IF(M$4&lt;'Rent Roll'!$Y$5,0,YEAR(M$4)-YEAR('Rent Roll'!$Y$5)+1),0)</f>
        <v>0</v>
      </c>
      <c r="N11" s="49">
        <f>IF(N10=1,'Rent Roll'!$H$5/12*(1+'Rent Roll'!$I$5)^IF(N$4&lt;'Rent Roll'!$Y$5,0,YEAR(N$4)-YEAR('Rent Roll'!$Y$5)+1),0)</f>
        <v>0</v>
      </c>
      <c r="O11" s="49">
        <f>IF(O10=1,'Rent Roll'!$H$5/12*(1+'Rent Roll'!$I$5)^IF(O$4&lt;'Rent Roll'!$Y$5,0,YEAR(O$4)-YEAR('Rent Roll'!$Y$5)+1),0)</f>
        <v>0</v>
      </c>
      <c r="P11" s="49">
        <f>IF(P10=1,'Rent Roll'!$H$5/12*(1+'Rent Roll'!$I$5)^IF(P$4&lt;'Rent Roll'!$Y$5,0,YEAR(P$4)-YEAR('Rent Roll'!$Y$5)+1),0)</f>
        <v>0</v>
      </c>
      <c r="Q11" s="49">
        <f>IF(Q10=1,'Rent Roll'!$H$5/12*(1+'Rent Roll'!$I$5)^IF(Q$4&lt;'Rent Roll'!$Y$5,0,YEAR(Q$4)-YEAR('Rent Roll'!$Y$5)+1),0)</f>
        <v>0</v>
      </c>
      <c r="R11" s="49">
        <f>IF(R10=1,'Rent Roll'!$H$5/12*(1+'Rent Roll'!$I$5)^IF(R$4&lt;'Rent Roll'!$Y$5,0,YEAR(R$4)-YEAR('Rent Roll'!$Y$5)+1),0)</f>
        <v>0</v>
      </c>
      <c r="S11" s="49">
        <f>IF(S10=1,'Rent Roll'!$H$5/12*(1+'Rent Roll'!$I$5)^IF(S$4&lt;'Rent Roll'!$Y$5,0,YEAR(S$4)-YEAR('Rent Roll'!$Y$5)+1),0)</f>
        <v>0</v>
      </c>
      <c r="T11" s="49">
        <f>IF(T10=1,'Rent Roll'!$H$5/12*(1+'Rent Roll'!$I$5)^IF(T$4&lt;'Rent Roll'!$Y$5,0,YEAR(T$4)-YEAR('Rent Roll'!$Y$5)+1),0)</f>
        <v>0</v>
      </c>
      <c r="U11" s="49">
        <f>IF(U10=1,'Rent Roll'!$H$5/12*(1+'Rent Roll'!$I$5)^IF(U$4&lt;'Rent Roll'!$Y$5,0,YEAR(U$4)-YEAR('Rent Roll'!$Y$5)+1),0)</f>
        <v>0</v>
      </c>
      <c r="V11" s="49">
        <f>IF(V10=1,'Rent Roll'!$H$5/12*(1+'Rent Roll'!$I$5)^IF(V$4&lt;'Rent Roll'!$Y$5,0,YEAR(V$4)-YEAR('Rent Roll'!$Y$5)+1),0)</f>
        <v>0</v>
      </c>
      <c r="W11" s="49">
        <f>IF(W10=1,'Rent Roll'!$H$5/12*(1+'Rent Roll'!$I$5)^IF(W$4&lt;'Rent Roll'!$Y$5,0,YEAR(W$4)-YEAR('Rent Roll'!$Y$5)+1),0)</f>
        <v>0</v>
      </c>
      <c r="X11" s="49">
        <f>IF(X10=1,'Rent Roll'!$H$5/12*(1+'Rent Roll'!$I$5)^IF(X$4&lt;'Rent Roll'!$Y$5,0,YEAR(X$4)-YEAR('Rent Roll'!$Y$5)+1),0)</f>
        <v>0</v>
      </c>
      <c r="Y11" s="49">
        <f>IF(Y10=1,'Rent Roll'!$H$5/12*(1+'Rent Roll'!$I$5)^IF(Y$4&lt;'Rent Roll'!$Y$5,0,YEAR(Y$4)-YEAR('Rent Roll'!$Y$5)+1),0)</f>
        <v>0</v>
      </c>
      <c r="Z11" s="49">
        <f>IF(Z10=1,'Rent Roll'!$H$5/12*(1+'Rent Roll'!$I$5)^IF(Z$4&lt;'Rent Roll'!$Y$5,0,YEAR(Z$4)-YEAR('Rent Roll'!$Y$5)+1),0)</f>
        <v>0</v>
      </c>
      <c r="AA11" s="49">
        <f>IF(AA10=1,'Rent Roll'!$H$5/12*(1+'Rent Roll'!$I$5)^IF(AA$4&lt;'Rent Roll'!$Y$5,0,YEAR(AA$4)-YEAR('Rent Roll'!$Y$5)+1),0)</f>
        <v>0</v>
      </c>
      <c r="AB11" s="49">
        <f>IF(AB10=1,'Rent Roll'!$H$5/12*(1+'Rent Roll'!$I$5)^IF(AB$4&lt;'Rent Roll'!$Y$5,0,YEAR(AB$4)-YEAR('Rent Roll'!$Y$5)+1),0)</f>
        <v>0</v>
      </c>
      <c r="AC11" s="49">
        <f>IF(AC10=1,'Rent Roll'!$H$5/12*(1+'Rent Roll'!$I$5)^IF(AC$4&lt;'Rent Roll'!$Y$5,0,YEAR(AC$4)-YEAR('Rent Roll'!$Y$5)+1),0)</f>
        <v>0</v>
      </c>
      <c r="AD11" s="49">
        <f>IF(AD10=1,'Rent Roll'!$H$5/12*(1+'Rent Roll'!$I$5)^IF(AD$4&lt;'Rent Roll'!$Y$5,0,YEAR(AD$4)-YEAR('Rent Roll'!$Y$5)+1),0)</f>
        <v>0</v>
      </c>
      <c r="AE11" s="49">
        <f>IF(AE10=1,'Rent Roll'!$H$5/12*(1+'Rent Roll'!$I$5)^IF(AE$4&lt;'Rent Roll'!$Y$5,0,YEAR(AE$4)-YEAR('Rent Roll'!$Y$5)+1),0)</f>
        <v>0</v>
      </c>
      <c r="AF11" s="49">
        <f>IF(AF10=1,'Rent Roll'!$H$5/12*(1+'Rent Roll'!$I$5)^IF(AF$4&lt;'Rent Roll'!$Y$5,0,YEAR(AF$4)-YEAR('Rent Roll'!$Y$5)+1),0)</f>
        <v>0</v>
      </c>
      <c r="AG11" s="49">
        <f>IF(AG10=1,'Rent Roll'!$H$5/12*(1+'Rent Roll'!$I$5)^IF(AG$4&lt;'Rent Roll'!$Y$5,0,YEAR(AG$4)-YEAR('Rent Roll'!$Y$5)+1),0)</f>
        <v>0</v>
      </c>
      <c r="AH11" s="49">
        <f>IF(AH10=1,'Rent Roll'!$H$5/12*(1+'Rent Roll'!$I$5)^IF(AH$4&lt;'Rent Roll'!$Y$5,0,YEAR(AH$4)-YEAR('Rent Roll'!$Y$5)+1),0)</f>
        <v>0</v>
      </c>
      <c r="AI11" s="49">
        <f>IF(AI10=1,'Rent Roll'!$H$5/12*(1+'Rent Roll'!$I$5)^IF(AI$4&lt;'Rent Roll'!$Y$5,0,YEAR(AI$4)-YEAR('Rent Roll'!$Y$5)+1),0)</f>
        <v>0</v>
      </c>
      <c r="AJ11" s="49">
        <f>IF(AJ10=1,'Rent Roll'!$H$5/12*(1+'Rent Roll'!$I$5)^IF(AJ$4&lt;'Rent Roll'!$Y$5,0,YEAR(AJ$4)-YEAR('Rent Roll'!$Y$5)+1),0)</f>
        <v>0</v>
      </c>
      <c r="AK11" s="49">
        <f>IF(AK10=1,'Rent Roll'!$H$5/12*(1+'Rent Roll'!$I$5)^IF(AK$4&lt;'Rent Roll'!$Y$5,0,YEAR(AK$4)-YEAR('Rent Roll'!$Y$5)+1),0)</f>
        <v>0</v>
      </c>
      <c r="AL11" s="49">
        <f>IF(AL10=1,'Rent Roll'!$H$5/12*(1+'Rent Roll'!$I$5)^IF(AL$4&lt;'Rent Roll'!$Y$5,0,YEAR(AL$4)-YEAR('Rent Roll'!$Y$5)+1),0)</f>
        <v>0</v>
      </c>
      <c r="AM11" s="49">
        <f>IF(AM10=1,'Rent Roll'!$H$5/12*(1+'Rent Roll'!$I$5)^IF(AM$4&lt;'Rent Roll'!$Y$5,0,YEAR(AM$4)-YEAR('Rent Roll'!$Y$5)+1),0)</f>
        <v>0</v>
      </c>
      <c r="AN11" s="49">
        <f>IF(AN10=1,'Rent Roll'!$H$5/12*(1+'Rent Roll'!$I$5)^IF(AN$4&lt;'Rent Roll'!$Y$5,0,YEAR(AN$4)-YEAR('Rent Roll'!$Y$5)+1),0)</f>
        <v>0</v>
      </c>
      <c r="AO11" s="49">
        <f>IF(AO10=1,'Rent Roll'!$H$5/12*(1+'Rent Roll'!$I$5)^IF(AO$4&lt;'Rent Roll'!$Y$5,0,YEAR(AO$4)-YEAR('Rent Roll'!$Y$5)+1),0)</f>
        <v>0</v>
      </c>
      <c r="AP11" s="49">
        <f>IF(AP10=1,'Rent Roll'!$H$5/12*(1+'Rent Roll'!$I$5)^IF(AP$4&lt;'Rent Roll'!$Y$5,0,YEAR(AP$4)-YEAR('Rent Roll'!$Y$5)+1),0)</f>
        <v>0</v>
      </c>
      <c r="AQ11" s="49">
        <f>IF(AQ10=1,'Rent Roll'!$H$5/12*(1+'Rent Roll'!$I$5)^IF(AQ$4&lt;'Rent Roll'!$Y$5,0,YEAR(AQ$4)-YEAR('Rent Roll'!$Y$5)+1),0)</f>
        <v>0</v>
      </c>
      <c r="AR11" s="49">
        <f>IF(AR10=1,'Rent Roll'!$H$5/12*(1+'Rent Roll'!$I$5)^IF(AR$4&lt;'Rent Roll'!$Y$5,0,YEAR(AR$4)-YEAR('Rent Roll'!$Y$5)+1),0)</f>
        <v>0</v>
      </c>
      <c r="AS11" s="49">
        <f>IF(AS10=1,'Rent Roll'!$H$5/12*(1+'Rent Roll'!$I$5)^IF(AS$4&lt;'Rent Roll'!$Y$5,0,YEAR(AS$4)-YEAR('Rent Roll'!$Y$5)+1),0)</f>
        <v>0</v>
      </c>
      <c r="AT11" s="49">
        <f>IF(AT10=1,'Rent Roll'!$H$5/12*(1+'Rent Roll'!$I$5)^IF(AT$4&lt;'Rent Roll'!$Y$5,0,YEAR(AT$4)-YEAR('Rent Roll'!$Y$5)+1),0)</f>
        <v>0</v>
      </c>
      <c r="AU11" s="49">
        <f>IF(AU10=1,'Rent Roll'!$H$5/12*(1+'Rent Roll'!$I$5)^IF(AU$4&lt;'Rent Roll'!$Y$5,0,YEAR(AU$4)-YEAR('Rent Roll'!$Y$5)+1),0)</f>
        <v>0</v>
      </c>
      <c r="AV11" s="49">
        <f>IF(AV10=1,'Rent Roll'!$H$5/12*(1+'Rent Roll'!$I$5)^IF(AV$4&lt;'Rent Roll'!$Y$5,0,YEAR(AV$4)-YEAR('Rent Roll'!$Y$5)+1),0)</f>
        <v>0</v>
      </c>
      <c r="AW11" s="49">
        <f>IF(AW10=1,'Rent Roll'!$H$5/12*(1+'Rent Roll'!$I$5)^IF(AW$4&lt;'Rent Roll'!$Y$5,0,YEAR(AW$4)-YEAR('Rent Roll'!$Y$5)+1),0)</f>
        <v>0</v>
      </c>
      <c r="AX11" s="49">
        <f>IF(AX10=1,'Rent Roll'!$H$5/12*(1+'Rent Roll'!$I$5)^IF(AX$4&lt;'Rent Roll'!$Y$5,0,YEAR(AX$4)-YEAR('Rent Roll'!$Y$5)+1),0)</f>
        <v>0</v>
      </c>
      <c r="AY11" s="49">
        <f>IF(AY10=1,'Rent Roll'!$H$5/12*(1+'Rent Roll'!$I$5)^IF(AY$4&lt;'Rent Roll'!$Y$5,0,YEAR(AY$4)-YEAR('Rent Roll'!$Y$5)+1),0)</f>
        <v>0</v>
      </c>
      <c r="AZ11" s="49">
        <f>IF(AZ10=1,'Rent Roll'!$H$5/12*(1+'Rent Roll'!$I$5)^IF(AZ$4&lt;'Rent Roll'!$Y$5,0,YEAR(AZ$4)-YEAR('Rent Roll'!$Y$5)+1),0)</f>
        <v>0</v>
      </c>
      <c r="BA11" s="49">
        <f>IF(BA10=1,'Rent Roll'!$H$5/12*(1+'Rent Roll'!$I$5)^IF(BA$4&lt;'Rent Roll'!$Y$5,0,YEAR(BA$4)-YEAR('Rent Roll'!$Y$5)+1),0)</f>
        <v>0</v>
      </c>
      <c r="BB11" s="49">
        <f>IF(BB10=1,'Rent Roll'!$H$5/12*(1+'Rent Roll'!$I$5)^IF(BB$4&lt;'Rent Roll'!$Y$5,0,YEAR(BB$4)-YEAR('Rent Roll'!$Y$5)+1),0)</f>
        <v>0</v>
      </c>
      <c r="BC11" s="49">
        <f>IF(BC10=1,'Rent Roll'!$H$5/12*(1+'Rent Roll'!$I$5)^IF(BC$4&lt;'Rent Roll'!$Y$5,0,YEAR(BC$4)-YEAR('Rent Roll'!$Y$5)+1),0)</f>
        <v>0</v>
      </c>
      <c r="BD11" s="49">
        <f>IF(BD10=1,'Rent Roll'!$H$5/12*(1+'Rent Roll'!$I$5)^IF(BD$4&lt;'Rent Roll'!$Y$5,0,YEAR(BD$4)-YEAR('Rent Roll'!$Y$5)+1),0)</f>
        <v>0</v>
      </c>
      <c r="BE11" s="49">
        <f>IF(BE10=1,'Rent Roll'!$H$5/12*(1+'Rent Roll'!$I$5)^IF(BE$4&lt;'Rent Roll'!$Y$5,0,YEAR(BE$4)-YEAR('Rent Roll'!$Y$5)+1),0)</f>
        <v>0</v>
      </c>
      <c r="BF11" s="49">
        <f>IF(BF10=1,'Rent Roll'!$H$5/12*(1+'Rent Roll'!$I$5)^IF(BF$4&lt;'Rent Roll'!$Y$5,0,YEAR(BF$4)-YEAR('Rent Roll'!$Y$5)+1),0)</f>
        <v>0</v>
      </c>
      <c r="BG11" s="49">
        <f>IF(BG10=1,'Rent Roll'!$H$5/12*(1+'Rent Roll'!$I$5)^IF(BG$4&lt;'Rent Roll'!$Y$5,0,YEAR(BG$4)-YEAR('Rent Roll'!$Y$5)+1),0)</f>
        <v>0</v>
      </c>
      <c r="BH11" s="49">
        <f>IF(BH10=1,'Rent Roll'!$H$5/12*(1+'Rent Roll'!$I$5)^IF(BH$4&lt;'Rent Roll'!$Y$5,0,YEAR(BH$4)-YEAR('Rent Roll'!$Y$5)+1),0)</f>
        <v>0</v>
      </c>
      <c r="BI11" s="49">
        <f>IF(BI10=1,'Rent Roll'!$H$5/12*(1+'Rent Roll'!$I$5)^IF(BI$4&lt;'Rent Roll'!$Y$5,0,YEAR(BI$4)-YEAR('Rent Roll'!$Y$5)+1),0)</f>
        <v>0</v>
      </c>
      <c r="BJ11" s="49">
        <f>IF(BJ10=1,'Rent Roll'!$H$5/12*(1+'Rent Roll'!$I$5)^IF(BJ$4&lt;'Rent Roll'!$Y$5,0,YEAR(BJ$4)-YEAR('Rent Roll'!$Y$5)+1),0)</f>
        <v>0</v>
      </c>
      <c r="BK11" s="49">
        <f>IF(BK10=1,'Rent Roll'!$H$5/12*(1+'Rent Roll'!$I$5)^IF(BK$4&lt;'Rent Roll'!$Y$5,0,YEAR(BK$4)-YEAR('Rent Roll'!$Y$5)+1),0)</f>
        <v>0</v>
      </c>
      <c r="BL11" s="49">
        <f>IF(BL10=1,'Rent Roll'!$H$5/12*(1+'Rent Roll'!$I$5)^IF(BL$4&lt;'Rent Roll'!$Y$5,0,YEAR(BL$4)-YEAR('Rent Roll'!$Y$5)+1),0)</f>
        <v>0</v>
      </c>
      <c r="BM11" s="49">
        <f>IF(BM10=1,'Rent Roll'!$H$5/12*(1+'Rent Roll'!$I$5)^IF(BM$4&lt;'Rent Roll'!$Y$5,0,YEAR(BM$4)-YEAR('Rent Roll'!$Y$5)+1),0)</f>
        <v>0</v>
      </c>
      <c r="BN11" s="49">
        <f>IF(BN10=1,'Rent Roll'!$H$5/12*(1+'Rent Roll'!$I$5)^IF(BN$4&lt;'Rent Roll'!$Y$5,0,YEAR(BN$4)-YEAR('Rent Roll'!$Y$5)+1),0)</f>
        <v>0</v>
      </c>
      <c r="BO11" s="49">
        <f>IF(BO10=1,'Rent Roll'!$H$5/12*(1+'Rent Roll'!$I$5)^IF(BO$4&lt;'Rent Roll'!$Y$5,0,YEAR(BO$4)-YEAR('Rent Roll'!$Y$5)+1),0)</f>
        <v>0</v>
      </c>
      <c r="BP11" s="49">
        <f>IF(BP10=1,'Rent Roll'!$H$5/12*(1+'Rent Roll'!$I$5)^IF(BP$4&lt;'Rent Roll'!$Y$5,0,YEAR(BP$4)-YEAR('Rent Roll'!$Y$5)+1),0)</f>
        <v>0</v>
      </c>
      <c r="BQ11" s="49">
        <f>IF(BQ10=1,'Rent Roll'!$H$5/12*(1+'Rent Roll'!$I$5)^IF(BQ$4&lt;'Rent Roll'!$Y$5,0,YEAR(BQ$4)-YEAR('Rent Roll'!$Y$5)+1),0)</f>
        <v>0</v>
      </c>
      <c r="BR11" s="49">
        <f>IF(BR10=1,'Rent Roll'!$H$5/12*(1+'Rent Roll'!$I$5)^IF(BR$4&lt;'Rent Roll'!$Y$5,0,YEAR(BR$4)-YEAR('Rent Roll'!$Y$5)+1),0)</f>
        <v>0</v>
      </c>
      <c r="BS11" s="49">
        <f>IF(BS10=1,'Rent Roll'!$H$5/12*(1+'Rent Roll'!$I$5)^IF(BS$4&lt;'Rent Roll'!$Y$5,0,YEAR(BS$4)-YEAR('Rent Roll'!$Y$5)+1),0)</f>
        <v>0</v>
      </c>
      <c r="BT11" s="49">
        <f>IF(BT10=1,'Rent Roll'!$H$5/12*(1+'Rent Roll'!$I$5)^IF(BT$4&lt;'Rent Roll'!$Y$5,0,YEAR(BT$4)-YEAR('Rent Roll'!$Y$5)+1),0)</f>
        <v>0</v>
      </c>
      <c r="BU11" s="49">
        <f>IF(BU10=1,'Rent Roll'!$H$5/12*(1+'Rent Roll'!$I$5)^IF(BU$4&lt;'Rent Roll'!$Y$5,0,YEAR(BU$4)-YEAR('Rent Roll'!$Y$5)+1),0)</f>
        <v>0</v>
      </c>
      <c r="BV11" s="49">
        <f>IF(BV10=1,'Rent Roll'!$H$5/12*(1+'Rent Roll'!$I$5)^IF(BV$4&lt;'Rent Roll'!$Y$5,0,YEAR(BV$4)-YEAR('Rent Roll'!$Y$5)+1),0)</f>
        <v>0</v>
      </c>
      <c r="BW11" s="49">
        <f>IF(BW10=1,'Rent Roll'!$H$5/12*(1+'Rent Roll'!$I$5)^IF(BW$4&lt;'Rent Roll'!$Y$5,0,YEAR(BW$4)-YEAR('Rent Roll'!$Y$5)+1),0)</f>
        <v>0</v>
      </c>
      <c r="BX11" s="49">
        <f>IF(BX10=1,'Rent Roll'!$H$5/12*(1+'Rent Roll'!$I$5)^IF(BX$4&lt;'Rent Roll'!$Y$5,0,YEAR(BX$4)-YEAR('Rent Roll'!$Y$5)+1),0)</f>
        <v>0</v>
      </c>
    </row>
    <row r="12" spans="1:76" outlineLevel="1">
      <c r="A12" s="17"/>
      <c r="B12" t="s">
        <v>160</v>
      </c>
      <c r="D12" s="49">
        <f>0</f>
        <v>0</v>
      </c>
      <c r="E12" s="49">
        <f>0</f>
        <v>0</v>
      </c>
      <c r="F12" s="49">
        <f>0</f>
        <v>0</v>
      </c>
      <c r="G12" s="49">
        <f>0</f>
        <v>0</v>
      </c>
      <c r="H12" s="49">
        <f>0</f>
        <v>0</v>
      </c>
      <c r="I12" s="49">
        <f>0</f>
        <v>0</v>
      </c>
      <c r="J12" s="49">
        <f>0</f>
        <v>0</v>
      </c>
      <c r="K12" s="49">
        <f>0</f>
        <v>0</v>
      </c>
      <c r="L12" s="49">
        <f>0</f>
        <v>0</v>
      </c>
      <c r="M12" s="49">
        <f>0</f>
        <v>0</v>
      </c>
      <c r="N12" s="49">
        <f>0</f>
        <v>0</v>
      </c>
      <c r="O12" s="49">
        <f>0</f>
        <v>0</v>
      </c>
      <c r="P12" s="49">
        <f>0</f>
        <v>0</v>
      </c>
      <c r="Q12" s="49">
        <f>0</f>
        <v>0</v>
      </c>
      <c r="R12" s="49">
        <f>0</f>
        <v>0</v>
      </c>
      <c r="S12" s="49">
        <f>0</f>
        <v>0</v>
      </c>
      <c r="T12" s="49">
        <f>0</f>
        <v>0</v>
      </c>
      <c r="U12" s="49">
        <f>0</f>
        <v>0</v>
      </c>
      <c r="V12" s="49">
        <f>0</f>
        <v>0</v>
      </c>
      <c r="W12" s="49">
        <f>0</f>
        <v>0</v>
      </c>
      <c r="X12" s="49">
        <f>0</f>
        <v>0</v>
      </c>
      <c r="Y12" s="49">
        <f>0</f>
        <v>0</v>
      </c>
      <c r="Z12" s="49">
        <f>0</f>
        <v>0</v>
      </c>
      <c r="AA12" s="49">
        <f>0</f>
        <v>0</v>
      </c>
      <c r="AB12" s="49">
        <f>0</f>
        <v>0</v>
      </c>
      <c r="AC12" s="49">
        <f>0</f>
        <v>0</v>
      </c>
      <c r="AD12" s="49">
        <f>0</f>
        <v>0</v>
      </c>
      <c r="AE12" s="49">
        <f>0</f>
        <v>0</v>
      </c>
      <c r="AF12" s="49">
        <f>0</f>
        <v>0</v>
      </c>
      <c r="AG12" s="49">
        <f>0</f>
        <v>0</v>
      </c>
      <c r="AH12" s="49">
        <f>0</f>
        <v>0</v>
      </c>
      <c r="AI12" s="49">
        <f>0</f>
        <v>0</v>
      </c>
      <c r="AJ12" s="49">
        <f>0</f>
        <v>0</v>
      </c>
      <c r="AK12" s="49">
        <f>0</f>
        <v>0</v>
      </c>
      <c r="AL12" s="49">
        <f>0</f>
        <v>0</v>
      </c>
      <c r="AM12" s="49">
        <f>0</f>
        <v>0</v>
      </c>
      <c r="AN12" s="49">
        <f>0</f>
        <v>0</v>
      </c>
      <c r="AO12" s="49">
        <f>0</f>
        <v>0</v>
      </c>
      <c r="AP12" s="49">
        <f>0</f>
        <v>0</v>
      </c>
      <c r="AQ12" s="49">
        <f>0</f>
        <v>0</v>
      </c>
      <c r="AR12" s="49">
        <f>0</f>
        <v>0</v>
      </c>
      <c r="AS12" s="49">
        <f>0</f>
        <v>0</v>
      </c>
      <c r="AT12" s="49">
        <f>0</f>
        <v>0</v>
      </c>
      <c r="AU12" s="49">
        <f>0</f>
        <v>0</v>
      </c>
      <c r="AV12" s="49">
        <f>0</f>
        <v>0</v>
      </c>
      <c r="AW12" s="49">
        <f>0</f>
        <v>0</v>
      </c>
      <c r="AX12" s="49">
        <f>0</f>
        <v>0</v>
      </c>
      <c r="AY12" s="49">
        <f>0</f>
        <v>0</v>
      </c>
      <c r="AZ12" s="49">
        <f>0</f>
        <v>0</v>
      </c>
      <c r="BA12" s="49">
        <f>0</f>
        <v>0</v>
      </c>
      <c r="BB12" s="49">
        <f>0</f>
        <v>0</v>
      </c>
      <c r="BC12" s="49">
        <f>0</f>
        <v>0</v>
      </c>
      <c r="BD12" s="49">
        <f>0</f>
        <v>0</v>
      </c>
      <c r="BE12" s="49">
        <f>0</f>
        <v>0</v>
      </c>
      <c r="BF12" s="49">
        <f>0</f>
        <v>0</v>
      </c>
      <c r="BG12" s="49">
        <f>0</f>
        <v>0</v>
      </c>
      <c r="BH12" s="49">
        <f>0</f>
        <v>0</v>
      </c>
      <c r="BI12" s="49">
        <f>0</f>
        <v>0</v>
      </c>
      <c r="BJ12" s="49">
        <f>0</f>
        <v>0</v>
      </c>
      <c r="BK12" s="49">
        <f>0</f>
        <v>0</v>
      </c>
      <c r="BL12" s="49">
        <f>0</f>
        <v>0</v>
      </c>
      <c r="BM12" s="49">
        <f>0</f>
        <v>0</v>
      </c>
      <c r="BN12" s="49">
        <f>0</f>
        <v>0</v>
      </c>
      <c r="BO12" s="49">
        <f>0</f>
        <v>0</v>
      </c>
      <c r="BP12" s="49">
        <f>0</f>
        <v>0</v>
      </c>
      <c r="BQ12" s="49">
        <f>0</f>
        <v>0</v>
      </c>
      <c r="BR12" s="49">
        <f>0</f>
        <v>0</v>
      </c>
      <c r="BS12" s="49">
        <f>0</f>
        <v>0</v>
      </c>
      <c r="BT12" s="49">
        <f>0</f>
        <v>0</v>
      </c>
      <c r="BU12" s="49">
        <f>0</f>
        <v>0</v>
      </c>
      <c r="BV12" s="49">
        <f>0</f>
        <v>0</v>
      </c>
      <c r="BW12" s="49">
        <f>0</f>
        <v>0</v>
      </c>
      <c r="BX12" s="49">
        <f>0</f>
        <v>0</v>
      </c>
    </row>
    <row r="13" spans="1:76" outlineLevel="1">
      <c r="A13" s="17"/>
      <c r="B13" t="s">
        <v>162</v>
      </c>
      <c r="D13" s="49">
        <f>0</f>
        <v>0</v>
      </c>
      <c r="E13" s="49">
        <f>0</f>
        <v>0</v>
      </c>
      <c r="F13" s="49">
        <f>0</f>
        <v>0</v>
      </c>
      <c r="G13" s="49">
        <f>0</f>
        <v>0</v>
      </c>
      <c r="H13" s="49">
        <f>0</f>
        <v>0</v>
      </c>
      <c r="I13" s="49">
        <f>0</f>
        <v>0</v>
      </c>
      <c r="J13" s="49">
        <f>0</f>
        <v>0</v>
      </c>
      <c r="K13" s="49">
        <f>0</f>
        <v>0</v>
      </c>
      <c r="L13" s="49">
        <f>0</f>
        <v>0</v>
      </c>
      <c r="M13" s="49">
        <f>0</f>
        <v>0</v>
      </c>
      <c r="N13" s="49">
        <f>0</f>
        <v>0</v>
      </c>
      <c r="O13" s="49">
        <f>0</f>
        <v>0</v>
      </c>
      <c r="P13" s="49">
        <f>0</f>
        <v>0</v>
      </c>
      <c r="Q13" s="49">
        <f>0</f>
        <v>0</v>
      </c>
      <c r="R13" s="49">
        <f>0</f>
        <v>0</v>
      </c>
      <c r="S13" s="49">
        <f>0</f>
        <v>0</v>
      </c>
      <c r="T13" s="49">
        <f>0</f>
        <v>0</v>
      </c>
      <c r="U13" s="49">
        <f>0</f>
        <v>0</v>
      </c>
      <c r="V13" s="49">
        <f>0</f>
        <v>0</v>
      </c>
      <c r="W13" s="49">
        <f>0</f>
        <v>0</v>
      </c>
      <c r="X13" s="49">
        <f>0</f>
        <v>0</v>
      </c>
      <c r="Y13" s="49">
        <f>0</f>
        <v>0</v>
      </c>
      <c r="Z13" s="49">
        <f>0</f>
        <v>0</v>
      </c>
      <c r="AA13" s="49">
        <f>0</f>
        <v>0</v>
      </c>
      <c r="AB13" s="49">
        <f>0</f>
        <v>0</v>
      </c>
      <c r="AC13" s="49">
        <f>0</f>
        <v>0</v>
      </c>
      <c r="AD13" s="49">
        <f>0</f>
        <v>0</v>
      </c>
      <c r="AE13" s="49">
        <f>0</f>
        <v>0</v>
      </c>
      <c r="AF13" s="49">
        <f>0</f>
        <v>0</v>
      </c>
      <c r="AG13" s="49">
        <f>0</f>
        <v>0</v>
      </c>
      <c r="AH13" s="49">
        <f>0</f>
        <v>0</v>
      </c>
      <c r="AI13" s="49">
        <f>0</f>
        <v>0</v>
      </c>
      <c r="AJ13" s="49">
        <f>0</f>
        <v>0</v>
      </c>
      <c r="AK13" s="49">
        <f>0</f>
        <v>0</v>
      </c>
      <c r="AL13" s="49">
        <f>0</f>
        <v>0</v>
      </c>
      <c r="AM13" s="49">
        <f>0</f>
        <v>0</v>
      </c>
      <c r="AN13" s="49">
        <f>0</f>
        <v>0</v>
      </c>
      <c r="AO13" s="49">
        <f>0</f>
        <v>0</v>
      </c>
      <c r="AP13" s="49">
        <f>0</f>
        <v>0</v>
      </c>
      <c r="AQ13" s="49">
        <f>0</f>
        <v>0</v>
      </c>
      <c r="AR13" s="49">
        <f>0</f>
        <v>0</v>
      </c>
      <c r="AS13" s="49">
        <f>0</f>
        <v>0</v>
      </c>
      <c r="AT13" s="49">
        <f>0</f>
        <v>0</v>
      </c>
      <c r="AU13" s="49">
        <f>0</f>
        <v>0</v>
      </c>
      <c r="AV13" s="49">
        <f>0</f>
        <v>0</v>
      </c>
      <c r="AW13" s="49">
        <f>0</f>
        <v>0</v>
      </c>
      <c r="AX13" s="49">
        <f>0</f>
        <v>0</v>
      </c>
      <c r="AY13" s="49">
        <f>0</f>
        <v>0</v>
      </c>
      <c r="AZ13" s="49">
        <f>0</f>
        <v>0</v>
      </c>
      <c r="BA13" s="49">
        <f>0</f>
        <v>0</v>
      </c>
      <c r="BB13" s="49">
        <f>0</f>
        <v>0</v>
      </c>
      <c r="BC13" s="49">
        <f>0</f>
        <v>0</v>
      </c>
      <c r="BD13" s="49">
        <f>0</f>
        <v>0</v>
      </c>
      <c r="BE13" s="49">
        <f>0</f>
        <v>0</v>
      </c>
      <c r="BF13" s="49">
        <f>0</f>
        <v>0</v>
      </c>
      <c r="BG13" s="49">
        <f>0</f>
        <v>0</v>
      </c>
      <c r="BH13" s="49">
        <f>0</f>
        <v>0</v>
      </c>
      <c r="BI13" s="49">
        <f>0</f>
        <v>0</v>
      </c>
      <c r="BJ13" s="49">
        <f>0</f>
        <v>0</v>
      </c>
      <c r="BK13" s="49">
        <f>0</f>
        <v>0</v>
      </c>
      <c r="BL13" s="49">
        <f>0</f>
        <v>0</v>
      </c>
      <c r="BM13" s="49">
        <f>0</f>
        <v>0</v>
      </c>
      <c r="BN13" s="49">
        <f>0</f>
        <v>0</v>
      </c>
      <c r="BO13" s="49">
        <f>0</f>
        <v>0</v>
      </c>
      <c r="BP13" s="49">
        <f>0</f>
        <v>0</v>
      </c>
      <c r="BQ13" s="49">
        <f>0</f>
        <v>0</v>
      </c>
      <c r="BR13" s="49">
        <f>0</f>
        <v>0</v>
      </c>
      <c r="BS13" s="49">
        <f>0</f>
        <v>0</v>
      </c>
      <c r="BT13" s="49">
        <f>0</f>
        <v>0</v>
      </c>
      <c r="BU13" s="49">
        <f>0</f>
        <v>0</v>
      </c>
      <c r="BV13" s="49">
        <f>0</f>
        <v>0</v>
      </c>
      <c r="BW13" s="49">
        <f>0</f>
        <v>0</v>
      </c>
      <c r="BX13" s="49">
        <f>0</f>
        <v>0</v>
      </c>
    </row>
    <row r="14" spans="1:76" outlineLevel="1">
      <c r="B14" t="s">
        <v>163</v>
      </c>
      <c r="D14" s="49">
        <f>0</f>
        <v>0</v>
      </c>
      <c r="E14" s="49">
        <f>0</f>
        <v>0</v>
      </c>
      <c r="F14" s="49">
        <f>0</f>
        <v>0</v>
      </c>
      <c r="G14" s="49">
        <f>0</f>
        <v>0</v>
      </c>
      <c r="H14" s="49">
        <f>0</f>
        <v>0</v>
      </c>
      <c r="I14" s="49">
        <f>0</f>
        <v>0</v>
      </c>
      <c r="J14" s="49">
        <f>0</f>
        <v>0</v>
      </c>
      <c r="K14" s="49">
        <f>0</f>
        <v>0</v>
      </c>
      <c r="L14" s="49">
        <f>0</f>
        <v>0</v>
      </c>
      <c r="M14" s="49">
        <f>0</f>
        <v>0</v>
      </c>
      <c r="N14" s="49">
        <f>0</f>
        <v>0</v>
      </c>
      <c r="O14" s="49">
        <f>0</f>
        <v>0</v>
      </c>
      <c r="P14" s="49">
        <f>0</f>
        <v>0</v>
      </c>
      <c r="Q14" s="49">
        <f>0</f>
        <v>0</v>
      </c>
      <c r="R14" s="49">
        <f>0</f>
        <v>0</v>
      </c>
      <c r="S14" s="49">
        <f>0</f>
        <v>0</v>
      </c>
      <c r="T14" s="49">
        <f>0</f>
        <v>0</v>
      </c>
      <c r="U14" s="49">
        <f>0</f>
        <v>0</v>
      </c>
      <c r="V14" s="49">
        <f>0</f>
        <v>0</v>
      </c>
      <c r="W14" s="49">
        <f>0</f>
        <v>0</v>
      </c>
      <c r="X14" s="49">
        <f>0</f>
        <v>0</v>
      </c>
      <c r="Y14" s="49">
        <f>0</f>
        <v>0</v>
      </c>
      <c r="Z14" s="49">
        <f>0</f>
        <v>0</v>
      </c>
      <c r="AA14" s="49">
        <f>0</f>
        <v>0</v>
      </c>
      <c r="AB14" s="49">
        <f>0</f>
        <v>0</v>
      </c>
      <c r="AC14" s="49">
        <f>0</f>
        <v>0</v>
      </c>
      <c r="AD14" s="49">
        <f>0</f>
        <v>0</v>
      </c>
      <c r="AE14" s="49">
        <f>0</f>
        <v>0</v>
      </c>
      <c r="AF14" s="49">
        <f>0</f>
        <v>0</v>
      </c>
      <c r="AG14" s="49">
        <f>0</f>
        <v>0</v>
      </c>
      <c r="AH14" s="49">
        <f>0</f>
        <v>0</v>
      </c>
      <c r="AI14" s="49">
        <f>0</f>
        <v>0</v>
      </c>
      <c r="AJ14" s="49">
        <f>0</f>
        <v>0</v>
      </c>
      <c r="AK14" s="49">
        <f>0</f>
        <v>0</v>
      </c>
      <c r="AL14" s="49">
        <f>0</f>
        <v>0</v>
      </c>
      <c r="AM14" s="49">
        <f>0</f>
        <v>0</v>
      </c>
      <c r="AN14" s="49">
        <f>0</f>
        <v>0</v>
      </c>
      <c r="AO14" s="49">
        <f>0</f>
        <v>0</v>
      </c>
      <c r="AP14" s="49">
        <f>0</f>
        <v>0</v>
      </c>
      <c r="AQ14" s="49">
        <f>0</f>
        <v>0</v>
      </c>
      <c r="AR14" s="49">
        <f>0</f>
        <v>0</v>
      </c>
      <c r="AS14" s="49">
        <f>0</f>
        <v>0</v>
      </c>
      <c r="AT14" s="49">
        <f>0</f>
        <v>0</v>
      </c>
      <c r="AU14" s="49">
        <f>0</f>
        <v>0</v>
      </c>
      <c r="AV14" s="49">
        <f>0</f>
        <v>0</v>
      </c>
      <c r="AW14" s="49">
        <f>0</f>
        <v>0</v>
      </c>
      <c r="AX14" s="49">
        <f>0</f>
        <v>0</v>
      </c>
      <c r="AY14" s="49">
        <f>0</f>
        <v>0</v>
      </c>
      <c r="AZ14" s="49">
        <f>0</f>
        <v>0</v>
      </c>
      <c r="BA14" s="49">
        <f>0</f>
        <v>0</v>
      </c>
      <c r="BB14" s="49">
        <f>0</f>
        <v>0</v>
      </c>
      <c r="BC14" s="49">
        <f>0</f>
        <v>0</v>
      </c>
      <c r="BD14" s="49">
        <f>0</f>
        <v>0</v>
      </c>
      <c r="BE14" s="49">
        <f>0</f>
        <v>0</v>
      </c>
      <c r="BF14" s="49">
        <f>0</f>
        <v>0</v>
      </c>
      <c r="BG14" s="49">
        <f>0</f>
        <v>0</v>
      </c>
      <c r="BH14" s="49">
        <f>0</f>
        <v>0</v>
      </c>
      <c r="BI14" s="49">
        <f>0</f>
        <v>0</v>
      </c>
      <c r="BJ14" s="49">
        <f>0</f>
        <v>0</v>
      </c>
      <c r="BK14" s="49">
        <f>0</f>
        <v>0</v>
      </c>
      <c r="BL14" s="49">
        <f>0</f>
        <v>0</v>
      </c>
      <c r="BM14" s="49">
        <f>0</f>
        <v>0</v>
      </c>
      <c r="BN14" s="49">
        <f>0</f>
        <v>0</v>
      </c>
      <c r="BO14" s="49">
        <f>0</f>
        <v>0</v>
      </c>
      <c r="BP14" s="49">
        <f>0</f>
        <v>0</v>
      </c>
      <c r="BQ14" s="49">
        <f>0</f>
        <v>0</v>
      </c>
      <c r="BR14" s="49">
        <f>0</f>
        <v>0</v>
      </c>
      <c r="BS14" s="49">
        <f>0</f>
        <v>0</v>
      </c>
      <c r="BT14" s="49">
        <f>0</f>
        <v>0</v>
      </c>
      <c r="BU14" s="49">
        <f>0</f>
        <v>0</v>
      </c>
      <c r="BV14" s="49">
        <f>0</f>
        <v>0</v>
      </c>
      <c r="BW14" s="49">
        <f>0</f>
        <v>0</v>
      </c>
      <c r="BX14" s="49">
        <f>0</f>
        <v>0</v>
      </c>
    </row>
    <row r="15" spans="1:76" outlineLevel="1">
      <c r="B15" t="s">
        <v>84</v>
      </c>
      <c r="D15" s="49">
        <f>D11+D13+D14</f>
        <v>123500</v>
      </c>
      <c r="E15" s="49">
        <f t="shared" ref="E15:BJ15" si="14">E11+E13+E14</f>
        <v>123500</v>
      </c>
      <c r="F15" s="49">
        <f t="shared" si="14"/>
        <v>123500</v>
      </c>
      <c r="G15" s="49">
        <f t="shared" si="14"/>
        <v>0</v>
      </c>
      <c r="H15" s="49">
        <f t="shared" si="14"/>
        <v>0</v>
      </c>
      <c r="I15" s="49">
        <f t="shared" si="14"/>
        <v>0</v>
      </c>
      <c r="J15" s="49">
        <f t="shared" si="14"/>
        <v>0</v>
      </c>
      <c r="K15" s="49">
        <f t="shared" si="14"/>
        <v>0</v>
      </c>
      <c r="L15" s="49">
        <f t="shared" si="14"/>
        <v>0</v>
      </c>
      <c r="M15" s="49">
        <f t="shared" si="14"/>
        <v>0</v>
      </c>
      <c r="N15" s="49">
        <f t="shared" si="14"/>
        <v>0</v>
      </c>
      <c r="O15" s="49">
        <f t="shared" si="14"/>
        <v>0</v>
      </c>
      <c r="P15" s="49">
        <f t="shared" si="14"/>
        <v>0</v>
      </c>
      <c r="Q15" s="49">
        <f t="shared" si="14"/>
        <v>0</v>
      </c>
      <c r="R15" s="49">
        <f t="shared" si="14"/>
        <v>0</v>
      </c>
      <c r="S15" s="49">
        <f t="shared" si="14"/>
        <v>0</v>
      </c>
      <c r="T15" s="49">
        <f t="shared" si="14"/>
        <v>0</v>
      </c>
      <c r="U15" s="49">
        <f t="shared" si="14"/>
        <v>0</v>
      </c>
      <c r="V15" s="49">
        <f t="shared" si="14"/>
        <v>0</v>
      </c>
      <c r="W15" s="49">
        <f t="shared" si="14"/>
        <v>0</v>
      </c>
      <c r="X15" s="49">
        <f t="shared" si="14"/>
        <v>0</v>
      </c>
      <c r="Y15" s="49">
        <f t="shared" si="14"/>
        <v>0</v>
      </c>
      <c r="Z15" s="49">
        <f t="shared" si="14"/>
        <v>0</v>
      </c>
      <c r="AA15" s="49">
        <f t="shared" si="14"/>
        <v>0</v>
      </c>
      <c r="AB15" s="49">
        <f t="shared" si="14"/>
        <v>0</v>
      </c>
      <c r="AC15" s="49">
        <f t="shared" si="14"/>
        <v>0</v>
      </c>
      <c r="AD15" s="49">
        <f t="shared" si="14"/>
        <v>0</v>
      </c>
      <c r="AE15" s="49">
        <f t="shared" si="14"/>
        <v>0</v>
      </c>
      <c r="AF15" s="49">
        <f t="shared" si="14"/>
        <v>0</v>
      </c>
      <c r="AG15" s="49">
        <f t="shared" si="14"/>
        <v>0</v>
      </c>
      <c r="AH15" s="49">
        <f t="shared" si="14"/>
        <v>0</v>
      </c>
      <c r="AI15" s="49">
        <f t="shared" si="14"/>
        <v>0</v>
      </c>
      <c r="AJ15" s="49">
        <f t="shared" si="14"/>
        <v>0</v>
      </c>
      <c r="AK15" s="49">
        <f t="shared" si="14"/>
        <v>0</v>
      </c>
      <c r="AL15" s="49">
        <f t="shared" si="14"/>
        <v>0</v>
      </c>
      <c r="AM15" s="49">
        <f t="shared" si="14"/>
        <v>0</v>
      </c>
      <c r="AN15" s="49">
        <f t="shared" si="14"/>
        <v>0</v>
      </c>
      <c r="AO15" s="49">
        <f t="shared" si="14"/>
        <v>0</v>
      </c>
      <c r="AP15" s="49">
        <f t="shared" si="14"/>
        <v>0</v>
      </c>
      <c r="AQ15" s="49">
        <f t="shared" si="14"/>
        <v>0</v>
      </c>
      <c r="AR15" s="49">
        <f t="shared" si="14"/>
        <v>0</v>
      </c>
      <c r="AS15" s="49">
        <f t="shared" si="14"/>
        <v>0</v>
      </c>
      <c r="AT15" s="49">
        <f t="shared" si="14"/>
        <v>0</v>
      </c>
      <c r="AU15" s="49">
        <f t="shared" si="14"/>
        <v>0</v>
      </c>
      <c r="AV15" s="49">
        <f t="shared" si="14"/>
        <v>0</v>
      </c>
      <c r="AW15" s="49">
        <f t="shared" si="14"/>
        <v>0</v>
      </c>
      <c r="AX15" s="49">
        <f t="shared" si="14"/>
        <v>0</v>
      </c>
      <c r="AY15" s="49">
        <f t="shared" si="14"/>
        <v>0</v>
      </c>
      <c r="AZ15" s="49">
        <f t="shared" si="14"/>
        <v>0</v>
      </c>
      <c r="BA15" s="49">
        <f t="shared" si="14"/>
        <v>0</v>
      </c>
      <c r="BB15" s="49">
        <f t="shared" si="14"/>
        <v>0</v>
      </c>
      <c r="BC15" s="49">
        <f t="shared" si="14"/>
        <v>0</v>
      </c>
      <c r="BD15" s="49">
        <f t="shared" si="14"/>
        <v>0</v>
      </c>
      <c r="BE15" s="49">
        <f t="shared" si="14"/>
        <v>0</v>
      </c>
      <c r="BF15" s="49">
        <f t="shared" si="14"/>
        <v>0</v>
      </c>
      <c r="BG15" s="49">
        <f t="shared" si="14"/>
        <v>0</v>
      </c>
      <c r="BH15" s="49">
        <f t="shared" si="14"/>
        <v>0</v>
      </c>
      <c r="BI15" s="49">
        <f t="shared" si="14"/>
        <v>0</v>
      </c>
      <c r="BJ15" s="49">
        <f t="shared" si="14"/>
        <v>0</v>
      </c>
      <c r="BK15" s="49">
        <f t="shared" ref="BK15" si="15">BK11+BK13+BK14</f>
        <v>0</v>
      </c>
      <c r="BL15" s="49">
        <f t="shared" ref="BL15:BX15" si="16">BL11+BL13+BL14</f>
        <v>0</v>
      </c>
      <c r="BM15" s="49">
        <f t="shared" si="16"/>
        <v>0</v>
      </c>
      <c r="BN15" s="49">
        <f t="shared" si="16"/>
        <v>0</v>
      </c>
      <c r="BO15" s="49">
        <f t="shared" si="16"/>
        <v>0</v>
      </c>
      <c r="BP15" s="49">
        <f t="shared" si="16"/>
        <v>0</v>
      </c>
      <c r="BQ15" s="49">
        <f t="shared" si="16"/>
        <v>0</v>
      </c>
      <c r="BR15" s="49">
        <f t="shared" si="16"/>
        <v>0</v>
      </c>
      <c r="BS15" s="49">
        <f t="shared" si="16"/>
        <v>0</v>
      </c>
      <c r="BT15" s="49">
        <f t="shared" si="16"/>
        <v>0</v>
      </c>
      <c r="BU15" s="49">
        <f t="shared" si="16"/>
        <v>0</v>
      </c>
      <c r="BV15" s="49">
        <f t="shared" si="16"/>
        <v>0</v>
      </c>
      <c r="BW15" s="49">
        <f t="shared" si="16"/>
        <v>0</v>
      </c>
      <c r="BX15" s="49">
        <f t="shared" si="16"/>
        <v>0</v>
      </c>
    </row>
    <row r="16" spans="1:76" outlineLevel="1">
      <c r="B16" t="s">
        <v>85</v>
      </c>
      <c r="D16" s="49">
        <f>IF(OR(D10=1,D12=1),'Rent Roll'!$F$5/BldgSF*ReimbPool/12*D$7,0)</f>
        <v>66309.999999999985</v>
      </c>
      <c r="E16" s="49">
        <f>IF(OR(E10=1,E12=1),'Rent Roll'!$F$5/BldgSF*ReimbPool/12*E$7,0)</f>
        <v>66309.999999999985</v>
      </c>
      <c r="F16" s="49">
        <f>IF(OR(F10=1,F12=1),'Rent Roll'!$F$5/BldgSF*ReimbPool/12*F$7,0)</f>
        <v>66309.999999999985</v>
      </c>
      <c r="G16" s="49">
        <f>IF(OR(G10=1,G12=1),'Rent Roll'!$F$5/BldgSF*ReimbPool/12*G$7,0)</f>
        <v>0</v>
      </c>
      <c r="H16" s="49">
        <f>IF(OR(H10=1,H12=1),'Rent Roll'!$F$5/BldgSF*ReimbPool/12*H$7,0)</f>
        <v>0</v>
      </c>
      <c r="I16" s="49">
        <f>IF(OR(I10=1,I12=1),'Rent Roll'!$F$5/BldgSF*ReimbPool/12*I$7,0)</f>
        <v>0</v>
      </c>
      <c r="J16" s="49">
        <f>IF(OR(J10=1,J12=1),'Rent Roll'!$F$5/BldgSF*ReimbPool/12*J$7,0)</f>
        <v>0</v>
      </c>
      <c r="K16" s="49">
        <f>IF(OR(K10=1,K12=1),'Rent Roll'!$F$5/BldgSF*ReimbPool/12*K$7,0)</f>
        <v>0</v>
      </c>
      <c r="L16" s="49">
        <f>IF(OR(L10=1,L12=1),'Rent Roll'!$F$5/BldgSF*ReimbPool/12*L$7,0)</f>
        <v>0</v>
      </c>
      <c r="M16" s="49">
        <f>IF(OR(M10=1,M12=1),'Rent Roll'!$F$5/BldgSF*ReimbPool/12*M$7,0)</f>
        <v>0</v>
      </c>
      <c r="N16" s="49">
        <f>IF(OR(N10=1,N12=1),'Rent Roll'!$F$5/BldgSF*ReimbPool/12*N$7,0)</f>
        <v>0</v>
      </c>
      <c r="O16" s="49">
        <f>IF(OR(O10=1,O12=1),'Rent Roll'!$F$5/BldgSF*ReimbPool/12*O$7,0)</f>
        <v>0</v>
      </c>
      <c r="P16" s="49">
        <f>IF(OR(P10=1,P12=1),'Rent Roll'!$F$5/BldgSF*ReimbPool/12*P$7,0)</f>
        <v>0</v>
      </c>
      <c r="Q16" s="49">
        <f>IF(OR(Q10=1,Q12=1),'Rent Roll'!$F$5/BldgSF*ReimbPool/12*Q$7,0)</f>
        <v>0</v>
      </c>
      <c r="R16" s="49">
        <f>IF(OR(R10=1,R12=1),'Rent Roll'!$F$5/BldgSF*ReimbPool/12*R$7,0)</f>
        <v>0</v>
      </c>
      <c r="S16" s="49">
        <f>IF(OR(S10=1,S12=1),'Rent Roll'!$F$5/BldgSF*ReimbPool/12*S$7,0)</f>
        <v>0</v>
      </c>
      <c r="T16" s="49">
        <f>IF(OR(T10=1,T12=1),'Rent Roll'!$F$5/BldgSF*ReimbPool/12*T$7,0)</f>
        <v>0</v>
      </c>
      <c r="U16" s="49">
        <f>IF(OR(U10=1,U12=1),'Rent Roll'!$F$5/BldgSF*ReimbPool/12*U$7,0)</f>
        <v>0</v>
      </c>
      <c r="V16" s="49">
        <f>IF(OR(V10=1,V12=1),'Rent Roll'!$F$5/BldgSF*ReimbPool/12*V$7,0)</f>
        <v>0</v>
      </c>
      <c r="W16" s="49">
        <f>IF(OR(W10=1,W12=1),'Rent Roll'!$F$5/BldgSF*ReimbPool/12*W$7,0)</f>
        <v>0</v>
      </c>
      <c r="X16" s="49">
        <f>IF(OR(X10=1,X12=1),'Rent Roll'!$F$5/BldgSF*ReimbPool/12*X$7,0)</f>
        <v>0</v>
      </c>
      <c r="Y16" s="49">
        <f>IF(OR(Y10=1,Y12=1),'Rent Roll'!$F$5/BldgSF*ReimbPool/12*Y$7,0)</f>
        <v>0</v>
      </c>
      <c r="Z16" s="49">
        <f>IF(OR(Z10=1,Z12=1),'Rent Roll'!$F$5/BldgSF*ReimbPool/12*Z$7,0)</f>
        <v>0</v>
      </c>
      <c r="AA16" s="49">
        <f>IF(OR(AA10=1,AA12=1),'Rent Roll'!$F$5/BldgSF*ReimbPool/12*AA$7,0)</f>
        <v>0</v>
      </c>
      <c r="AB16" s="49">
        <f>IF(OR(AB10=1,AB12=1),'Rent Roll'!$F$5/BldgSF*ReimbPool/12*AB$7,0)</f>
        <v>0</v>
      </c>
      <c r="AC16" s="49">
        <f>IF(OR(AC10=1,AC12=1),'Rent Roll'!$F$5/BldgSF*ReimbPool/12*AC$7,0)</f>
        <v>0</v>
      </c>
      <c r="AD16" s="49">
        <f>IF(OR(AD10=1,AD12=1),'Rent Roll'!$F$5/BldgSF*ReimbPool/12*AD$7,0)</f>
        <v>0</v>
      </c>
      <c r="AE16" s="49">
        <f>IF(OR(AE10=1,AE12=1),'Rent Roll'!$F$5/BldgSF*ReimbPool/12*AE$7,0)</f>
        <v>0</v>
      </c>
      <c r="AF16" s="49">
        <f>IF(OR(AF10=1,AF12=1),'Rent Roll'!$F$5/BldgSF*ReimbPool/12*AF$7,0)</f>
        <v>0</v>
      </c>
      <c r="AG16" s="49">
        <f>IF(OR(AG10=1,AG12=1),'Rent Roll'!$F$5/BldgSF*ReimbPool/12*AG$7,0)</f>
        <v>0</v>
      </c>
      <c r="AH16" s="49">
        <f>IF(OR(AH10=1,AH12=1),'Rent Roll'!$F$5/BldgSF*ReimbPool/12*AH$7,0)</f>
        <v>0</v>
      </c>
      <c r="AI16" s="49">
        <f>IF(OR(AI10=1,AI12=1),'Rent Roll'!$F$5/BldgSF*ReimbPool/12*AI$7,0)</f>
        <v>0</v>
      </c>
      <c r="AJ16" s="49">
        <f>IF(OR(AJ10=1,AJ12=1),'Rent Roll'!$F$5/BldgSF*ReimbPool/12*AJ$7,0)</f>
        <v>0</v>
      </c>
      <c r="AK16" s="49">
        <f>IF(OR(AK10=1,AK12=1),'Rent Roll'!$F$5/BldgSF*ReimbPool/12*AK$7,0)</f>
        <v>0</v>
      </c>
      <c r="AL16" s="49">
        <f>IF(OR(AL10=1,AL12=1),'Rent Roll'!$F$5/BldgSF*ReimbPool/12*AL$7,0)</f>
        <v>0</v>
      </c>
      <c r="AM16" s="49">
        <f>IF(OR(AM10=1,AM12=1),'Rent Roll'!$F$5/BldgSF*ReimbPool/12*AM$7,0)</f>
        <v>0</v>
      </c>
      <c r="AN16" s="49">
        <f>IF(OR(AN10=1,AN12=1),'Rent Roll'!$F$5/BldgSF*ReimbPool/12*AN$7,0)</f>
        <v>0</v>
      </c>
      <c r="AO16" s="49">
        <f>IF(OR(AO10=1,AO12=1),'Rent Roll'!$F$5/BldgSF*ReimbPool/12*AO$7,0)</f>
        <v>0</v>
      </c>
      <c r="AP16" s="49">
        <f>IF(OR(AP10=1,AP12=1),'Rent Roll'!$F$5/BldgSF*ReimbPool/12*AP$7,0)</f>
        <v>0</v>
      </c>
      <c r="AQ16" s="49">
        <f>IF(OR(AQ10=1,AQ12=1),'Rent Roll'!$F$5/BldgSF*ReimbPool/12*AQ$7,0)</f>
        <v>0</v>
      </c>
      <c r="AR16" s="49">
        <f>IF(OR(AR10=1,AR12=1),'Rent Roll'!$F$5/BldgSF*ReimbPool/12*AR$7,0)</f>
        <v>0</v>
      </c>
      <c r="AS16" s="49">
        <f>IF(OR(AS10=1,AS12=1),'Rent Roll'!$F$5/BldgSF*ReimbPool/12*AS$7,0)</f>
        <v>0</v>
      </c>
      <c r="AT16" s="49">
        <f>IF(OR(AT10=1,AT12=1),'Rent Roll'!$F$5/BldgSF*ReimbPool/12*AT$7,0)</f>
        <v>0</v>
      </c>
      <c r="AU16" s="49">
        <f>IF(OR(AU10=1,AU12=1),'Rent Roll'!$F$5/BldgSF*ReimbPool/12*AU$7,0)</f>
        <v>0</v>
      </c>
      <c r="AV16" s="49">
        <f>IF(OR(AV10=1,AV12=1),'Rent Roll'!$F$5/BldgSF*ReimbPool/12*AV$7,0)</f>
        <v>0</v>
      </c>
      <c r="AW16" s="49">
        <f>IF(OR(AW10=1,AW12=1),'Rent Roll'!$F$5/BldgSF*ReimbPool/12*AW$7,0)</f>
        <v>0</v>
      </c>
      <c r="AX16" s="49">
        <f>IF(OR(AX10=1,AX12=1),'Rent Roll'!$F$5/BldgSF*ReimbPool/12*AX$7,0)</f>
        <v>0</v>
      </c>
      <c r="AY16" s="49">
        <f>IF(OR(AY10=1,AY12=1),'Rent Roll'!$F$5/BldgSF*ReimbPool/12*AY$7,0)</f>
        <v>0</v>
      </c>
      <c r="AZ16" s="49">
        <f>IF(OR(AZ10=1,AZ12=1),'Rent Roll'!$F$5/BldgSF*ReimbPool/12*AZ$7,0)</f>
        <v>0</v>
      </c>
      <c r="BA16" s="49">
        <f>IF(OR(BA10=1,BA12=1),'Rent Roll'!$F$5/BldgSF*ReimbPool/12*BA$7,0)</f>
        <v>0</v>
      </c>
      <c r="BB16" s="49">
        <f>IF(OR(BB10=1,BB12=1),'Rent Roll'!$F$5/BldgSF*ReimbPool/12*BB$7,0)</f>
        <v>0</v>
      </c>
      <c r="BC16" s="49">
        <f>IF(OR(BC10=1,BC12=1),'Rent Roll'!$F$5/BldgSF*ReimbPool/12*BC$7,0)</f>
        <v>0</v>
      </c>
      <c r="BD16" s="49">
        <f>IF(OR(BD10=1,BD12=1),'Rent Roll'!$F$5/BldgSF*ReimbPool/12*BD$7,0)</f>
        <v>0</v>
      </c>
      <c r="BE16" s="49">
        <f>IF(OR(BE10=1,BE12=1),'Rent Roll'!$F$5/BldgSF*ReimbPool/12*BE$7,0)</f>
        <v>0</v>
      </c>
      <c r="BF16" s="49">
        <f>IF(OR(BF10=1,BF12=1),'Rent Roll'!$F$5/BldgSF*ReimbPool/12*BF$7,0)</f>
        <v>0</v>
      </c>
      <c r="BG16" s="49">
        <f>IF(OR(BG10=1,BG12=1),'Rent Roll'!$F$5/BldgSF*ReimbPool/12*BG$7,0)</f>
        <v>0</v>
      </c>
      <c r="BH16" s="49">
        <f>IF(OR(BH10=1,BH12=1),'Rent Roll'!$F$5/BldgSF*ReimbPool/12*BH$7,0)</f>
        <v>0</v>
      </c>
      <c r="BI16" s="49">
        <f>IF(OR(BI10=1,BI12=1),'Rent Roll'!$F$5/BldgSF*ReimbPool/12*BI$7,0)</f>
        <v>0</v>
      </c>
      <c r="BJ16" s="49">
        <f>IF(OR(BJ10=1,BJ12=1),'Rent Roll'!$F$5/BldgSF*ReimbPool/12*BJ$7,0)</f>
        <v>0</v>
      </c>
      <c r="BK16" s="49">
        <f>IF(OR(BK10=1,BK12=1),'Rent Roll'!$F$5/BldgSF*ReimbPool/12*BK$7,0)</f>
        <v>0</v>
      </c>
      <c r="BL16" s="49">
        <f>IF(OR(BL10=1,BL12=1),'Rent Roll'!$F$5/BldgSF*ReimbPool/12*BL$7,0)</f>
        <v>0</v>
      </c>
      <c r="BM16" s="49">
        <f>IF(OR(BM10=1,BM12=1),'Rent Roll'!$F$5/BldgSF*ReimbPool/12*BM$7,0)</f>
        <v>0</v>
      </c>
      <c r="BN16" s="49">
        <f>IF(OR(BN10=1,BN12=1),'Rent Roll'!$F$5/BldgSF*ReimbPool/12*BN$7,0)</f>
        <v>0</v>
      </c>
      <c r="BO16" s="49">
        <f>IF(OR(BO10=1,BO12=1),'Rent Roll'!$F$5/BldgSF*ReimbPool/12*BO$7,0)</f>
        <v>0</v>
      </c>
      <c r="BP16" s="49">
        <f>IF(OR(BP10=1,BP12=1),'Rent Roll'!$F$5/BldgSF*ReimbPool/12*BP$7,0)</f>
        <v>0</v>
      </c>
      <c r="BQ16" s="49">
        <f>IF(OR(BQ10=1,BQ12=1),'Rent Roll'!$F$5/BldgSF*ReimbPool/12*BQ$7,0)</f>
        <v>0</v>
      </c>
      <c r="BR16" s="49">
        <f>IF(OR(BR10=1,BR12=1),'Rent Roll'!$F$5/BldgSF*ReimbPool/12*BR$7,0)</f>
        <v>0</v>
      </c>
      <c r="BS16" s="49">
        <f>IF(OR(BS10=1,BS12=1),'Rent Roll'!$F$5/BldgSF*ReimbPool/12*BS$7,0)</f>
        <v>0</v>
      </c>
      <c r="BT16" s="49">
        <f>IF(OR(BT10=1,BT12=1),'Rent Roll'!$F$5/BldgSF*ReimbPool/12*BT$7,0)</f>
        <v>0</v>
      </c>
      <c r="BU16" s="49">
        <f>IF(OR(BU10=1,BU12=1),'Rent Roll'!$F$5/BldgSF*ReimbPool/12*BU$7,0)</f>
        <v>0</v>
      </c>
      <c r="BV16" s="49">
        <f>IF(OR(BV10=1,BV12=1),'Rent Roll'!$F$5/BldgSF*ReimbPool/12*BV$7,0)</f>
        <v>0</v>
      </c>
      <c r="BW16" s="49">
        <f>IF(OR(BW10=1,BW12=1),'Rent Roll'!$F$5/BldgSF*ReimbPool/12*BW$7,0)</f>
        <v>0</v>
      </c>
      <c r="BX16" s="49">
        <f>IF(OR(BX10=1,BX12=1),'Rent Roll'!$F$5/BldgSF*ReimbPool/12*BX$7,0)</f>
        <v>0</v>
      </c>
    </row>
    <row r="17" spans="1:76" outlineLevel="1">
      <c r="B17" t="s">
        <v>86</v>
      </c>
      <c r="D17" s="49">
        <f>0</f>
        <v>0</v>
      </c>
      <c r="E17" s="49">
        <f>0</f>
        <v>0</v>
      </c>
      <c r="F17" s="49">
        <f>0</f>
        <v>0</v>
      </c>
      <c r="G17" s="49">
        <f>0</f>
        <v>0</v>
      </c>
      <c r="H17" s="49">
        <f>0</f>
        <v>0</v>
      </c>
      <c r="I17" s="49">
        <f>0</f>
        <v>0</v>
      </c>
      <c r="J17" s="49">
        <f>0</f>
        <v>0</v>
      </c>
      <c r="K17" s="49">
        <f>0</f>
        <v>0</v>
      </c>
      <c r="L17" s="49">
        <f>0</f>
        <v>0</v>
      </c>
      <c r="M17" s="49">
        <f>0</f>
        <v>0</v>
      </c>
      <c r="N17" s="49">
        <f>0</f>
        <v>0</v>
      </c>
      <c r="O17" s="49">
        <f>0</f>
        <v>0</v>
      </c>
      <c r="P17" s="49">
        <f>0</f>
        <v>0</v>
      </c>
      <c r="Q17" s="49">
        <f>0</f>
        <v>0</v>
      </c>
      <c r="R17" s="49">
        <f>0</f>
        <v>0</v>
      </c>
      <c r="S17" s="49">
        <f>0</f>
        <v>0</v>
      </c>
      <c r="T17" s="49">
        <f>0</f>
        <v>0</v>
      </c>
      <c r="U17" s="49">
        <f>0</f>
        <v>0</v>
      </c>
      <c r="V17" s="49">
        <f>0</f>
        <v>0</v>
      </c>
      <c r="W17" s="49">
        <f>0</f>
        <v>0</v>
      </c>
      <c r="X17" s="49">
        <f>0</f>
        <v>0</v>
      </c>
      <c r="Y17" s="49">
        <f>0</f>
        <v>0</v>
      </c>
      <c r="Z17" s="49">
        <f>0</f>
        <v>0</v>
      </c>
      <c r="AA17" s="49">
        <f>0</f>
        <v>0</v>
      </c>
      <c r="AB17" s="49">
        <f>0</f>
        <v>0</v>
      </c>
      <c r="AC17" s="49">
        <f>0</f>
        <v>0</v>
      </c>
      <c r="AD17" s="49">
        <f>0</f>
        <v>0</v>
      </c>
      <c r="AE17" s="49">
        <f>0</f>
        <v>0</v>
      </c>
      <c r="AF17" s="49">
        <f>0</f>
        <v>0</v>
      </c>
      <c r="AG17" s="49">
        <f>0</f>
        <v>0</v>
      </c>
      <c r="AH17" s="49">
        <f>0</f>
        <v>0</v>
      </c>
      <c r="AI17" s="49">
        <f>0</f>
        <v>0</v>
      </c>
      <c r="AJ17" s="49">
        <f>0</f>
        <v>0</v>
      </c>
      <c r="AK17" s="49">
        <f>0</f>
        <v>0</v>
      </c>
      <c r="AL17" s="49">
        <f>0</f>
        <v>0</v>
      </c>
      <c r="AM17" s="49">
        <f>0</f>
        <v>0</v>
      </c>
      <c r="AN17" s="49">
        <f>0</f>
        <v>0</v>
      </c>
      <c r="AO17" s="49">
        <f>0</f>
        <v>0</v>
      </c>
      <c r="AP17" s="49">
        <f>0</f>
        <v>0</v>
      </c>
      <c r="AQ17" s="49">
        <f>0</f>
        <v>0</v>
      </c>
      <c r="AR17" s="49">
        <f>0</f>
        <v>0</v>
      </c>
      <c r="AS17" s="49">
        <f>0</f>
        <v>0</v>
      </c>
      <c r="AT17" s="49">
        <f>0</f>
        <v>0</v>
      </c>
      <c r="AU17" s="49">
        <f>0</f>
        <v>0</v>
      </c>
      <c r="AV17" s="49">
        <f>0</f>
        <v>0</v>
      </c>
      <c r="AW17" s="49">
        <f>0</f>
        <v>0</v>
      </c>
      <c r="AX17" s="49">
        <f>0</f>
        <v>0</v>
      </c>
      <c r="AY17" s="49">
        <f>0</f>
        <v>0</v>
      </c>
      <c r="AZ17" s="49">
        <f>0</f>
        <v>0</v>
      </c>
      <c r="BA17" s="49">
        <f>0</f>
        <v>0</v>
      </c>
      <c r="BB17" s="49">
        <f>0</f>
        <v>0</v>
      </c>
      <c r="BC17" s="49">
        <f>0</f>
        <v>0</v>
      </c>
      <c r="BD17" s="49">
        <f>0</f>
        <v>0</v>
      </c>
      <c r="BE17" s="49">
        <f>0</f>
        <v>0</v>
      </c>
      <c r="BF17" s="49">
        <f>0</f>
        <v>0</v>
      </c>
      <c r="BG17" s="49">
        <f>0</f>
        <v>0</v>
      </c>
      <c r="BH17" s="49">
        <f>0</f>
        <v>0</v>
      </c>
      <c r="BI17" s="49">
        <f>0</f>
        <v>0</v>
      </c>
      <c r="BJ17" s="49">
        <f>0</f>
        <v>0</v>
      </c>
      <c r="BK17" s="49">
        <f>0</f>
        <v>0</v>
      </c>
      <c r="BL17" s="49">
        <f>0</f>
        <v>0</v>
      </c>
      <c r="BM17" s="49">
        <f>0</f>
        <v>0</v>
      </c>
      <c r="BN17" s="49">
        <f>0</f>
        <v>0</v>
      </c>
      <c r="BO17" s="49">
        <f>0</f>
        <v>0</v>
      </c>
      <c r="BP17" s="49">
        <f>0</f>
        <v>0</v>
      </c>
      <c r="BQ17" s="49">
        <f>0</f>
        <v>0</v>
      </c>
      <c r="BR17" s="49">
        <f>0</f>
        <v>0</v>
      </c>
      <c r="BS17" s="49">
        <f>0</f>
        <v>0</v>
      </c>
      <c r="BT17" s="49">
        <f>0</f>
        <v>0</v>
      </c>
      <c r="BU17" s="49">
        <f>0</f>
        <v>0</v>
      </c>
      <c r="BV17" s="49">
        <f>0</f>
        <v>0</v>
      </c>
      <c r="BW17" s="49">
        <f>0</f>
        <v>0</v>
      </c>
      <c r="BX17" s="49">
        <f>0</f>
        <v>0</v>
      </c>
    </row>
    <row r="18" spans="1:76">
      <c r="B18" t="s">
        <v>87</v>
      </c>
      <c r="D18" s="49">
        <f>0</f>
        <v>0</v>
      </c>
      <c r="E18" s="49">
        <f>0</f>
        <v>0</v>
      </c>
      <c r="F18" s="49">
        <f>0</f>
        <v>0</v>
      </c>
      <c r="G18" s="49">
        <f>0</f>
        <v>0</v>
      </c>
      <c r="H18" s="49">
        <f>0</f>
        <v>0</v>
      </c>
      <c r="I18" s="49">
        <f>0</f>
        <v>0</v>
      </c>
      <c r="J18" s="49">
        <f>0</f>
        <v>0</v>
      </c>
      <c r="K18" s="49">
        <f>0</f>
        <v>0</v>
      </c>
      <c r="L18" s="49">
        <f>0</f>
        <v>0</v>
      </c>
      <c r="M18" s="49">
        <f>0</f>
        <v>0</v>
      </c>
      <c r="N18" s="49">
        <f>0</f>
        <v>0</v>
      </c>
      <c r="O18" s="49">
        <f>0</f>
        <v>0</v>
      </c>
      <c r="P18" s="49">
        <f>0</f>
        <v>0</v>
      </c>
      <c r="Q18" s="49">
        <f>0</f>
        <v>0</v>
      </c>
      <c r="R18" s="49">
        <f>0</f>
        <v>0</v>
      </c>
      <c r="S18" s="49">
        <f>0</f>
        <v>0</v>
      </c>
      <c r="T18" s="49">
        <f>0</f>
        <v>0</v>
      </c>
      <c r="U18" s="49">
        <f>0</f>
        <v>0</v>
      </c>
      <c r="V18" s="49">
        <f>0</f>
        <v>0</v>
      </c>
      <c r="W18" s="49">
        <f>0</f>
        <v>0</v>
      </c>
      <c r="X18" s="49">
        <f>0</f>
        <v>0</v>
      </c>
      <c r="Y18" s="49">
        <f>0</f>
        <v>0</v>
      </c>
      <c r="Z18" s="49">
        <f>0</f>
        <v>0</v>
      </c>
      <c r="AA18" s="49">
        <f>0</f>
        <v>0</v>
      </c>
      <c r="AB18" s="49">
        <f>0</f>
        <v>0</v>
      </c>
      <c r="AC18" s="49">
        <f>0</f>
        <v>0</v>
      </c>
      <c r="AD18" s="49">
        <f>0</f>
        <v>0</v>
      </c>
      <c r="AE18" s="49">
        <f>0</f>
        <v>0</v>
      </c>
      <c r="AF18" s="49">
        <f>0</f>
        <v>0</v>
      </c>
      <c r="AG18" s="49">
        <f>0</f>
        <v>0</v>
      </c>
      <c r="AH18" s="49">
        <f>0</f>
        <v>0</v>
      </c>
      <c r="AI18" s="49">
        <f>0</f>
        <v>0</v>
      </c>
      <c r="AJ18" s="49">
        <f>0</f>
        <v>0</v>
      </c>
      <c r="AK18" s="49">
        <f>0</f>
        <v>0</v>
      </c>
      <c r="AL18" s="49">
        <f>0</f>
        <v>0</v>
      </c>
      <c r="AM18" s="49">
        <f>0</f>
        <v>0</v>
      </c>
      <c r="AN18" s="49">
        <f>0</f>
        <v>0</v>
      </c>
      <c r="AO18" s="49">
        <f>0</f>
        <v>0</v>
      </c>
      <c r="AP18" s="49">
        <f>0</f>
        <v>0</v>
      </c>
      <c r="AQ18" s="49">
        <f>0</f>
        <v>0</v>
      </c>
      <c r="AR18" s="49">
        <f>0</f>
        <v>0</v>
      </c>
      <c r="AS18" s="49">
        <f>0</f>
        <v>0</v>
      </c>
      <c r="AT18" s="49">
        <f>0</f>
        <v>0</v>
      </c>
      <c r="AU18" s="49">
        <f>0</f>
        <v>0</v>
      </c>
      <c r="AV18" s="49">
        <f>0</f>
        <v>0</v>
      </c>
      <c r="AW18" s="49">
        <f>0</f>
        <v>0</v>
      </c>
      <c r="AX18" s="49">
        <f>0</f>
        <v>0</v>
      </c>
      <c r="AY18" s="49">
        <f>0</f>
        <v>0</v>
      </c>
      <c r="AZ18" s="49">
        <f>0</f>
        <v>0</v>
      </c>
      <c r="BA18" s="49">
        <f>0</f>
        <v>0</v>
      </c>
      <c r="BB18" s="49">
        <f>0</f>
        <v>0</v>
      </c>
      <c r="BC18" s="49">
        <f>0</f>
        <v>0</v>
      </c>
      <c r="BD18" s="49">
        <f>0</f>
        <v>0</v>
      </c>
      <c r="BE18" s="49">
        <f>0</f>
        <v>0</v>
      </c>
      <c r="BF18" s="49">
        <f>0</f>
        <v>0</v>
      </c>
      <c r="BG18" s="49">
        <f>0</f>
        <v>0</v>
      </c>
      <c r="BH18" s="49">
        <f>0</f>
        <v>0</v>
      </c>
      <c r="BI18" s="49">
        <f>0</f>
        <v>0</v>
      </c>
      <c r="BJ18" s="49">
        <f>0</f>
        <v>0</v>
      </c>
      <c r="BK18" s="49">
        <f>0</f>
        <v>0</v>
      </c>
      <c r="BL18" s="49">
        <f>0</f>
        <v>0</v>
      </c>
      <c r="BM18" s="49">
        <f>0</f>
        <v>0</v>
      </c>
      <c r="BN18" s="49">
        <f>0</f>
        <v>0</v>
      </c>
      <c r="BO18" s="49">
        <f>0</f>
        <v>0</v>
      </c>
      <c r="BP18" s="49">
        <f>0</f>
        <v>0</v>
      </c>
      <c r="BQ18" s="49">
        <f>0</f>
        <v>0</v>
      </c>
      <c r="BR18" s="49">
        <f>0</f>
        <v>0</v>
      </c>
      <c r="BS18" s="49">
        <f>0</f>
        <v>0</v>
      </c>
      <c r="BT18" s="49">
        <f>0</f>
        <v>0</v>
      </c>
      <c r="BU18" s="49">
        <f>0</f>
        <v>0</v>
      </c>
      <c r="BV18" s="49">
        <f>0</f>
        <v>0</v>
      </c>
      <c r="BW18" s="49">
        <f>0</f>
        <v>0</v>
      </c>
      <c r="BX18" s="49">
        <f>0</f>
        <v>0</v>
      </c>
    </row>
    <row r="19" spans="1:76">
      <c r="A19" s="17" t="str">
        <f>'Rent Roll'!C6</f>
        <v>Southeast Regional Health</v>
      </c>
      <c r="B19" s="57">
        <f>INDEX('Rent Roll'!$F$5:$F$46,MATCH('Rent Roll Calc'!A19,'Rent Roll'!$C$5:$C$46,0))</f>
        <v>24000</v>
      </c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49"/>
      <c r="BC19" s="49"/>
      <c r="BD19" s="49"/>
      <c r="BE19" s="49"/>
      <c r="BF19" s="49"/>
      <c r="BG19" s="49"/>
      <c r="BH19" s="49"/>
      <c r="BI19" s="49"/>
      <c r="BJ19" s="49"/>
      <c r="BK19" s="49"/>
      <c r="BL19" s="49"/>
      <c r="BM19" s="49"/>
      <c r="BN19" s="49"/>
      <c r="BO19" s="49"/>
      <c r="BP19" s="49"/>
      <c r="BQ19" s="49"/>
      <c r="BR19" s="49"/>
      <c r="BS19" s="49"/>
      <c r="BT19" s="49"/>
      <c r="BU19" s="49"/>
      <c r="BV19" s="49"/>
      <c r="BW19" s="49"/>
      <c r="BX19" s="49"/>
    </row>
    <row r="20" spans="1:76" hidden="1" outlineLevel="1">
      <c r="B20" t="s">
        <v>83</v>
      </c>
      <c r="D20" s="49">
        <f>IF(AND('Rent Roll'!$N$6&lt;&gt;"Ghost",D$4&lt;='Rent Roll'!$L$6),1,0)</f>
        <v>1</v>
      </c>
      <c r="E20" s="49">
        <f>IF(AND('Rent Roll'!$N$6&lt;&gt;"Ghost",E$4&lt;='Rent Roll'!$L$6),1,0)</f>
        <v>1</v>
      </c>
      <c r="F20" s="49">
        <f>IF(AND('Rent Roll'!$N$6&lt;&gt;"Ghost",F$4&lt;='Rent Roll'!$L$6),1,0)</f>
        <v>1</v>
      </c>
      <c r="G20" s="49">
        <f>IF(AND('Rent Roll'!$N$6&lt;&gt;"Ghost",G$4&lt;='Rent Roll'!$L$6),1,0)</f>
        <v>1</v>
      </c>
      <c r="H20" s="49">
        <f>IF(AND('Rent Roll'!$N$6&lt;&gt;"Ghost",H$4&lt;='Rent Roll'!$L$6),1,0)</f>
        <v>1</v>
      </c>
      <c r="I20" s="49">
        <f>IF(AND('Rent Roll'!$N$6&lt;&gt;"Ghost",I$4&lt;='Rent Roll'!$L$6),1,0)</f>
        <v>1</v>
      </c>
      <c r="J20" s="49">
        <f>IF(AND('Rent Roll'!$N$6&lt;&gt;"Ghost",J$4&lt;='Rent Roll'!$L$6),1,0)</f>
        <v>1</v>
      </c>
      <c r="K20" s="49">
        <f>IF(AND('Rent Roll'!$N$6&lt;&gt;"Ghost",K$4&lt;='Rent Roll'!$L$6),1,0)</f>
        <v>1</v>
      </c>
      <c r="L20" s="49">
        <f>IF(AND('Rent Roll'!$N$6&lt;&gt;"Ghost",L$4&lt;='Rent Roll'!$L$6),1,0)</f>
        <v>1</v>
      </c>
      <c r="M20" s="49">
        <f>IF(AND('Rent Roll'!$N$6&lt;&gt;"Ghost",M$4&lt;='Rent Roll'!$L$6),1,0)</f>
        <v>1</v>
      </c>
      <c r="N20" s="49">
        <f>IF(AND('Rent Roll'!$N$6&lt;&gt;"Ghost",N$4&lt;='Rent Roll'!$L$6),1,0)</f>
        <v>1</v>
      </c>
      <c r="O20" s="49">
        <f>IF(AND('Rent Roll'!$N$6&lt;&gt;"Ghost",O$4&lt;='Rent Roll'!$L$6),1,0)</f>
        <v>1</v>
      </c>
      <c r="P20" s="49">
        <f>IF(AND('Rent Roll'!$N$6&lt;&gt;"Ghost",P$4&lt;='Rent Roll'!$L$6),1,0)</f>
        <v>1</v>
      </c>
      <c r="Q20" s="49">
        <f>IF(AND('Rent Roll'!$N$6&lt;&gt;"Ghost",Q$4&lt;='Rent Roll'!$L$6),1,0)</f>
        <v>1</v>
      </c>
      <c r="R20" s="49">
        <f>IF(AND('Rent Roll'!$N$6&lt;&gt;"Ghost",R$4&lt;='Rent Roll'!$L$6),1,0)</f>
        <v>1</v>
      </c>
      <c r="S20" s="49">
        <f>IF(AND('Rent Roll'!$N$6&lt;&gt;"Ghost",S$4&lt;='Rent Roll'!$L$6),1,0)</f>
        <v>1</v>
      </c>
      <c r="T20" s="49">
        <f>IF(AND('Rent Roll'!$N$6&lt;&gt;"Ghost",T$4&lt;='Rent Roll'!$L$6),1,0)</f>
        <v>1</v>
      </c>
      <c r="U20" s="49">
        <f>IF(AND('Rent Roll'!$N$6&lt;&gt;"Ghost",U$4&lt;='Rent Roll'!$L$6),1,0)</f>
        <v>1</v>
      </c>
      <c r="V20" s="49">
        <f>IF(AND('Rent Roll'!$N$6&lt;&gt;"Ghost",V$4&lt;='Rent Roll'!$L$6),1,0)</f>
        <v>1</v>
      </c>
      <c r="W20" s="49">
        <f>IF(AND('Rent Roll'!$N$6&lt;&gt;"Ghost",W$4&lt;='Rent Roll'!$L$6),1,0)</f>
        <v>1</v>
      </c>
      <c r="X20" s="49">
        <f>IF(AND('Rent Roll'!$N$6&lt;&gt;"Ghost",X$4&lt;='Rent Roll'!$L$6),1,0)</f>
        <v>1</v>
      </c>
      <c r="Y20" s="49">
        <f>IF(AND('Rent Roll'!$N$6&lt;&gt;"Ghost",Y$4&lt;='Rent Roll'!$L$6),1,0)</f>
        <v>1</v>
      </c>
      <c r="Z20" s="49">
        <f>IF(AND('Rent Roll'!$N$6&lt;&gt;"Ghost",Z$4&lt;='Rent Roll'!$L$6),1,0)</f>
        <v>1</v>
      </c>
      <c r="AA20" s="49">
        <f>IF(AND('Rent Roll'!$N$6&lt;&gt;"Ghost",AA$4&lt;='Rent Roll'!$L$6),1,0)</f>
        <v>1</v>
      </c>
      <c r="AB20" s="49">
        <f>IF(AND('Rent Roll'!$N$6&lt;&gt;"Ghost",AB$4&lt;='Rent Roll'!$L$6),1,0)</f>
        <v>1</v>
      </c>
      <c r="AC20" s="49">
        <f>IF(AND('Rent Roll'!$N$6&lt;&gt;"Ghost",AC$4&lt;='Rent Roll'!$L$6),1,0)</f>
        <v>1</v>
      </c>
      <c r="AD20" s="49">
        <f>IF(AND('Rent Roll'!$N$6&lt;&gt;"Ghost",AD$4&lt;='Rent Roll'!$L$6),1,0)</f>
        <v>1</v>
      </c>
      <c r="AE20" s="49">
        <f>IF(AND('Rent Roll'!$N$6&lt;&gt;"Ghost",AE$4&lt;='Rent Roll'!$L$6),1,0)</f>
        <v>1</v>
      </c>
      <c r="AF20" s="49">
        <f>IF(AND('Rent Roll'!$N$6&lt;&gt;"Ghost",AF$4&lt;='Rent Roll'!$L$6),1,0)</f>
        <v>1</v>
      </c>
      <c r="AG20" s="49">
        <f>IF(AND('Rent Roll'!$N$6&lt;&gt;"Ghost",AG$4&lt;='Rent Roll'!$L$6),1,0)</f>
        <v>1</v>
      </c>
      <c r="AH20" s="49">
        <f>IF(AND('Rent Roll'!$N$6&lt;&gt;"Ghost",AH$4&lt;='Rent Roll'!$L$6),1,0)</f>
        <v>1</v>
      </c>
      <c r="AI20" s="49">
        <f>IF(AND('Rent Roll'!$N$6&lt;&gt;"Ghost",AI$4&lt;='Rent Roll'!$L$6),1,0)</f>
        <v>1</v>
      </c>
      <c r="AJ20" s="49">
        <f>IF(AND('Rent Roll'!$N$6&lt;&gt;"Ghost",AJ$4&lt;='Rent Roll'!$L$6),1,0)</f>
        <v>0</v>
      </c>
      <c r="AK20" s="49">
        <f>IF(AND('Rent Roll'!$N$6&lt;&gt;"Ghost",AK$4&lt;='Rent Roll'!$L$6),1,0)</f>
        <v>0</v>
      </c>
      <c r="AL20" s="49">
        <f>IF(AND('Rent Roll'!$N$6&lt;&gt;"Ghost",AL$4&lt;='Rent Roll'!$L$6),1,0)</f>
        <v>0</v>
      </c>
      <c r="AM20" s="49">
        <f>IF(AND('Rent Roll'!$N$6&lt;&gt;"Ghost",AM$4&lt;='Rent Roll'!$L$6),1,0)</f>
        <v>0</v>
      </c>
      <c r="AN20" s="49">
        <f>IF(AND('Rent Roll'!$N$6&lt;&gt;"Ghost",AN$4&lt;='Rent Roll'!$L$6),1,0)</f>
        <v>0</v>
      </c>
      <c r="AO20" s="49">
        <f>IF(AND('Rent Roll'!$N$6&lt;&gt;"Ghost",AO$4&lt;='Rent Roll'!$L$6),1,0)</f>
        <v>0</v>
      </c>
      <c r="AP20" s="49">
        <f>IF(AND('Rent Roll'!$N$6&lt;&gt;"Ghost",AP$4&lt;='Rent Roll'!$L$6),1,0)</f>
        <v>0</v>
      </c>
      <c r="AQ20" s="49">
        <f>IF(AND('Rent Roll'!$N$6&lt;&gt;"Ghost",AQ$4&lt;='Rent Roll'!$L$6),1,0)</f>
        <v>0</v>
      </c>
      <c r="AR20" s="49">
        <f>IF(AND('Rent Roll'!$N$6&lt;&gt;"Ghost",AR$4&lt;='Rent Roll'!$L$6),1,0)</f>
        <v>0</v>
      </c>
      <c r="AS20" s="49">
        <f>IF(AND('Rent Roll'!$N$6&lt;&gt;"Ghost",AS$4&lt;='Rent Roll'!$L$6),1,0)</f>
        <v>0</v>
      </c>
      <c r="AT20" s="49">
        <f>IF(AND('Rent Roll'!$N$6&lt;&gt;"Ghost",AT$4&lt;='Rent Roll'!$L$6),1,0)</f>
        <v>0</v>
      </c>
      <c r="AU20" s="49">
        <f>IF(AND('Rent Roll'!$N$6&lt;&gt;"Ghost",AU$4&lt;='Rent Roll'!$L$6),1,0)</f>
        <v>0</v>
      </c>
      <c r="AV20" s="49">
        <f>IF(AND('Rent Roll'!$N$6&lt;&gt;"Ghost",AV$4&lt;='Rent Roll'!$L$6),1,0)</f>
        <v>0</v>
      </c>
      <c r="AW20" s="49">
        <f>IF(AND('Rent Roll'!$N$6&lt;&gt;"Ghost",AW$4&lt;='Rent Roll'!$L$6),1,0)</f>
        <v>0</v>
      </c>
      <c r="AX20" s="49">
        <f>IF(AND('Rent Roll'!$N$6&lt;&gt;"Ghost",AX$4&lt;='Rent Roll'!$L$6),1,0)</f>
        <v>0</v>
      </c>
      <c r="AY20" s="49">
        <f>IF(AND('Rent Roll'!$N$6&lt;&gt;"Ghost",AY$4&lt;='Rent Roll'!$L$6),1,0)</f>
        <v>0</v>
      </c>
      <c r="AZ20" s="49">
        <f>IF(AND('Rent Roll'!$N$6&lt;&gt;"Ghost",AZ$4&lt;='Rent Roll'!$L$6),1,0)</f>
        <v>0</v>
      </c>
      <c r="BA20" s="49">
        <f>IF(AND('Rent Roll'!$N$6&lt;&gt;"Ghost",BA$4&lt;='Rent Roll'!$L$6),1,0)</f>
        <v>0</v>
      </c>
      <c r="BB20" s="49">
        <f>IF(AND('Rent Roll'!$N$6&lt;&gt;"Ghost",BB$4&lt;='Rent Roll'!$L$6),1,0)</f>
        <v>0</v>
      </c>
      <c r="BC20" s="49">
        <f>IF(AND('Rent Roll'!$N$6&lt;&gt;"Ghost",BC$4&lt;='Rent Roll'!$L$6),1,0)</f>
        <v>0</v>
      </c>
      <c r="BD20" s="49">
        <f>IF(AND('Rent Roll'!$N$6&lt;&gt;"Ghost",BD$4&lt;='Rent Roll'!$L$6),1,0)</f>
        <v>0</v>
      </c>
      <c r="BE20" s="49">
        <f>IF(AND('Rent Roll'!$N$6&lt;&gt;"Ghost",BE$4&lt;='Rent Roll'!$L$6),1,0)</f>
        <v>0</v>
      </c>
      <c r="BF20" s="49">
        <f>IF(AND('Rent Roll'!$N$6&lt;&gt;"Ghost",BF$4&lt;='Rent Roll'!$L$6),1,0)</f>
        <v>0</v>
      </c>
      <c r="BG20" s="49">
        <f>IF(AND('Rent Roll'!$N$6&lt;&gt;"Ghost",BG$4&lt;='Rent Roll'!$L$6),1,0)</f>
        <v>0</v>
      </c>
      <c r="BH20" s="49">
        <f>IF(AND('Rent Roll'!$N$6&lt;&gt;"Ghost",BH$4&lt;='Rent Roll'!$L$6),1,0)</f>
        <v>0</v>
      </c>
      <c r="BI20" s="49">
        <f>IF(AND('Rent Roll'!$N$6&lt;&gt;"Ghost",BI$4&lt;='Rent Roll'!$L$6),1,0)</f>
        <v>0</v>
      </c>
      <c r="BJ20" s="49">
        <f>IF(AND('Rent Roll'!$N$6&lt;&gt;"Ghost",BJ$4&lt;='Rent Roll'!$L$6),1,0)</f>
        <v>0</v>
      </c>
      <c r="BK20" s="49">
        <f>IF(AND('Rent Roll'!$N$6&lt;&gt;"Ghost",BK$4&lt;='Rent Roll'!$L$6),1,0)</f>
        <v>0</v>
      </c>
      <c r="BL20" s="49">
        <f>IF(AND('Rent Roll'!$N$6&lt;&gt;"Ghost",BL$4&lt;='Rent Roll'!$L$6),1,0)</f>
        <v>0</v>
      </c>
      <c r="BM20" s="49">
        <f>IF(AND('Rent Roll'!$N$6&lt;&gt;"Ghost",BM$4&lt;='Rent Roll'!$L$6),1,0)</f>
        <v>0</v>
      </c>
      <c r="BN20" s="49">
        <f>IF(AND('Rent Roll'!$N$6&lt;&gt;"Ghost",BN$4&lt;='Rent Roll'!$L$6),1,0)</f>
        <v>0</v>
      </c>
      <c r="BO20" s="49">
        <f>IF(AND('Rent Roll'!$N$6&lt;&gt;"Ghost",BO$4&lt;='Rent Roll'!$L$6),1,0)</f>
        <v>0</v>
      </c>
      <c r="BP20" s="49">
        <f>IF(AND('Rent Roll'!$N$6&lt;&gt;"Ghost",BP$4&lt;='Rent Roll'!$L$6),1,0)</f>
        <v>0</v>
      </c>
      <c r="BQ20" s="49">
        <f>IF(AND('Rent Roll'!$N$6&lt;&gt;"Ghost",BQ$4&lt;='Rent Roll'!$L$6),1,0)</f>
        <v>0</v>
      </c>
      <c r="BR20" s="49">
        <f>IF(AND('Rent Roll'!$N$6&lt;&gt;"Ghost",BR$4&lt;='Rent Roll'!$L$6),1,0)</f>
        <v>0</v>
      </c>
      <c r="BS20" s="49">
        <f>IF(AND('Rent Roll'!$N$6&lt;&gt;"Ghost",BS$4&lt;='Rent Roll'!$L$6),1,0)</f>
        <v>0</v>
      </c>
      <c r="BT20" s="49">
        <f>IF(AND('Rent Roll'!$N$6&lt;&gt;"Ghost",BT$4&lt;='Rent Roll'!$L$6),1,0)</f>
        <v>0</v>
      </c>
      <c r="BU20" s="49">
        <f>IF(AND('Rent Roll'!$N$6&lt;&gt;"Ghost",BU$4&lt;='Rent Roll'!$L$6),1,0)</f>
        <v>0</v>
      </c>
      <c r="BV20" s="49">
        <f>IF(AND('Rent Roll'!$N$6&lt;&gt;"Ghost",BV$4&lt;='Rent Roll'!$L$6),1,0)</f>
        <v>0</v>
      </c>
      <c r="BW20" s="49">
        <f>IF(AND('Rent Roll'!$N$6&lt;&gt;"Ghost",BW$4&lt;='Rent Roll'!$L$6),1,0)</f>
        <v>0</v>
      </c>
      <c r="BX20" s="49">
        <f>IF(AND('Rent Roll'!$N$6&lt;&gt;"Ghost",BX$4&lt;='Rent Roll'!$L$6),1,0)</f>
        <v>0</v>
      </c>
    </row>
    <row r="21" spans="1:76" hidden="1" outlineLevel="1">
      <c r="B21" t="s">
        <v>159</v>
      </c>
      <c r="D21" s="49">
        <f>IF(D20=1,'Rent Roll'!$H$6/12*(1+'Rent Roll'!$I$6)^IF(D$4&lt;'Rent Roll'!$Y$6,0,YEAR(D$4)-YEAR('Rent Roll'!$Y$6)+1),0)</f>
        <v>43000</v>
      </c>
      <c r="E21" s="49">
        <f>IF(E20=1,'Rent Roll'!$H$6/12*(1+'Rent Roll'!$I$6)^IF(E$4&lt;'Rent Roll'!$Y$6,0,YEAR(E$4)-YEAR('Rent Roll'!$Y$6)+1),0)</f>
        <v>43000</v>
      </c>
      <c r="F21" s="49">
        <f>IF(F20=1,'Rent Roll'!$H$6/12*(1+'Rent Roll'!$I$6)^IF(F$4&lt;'Rent Roll'!$Y$6,0,YEAR(F$4)-YEAR('Rent Roll'!$Y$6)+1),0)</f>
        <v>43000</v>
      </c>
      <c r="G21" s="49">
        <f>IF(G20=1,'Rent Roll'!$H$6/12*(1+'Rent Roll'!$I$6)^IF(G$4&lt;'Rent Roll'!$Y$6,0,YEAR(G$4)-YEAR('Rent Roll'!$Y$6)+1),0)</f>
        <v>43000</v>
      </c>
      <c r="H21" s="49">
        <f>IF(H20=1,'Rent Roll'!$H$6/12*(1+'Rent Roll'!$I$6)^IF(H$4&lt;'Rent Roll'!$Y$6,0,YEAR(H$4)-YEAR('Rent Roll'!$Y$6)+1),0)</f>
        <v>43000</v>
      </c>
      <c r="I21" s="49">
        <f>IF(I20=1,'Rent Roll'!$H$6/12*(1+'Rent Roll'!$I$6)^IF(I$4&lt;'Rent Roll'!$Y$6,0,YEAR(I$4)-YEAR('Rent Roll'!$Y$6)+1),0)</f>
        <v>43000</v>
      </c>
      <c r="J21" s="49">
        <f>IF(J20=1,'Rent Roll'!$H$6/12*(1+'Rent Roll'!$I$6)^IF(J$4&lt;'Rent Roll'!$Y$6,0,YEAR(J$4)-YEAR('Rent Roll'!$Y$6)+1),0)</f>
        <v>43000</v>
      </c>
      <c r="K21" s="49">
        <f>IF(K20=1,'Rent Roll'!$H$6/12*(1+'Rent Roll'!$I$6)^IF(K$4&lt;'Rent Roll'!$Y$6,0,YEAR(K$4)-YEAR('Rent Roll'!$Y$6)+1),0)</f>
        <v>43000</v>
      </c>
      <c r="L21" s="49">
        <f>IF(L20=1,'Rent Roll'!$H$6/12*(1+'Rent Roll'!$I$6)^IF(L$4&lt;'Rent Roll'!$Y$6,0,YEAR(L$4)-YEAR('Rent Roll'!$Y$6)+1),0)</f>
        <v>44290</v>
      </c>
      <c r="M21" s="49">
        <f>IF(M20=1,'Rent Roll'!$H$6/12*(1+'Rent Roll'!$I$6)^IF(M$4&lt;'Rent Roll'!$Y$6,0,YEAR(M$4)-YEAR('Rent Roll'!$Y$6)+1),0)</f>
        <v>44290</v>
      </c>
      <c r="N21" s="49">
        <f>IF(N20=1,'Rent Roll'!$H$6/12*(1+'Rent Roll'!$I$6)^IF(N$4&lt;'Rent Roll'!$Y$6,0,YEAR(N$4)-YEAR('Rent Roll'!$Y$6)+1),0)</f>
        <v>44290</v>
      </c>
      <c r="O21" s="49">
        <f>IF(O20=1,'Rent Roll'!$H$6/12*(1+'Rent Roll'!$I$6)^IF(O$4&lt;'Rent Roll'!$Y$6,0,YEAR(O$4)-YEAR('Rent Roll'!$Y$6)+1),0)</f>
        <v>44290</v>
      </c>
      <c r="P21" s="49">
        <f>IF(P20=1,'Rent Roll'!$H$6/12*(1+'Rent Roll'!$I$6)^IF(P$4&lt;'Rent Roll'!$Y$6,0,YEAR(P$4)-YEAR('Rent Roll'!$Y$6)+1),0)</f>
        <v>44290</v>
      </c>
      <c r="Q21" s="49">
        <f>IF(Q20=1,'Rent Roll'!$H$6/12*(1+'Rent Roll'!$I$6)^IF(Q$4&lt;'Rent Roll'!$Y$6,0,YEAR(Q$4)-YEAR('Rent Roll'!$Y$6)+1),0)</f>
        <v>44290</v>
      </c>
      <c r="R21" s="49">
        <f>IF(R20=1,'Rent Roll'!$H$6/12*(1+'Rent Roll'!$I$6)^IF(R$4&lt;'Rent Roll'!$Y$6,0,YEAR(R$4)-YEAR('Rent Roll'!$Y$6)+1),0)</f>
        <v>44290</v>
      </c>
      <c r="S21" s="49">
        <f>IF(S20=1,'Rent Roll'!$H$6/12*(1+'Rent Roll'!$I$6)^IF(S$4&lt;'Rent Roll'!$Y$6,0,YEAR(S$4)-YEAR('Rent Roll'!$Y$6)+1),0)</f>
        <v>44290</v>
      </c>
      <c r="T21" s="49">
        <f>IF(T20=1,'Rent Roll'!$H$6/12*(1+'Rent Roll'!$I$6)^IF(T$4&lt;'Rent Roll'!$Y$6,0,YEAR(T$4)-YEAR('Rent Roll'!$Y$6)+1),0)</f>
        <v>44290</v>
      </c>
      <c r="U21" s="49">
        <f>IF(U20=1,'Rent Roll'!$H$6/12*(1+'Rent Roll'!$I$6)^IF(U$4&lt;'Rent Roll'!$Y$6,0,YEAR(U$4)-YEAR('Rent Roll'!$Y$6)+1),0)</f>
        <v>45618.7</v>
      </c>
      <c r="V21" s="49">
        <f>IF(V20=1,'Rent Roll'!$H$6/12*(1+'Rent Roll'!$I$6)^IF(V$4&lt;'Rent Roll'!$Y$6,0,YEAR(V$4)-YEAR('Rent Roll'!$Y$6)+1),0)</f>
        <v>45618.7</v>
      </c>
      <c r="W21" s="49">
        <f>IF(W20=1,'Rent Roll'!$H$6/12*(1+'Rent Roll'!$I$6)^IF(W$4&lt;'Rent Roll'!$Y$6,0,YEAR(W$4)-YEAR('Rent Roll'!$Y$6)+1),0)</f>
        <v>45618.7</v>
      </c>
      <c r="X21" s="49">
        <f>IF(X20=1,'Rent Roll'!$H$6/12*(1+'Rent Roll'!$I$6)^IF(X$4&lt;'Rent Roll'!$Y$6,0,YEAR(X$4)-YEAR('Rent Roll'!$Y$6)+1),0)</f>
        <v>45618.7</v>
      </c>
      <c r="Y21" s="49">
        <f>IF(Y20=1,'Rent Roll'!$H$6/12*(1+'Rent Roll'!$I$6)^IF(Y$4&lt;'Rent Roll'!$Y$6,0,YEAR(Y$4)-YEAR('Rent Roll'!$Y$6)+1),0)</f>
        <v>45618.7</v>
      </c>
      <c r="Z21" s="49">
        <f>IF(Z20=1,'Rent Roll'!$H$6/12*(1+'Rent Roll'!$I$6)^IF(Z$4&lt;'Rent Roll'!$Y$6,0,YEAR(Z$4)-YEAR('Rent Roll'!$Y$6)+1),0)</f>
        <v>45618.7</v>
      </c>
      <c r="AA21" s="49">
        <f>IF(AA20=1,'Rent Roll'!$H$6/12*(1+'Rent Roll'!$I$6)^IF(AA$4&lt;'Rent Roll'!$Y$6,0,YEAR(AA$4)-YEAR('Rent Roll'!$Y$6)+1),0)</f>
        <v>45618.7</v>
      </c>
      <c r="AB21" s="49">
        <f>IF(AB20=1,'Rent Roll'!$H$6/12*(1+'Rent Roll'!$I$6)^IF(AB$4&lt;'Rent Roll'!$Y$6,0,YEAR(AB$4)-YEAR('Rent Roll'!$Y$6)+1),0)</f>
        <v>45618.7</v>
      </c>
      <c r="AC21" s="49">
        <f>IF(AC20=1,'Rent Roll'!$H$6/12*(1+'Rent Roll'!$I$6)^IF(AC$4&lt;'Rent Roll'!$Y$6,0,YEAR(AC$4)-YEAR('Rent Roll'!$Y$6)+1),0)</f>
        <v>45618.7</v>
      </c>
      <c r="AD21" s="49">
        <f>IF(AD20=1,'Rent Roll'!$H$6/12*(1+'Rent Roll'!$I$6)^IF(AD$4&lt;'Rent Roll'!$Y$6,0,YEAR(AD$4)-YEAR('Rent Roll'!$Y$6)+1),0)</f>
        <v>45618.7</v>
      </c>
      <c r="AE21" s="49">
        <f>IF(AE20=1,'Rent Roll'!$H$6/12*(1+'Rent Roll'!$I$6)^IF(AE$4&lt;'Rent Roll'!$Y$6,0,YEAR(AE$4)-YEAR('Rent Roll'!$Y$6)+1),0)</f>
        <v>45618.7</v>
      </c>
      <c r="AF21" s="49">
        <f>IF(AF20=1,'Rent Roll'!$H$6/12*(1+'Rent Roll'!$I$6)^IF(AF$4&lt;'Rent Roll'!$Y$6,0,YEAR(AF$4)-YEAR('Rent Roll'!$Y$6)+1),0)</f>
        <v>45618.7</v>
      </c>
      <c r="AG21" s="49">
        <f>IF(AG20=1,'Rent Roll'!$H$6/12*(1+'Rent Roll'!$I$6)^IF(AG$4&lt;'Rent Roll'!$Y$6,0,YEAR(AG$4)-YEAR('Rent Roll'!$Y$6)+1),0)</f>
        <v>46987.260999999999</v>
      </c>
      <c r="AH21" s="49">
        <f>IF(AH20=1,'Rent Roll'!$H$6/12*(1+'Rent Roll'!$I$6)^IF(AH$4&lt;'Rent Roll'!$Y$6,0,YEAR(AH$4)-YEAR('Rent Roll'!$Y$6)+1),0)</f>
        <v>46987.260999999999</v>
      </c>
      <c r="AI21" s="49">
        <f>IF(AI20=1,'Rent Roll'!$H$6/12*(1+'Rent Roll'!$I$6)^IF(AI$4&lt;'Rent Roll'!$Y$6,0,YEAR(AI$4)-YEAR('Rent Roll'!$Y$6)+1),0)</f>
        <v>46987.260999999999</v>
      </c>
      <c r="AJ21" s="49">
        <f>IF(AJ20=1,'Rent Roll'!$H$6/12*(1+'Rent Roll'!$I$6)^IF(AJ$4&lt;'Rent Roll'!$Y$6,0,YEAR(AJ$4)-YEAR('Rent Roll'!$Y$6)+1),0)</f>
        <v>0</v>
      </c>
      <c r="AK21" s="49">
        <f>IF(AK20=1,'Rent Roll'!$H$6/12*(1+'Rent Roll'!$I$6)^IF(AK$4&lt;'Rent Roll'!$Y$6,0,YEAR(AK$4)-YEAR('Rent Roll'!$Y$6)+1),0)</f>
        <v>0</v>
      </c>
      <c r="AL21" s="49">
        <f>IF(AL20=1,'Rent Roll'!$H$6/12*(1+'Rent Roll'!$I$6)^IF(AL$4&lt;'Rent Roll'!$Y$6,0,YEAR(AL$4)-YEAR('Rent Roll'!$Y$6)+1),0)</f>
        <v>0</v>
      </c>
      <c r="AM21" s="49">
        <f>IF(AM20=1,'Rent Roll'!$H$6/12*(1+'Rent Roll'!$I$6)^IF(AM$4&lt;'Rent Roll'!$Y$6,0,YEAR(AM$4)-YEAR('Rent Roll'!$Y$6)+1),0)</f>
        <v>0</v>
      </c>
      <c r="AN21" s="49">
        <f>IF(AN20=1,'Rent Roll'!$H$6/12*(1+'Rent Roll'!$I$6)^IF(AN$4&lt;'Rent Roll'!$Y$6,0,YEAR(AN$4)-YEAR('Rent Roll'!$Y$6)+1),0)</f>
        <v>0</v>
      </c>
      <c r="AO21" s="49">
        <f>IF(AO20=1,'Rent Roll'!$H$6/12*(1+'Rent Roll'!$I$6)^IF(AO$4&lt;'Rent Roll'!$Y$6,0,YEAR(AO$4)-YEAR('Rent Roll'!$Y$6)+1),0)</f>
        <v>0</v>
      </c>
      <c r="AP21" s="49">
        <f>IF(AP20=1,'Rent Roll'!$H$6/12*(1+'Rent Roll'!$I$6)^IF(AP$4&lt;'Rent Roll'!$Y$6,0,YEAR(AP$4)-YEAR('Rent Roll'!$Y$6)+1),0)</f>
        <v>0</v>
      </c>
      <c r="AQ21" s="49">
        <f>IF(AQ20=1,'Rent Roll'!$H$6/12*(1+'Rent Roll'!$I$6)^IF(AQ$4&lt;'Rent Roll'!$Y$6,0,YEAR(AQ$4)-YEAR('Rent Roll'!$Y$6)+1),0)</f>
        <v>0</v>
      </c>
      <c r="AR21" s="49">
        <f>IF(AR20=1,'Rent Roll'!$H$6/12*(1+'Rent Roll'!$I$6)^IF(AR$4&lt;'Rent Roll'!$Y$6,0,YEAR(AR$4)-YEAR('Rent Roll'!$Y$6)+1),0)</f>
        <v>0</v>
      </c>
      <c r="AS21" s="49">
        <f>IF(AS20=1,'Rent Roll'!$H$6/12*(1+'Rent Roll'!$I$6)^IF(AS$4&lt;'Rent Roll'!$Y$6,0,YEAR(AS$4)-YEAR('Rent Roll'!$Y$6)+1),0)</f>
        <v>0</v>
      </c>
      <c r="AT21" s="49">
        <f>IF(AT20=1,'Rent Roll'!$H$6/12*(1+'Rent Roll'!$I$6)^IF(AT$4&lt;'Rent Roll'!$Y$6,0,YEAR(AT$4)-YEAR('Rent Roll'!$Y$6)+1),0)</f>
        <v>0</v>
      </c>
      <c r="AU21" s="49">
        <f>IF(AU20=1,'Rent Roll'!$H$6/12*(1+'Rent Roll'!$I$6)^IF(AU$4&lt;'Rent Roll'!$Y$6,0,YEAR(AU$4)-YEAR('Rent Roll'!$Y$6)+1),0)</f>
        <v>0</v>
      </c>
      <c r="AV21" s="49">
        <f>IF(AV20=1,'Rent Roll'!$H$6/12*(1+'Rent Roll'!$I$6)^IF(AV$4&lt;'Rent Roll'!$Y$6,0,YEAR(AV$4)-YEAR('Rent Roll'!$Y$6)+1),0)</f>
        <v>0</v>
      </c>
      <c r="AW21" s="49">
        <f>IF(AW20=1,'Rent Roll'!$H$6/12*(1+'Rent Roll'!$I$6)^IF(AW$4&lt;'Rent Roll'!$Y$6,0,YEAR(AW$4)-YEAR('Rent Roll'!$Y$6)+1),0)</f>
        <v>0</v>
      </c>
      <c r="AX21" s="49">
        <f>IF(AX20=1,'Rent Roll'!$H$6/12*(1+'Rent Roll'!$I$6)^IF(AX$4&lt;'Rent Roll'!$Y$6,0,YEAR(AX$4)-YEAR('Rent Roll'!$Y$6)+1),0)</f>
        <v>0</v>
      </c>
      <c r="AY21" s="49">
        <f>IF(AY20=1,'Rent Roll'!$H$6/12*(1+'Rent Roll'!$I$6)^IF(AY$4&lt;'Rent Roll'!$Y$6,0,YEAR(AY$4)-YEAR('Rent Roll'!$Y$6)+1),0)</f>
        <v>0</v>
      </c>
      <c r="AZ21" s="49">
        <f>IF(AZ20=1,'Rent Roll'!$H$6/12*(1+'Rent Roll'!$I$6)^IF(AZ$4&lt;'Rent Roll'!$Y$6,0,YEAR(AZ$4)-YEAR('Rent Roll'!$Y$6)+1),0)</f>
        <v>0</v>
      </c>
      <c r="BA21" s="49">
        <f>IF(BA20=1,'Rent Roll'!$H$6/12*(1+'Rent Roll'!$I$6)^IF(BA$4&lt;'Rent Roll'!$Y$6,0,YEAR(BA$4)-YEAR('Rent Roll'!$Y$6)+1),0)</f>
        <v>0</v>
      </c>
      <c r="BB21" s="49">
        <f>IF(BB20=1,'Rent Roll'!$H$6/12*(1+'Rent Roll'!$I$6)^IF(BB$4&lt;'Rent Roll'!$Y$6,0,YEAR(BB$4)-YEAR('Rent Roll'!$Y$6)+1),0)</f>
        <v>0</v>
      </c>
      <c r="BC21" s="49">
        <f>IF(BC20=1,'Rent Roll'!$H$6/12*(1+'Rent Roll'!$I$6)^IF(BC$4&lt;'Rent Roll'!$Y$6,0,YEAR(BC$4)-YEAR('Rent Roll'!$Y$6)+1),0)</f>
        <v>0</v>
      </c>
      <c r="BD21" s="49">
        <f>IF(BD20=1,'Rent Roll'!$H$6/12*(1+'Rent Roll'!$I$6)^IF(BD$4&lt;'Rent Roll'!$Y$6,0,YEAR(BD$4)-YEAR('Rent Roll'!$Y$6)+1),0)</f>
        <v>0</v>
      </c>
      <c r="BE21" s="49">
        <f>IF(BE20=1,'Rent Roll'!$H$6/12*(1+'Rent Roll'!$I$6)^IF(BE$4&lt;'Rent Roll'!$Y$6,0,YEAR(BE$4)-YEAR('Rent Roll'!$Y$6)+1),0)</f>
        <v>0</v>
      </c>
      <c r="BF21" s="49">
        <f>IF(BF20=1,'Rent Roll'!$H$6/12*(1+'Rent Roll'!$I$6)^IF(BF$4&lt;'Rent Roll'!$Y$6,0,YEAR(BF$4)-YEAR('Rent Roll'!$Y$6)+1),0)</f>
        <v>0</v>
      </c>
      <c r="BG21" s="49">
        <f>IF(BG20=1,'Rent Roll'!$H$6/12*(1+'Rent Roll'!$I$6)^IF(BG$4&lt;'Rent Roll'!$Y$6,0,YEAR(BG$4)-YEAR('Rent Roll'!$Y$6)+1),0)</f>
        <v>0</v>
      </c>
      <c r="BH21" s="49">
        <f>IF(BH20=1,'Rent Roll'!$H$6/12*(1+'Rent Roll'!$I$6)^IF(BH$4&lt;'Rent Roll'!$Y$6,0,YEAR(BH$4)-YEAR('Rent Roll'!$Y$6)+1),0)</f>
        <v>0</v>
      </c>
      <c r="BI21" s="49">
        <f>IF(BI20=1,'Rent Roll'!$H$6/12*(1+'Rent Roll'!$I$6)^IF(BI$4&lt;'Rent Roll'!$Y$6,0,YEAR(BI$4)-YEAR('Rent Roll'!$Y$6)+1),0)</f>
        <v>0</v>
      </c>
      <c r="BJ21" s="49">
        <f>IF(BJ20=1,'Rent Roll'!$H$6/12*(1+'Rent Roll'!$I$6)^IF(BJ$4&lt;'Rent Roll'!$Y$6,0,YEAR(BJ$4)-YEAR('Rent Roll'!$Y$6)+1),0)</f>
        <v>0</v>
      </c>
      <c r="BK21" s="49">
        <f>IF(BK20=1,'Rent Roll'!$H$6/12*(1+'Rent Roll'!$I$6)^IF(BK$4&lt;'Rent Roll'!$Y$6,0,YEAR(BK$4)-YEAR('Rent Roll'!$Y$6)+1),0)</f>
        <v>0</v>
      </c>
      <c r="BL21" s="49">
        <f>IF(BL20=1,'Rent Roll'!$H$6/12*(1+'Rent Roll'!$I$6)^IF(BL$4&lt;'Rent Roll'!$Y$6,0,YEAR(BL$4)-YEAR('Rent Roll'!$Y$6)+1),0)</f>
        <v>0</v>
      </c>
      <c r="BM21" s="49">
        <f>IF(BM20=1,'Rent Roll'!$H$6/12*(1+'Rent Roll'!$I$6)^IF(BM$4&lt;'Rent Roll'!$Y$6,0,YEAR(BM$4)-YEAR('Rent Roll'!$Y$6)+1),0)</f>
        <v>0</v>
      </c>
      <c r="BN21" s="49">
        <f>IF(BN20=1,'Rent Roll'!$H$6/12*(1+'Rent Roll'!$I$6)^IF(BN$4&lt;'Rent Roll'!$Y$6,0,YEAR(BN$4)-YEAR('Rent Roll'!$Y$6)+1),0)</f>
        <v>0</v>
      </c>
      <c r="BO21" s="49">
        <f>IF(BO20=1,'Rent Roll'!$H$6/12*(1+'Rent Roll'!$I$6)^IF(BO$4&lt;'Rent Roll'!$Y$6,0,YEAR(BO$4)-YEAR('Rent Roll'!$Y$6)+1),0)</f>
        <v>0</v>
      </c>
      <c r="BP21" s="49">
        <f>IF(BP20=1,'Rent Roll'!$H$6/12*(1+'Rent Roll'!$I$6)^IF(BP$4&lt;'Rent Roll'!$Y$6,0,YEAR(BP$4)-YEAR('Rent Roll'!$Y$6)+1),0)</f>
        <v>0</v>
      </c>
      <c r="BQ21" s="49">
        <f>IF(BQ20=1,'Rent Roll'!$H$6/12*(1+'Rent Roll'!$I$6)^IF(BQ$4&lt;'Rent Roll'!$Y$6,0,YEAR(BQ$4)-YEAR('Rent Roll'!$Y$6)+1),0)</f>
        <v>0</v>
      </c>
      <c r="BR21" s="49">
        <f>IF(BR20=1,'Rent Roll'!$H$6/12*(1+'Rent Roll'!$I$6)^IF(BR$4&lt;'Rent Roll'!$Y$6,0,YEAR(BR$4)-YEAR('Rent Roll'!$Y$6)+1),0)</f>
        <v>0</v>
      </c>
      <c r="BS21" s="49">
        <f>IF(BS20=1,'Rent Roll'!$H$6/12*(1+'Rent Roll'!$I$6)^IF(BS$4&lt;'Rent Roll'!$Y$6,0,YEAR(BS$4)-YEAR('Rent Roll'!$Y$6)+1),0)</f>
        <v>0</v>
      </c>
      <c r="BT21" s="49">
        <f>IF(BT20=1,'Rent Roll'!$H$6/12*(1+'Rent Roll'!$I$6)^IF(BT$4&lt;'Rent Roll'!$Y$6,0,YEAR(BT$4)-YEAR('Rent Roll'!$Y$6)+1),0)</f>
        <v>0</v>
      </c>
      <c r="BU21" s="49">
        <f>IF(BU20=1,'Rent Roll'!$H$6/12*(1+'Rent Roll'!$I$6)^IF(BU$4&lt;'Rent Roll'!$Y$6,0,YEAR(BU$4)-YEAR('Rent Roll'!$Y$6)+1),0)</f>
        <v>0</v>
      </c>
      <c r="BV21" s="49">
        <f>IF(BV20=1,'Rent Roll'!$H$6/12*(1+'Rent Roll'!$I$6)^IF(BV$4&lt;'Rent Roll'!$Y$6,0,YEAR(BV$4)-YEAR('Rent Roll'!$Y$6)+1),0)</f>
        <v>0</v>
      </c>
      <c r="BW21" s="49">
        <f>IF(BW20=1,'Rent Roll'!$H$6/12*(1+'Rent Roll'!$I$6)^IF(BW$4&lt;'Rent Roll'!$Y$6,0,YEAR(BW$4)-YEAR('Rent Roll'!$Y$6)+1),0)</f>
        <v>0</v>
      </c>
      <c r="BX21" s="49">
        <f>IF(BX20=1,'Rent Roll'!$H$6/12*(1+'Rent Roll'!$I$6)^IF(BX$4&lt;'Rent Roll'!$Y$6,0,YEAR(BX$4)-YEAR('Rent Roll'!$Y$6)+1),0)</f>
        <v>0</v>
      </c>
    </row>
    <row r="22" spans="1:76" hidden="1" outlineLevel="1">
      <c r="B22" t="s">
        <v>160</v>
      </c>
      <c r="D22" s="49">
        <f>IF(D$4&gt;EOMONTH(CloseDate,'Rent Roll'!$O$6+'Rent Roll'!$S$6-1),1,0)</f>
        <v>0</v>
      </c>
      <c r="E22" s="49">
        <f>IF(E$4&gt;EOMONTH(CloseDate,'Rent Roll'!$O$6+'Rent Roll'!$S$6-1),1,0)</f>
        <v>0</v>
      </c>
      <c r="F22" s="49">
        <f>IF(F$4&gt;EOMONTH(CloseDate,'Rent Roll'!$O$6+'Rent Roll'!$S$6-1),1,0)</f>
        <v>0</v>
      </c>
      <c r="G22" s="49">
        <f>IF(G$4&gt;EOMONTH(CloseDate,'Rent Roll'!$O$6+'Rent Roll'!$S$6-1),1,0)</f>
        <v>0</v>
      </c>
      <c r="H22" s="49">
        <f>IF(H$4&gt;EOMONTH(CloseDate,'Rent Roll'!$O$6+'Rent Roll'!$S$6-1),1,0)</f>
        <v>0</v>
      </c>
      <c r="I22" s="49">
        <f>IF(I$4&gt;EOMONTH(CloseDate,'Rent Roll'!$O$6+'Rent Roll'!$S$6-1),1,0)</f>
        <v>0</v>
      </c>
      <c r="J22" s="49">
        <f>IF(J$4&gt;EOMONTH(CloseDate,'Rent Roll'!$O$6+'Rent Roll'!$S$6-1),1,0)</f>
        <v>0</v>
      </c>
      <c r="K22" s="49">
        <f>IF(K$4&gt;EOMONTH(CloseDate,'Rent Roll'!$O$6+'Rent Roll'!$S$6-1),1,0)</f>
        <v>0</v>
      </c>
      <c r="L22" s="49">
        <f>IF(L$4&gt;EOMONTH(CloseDate,'Rent Roll'!$O$6+'Rent Roll'!$S$6-1),1,0)</f>
        <v>0</v>
      </c>
      <c r="M22" s="49">
        <f>IF(M$4&gt;EOMONTH(CloseDate,'Rent Roll'!$O$6+'Rent Roll'!$S$6-1),1,0)</f>
        <v>0</v>
      </c>
      <c r="N22" s="49">
        <f>IF(N$4&gt;EOMONTH(CloseDate,'Rent Roll'!$O$6+'Rent Roll'!$S$6-1),1,0)</f>
        <v>0</v>
      </c>
      <c r="O22" s="49">
        <f>IF(O$4&gt;EOMONTH(CloseDate,'Rent Roll'!$O$6+'Rent Roll'!$S$6-1),1,0)</f>
        <v>0</v>
      </c>
      <c r="P22" s="49">
        <f>IF(P$4&gt;EOMONTH(CloseDate,'Rent Roll'!$O$6+'Rent Roll'!$S$6-1),1,0)</f>
        <v>0</v>
      </c>
      <c r="Q22" s="49">
        <f>IF(Q$4&gt;EOMONTH(CloseDate,'Rent Roll'!$O$6+'Rent Roll'!$S$6-1),1,0)</f>
        <v>0</v>
      </c>
      <c r="R22" s="49">
        <f>IF(R$4&gt;EOMONTH(CloseDate,'Rent Roll'!$O$6+'Rent Roll'!$S$6-1),1,0)</f>
        <v>0</v>
      </c>
      <c r="S22" s="49">
        <f>IF(S$4&gt;EOMONTH(CloseDate,'Rent Roll'!$O$6+'Rent Roll'!$S$6-1),1,0)</f>
        <v>0</v>
      </c>
      <c r="T22" s="49">
        <f>IF(T$4&gt;EOMONTH(CloseDate,'Rent Roll'!$O$6+'Rent Roll'!$S$6-1),1,0)</f>
        <v>0</v>
      </c>
      <c r="U22" s="49">
        <f>IF(U$4&gt;EOMONTH(CloseDate,'Rent Roll'!$O$6+'Rent Roll'!$S$6-1),1,0)</f>
        <v>0</v>
      </c>
      <c r="V22" s="49">
        <f>IF(V$4&gt;EOMONTH(CloseDate,'Rent Roll'!$O$6+'Rent Roll'!$S$6-1),1,0)</f>
        <v>0</v>
      </c>
      <c r="W22" s="49">
        <f>IF(W$4&gt;EOMONTH(CloseDate,'Rent Roll'!$O$6+'Rent Roll'!$S$6-1),1,0)</f>
        <v>0</v>
      </c>
      <c r="X22" s="49">
        <f>IF(X$4&gt;EOMONTH(CloseDate,'Rent Roll'!$O$6+'Rent Roll'!$S$6-1),1,0)</f>
        <v>0</v>
      </c>
      <c r="Y22" s="49">
        <f>IF(Y$4&gt;EOMONTH(CloseDate,'Rent Roll'!$O$6+'Rent Roll'!$S$6-1),1,0)</f>
        <v>0</v>
      </c>
      <c r="Z22" s="49">
        <f>IF(Z$4&gt;EOMONTH(CloseDate,'Rent Roll'!$O$6+'Rent Roll'!$S$6-1),1,0)</f>
        <v>0</v>
      </c>
      <c r="AA22" s="49">
        <f>IF(AA$4&gt;EOMONTH(CloseDate,'Rent Roll'!$O$6+'Rent Roll'!$S$6-1),1,0)</f>
        <v>0</v>
      </c>
      <c r="AB22" s="49">
        <f>IF(AB$4&gt;EOMONTH(CloseDate,'Rent Roll'!$O$6+'Rent Roll'!$S$6-1),1,0)</f>
        <v>0</v>
      </c>
      <c r="AC22" s="49">
        <f>IF(AC$4&gt;EOMONTH(CloseDate,'Rent Roll'!$O$6+'Rent Roll'!$S$6-1),1,0)</f>
        <v>0</v>
      </c>
      <c r="AD22" s="49">
        <f>IF(AD$4&gt;EOMONTH(CloseDate,'Rent Roll'!$O$6+'Rent Roll'!$S$6-1),1,0)</f>
        <v>0</v>
      </c>
      <c r="AE22" s="49">
        <f>IF(AE$4&gt;EOMONTH(CloseDate,'Rent Roll'!$O$6+'Rent Roll'!$S$6-1),1,0)</f>
        <v>0</v>
      </c>
      <c r="AF22" s="49">
        <f>IF(AF$4&gt;EOMONTH(CloseDate,'Rent Roll'!$O$6+'Rent Roll'!$S$6-1),1,0)</f>
        <v>0</v>
      </c>
      <c r="AG22" s="49">
        <f>IF(AG$4&gt;EOMONTH(CloseDate,'Rent Roll'!$O$6+'Rent Roll'!$S$6-1),1,0)</f>
        <v>0</v>
      </c>
      <c r="AH22" s="49">
        <f>IF(AH$4&gt;EOMONTH(CloseDate,'Rent Roll'!$O$6+'Rent Roll'!$S$6-1),1,0)</f>
        <v>0</v>
      </c>
      <c r="AI22" s="49">
        <f>IF(AI$4&gt;EOMONTH(CloseDate,'Rent Roll'!$O$6+'Rent Roll'!$S$6-1),1,0)</f>
        <v>0</v>
      </c>
      <c r="AJ22" s="49">
        <f>IF(AJ$4&gt;EOMONTH(CloseDate,'Rent Roll'!$O$6+'Rent Roll'!$S$6-1),1,0)</f>
        <v>0</v>
      </c>
      <c r="AK22" s="49">
        <f>IF(AK$4&gt;EOMONTH(CloseDate,'Rent Roll'!$O$6+'Rent Roll'!$S$6-1),1,0)</f>
        <v>0</v>
      </c>
      <c r="AL22" s="49">
        <f>IF(AL$4&gt;EOMONTH(CloseDate,'Rent Roll'!$O$6+'Rent Roll'!$S$6-1),1,0)</f>
        <v>0</v>
      </c>
      <c r="AM22" s="49">
        <f>IF(AM$4&gt;EOMONTH(CloseDate,'Rent Roll'!$O$6+'Rent Roll'!$S$6-1),1,0)</f>
        <v>0</v>
      </c>
      <c r="AN22" s="49">
        <f>IF(AN$4&gt;EOMONTH(CloseDate,'Rent Roll'!$O$6+'Rent Roll'!$S$6-1),1,0)</f>
        <v>1</v>
      </c>
      <c r="AO22" s="49">
        <f>IF(AO$4&gt;EOMONTH(CloseDate,'Rent Roll'!$O$6+'Rent Roll'!$S$6-1),1,0)</f>
        <v>1</v>
      </c>
      <c r="AP22" s="49">
        <f>IF(AP$4&gt;EOMONTH(CloseDate,'Rent Roll'!$O$6+'Rent Roll'!$S$6-1),1,0)</f>
        <v>1</v>
      </c>
      <c r="AQ22" s="49">
        <f>IF(AQ$4&gt;EOMONTH(CloseDate,'Rent Roll'!$O$6+'Rent Roll'!$S$6-1),1,0)</f>
        <v>1</v>
      </c>
      <c r="AR22" s="49">
        <f>IF(AR$4&gt;EOMONTH(CloseDate,'Rent Roll'!$O$6+'Rent Roll'!$S$6-1),1,0)</f>
        <v>1</v>
      </c>
      <c r="AS22" s="49">
        <f>IF(AS$4&gt;EOMONTH(CloseDate,'Rent Roll'!$O$6+'Rent Roll'!$S$6-1),1,0)</f>
        <v>1</v>
      </c>
      <c r="AT22" s="49">
        <f>IF(AT$4&gt;EOMONTH(CloseDate,'Rent Roll'!$O$6+'Rent Roll'!$S$6-1),1,0)</f>
        <v>1</v>
      </c>
      <c r="AU22" s="49">
        <f>IF(AU$4&gt;EOMONTH(CloseDate,'Rent Roll'!$O$6+'Rent Roll'!$S$6-1),1,0)</f>
        <v>1</v>
      </c>
      <c r="AV22" s="49">
        <f>IF(AV$4&gt;EOMONTH(CloseDate,'Rent Roll'!$O$6+'Rent Roll'!$S$6-1),1,0)</f>
        <v>1</v>
      </c>
      <c r="AW22" s="49">
        <f>IF(AW$4&gt;EOMONTH(CloseDate,'Rent Roll'!$O$6+'Rent Roll'!$S$6-1),1,0)</f>
        <v>1</v>
      </c>
      <c r="AX22" s="49">
        <f>IF(AX$4&gt;EOMONTH(CloseDate,'Rent Roll'!$O$6+'Rent Roll'!$S$6-1),1,0)</f>
        <v>1</v>
      </c>
      <c r="AY22" s="49">
        <f>IF(AY$4&gt;EOMONTH(CloseDate,'Rent Roll'!$O$6+'Rent Roll'!$S$6-1),1,0)</f>
        <v>1</v>
      </c>
      <c r="AZ22" s="49">
        <f>IF(AZ$4&gt;EOMONTH(CloseDate,'Rent Roll'!$O$6+'Rent Roll'!$S$6-1),1,0)</f>
        <v>1</v>
      </c>
      <c r="BA22" s="49">
        <f>IF(BA$4&gt;EOMONTH(CloseDate,'Rent Roll'!$O$6+'Rent Roll'!$S$6-1),1,0)</f>
        <v>1</v>
      </c>
      <c r="BB22" s="49">
        <f>IF(BB$4&gt;EOMONTH(CloseDate,'Rent Roll'!$O$6+'Rent Roll'!$S$6-1),1,0)</f>
        <v>1</v>
      </c>
      <c r="BC22" s="49">
        <f>IF(BC$4&gt;EOMONTH(CloseDate,'Rent Roll'!$O$6+'Rent Roll'!$S$6-1),1,0)</f>
        <v>1</v>
      </c>
      <c r="BD22" s="49">
        <f>IF(BD$4&gt;EOMONTH(CloseDate,'Rent Roll'!$O$6+'Rent Roll'!$S$6-1),1,0)</f>
        <v>1</v>
      </c>
      <c r="BE22" s="49">
        <f>IF(BE$4&gt;EOMONTH(CloseDate,'Rent Roll'!$O$6+'Rent Roll'!$S$6-1),1,0)</f>
        <v>1</v>
      </c>
      <c r="BF22" s="49">
        <f>IF(BF$4&gt;EOMONTH(CloseDate,'Rent Roll'!$O$6+'Rent Roll'!$S$6-1),1,0)</f>
        <v>1</v>
      </c>
      <c r="BG22" s="49">
        <f>IF(BG$4&gt;EOMONTH(CloseDate,'Rent Roll'!$O$6+'Rent Roll'!$S$6-1),1,0)</f>
        <v>1</v>
      </c>
      <c r="BH22" s="49">
        <f>IF(BH$4&gt;EOMONTH(CloseDate,'Rent Roll'!$O$6+'Rent Roll'!$S$6-1),1,0)</f>
        <v>1</v>
      </c>
      <c r="BI22" s="49">
        <f>IF(BI$4&gt;EOMONTH(CloseDate,'Rent Roll'!$O$6+'Rent Roll'!$S$6-1),1,0)</f>
        <v>1</v>
      </c>
      <c r="BJ22" s="49">
        <f>IF(BJ$4&gt;EOMONTH(CloseDate,'Rent Roll'!$O$6+'Rent Roll'!$S$6-1),1,0)</f>
        <v>1</v>
      </c>
      <c r="BK22" s="49">
        <f>IF(BK$4&gt;EOMONTH(CloseDate,'Rent Roll'!$O$6+'Rent Roll'!$S$6-1),1,0)</f>
        <v>1</v>
      </c>
      <c r="BL22" s="49">
        <f>IF(BL$4&gt;EOMONTH(CloseDate,'Rent Roll'!$O$6+'Rent Roll'!$S$6-1),1,0)</f>
        <v>1</v>
      </c>
      <c r="BM22" s="49">
        <f>IF(BM$4&gt;EOMONTH(CloseDate,'Rent Roll'!$O$6+'Rent Roll'!$S$6-1),1,0)</f>
        <v>1</v>
      </c>
      <c r="BN22" s="49">
        <f>IF(BN$4&gt;EOMONTH(CloseDate,'Rent Roll'!$O$6+'Rent Roll'!$S$6-1),1,0)</f>
        <v>1</v>
      </c>
      <c r="BO22" s="49">
        <f>IF(BO$4&gt;EOMONTH(CloseDate,'Rent Roll'!$O$6+'Rent Roll'!$S$6-1),1,0)</f>
        <v>1</v>
      </c>
      <c r="BP22" s="49">
        <f>IF(BP$4&gt;EOMONTH(CloseDate,'Rent Roll'!$O$6+'Rent Roll'!$S$6-1),1,0)</f>
        <v>1</v>
      </c>
      <c r="BQ22" s="49">
        <f>IF(BQ$4&gt;EOMONTH(CloseDate,'Rent Roll'!$O$6+'Rent Roll'!$S$6-1),1,0)</f>
        <v>1</v>
      </c>
      <c r="BR22" s="49">
        <f>IF(BR$4&gt;EOMONTH(CloseDate,'Rent Roll'!$O$6+'Rent Roll'!$S$6-1),1,0)</f>
        <v>1</v>
      </c>
      <c r="BS22" s="49">
        <f>IF(BS$4&gt;EOMONTH(CloseDate,'Rent Roll'!$O$6+'Rent Roll'!$S$6-1),1,0)</f>
        <v>1</v>
      </c>
      <c r="BT22" s="49">
        <f>IF(BT$4&gt;EOMONTH(CloseDate,'Rent Roll'!$O$6+'Rent Roll'!$S$6-1),1,0)</f>
        <v>1</v>
      </c>
      <c r="BU22" s="49">
        <f>IF(BU$4&gt;EOMONTH(CloseDate,'Rent Roll'!$O$6+'Rent Roll'!$S$6-1),1,0)</f>
        <v>1</v>
      </c>
      <c r="BV22" s="49">
        <f>IF(BV$4&gt;EOMONTH(CloseDate,'Rent Roll'!$O$6+'Rent Roll'!$S$6-1),1,0)</f>
        <v>1</v>
      </c>
      <c r="BW22" s="49">
        <f>IF(BW$4&gt;EOMONTH(CloseDate,'Rent Roll'!$O$6+'Rent Roll'!$S$6-1),1,0)</f>
        <v>1</v>
      </c>
      <c r="BX22" s="49">
        <f>IF(BX$4&gt;EOMONTH(CloseDate,'Rent Roll'!$O$6+'Rent Roll'!$S$6-1),1,0)</f>
        <v>1</v>
      </c>
    </row>
    <row r="23" spans="1:76" hidden="1" outlineLevel="1">
      <c r="B23" t="s">
        <v>162</v>
      </c>
      <c r="D23" s="49">
        <f>IF(D22=1,'Rent Roll'!$F$6*'Rent Roll'!$X$6/12*D$6,0)</f>
        <v>0</v>
      </c>
      <c r="E23" s="49">
        <f>IF(E22=1,'Rent Roll'!$F$6*'Rent Roll'!$X$6/12*E$6,0)</f>
        <v>0</v>
      </c>
      <c r="F23" s="49">
        <f>IF(F22=1,'Rent Roll'!$F$6*'Rent Roll'!$X$6/12*F$6,0)</f>
        <v>0</v>
      </c>
      <c r="G23" s="49">
        <f>IF(G22=1,'Rent Roll'!$F$6*'Rent Roll'!$X$6/12*G$6,0)</f>
        <v>0</v>
      </c>
      <c r="H23" s="49">
        <f>IF(H22=1,'Rent Roll'!$F$6*'Rent Roll'!$X$6/12*H$6,0)</f>
        <v>0</v>
      </c>
      <c r="I23" s="49">
        <f>IF(I22=1,'Rent Roll'!$F$6*'Rent Roll'!$X$6/12*I$6,0)</f>
        <v>0</v>
      </c>
      <c r="J23" s="49">
        <f>IF(J22=1,'Rent Roll'!$F$6*'Rent Roll'!$X$6/12*J$6,0)</f>
        <v>0</v>
      </c>
      <c r="K23" s="49">
        <f>IF(K22=1,'Rent Roll'!$F$6*'Rent Roll'!$X$6/12*K$6,0)</f>
        <v>0</v>
      </c>
      <c r="L23" s="49">
        <f>IF(L22=1,'Rent Roll'!$F$6*'Rent Roll'!$X$6/12*L$6,0)</f>
        <v>0</v>
      </c>
      <c r="M23" s="49">
        <f>IF(M22=1,'Rent Roll'!$F$6*'Rent Roll'!$X$6/12*M$6,0)</f>
        <v>0</v>
      </c>
      <c r="N23" s="49">
        <f>IF(N22=1,'Rent Roll'!$F$6*'Rent Roll'!$X$6/12*N$6,0)</f>
        <v>0</v>
      </c>
      <c r="O23" s="49">
        <f>IF(O22=1,'Rent Roll'!$F$6*'Rent Roll'!$X$6/12*O$6,0)</f>
        <v>0</v>
      </c>
      <c r="P23" s="49">
        <f>IF(P22=1,'Rent Roll'!$F$6*'Rent Roll'!$X$6/12*P$6,0)</f>
        <v>0</v>
      </c>
      <c r="Q23" s="49">
        <f>IF(Q22=1,'Rent Roll'!$F$6*'Rent Roll'!$X$6/12*Q$6,0)</f>
        <v>0</v>
      </c>
      <c r="R23" s="49">
        <f>IF(R22=1,'Rent Roll'!$F$6*'Rent Roll'!$X$6/12*R$6,0)</f>
        <v>0</v>
      </c>
      <c r="S23" s="49">
        <f>IF(S22=1,'Rent Roll'!$F$6*'Rent Roll'!$X$6/12*S$6,0)</f>
        <v>0</v>
      </c>
      <c r="T23" s="49">
        <f>IF(T22=1,'Rent Roll'!$F$6*'Rent Roll'!$X$6/12*T$6,0)</f>
        <v>0</v>
      </c>
      <c r="U23" s="49">
        <f>IF(U22=1,'Rent Roll'!$F$6*'Rent Roll'!$X$6/12*U$6,0)</f>
        <v>0</v>
      </c>
      <c r="V23" s="49">
        <f>IF(V22=1,'Rent Roll'!$F$6*'Rent Roll'!$X$6/12*V$6,0)</f>
        <v>0</v>
      </c>
      <c r="W23" s="49">
        <f>IF(W22=1,'Rent Roll'!$F$6*'Rent Roll'!$X$6/12*W$6,0)</f>
        <v>0</v>
      </c>
      <c r="X23" s="49">
        <f>IF(X22=1,'Rent Roll'!$F$6*'Rent Roll'!$X$6/12*X$6,0)</f>
        <v>0</v>
      </c>
      <c r="Y23" s="49">
        <f>IF(Y22=1,'Rent Roll'!$F$6*'Rent Roll'!$X$6/12*Y$6,0)</f>
        <v>0</v>
      </c>
      <c r="Z23" s="49">
        <f>IF(Z22=1,'Rent Roll'!$F$6*'Rent Roll'!$X$6/12*Z$6,0)</f>
        <v>0</v>
      </c>
      <c r="AA23" s="49">
        <f>IF(AA22=1,'Rent Roll'!$F$6*'Rent Roll'!$X$6/12*AA$6,0)</f>
        <v>0</v>
      </c>
      <c r="AB23" s="49">
        <f>IF(AB22=1,'Rent Roll'!$F$6*'Rent Roll'!$X$6/12*AB$6,0)</f>
        <v>0</v>
      </c>
      <c r="AC23" s="49">
        <f>IF(AC22=1,'Rent Roll'!$F$6*'Rent Roll'!$X$6/12*AC$6,0)</f>
        <v>0</v>
      </c>
      <c r="AD23" s="49">
        <f>IF(AD22=1,'Rent Roll'!$F$6*'Rent Roll'!$X$6/12*AD$6,0)</f>
        <v>0</v>
      </c>
      <c r="AE23" s="49">
        <f>IF(AE22=1,'Rent Roll'!$F$6*'Rent Roll'!$X$6/12*AE$6,0)</f>
        <v>0</v>
      </c>
      <c r="AF23" s="49">
        <f>IF(AF22=1,'Rent Roll'!$F$6*'Rent Roll'!$X$6/12*AF$6,0)</f>
        <v>0</v>
      </c>
      <c r="AG23" s="49">
        <f>IF(AG22=1,'Rent Roll'!$F$6*'Rent Roll'!$X$6/12*AG$6,0)</f>
        <v>0</v>
      </c>
      <c r="AH23" s="49">
        <f>IF(AH22=1,'Rent Roll'!$F$6*'Rent Roll'!$X$6/12*AH$6,0)</f>
        <v>0</v>
      </c>
      <c r="AI23" s="49">
        <f>IF(AI22=1,'Rent Roll'!$F$6*'Rent Roll'!$X$6/12*AI$6,0)</f>
        <v>0</v>
      </c>
      <c r="AJ23" s="49">
        <f>IF(AJ22=1,'Rent Roll'!$F$6*'Rent Roll'!$X$6/12*AJ$6,0)</f>
        <v>0</v>
      </c>
      <c r="AK23" s="49">
        <f>IF(AK22=1,'Rent Roll'!$F$6*'Rent Roll'!$X$6/12*AK$6,0)</f>
        <v>0</v>
      </c>
      <c r="AL23" s="49">
        <f>IF(AL22=1,'Rent Roll'!$F$6*'Rent Roll'!$X$6/12*AL$6,0)</f>
        <v>0</v>
      </c>
      <c r="AM23" s="49">
        <f>IF(AM22=1,'Rent Roll'!$F$6*'Rent Roll'!$X$6/12*AM$6,0)</f>
        <v>0</v>
      </c>
      <c r="AN23" s="49">
        <f>IF(AN22=1,'Rent Roll'!$F$6*'Rent Roll'!$X$6/12*AN$6,0)</f>
        <v>52129.321619374983</v>
      </c>
      <c r="AO23" s="49">
        <f>IF(AO22=1,'Rent Roll'!$F$6*'Rent Roll'!$X$6/12*AO$6,0)</f>
        <v>52129.321619374983</v>
      </c>
      <c r="AP23" s="49">
        <f>IF(AP22=1,'Rent Roll'!$F$6*'Rent Roll'!$X$6/12*AP$6,0)</f>
        <v>52129.321619374983</v>
      </c>
      <c r="AQ23" s="49">
        <f>IF(AQ22=1,'Rent Roll'!$F$6*'Rent Roll'!$X$6/12*AQ$6,0)</f>
        <v>52129.321619374983</v>
      </c>
      <c r="AR23" s="49">
        <f>IF(AR22=1,'Rent Roll'!$F$6*'Rent Roll'!$X$6/12*AR$6,0)</f>
        <v>52129.321619374983</v>
      </c>
      <c r="AS23" s="49">
        <f>IF(AS22=1,'Rent Roll'!$F$6*'Rent Roll'!$X$6/12*AS$6,0)</f>
        <v>53536.813303098097</v>
      </c>
      <c r="AT23" s="49">
        <f>IF(AT22=1,'Rent Roll'!$F$6*'Rent Roll'!$X$6/12*AT$6,0)</f>
        <v>53536.813303098097</v>
      </c>
      <c r="AU23" s="49">
        <f>IF(AU22=1,'Rent Roll'!$F$6*'Rent Roll'!$X$6/12*AU$6,0)</f>
        <v>53536.813303098097</v>
      </c>
      <c r="AV23" s="49">
        <f>IF(AV22=1,'Rent Roll'!$F$6*'Rent Roll'!$X$6/12*AV$6,0)</f>
        <v>53536.813303098097</v>
      </c>
      <c r="AW23" s="49">
        <f>IF(AW22=1,'Rent Roll'!$F$6*'Rent Roll'!$X$6/12*AW$6,0)</f>
        <v>53536.813303098097</v>
      </c>
      <c r="AX23" s="49">
        <f>IF(AX22=1,'Rent Roll'!$F$6*'Rent Roll'!$X$6/12*AX$6,0)</f>
        <v>53536.813303098097</v>
      </c>
      <c r="AY23" s="49">
        <f>IF(AY22=1,'Rent Roll'!$F$6*'Rent Roll'!$X$6/12*AY$6,0)</f>
        <v>53536.813303098097</v>
      </c>
      <c r="AZ23" s="49">
        <f>IF(AZ22=1,'Rent Roll'!$F$6*'Rent Roll'!$X$6/12*AZ$6,0)</f>
        <v>53536.813303098097</v>
      </c>
      <c r="BA23" s="49">
        <f>IF(BA22=1,'Rent Roll'!$F$6*'Rent Roll'!$X$6/12*BA$6,0)</f>
        <v>53536.813303098097</v>
      </c>
      <c r="BB23" s="49">
        <f>IF(BB22=1,'Rent Roll'!$F$6*'Rent Roll'!$X$6/12*BB$6,0)</f>
        <v>53536.813303098097</v>
      </c>
      <c r="BC23" s="49">
        <f>IF(BC22=1,'Rent Roll'!$F$6*'Rent Roll'!$X$6/12*BC$6,0)</f>
        <v>53536.813303098097</v>
      </c>
      <c r="BD23" s="49">
        <f>IF(BD22=1,'Rent Roll'!$F$6*'Rent Roll'!$X$6/12*BD$6,0)</f>
        <v>53536.813303098097</v>
      </c>
      <c r="BE23" s="49">
        <f>IF(BE22=1,'Rent Roll'!$F$6*'Rent Roll'!$X$6/12*BE$6,0)</f>
        <v>54982.307262281742</v>
      </c>
      <c r="BF23" s="49">
        <f>IF(BF22=1,'Rent Roll'!$F$6*'Rent Roll'!$X$6/12*BF$6,0)</f>
        <v>54982.307262281742</v>
      </c>
      <c r="BG23" s="49">
        <f>IF(BG22=1,'Rent Roll'!$F$6*'Rent Roll'!$X$6/12*BG$6,0)</f>
        <v>54982.307262281742</v>
      </c>
      <c r="BH23" s="49">
        <f>IF(BH22=1,'Rent Roll'!$F$6*'Rent Roll'!$X$6/12*BH$6,0)</f>
        <v>54982.307262281742</v>
      </c>
      <c r="BI23" s="49">
        <f>IF(BI22=1,'Rent Roll'!$F$6*'Rent Roll'!$X$6/12*BI$6,0)</f>
        <v>54982.307262281742</v>
      </c>
      <c r="BJ23" s="49">
        <f>IF(BJ22=1,'Rent Roll'!$F$6*'Rent Roll'!$X$6/12*BJ$6,0)</f>
        <v>54982.307262281742</v>
      </c>
      <c r="BK23" s="49">
        <f>IF(BK22=1,'Rent Roll'!$F$6*'Rent Roll'!$X$6/12*BK$6,0)</f>
        <v>54982.307262281742</v>
      </c>
      <c r="BL23" s="49">
        <f>IF(BL22=1,'Rent Roll'!$F$6*'Rent Roll'!$X$6/12*BL$6,0)</f>
        <v>54982.307262281742</v>
      </c>
      <c r="BM23" s="49">
        <f>IF(BM22=1,'Rent Roll'!$F$6*'Rent Roll'!$X$6/12*BM$6,0)</f>
        <v>54982.307262281742</v>
      </c>
      <c r="BN23" s="49">
        <f>IF(BN22=1,'Rent Roll'!$F$6*'Rent Roll'!$X$6/12*BN$6,0)</f>
        <v>54982.307262281742</v>
      </c>
      <c r="BO23" s="49">
        <f>IF(BO22=1,'Rent Roll'!$F$6*'Rent Roll'!$X$6/12*BO$6,0)</f>
        <v>54982.307262281742</v>
      </c>
      <c r="BP23" s="49">
        <f>IF(BP22=1,'Rent Roll'!$F$6*'Rent Roll'!$X$6/12*BP$6,0)</f>
        <v>54982.307262281742</v>
      </c>
      <c r="BQ23" s="49">
        <f>IF(BQ22=1,'Rent Roll'!$F$6*'Rent Roll'!$X$6/12*BQ$6,0)</f>
        <v>56466.829558363344</v>
      </c>
      <c r="BR23" s="49">
        <f>IF(BR22=1,'Rent Roll'!$F$6*'Rent Roll'!$X$6/12*BR$6,0)</f>
        <v>56466.829558363344</v>
      </c>
      <c r="BS23" s="49">
        <f>IF(BS22=1,'Rent Roll'!$F$6*'Rent Roll'!$X$6/12*BS$6,0)</f>
        <v>56466.829558363344</v>
      </c>
      <c r="BT23" s="49">
        <f>IF(BT22=1,'Rent Roll'!$F$6*'Rent Roll'!$X$6/12*BT$6,0)</f>
        <v>56466.829558363344</v>
      </c>
      <c r="BU23" s="49">
        <f>IF(BU22=1,'Rent Roll'!$F$6*'Rent Roll'!$X$6/12*BU$6,0)</f>
        <v>56466.829558363344</v>
      </c>
      <c r="BV23" s="49">
        <f>IF(BV22=1,'Rent Roll'!$F$6*'Rent Roll'!$X$6/12*BV$6,0)</f>
        <v>56466.829558363344</v>
      </c>
      <c r="BW23" s="49">
        <f>IF(BW22=1,'Rent Roll'!$F$6*'Rent Roll'!$X$6/12*BW$6,0)</f>
        <v>56466.829558363344</v>
      </c>
      <c r="BX23" s="49">
        <f>IF(BX22=1,'Rent Roll'!$F$6*'Rent Roll'!$X$6/12*BX$6,0)</f>
        <v>56466.829558363344</v>
      </c>
    </row>
    <row r="24" spans="1:76" hidden="1" outlineLevel="1">
      <c r="B24" t="s">
        <v>163</v>
      </c>
      <c r="D24" s="49">
        <f>IF(AND(D$4&gt;EOMONTH(CloseDate,'Rent Roll'!$O$6+'Rent Roll'!$S$6-1),D$4&lt;=EOMONTH(CloseDate,'Rent Roll'!$O$6+'Rent Roll'!$S$6-1+'Rent Roll'!$V$6)),-D23,0)</f>
        <v>0</v>
      </c>
      <c r="E24" s="49">
        <f>IF(AND(E$4&gt;EOMONTH(CloseDate,'Rent Roll'!$O$6+'Rent Roll'!$S$6-1),E$4&lt;=EOMONTH(CloseDate,'Rent Roll'!$O$6+'Rent Roll'!$S$6-1+'Rent Roll'!$V$6)),-E23,0)</f>
        <v>0</v>
      </c>
      <c r="F24" s="49">
        <f>IF(AND(F$4&gt;EOMONTH(CloseDate,'Rent Roll'!$O$6+'Rent Roll'!$S$6-1),F$4&lt;=EOMONTH(CloseDate,'Rent Roll'!$O$6+'Rent Roll'!$S$6-1+'Rent Roll'!$V$6)),-F23,0)</f>
        <v>0</v>
      </c>
      <c r="G24" s="49">
        <f>IF(AND(G$4&gt;EOMONTH(CloseDate,'Rent Roll'!$O$6+'Rent Roll'!$S$6-1),G$4&lt;=EOMONTH(CloseDate,'Rent Roll'!$O$6+'Rent Roll'!$S$6-1+'Rent Roll'!$V$6)),-G23,0)</f>
        <v>0</v>
      </c>
      <c r="H24" s="49">
        <f>IF(AND(H$4&gt;EOMONTH(CloseDate,'Rent Roll'!$O$6+'Rent Roll'!$S$6-1),H$4&lt;=EOMONTH(CloseDate,'Rent Roll'!$O$6+'Rent Roll'!$S$6-1+'Rent Roll'!$V$6)),-H23,0)</f>
        <v>0</v>
      </c>
      <c r="I24" s="49">
        <f>IF(AND(I$4&gt;EOMONTH(CloseDate,'Rent Roll'!$O$6+'Rent Roll'!$S$6-1),I$4&lt;=EOMONTH(CloseDate,'Rent Roll'!$O$6+'Rent Roll'!$S$6-1+'Rent Roll'!$V$6)),-I23,0)</f>
        <v>0</v>
      </c>
      <c r="J24" s="49">
        <f>IF(AND(J$4&gt;EOMONTH(CloseDate,'Rent Roll'!$O$6+'Rent Roll'!$S$6-1),J$4&lt;=EOMONTH(CloseDate,'Rent Roll'!$O$6+'Rent Roll'!$S$6-1+'Rent Roll'!$V$6)),-J23,0)</f>
        <v>0</v>
      </c>
      <c r="K24" s="49">
        <f>IF(AND(K$4&gt;EOMONTH(CloseDate,'Rent Roll'!$O$6+'Rent Roll'!$S$6-1),K$4&lt;=EOMONTH(CloseDate,'Rent Roll'!$O$6+'Rent Roll'!$S$6-1+'Rent Roll'!$V$6)),-K23,0)</f>
        <v>0</v>
      </c>
      <c r="L24" s="49">
        <f>IF(AND(L$4&gt;EOMONTH(CloseDate,'Rent Roll'!$O$6+'Rent Roll'!$S$6-1),L$4&lt;=EOMONTH(CloseDate,'Rent Roll'!$O$6+'Rent Roll'!$S$6-1+'Rent Roll'!$V$6)),-L23,0)</f>
        <v>0</v>
      </c>
      <c r="M24" s="49">
        <f>IF(AND(M$4&gt;EOMONTH(CloseDate,'Rent Roll'!$O$6+'Rent Roll'!$S$6-1),M$4&lt;=EOMONTH(CloseDate,'Rent Roll'!$O$6+'Rent Roll'!$S$6-1+'Rent Roll'!$V$6)),-M23,0)</f>
        <v>0</v>
      </c>
      <c r="N24" s="49">
        <f>IF(AND(N$4&gt;EOMONTH(CloseDate,'Rent Roll'!$O$6+'Rent Roll'!$S$6-1),N$4&lt;=EOMONTH(CloseDate,'Rent Roll'!$O$6+'Rent Roll'!$S$6-1+'Rent Roll'!$V$6)),-N23,0)</f>
        <v>0</v>
      </c>
      <c r="O24" s="49">
        <f>IF(AND(O$4&gt;EOMONTH(CloseDate,'Rent Roll'!$O$6+'Rent Roll'!$S$6-1),O$4&lt;=EOMONTH(CloseDate,'Rent Roll'!$O$6+'Rent Roll'!$S$6-1+'Rent Roll'!$V$6)),-O23,0)</f>
        <v>0</v>
      </c>
      <c r="P24" s="49">
        <f>IF(AND(P$4&gt;EOMONTH(CloseDate,'Rent Roll'!$O$6+'Rent Roll'!$S$6-1),P$4&lt;=EOMONTH(CloseDate,'Rent Roll'!$O$6+'Rent Roll'!$S$6-1+'Rent Roll'!$V$6)),-P23,0)</f>
        <v>0</v>
      </c>
      <c r="Q24" s="49">
        <f>IF(AND(Q$4&gt;EOMONTH(CloseDate,'Rent Roll'!$O$6+'Rent Roll'!$S$6-1),Q$4&lt;=EOMONTH(CloseDate,'Rent Roll'!$O$6+'Rent Roll'!$S$6-1+'Rent Roll'!$V$6)),-Q23,0)</f>
        <v>0</v>
      </c>
      <c r="R24" s="49">
        <f>IF(AND(R$4&gt;EOMONTH(CloseDate,'Rent Roll'!$O$6+'Rent Roll'!$S$6-1),R$4&lt;=EOMONTH(CloseDate,'Rent Roll'!$O$6+'Rent Roll'!$S$6-1+'Rent Roll'!$V$6)),-R23,0)</f>
        <v>0</v>
      </c>
      <c r="S24" s="49">
        <f>IF(AND(S$4&gt;EOMONTH(CloseDate,'Rent Roll'!$O$6+'Rent Roll'!$S$6-1),S$4&lt;=EOMONTH(CloseDate,'Rent Roll'!$O$6+'Rent Roll'!$S$6-1+'Rent Roll'!$V$6)),-S23,0)</f>
        <v>0</v>
      </c>
      <c r="T24" s="49">
        <f>IF(AND(T$4&gt;EOMONTH(CloseDate,'Rent Roll'!$O$6+'Rent Roll'!$S$6-1),T$4&lt;=EOMONTH(CloseDate,'Rent Roll'!$O$6+'Rent Roll'!$S$6-1+'Rent Roll'!$V$6)),-T23,0)</f>
        <v>0</v>
      </c>
      <c r="U24" s="49">
        <f>IF(AND(U$4&gt;EOMONTH(CloseDate,'Rent Roll'!$O$6+'Rent Roll'!$S$6-1),U$4&lt;=EOMONTH(CloseDate,'Rent Roll'!$O$6+'Rent Roll'!$S$6-1+'Rent Roll'!$V$6)),-U23,0)</f>
        <v>0</v>
      </c>
      <c r="V24" s="49">
        <f>IF(AND(V$4&gt;EOMONTH(CloseDate,'Rent Roll'!$O$6+'Rent Roll'!$S$6-1),V$4&lt;=EOMONTH(CloseDate,'Rent Roll'!$O$6+'Rent Roll'!$S$6-1+'Rent Roll'!$V$6)),-V23,0)</f>
        <v>0</v>
      </c>
      <c r="W24" s="49">
        <f>IF(AND(W$4&gt;EOMONTH(CloseDate,'Rent Roll'!$O$6+'Rent Roll'!$S$6-1),W$4&lt;=EOMONTH(CloseDate,'Rent Roll'!$O$6+'Rent Roll'!$S$6-1+'Rent Roll'!$V$6)),-W23,0)</f>
        <v>0</v>
      </c>
      <c r="X24" s="49">
        <f>IF(AND(X$4&gt;EOMONTH(CloseDate,'Rent Roll'!$O$6+'Rent Roll'!$S$6-1),X$4&lt;=EOMONTH(CloseDate,'Rent Roll'!$O$6+'Rent Roll'!$S$6-1+'Rent Roll'!$V$6)),-X23,0)</f>
        <v>0</v>
      </c>
      <c r="Y24" s="49">
        <f>IF(AND(Y$4&gt;EOMONTH(CloseDate,'Rent Roll'!$O$6+'Rent Roll'!$S$6-1),Y$4&lt;=EOMONTH(CloseDate,'Rent Roll'!$O$6+'Rent Roll'!$S$6-1+'Rent Roll'!$V$6)),-Y23,0)</f>
        <v>0</v>
      </c>
      <c r="Z24" s="49">
        <f>IF(AND(Z$4&gt;EOMONTH(CloseDate,'Rent Roll'!$O$6+'Rent Roll'!$S$6-1),Z$4&lt;=EOMONTH(CloseDate,'Rent Roll'!$O$6+'Rent Roll'!$S$6-1+'Rent Roll'!$V$6)),-Z23,0)</f>
        <v>0</v>
      </c>
      <c r="AA24" s="49">
        <f>IF(AND(AA$4&gt;EOMONTH(CloseDate,'Rent Roll'!$O$6+'Rent Roll'!$S$6-1),AA$4&lt;=EOMONTH(CloseDate,'Rent Roll'!$O$6+'Rent Roll'!$S$6-1+'Rent Roll'!$V$6)),-AA23,0)</f>
        <v>0</v>
      </c>
      <c r="AB24" s="49">
        <f>IF(AND(AB$4&gt;EOMONTH(CloseDate,'Rent Roll'!$O$6+'Rent Roll'!$S$6-1),AB$4&lt;=EOMONTH(CloseDate,'Rent Roll'!$O$6+'Rent Roll'!$S$6-1+'Rent Roll'!$V$6)),-AB23,0)</f>
        <v>0</v>
      </c>
      <c r="AC24" s="49">
        <f>IF(AND(AC$4&gt;EOMONTH(CloseDate,'Rent Roll'!$O$6+'Rent Roll'!$S$6-1),AC$4&lt;=EOMONTH(CloseDate,'Rent Roll'!$O$6+'Rent Roll'!$S$6-1+'Rent Roll'!$V$6)),-AC23,0)</f>
        <v>0</v>
      </c>
      <c r="AD24" s="49">
        <f>IF(AND(AD$4&gt;EOMONTH(CloseDate,'Rent Roll'!$O$6+'Rent Roll'!$S$6-1),AD$4&lt;=EOMONTH(CloseDate,'Rent Roll'!$O$6+'Rent Roll'!$S$6-1+'Rent Roll'!$V$6)),-AD23,0)</f>
        <v>0</v>
      </c>
      <c r="AE24" s="49">
        <f>IF(AND(AE$4&gt;EOMONTH(CloseDate,'Rent Roll'!$O$6+'Rent Roll'!$S$6-1),AE$4&lt;=EOMONTH(CloseDate,'Rent Roll'!$O$6+'Rent Roll'!$S$6-1+'Rent Roll'!$V$6)),-AE23,0)</f>
        <v>0</v>
      </c>
      <c r="AF24" s="49">
        <f>IF(AND(AF$4&gt;EOMONTH(CloseDate,'Rent Roll'!$O$6+'Rent Roll'!$S$6-1),AF$4&lt;=EOMONTH(CloseDate,'Rent Roll'!$O$6+'Rent Roll'!$S$6-1+'Rent Roll'!$V$6)),-AF23,0)</f>
        <v>0</v>
      </c>
      <c r="AG24" s="49">
        <f>IF(AND(AG$4&gt;EOMONTH(CloseDate,'Rent Roll'!$O$6+'Rent Roll'!$S$6-1),AG$4&lt;=EOMONTH(CloseDate,'Rent Roll'!$O$6+'Rent Roll'!$S$6-1+'Rent Roll'!$V$6)),-AG23,0)</f>
        <v>0</v>
      </c>
      <c r="AH24" s="49">
        <f>IF(AND(AH$4&gt;EOMONTH(CloseDate,'Rent Roll'!$O$6+'Rent Roll'!$S$6-1),AH$4&lt;=EOMONTH(CloseDate,'Rent Roll'!$O$6+'Rent Roll'!$S$6-1+'Rent Roll'!$V$6)),-AH23,0)</f>
        <v>0</v>
      </c>
      <c r="AI24" s="49">
        <f>IF(AND(AI$4&gt;EOMONTH(CloseDate,'Rent Roll'!$O$6+'Rent Roll'!$S$6-1),AI$4&lt;=EOMONTH(CloseDate,'Rent Roll'!$O$6+'Rent Roll'!$S$6-1+'Rent Roll'!$V$6)),-AI23,0)</f>
        <v>0</v>
      </c>
      <c r="AJ24" s="49">
        <f>IF(AND(AJ$4&gt;EOMONTH(CloseDate,'Rent Roll'!$O$6+'Rent Roll'!$S$6-1),AJ$4&lt;=EOMONTH(CloseDate,'Rent Roll'!$O$6+'Rent Roll'!$S$6-1+'Rent Roll'!$V$6)),-AJ23,0)</f>
        <v>0</v>
      </c>
      <c r="AK24" s="49">
        <f>IF(AND(AK$4&gt;EOMONTH(CloseDate,'Rent Roll'!$O$6+'Rent Roll'!$S$6-1),AK$4&lt;=EOMONTH(CloseDate,'Rent Roll'!$O$6+'Rent Roll'!$S$6-1+'Rent Roll'!$V$6)),-AK23,0)</f>
        <v>0</v>
      </c>
      <c r="AL24" s="49">
        <f>IF(AND(AL$4&gt;EOMONTH(CloseDate,'Rent Roll'!$O$6+'Rent Roll'!$S$6-1),AL$4&lt;=EOMONTH(CloseDate,'Rent Roll'!$O$6+'Rent Roll'!$S$6-1+'Rent Roll'!$V$6)),-AL23,0)</f>
        <v>0</v>
      </c>
      <c r="AM24" s="49">
        <f>IF(AND(AM$4&gt;EOMONTH(CloseDate,'Rent Roll'!$O$6+'Rent Roll'!$S$6-1),AM$4&lt;=EOMONTH(CloseDate,'Rent Roll'!$O$6+'Rent Roll'!$S$6-1+'Rent Roll'!$V$6)),-AM23,0)</f>
        <v>0</v>
      </c>
      <c r="AN24" s="49">
        <f>IF(AND(AN$4&gt;EOMONTH(CloseDate,'Rent Roll'!$O$6+'Rent Roll'!$S$6-1),AN$4&lt;=EOMONTH(CloseDate,'Rent Roll'!$O$6+'Rent Roll'!$S$6-1+'Rent Roll'!$V$6)),-AN23,0)</f>
        <v>-52129.321619374983</v>
      </c>
      <c r="AO24" s="49">
        <f>IF(AND(AO$4&gt;EOMONTH(CloseDate,'Rent Roll'!$O$6+'Rent Roll'!$S$6-1),AO$4&lt;=EOMONTH(CloseDate,'Rent Roll'!$O$6+'Rent Roll'!$S$6-1+'Rent Roll'!$V$6)),-AO23,0)</f>
        <v>-52129.321619374983</v>
      </c>
      <c r="AP24" s="49">
        <f>IF(AND(AP$4&gt;EOMONTH(CloseDate,'Rent Roll'!$O$6+'Rent Roll'!$S$6-1),AP$4&lt;=EOMONTH(CloseDate,'Rent Roll'!$O$6+'Rent Roll'!$S$6-1+'Rent Roll'!$V$6)),-AP23,0)</f>
        <v>0</v>
      </c>
      <c r="AQ24" s="49">
        <f>IF(AND(AQ$4&gt;EOMONTH(CloseDate,'Rent Roll'!$O$6+'Rent Roll'!$S$6-1),AQ$4&lt;=EOMONTH(CloseDate,'Rent Roll'!$O$6+'Rent Roll'!$S$6-1+'Rent Roll'!$V$6)),-AQ23,0)</f>
        <v>0</v>
      </c>
      <c r="AR24" s="49">
        <f>IF(AND(AR$4&gt;EOMONTH(CloseDate,'Rent Roll'!$O$6+'Rent Roll'!$S$6-1),AR$4&lt;=EOMONTH(CloseDate,'Rent Roll'!$O$6+'Rent Roll'!$S$6-1+'Rent Roll'!$V$6)),-AR23,0)</f>
        <v>0</v>
      </c>
      <c r="AS24" s="49">
        <f>IF(AND(AS$4&gt;EOMONTH(CloseDate,'Rent Roll'!$O$6+'Rent Roll'!$S$6-1),AS$4&lt;=EOMONTH(CloseDate,'Rent Roll'!$O$6+'Rent Roll'!$S$6-1+'Rent Roll'!$V$6)),-AS23,0)</f>
        <v>0</v>
      </c>
      <c r="AT24" s="49">
        <f>IF(AND(AT$4&gt;EOMONTH(CloseDate,'Rent Roll'!$O$6+'Rent Roll'!$S$6-1),AT$4&lt;=EOMONTH(CloseDate,'Rent Roll'!$O$6+'Rent Roll'!$S$6-1+'Rent Roll'!$V$6)),-AT23,0)</f>
        <v>0</v>
      </c>
      <c r="AU24" s="49">
        <f>IF(AND(AU$4&gt;EOMONTH(CloseDate,'Rent Roll'!$O$6+'Rent Roll'!$S$6-1),AU$4&lt;=EOMONTH(CloseDate,'Rent Roll'!$O$6+'Rent Roll'!$S$6-1+'Rent Roll'!$V$6)),-AU23,0)</f>
        <v>0</v>
      </c>
      <c r="AV24" s="49">
        <f>IF(AND(AV$4&gt;EOMONTH(CloseDate,'Rent Roll'!$O$6+'Rent Roll'!$S$6-1),AV$4&lt;=EOMONTH(CloseDate,'Rent Roll'!$O$6+'Rent Roll'!$S$6-1+'Rent Roll'!$V$6)),-AV23,0)</f>
        <v>0</v>
      </c>
      <c r="AW24" s="49">
        <f>IF(AND(AW$4&gt;EOMONTH(CloseDate,'Rent Roll'!$O$6+'Rent Roll'!$S$6-1),AW$4&lt;=EOMONTH(CloseDate,'Rent Roll'!$O$6+'Rent Roll'!$S$6-1+'Rent Roll'!$V$6)),-AW23,0)</f>
        <v>0</v>
      </c>
      <c r="AX24" s="49">
        <f>IF(AND(AX$4&gt;EOMONTH(CloseDate,'Rent Roll'!$O$6+'Rent Roll'!$S$6-1),AX$4&lt;=EOMONTH(CloseDate,'Rent Roll'!$O$6+'Rent Roll'!$S$6-1+'Rent Roll'!$V$6)),-AX23,0)</f>
        <v>0</v>
      </c>
      <c r="AY24" s="49">
        <f>IF(AND(AY$4&gt;EOMONTH(CloseDate,'Rent Roll'!$O$6+'Rent Roll'!$S$6-1),AY$4&lt;=EOMONTH(CloseDate,'Rent Roll'!$O$6+'Rent Roll'!$S$6-1+'Rent Roll'!$V$6)),-AY23,0)</f>
        <v>0</v>
      </c>
      <c r="AZ24" s="49">
        <f>IF(AND(AZ$4&gt;EOMONTH(CloseDate,'Rent Roll'!$O$6+'Rent Roll'!$S$6-1),AZ$4&lt;=EOMONTH(CloseDate,'Rent Roll'!$O$6+'Rent Roll'!$S$6-1+'Rent Roll'!$V$6)),-AZ23,0)</f>
        <v>0</v>
      </c>
      <c r="BA24" s="49">
        <f>IF(AND(BA$4&gt;EOMONTH(CloseDate,'Rent Roll'!$O$6+'Rent Roll'!$S$6-1),BA$4&lt;=EOMONTH(CloseDate,'Rent Roll'!$O$6+'Rent Roll'!$S$6-1+'Rent Roll'!$V$6)),-BA23,0)</f>
        <v>0</v>
      </c>
      <c r="BB24" s="49">
        <f>IF(AND(BB$4&gt;EOMONTH(CloseDate,'Rent Roll'!$O$6+'Rent Roll'!$S$6-1),BB$4&lt;=EOMONTH(CloseDate,'Rent Roll'!$O$6+'Rent Roll'!$S$6-1+'Rent Roll'!$V$6)),-BB23,0)</f>
        <v>0</v>
      </c>
      <c r="BC24" s="49">
        <f>IF(AND(BC$4&gt;EOMONTH(CloseDate,'Rent Roll'!$O$6+'Rent Roll'!$S$6-1),BC$4&lt;=EOMONTH(CloseDate,'Rent Roll'!$O$6+'Rent Roll'!$S$6-1+'Rent Roll'!$V$6)),-BC23,0)</f>
        <v>0</v>
      </c>
      <c r="BD24" s="49">
        <f>IF(AND(BD$4&gt;EOMONTH(CloseDate,'Rent Roll'!$O$6+'Rent Roll'!$S$6-1),BD$4&lt;=EOMONTH(CloseDate,'Rent Roll'!$O$6+'Rent Roll'!$S$6-1+'Rent Roll'!$V$6)),-BD23,0)</f>
        <v>0</v>
      </c>
      <c r="BE24" s="49">
        <f>IF(AND(BE$4&gt;EOMONTH(CloseDate,'Rent Roll'!$O$6+'Rent Roll'!$S$6-1),BE$4&lt;=EOMONTH(CloseDate,'Rent Roll'!$O$6+'Rent Roll'!$S$6-1+'Rent Roll'!$V$6)),-BE23,0)</f>
        <v>0</v>
      </c>
      <c r="BF24" s="49">
        <f>IF(AND(BF$4&gt;EOMONTH(CloseDate,'Rent Roll'!$O$6+'Rent Roll'!$S$6-1),BF$4&lt;=EOMONTH(CloseDate,'Rent Roll'!$O$6+'Rent Roll'!$S$6-1+'Rent Roll'!$V$6)),-BF23,0)</f>
        <v>0</v>
      </c>
      <c r="BG24" s="49">
        <f>IF(AND(BG$4&gt;EOMONTH(CloseDate,'Rent Roll'!$O$6+'Rent Roll'!$S$6-1),BG$4&lt;=EOMONTH(CloseDate,'Rent Roll'!$O$6+'Rent Roll'!$S$6-1+'Rent Roll'!$V$6)),-BG23,0)</f>
        <v>0</v>
      </c>
      <c r="BH24" s="49">
        <f>IF(AND(BH$4&gt;EOMONTH(CloseDate,'Rent Roll'!$O$6+'Rent Roll'!$S$6-1),BH$4&lt;=EOMONTH(CloseDate,'Rent Roll'!$O$6+'Rent Roll'!$S$6-1+'Rent Roll'!$V$6)),-BH23,0)</f>
        <v>0</v>
      </c>
      <c r="BI24" s="49">
        <f>IF(AND(BI$4&gt;EOMONTH(CloseDate,'Rent Roll'!$O$6+'Rent Roll'!$S$6-1),BI$4&lt;=EOMONTH(CloseDate,'Rent Roll'!$O$6+'Rent Roll'!$S$6-1+'Rent Roll'!$V$6)),-BI23,0)</f>
        <v>0</v>
      </c>
      <c r="BJ24" s="49">
        <f>IF(AND(BJ$4&gt;EOMONTH(CloseDate,'Rent Roll'!$O$6+'Rent Roll'!$S$6-1),BJ$4&lt;=EOMONTH(CloseDate,'Rent Roll'!$O$6+'Rent Roll'!$S$6-1+'Rent Roll'!$V$6)),-BJ23,0)</f>
        <v>0</v>
      </c>
      <c r="BK24" s="49">
        <f>IF(AND(BK$4&gt;EOMONTH(CloseDate,'Rent Roll'!$O$6+'Rent Roll'!$S$6-1),BK$4&lt;=EOMONTH(CloseDate,'Rent Roll'!$O$6+'Rent Roll'!$S$6-1+'Rent Roll'!$V$6)),-BK23,0)</f>
        <v>0</v>
      </c>
      <c r="BL24" s="49">
        <f>IF(AND(BL$4&gt;EOMONTH(CloseDate,'Rent Roll'!$O$6+'Rent Roll'!$S$6-1),BL$4&lt;=EOMONTH(CloseDate,'Rent Roll'!$O$6+'Rent Roll'!$S$6-1+'Rent Roll'!$V$6)),-BL23,0)</f>
        <v>0</v>
      </c>
      <c r="BM24" s="49">
        <f>IF(AND(BM$4&gt;EOMONTH(CloseDate,'Rent Roll'!$O$6+'Rent Roll'!$S$6-1),BM$4&lt;=EOMONTH(CloseDate,'Rent Roll'!$O$6+'Rent Roll'!$S$6-1+'Rent Roll'!$V$6)),-BM23,0)</f>
        <v>0</v>
      </c>
      <c r="BN24" s="49">
        <f>IF(AND(BN$4&gt;EOMONTH(CloseDate,'Rent Roll'!$O$6+'Rent Roll'!$S$6-1),BN$4&lt;=EOMONTH(CloseDate,'Rent Roll'!$O$6+'Rent Roll'!$S$6-1+'Rent Roll'!$V$6)),-BN23,0)</f>
        <v>0</v>
      </c>
      <c r="BO24" s="49">
        <f>IF(AND(BO$4&gt;EOMONTH(CloseDate,'Rent Roll'!$O$6+'Rent Roll'!$S$6-1),BO$4&lt;=EOMONTH(CloseDate,'Rent Roll'!$O$6+'Rent Roll'!$S$6-1+'Rent Roll'!$V$6)),-BO23,0)</f>
        <v>0</v>
      </c>
      <c r="BP24" s="49">
        <f>IF(AND(BP$4&gt;EOMONTH(CloseDate,'Rent Roll'!$O$6+'Rent Roll'!$S$6-1),BP$4&lt;=EOMONTH(CloseDate,'Rent Roll'!$O$6+'Rent Roll'!$S$6-1+'Rent Roll'!$V$6)),-BP23,0)</f>
        <v>0</v>
      </c>
      <c r="BQ24" s="49">
        <f>IF(AND(BQ$4&gt;EOMONTH(CloseDate,'Rent Roll'!$O$6+'Rent Roll'!$S$6-1),BQ$4&lt;=EOMONTH(CloseDate,'Rent Roll'!$O$6+'Rent Roll'!$S$6-1+'Rent Roll'!$V$6)),-BQ23,0)</f>
        <v>0</v>
      </c>
      <c r="BR24" s="49">
        <f>IF(AND(BR$4&gt;EOMONTH(CloseDate,'Rent Roll'!$O$6+'Rent Roll'!$S$6-1),BR$4&lt;=EOMONTH(CloseDate,'Rent Roll'!$O$6+'Rent Roll'!$S$6-1+'Rent Roll'!$V$6)),-BR23,0)</f>
        <v>0</v>
      </c>
      <c r="BS24" s="49">
        <f>IF(AND(BS$4&gt;EOMONTH(CloseDate,'Rent Roll'!$O$6+'Rent Roll'!$S$6-1),BS$4&lt;=EOMONTH(CloseDate,'Rent Roll'!$O$6+'Rent Roll'!$S$6-1+'Rent Roll'!$V$6)),-BS23,0)</f>
        <v>0</v>
      </c>
      <c r="BT24" s="49">
        <f>IF(AND(BT$4&gt;EOMONTH(CloseDate,'Rent Roll'!$O$6+'Rent Roll'!$S$6-1),BT$4&lt;=EOMONTH(CloseDate,'Rent Roll'!$O$6+'Rent Roll'!$S$6-1+'Rent Roll'!$V$6)),-BT23,0)</f>
        <v>0</v>
      </c>
      <c r="BU24" s="49">
        <f>IF(AND(BU$4&gt;EOMONTH(CloseDate,'Rent Roll'!$O$6+'Rent Roll'!$S$6-1),BU$4&lt;=EOMONTH(CloseDate,'Rent Roll'!$O$6+'Rent Roll'!$S$6-1+'Rent Roll'!$V$6)),-BU23,0)</f>
        <v>0</v>
      </c>
      <c r="BV24" s="49">
        <f>IF(AND(BV$4&gt;EOMONTH(CloseDate,'Rent Roll'!$O$6+'Rent Roll'!$S$6-1),BV$4&lt;=EOMONTH(CloseDate,'Rent Roll'!$O$6+'Rent Roll'!$S$6-1+'Rent Roll'!$V$6)),-BV23,0)</f>
        <v>0</v>
      </c>
      <c r="BW24" s="49">
        <f>IF(AND(BW$4&gt;EOMONTH(CloseDate,'Rent Roll'!$O$6+'Rent Roll'!$S$6-1),BW$4&lt;=EOMONTH(CloseDate,'Rent Roll'!$O$6+'Rent Roll'!$S$6-1+'Rent Roll'!$V$6)),-BW23,0)</f>
        <v>0</v>
      </c>
      <c r="BX24" s="49">
        <f>IF(AND(BX$4&gt;EOMONTH(CloseDate,'Rent Roll'!$O$6+'Rent Roll'!$S$6-1),BX$4&lt;=EOMONTH(CloseDate,'Rent Roll'!$O$6+'Rent Roll'!$S$6-1+'Rent Roll'!$V$6)),-BX23,0)</f>
        <v>0</v>
      </c>
    </row>
    <row r="25" spans="1:76" hidden="1" outlineLevel="1">
      <c r="B25" t="s">
        <v>84</v>
      </c>
      <c r="D25" s="49">
        <f>D21+D23+D24</f>
        <v>43000</v>
      </c>
      <c r="E25" s="49">
        <f t="shared" ref="E25:BJ25" si="17">E21+E23+E24</f>
        <v>43000</v>
      </c>
      <c r="F25" s="49">
        <f t="shared" si="17"/>
        <v>43000</v>
      </c>
      <c r="G25" s="49">
        <f t="shared" si="17"/>
        <v>43000</v>
      </c>
      <c r="H25" s="49">
        <f t="shared" si="17"/>
        <v>43000</v>
      </c>
      <c r="I25" s="49">
        <f t="shared" si="17"/>
        <v>43000</v>
      </c>
      <c r="J25" s="49">
        <f t="shared" si="17"/>
        <v>43000</v>
      </c>
      <c r="K25" s="49">
        <f t="shared" si="17"/>
        <v>43000</v>
      </c>
      <c r="L25" s="49">
        <f t="shared" si="17"/>
        <v>44290</v>
      </c>
      <c r="M25" s="49">
        <f t="shared" si="17"/>
        <v>44290</v>
      </c>
      <c r="N25" s="49">
        <f t="shared" si="17"/>
        <v>44290</v>
      </c>
      <c r="O25" s="49">
        <f t="shared" si="17"/>
        <v>44290</v>
      </c>
      <c r="P25" s="49">
        <f t="shared" si="17"/>
        <v>44290</v>
      </c>
      <c r="Q25" s="49">
        <f t="shared" si="17"/>
        <v>44290</v>
      </c>
      <c r="R25" s="49">
        <f t="shared" si="17"/>
        <v>44290</v>
      </c>
      <c r="S25" s="49">
        <f t="shared" si="17"/>
        <v>44290</v>
      </c>
      <c r="T25" s="49">
        <f t="shared" si="17"/>
        <v>44290</v>
      </c>
      <c r="U25" s="49">
        <f t="shared" si="17"/>
        <v>45618.7</v>
      </c>
      <c r="V25" s="49">
        <f t="shared" si="17"/>
        <v>45618.7</v>
      </c>
      <c r="W25" s="49">
        <f t="shared" si="17"/>
        <v>45618.7</v>
      </c>
      <c r="X25" s="49">
        <f t="shared" si="17"/>
        <v>45618.7</v>
      </c>
      <c r="Y25" s="49">
        <f t="shared" si="17"/>
        <v>45618.7</v>
      </c>
      <c r="Z25" s="49">
        <f t="shared" si="17"/>
        <v>45618.7</v>
      </c>
      <c r="AA25" s="49">
        <f t="shared" si="17"/>
        <v>45618.7</v>
      </c>
      <c r="AB25" s="49">
        <f t="shared" si="17"/>
        <v>45618.7</v>
      </c>
      <c r="AC25" s="49">
        <f t="shared" si="17"/>
        <v>45618.7</v>
      </c>
      <c r="AD25" s="49">
        <f t="shared" si="17"/>
        <v>45618.7</v>
      </c>
      <c r="AE25" s="49">
        <f t="shared" si="17"/>
        <v>45618.7</v>
      </c>
      <c r="AF25" s="49">
        <f t="shared" si="17"/>
        <v>45618.7</v>
      </c>
      <c r="AG25" s="49">
        <f t="shared" si="17"/>
        <v>46987.260999999999</v>
      </c>
      <c r="AH25" s="49">
        <f t="shared" si="17"/>
        <v>46987.260999999999</v>
      </c>
      <c r="AI25" s="49">
        <f t="shared" si="17"/>
        <v>46987.260999999999</v>
      </c>
      <c r="AJ25" s="49">
        <f t="shared" si="17"/>
        <v>0</v>
      </c>
      <c r="AK25" s="49">
        <f t="shared" si="17"/>
        <v>0</v>
      </c>
      <c r="AL25" s="49">
        <f t="shared" si="17"/>
        <v>0</v>
      </c>
      <c r="AM25" s="49">
        <f t="shared" si="17"/>
        <v>0</v>
      </c>
      <c r="AN25" s="49">
        <f t="shared" si="17"/>
        <v>0</v>
      </c>
      <c r="AO25" s="49">
        <f t="shared" si="17"/>
        <v>0</v>
      </c>
      <c r="AP25" s="49">
        <f t="shared" si="17"/>
        <v>52129.321619374983</v>
      </c>
      <c r="AQ25" s="49">
        <f t="shared" si="17"/>
        <v>52129.321619374983</v>
      </c>
      <c r="AR25" s="49">
        <f t="shared" si="17"/>
        <v>52129.321619374983</v>
      </c>
      <c r="AS25" s="49">
        <f t="shared" si="17"/>
        <v>53536.813303098097</v>
      </c>
      <c r="AT25" s="49">
        <f t="shared" si="17"/>
        <v>53536.813303098097</v>
      </c>
      <c r="AU25" s="49">
        <f t="shared" si="17"/>
        <v>53536.813303098097</v>
      </c>
      <c r="AV25" s="49">
        <f t="shared" si="17"/>
        <v>53536.813303098097</v>
      </c>
      <c r="AW25" s="49">
        <f t="shared" si="17"/>
        <v>53536.813303098097</v>
      </c>
      <c r="AX25" s="49">
        <f t="shared" si="17"/>
        <v>53536.813303098097</v>
      </c>
      <c r="AY25" s="49">
        <f t="shared" si="17"/>
        <v>53536.813303098097</v>
      </c>
      <c r="AZ25" s="49">
        <f t="shared" si="17"/>
        <v>53536.813303098097</v>
      </c>
      <c r="BA25" s="49">
        <f t="shared" si="17"/>
        <v>53536.813303098097</v>
      </c>
      <c r="BB25" s="49">
        <f t="shared" si="17"/>
        <v>53536.813303098097</v>
      </c>
      <c r="BC25" s="49">
        <f t="shared" si="17"/>
        <v>53536.813303098097</v>
      </c>
      <c r="BD25" s="49">
        <f t="shared" si="17"/>
        <v>53536.813303098097</v>
      </c>
      <c r="BE25" s="49">
        <f t="shared" si="17"/>
        <v>54982.307262281742</v>
      </c>
      <c r="BF25" s="49">
        <f t="shared" si="17"/>
        <v>54982.307262281742</v>
      </c>
      <c r="BG25" s="49">
        <f t="shared" si="17"/>
        <v>54982.307262281742</v>
      </c>
      <c r="BH25" s="49">
        <f t="shared" si="17"/>
        <v>54982.307262281742</v>
      </c>
      <c r="BI25" s="49">
        <f t="shared" si="17"/>
        <v>54982.307262281742</v>
      </c>
      <c r="BJ25" s="49">
        <f t="shared" si="17"/>
        <v>54982.307262281742</v>
      </c>
      <c r="BK25" s="49">
        <f t="shared" ref="BK25" si="18">BK21+BK23+BK24</f>
        <v>54982.307262281742</v>
      </c>
      <c r="BL25" s="49">
        <f t="shared" ref="BL25:BX25" si="19">BL21+BL23+BL24</f>
        <v>54982.307262281742</v>
      </c>
      <c r="BM25" s="49">
        <f t="shared" si="19"/>
        <v>54982.307262281742</v>
      </c>
      <c r="BN25" s="49">
        <f t="shared" si="19"/>
        <v>54982.307262281742</v>
      </c>
      <c r="BO25" s="49">
        <f t="shared" si="19"/>
        <v>54982.307262281742</v>
      </c>
      <c r="BP25" s="49">
        <f t="shared" si="19"/>
        <v>54982.307262281742</v>
      </c>
      <c r="BQ25" s="49">
        <f t="shared" si="19"/>
        <v>56466.829558363344</v>
      </c>
      <c r="BR25" s="49">
        <f t="shared" si="19"/>
        <v>56466.829558363344</v>
      </c>
      <c r="BS25" s="49">
        <f t="shared" si="19"/>
        <v>56466.829558363344</v>
      </c>
      <c r="BT25" s="49">
        <f t="shared" si="19"/>
        <v>56466.829558363344</v>
      </c>
      <c r="BU25" s="49">
        <f t="shared" si="19"/>
        <v>56466.829558363344</v>
      </c>
      <c r="BV25" s="49">
        <f t="shared" si="19"/>
        <v>56466.829558363344</v>
      </c>
      <c r="BW25" s="49">
        <f t="shared" si="19"/>
        <v>56466.829558363344</v>
      </c>
      <c r="BX25" s="49">
        <f t="shared" si="19"/>
        <v>56466.829558363344</v>
      </c>
    </row>
    <row r="26" spans="1:76" hidden="1" outlineLevel="1">
      <c r="B26" t="s">
        <v>85</v>
      </c>
      <c r="D26" s="49">
        <f>IF(OR(D20=1,D22=1),'Rent Roll'!$F$6/BldgSF*ReimbPool/12*D$7,0)</f>
        <v>20940</v>
      </c>
      <c r="E26" s="49">
        <f>IF(OR(E20=1,E22=1),'Rent Roll'!$F$6/BldgSF*ReimbPool/12*E$7,0)</f>
        <v>20940</v>
      </c>
      <c r="F26" s="49">
        <f>IF(OR(F20=1,F22=1),'Rent Roll'!$F$6/BldgSF*ReimbPool/12*F$7,0)</f>
        <v>20940</v>
      </c>
      <c r="G26" s="49">
        <f>IF(OR(G20=1,G22=1),'Rent Roll'!$F$6/BldgSF*ReimbPool/12*G$7,0)</f>
        <v>20940</v>
      </c>
      <c r="H26" s="49">
        <f>IF(OR(H20=1,H22=1),'Rent Roll'!$F$6/BldgSF*ReimbPool/12*H$7,0)</f>
        <v>20940</v>
      </c>
      <c r="I26" s="49">
        <f>IF(OR(I20=1,I22=1),'Rent Roll'!$F$6/BldgSF*ReimbPool/12*I$7,0)</f>
        <v>21505.379999999997</v>
      </c>
      <c r="J26" s="49">
        <f>IF(OR(J20=1,J22=1),'Rent Roll'!$F$6/BldgSF*ReimbPool/12*J$7,0)</f>
        <v>21505.379999999997</v>
      </c>
      <c r="K26" s="49">
        <f>IF(OR(K20=1,K22=1),'Rent Roll'!$F$6/BldgSF*ReimbPool/12*K$7,0)</f>
        <v>21505.379999999997</v>
      </c>
      <c r="L26" s="49">
        <f>IF(OR(L20=1,L22=1),'Rent Roll'!$F$6/BldgSF*ReimbPool/12*L$7,0)</f>
        <v>21505.379999999997</v>
      </c>
      <c r="M26" s="49">
        <f>IF(OR(M20=1,M22=1),'Rent Roll'!$F$6/BldgSF*ReimbPool/12*M$7,0)</f>
        <v>21505.379999999997</v>
      </c>
      <c r="N26" s="49">
        <f>IF(OR(N20=1,N22=1),'Rent Roll'!$F$6/BldgSF*ReimbPool/12*N$7,0)</f>
        <v>21505.379999999997</v>
      </c>
      <c r="O26" s="49">
        <f>IF(OR(O20=1,O22=1),'Rent Roll'!$F$6/BldgSF*ReimbPool/12*O$7,0)</f>
        <v>21505.379999999997</v>
      </c>
      <c r="P26" s="49">
        <f>IF(OR(P20=1,P22=1),'Rent Roll'!$F$6/BldgSF*ReimbPool/12*P$7,0)</f>
        <v>21505.379999999997</v>
      </c>
      <c r="Q26" s="49">
        <f>IF(OR(Q20=1,Q22=1),'Rent Roll'!$F$6/BldgSF*ReimbPool/12*Q$7,0)</f>
        <v>21505.379999999997</v>
      </c>
      <c r="R26" s="49">
        <f>IF(OR(R20=1,R22=1),'Rent Roll'!$F$6/BldgSF*ReimbPool/12*R$7,0)</f>
        <v>21505.379999999997</v>
      </c>
      <c r="S26" s="49">
        <f>IF(OR(S20=1,S22=1),'Rent Roll'!$F$6/BldgSF*ReimbPool/12*S$7,0)</f>
        <v>21505.379999999997</v>
      </c>
      <c r="T26" s="49">
        <f>IF(OR(T20=1,T22=1),'Rent Roll'!$F$6/BldgSF*ReimbPool/12*T$7,0)</f>
        <v>21505.379999999997</v>
      </c>
      <c r="U26" s="49">
        <f>IF(OR(U20=1,U22=1),'Rent Roll'!$F$6/BldgSF*ReimbPool/12*U$7,0)</f>
        <v>22086.025259999995</v>
      </c>
      <c r="V26" s="49">
        <f>IF(OR(V20=1,V22=1),'Rent Roll'!$F$6/BldgSF*ReimbPool/12*V$7,0)</f>
        <v>22086.025259999995</v>
      </c>
      <c r="W26" s="49">
        <f>IF(OR(W20=1,W22=1),'Rent Roll'!$F$6/BldgSF*ReimbPool/12*W$7,0)</f>
        <v>22086.025259999995</v>
      </c>
      <c r="X26" s="49">
        <f>IF(OR(X20=1,X22=1),'Rent Roll'!$F$6/BldgSF*ReimbPool/12*X$7,0)</f>
        <v>22086.025259999995</v>
      </c>
      <c r="Y26" s="49">
        <f>IF(OR(Y20=1,Y22=1),'Rent Roll'!$F$6/BldgSF*ReimbPool/12*Y$7,0)</f>
        <v>22086.025259999995</v>
      </c>
      <c r="Z26" s="49">
        <f>IF(OR(Z20=1,Z22=1),'Rent Roll'!$F$6/BldgSF*ReimbPool/12*Z$7,0)</f>
        <v>22086.025259999995</v>
      </c>
      <c r="AA26" s="49">
        <f>IF(OR(AA20=1,AA22=1),'Rent Roll'!$F$6/BldgSF*ReimbPool/12*AA$7,0)</f>
        <v>22086.025259999995</v>
      </c>
      <c r="AB26" s="49">
        <f>IF(OR(AB20=1,AB22=1),'Rent Roll'!$F$6/BldgSF*ReimbPool/12*AB$7,0)</f>
        <v>22086.025259999995</v>
      </c>
      <c r="AC26" s="49">
        <f>IF(OR(AC20=1,AC22=1),'Rent Roll'!$F$6/BldgSF*ReimbPool/12*AC$7,0)</f>
        <v>22086.025259999995</v>
      </c>
      <c r="AD26" s="49">
        <f>IF(OR(AD20=1,AD22=1),'Rent Roll'!$F$6/BldgSF*ReimbPool/12*AD$7,0)</f>
        <v>22086.025259999995</v>
      </c>
      <c r="AE26" s="49">
        <f>IF(OR(AE20=1,AE22=1),'Rent Roll'!$F$6/BldgSF*ReimbPool/12*AE$7,0)</f>
        <v>22086.025259999995</v>
      </c>
      <c r="AF26" s="49">
        <f>IF(OR(AF20=1,AF22=1),'Rent Roll'!$F$6/BldgSF*ReimbPool/12*AF$7,0)</f>
        <v>22086.025259999995</v>
      </c>
      <c r="AG26" s="49">
        <f>IF(OR(AG20=1,AG22=1),'Rent Roll'!$F$6/BldgSF*ReimbPool/12*AG$7,0)</f>
        <v>22682.347942019995</v>
      </c>
      <c r="AH26" s="49">
        <f>IF(OR(AH20=1,AH22=1),'Rent Roll'!$F$6/BldgSF*ReimbPool/12*AH$7,0)</f>
        <v>22682.347942019995</v>
      </c>
      <c r="AI26" s="49">
        <f>IF(OR(AI20=1,AI22=1),'Rent Roll'!$F$6/BldgSF*ReimbPool/12*AI$7,0)</f>
        <v>22682.347942019995</v>
      </c>
      <c r="AJ26" s="49">
        <f>IF(OR(AJ20=1,AJ22=1),'Rent Roll'!$F$6/BldgSF*ReimbPool/12*AJ$7,0)</f>
        <v>0</v>
      </c>
      <c r="AK26" s="49">
        <f>IF(OR(AK20=1,AK22=1),'Rent Roll'!$F$6/BldgSF*ReimbPool/12*AK$7,0)</f>
        <v>0</v>
      </c>
      <c r="AL26" s="49">
        <f>IF(OR(AL20=1,AL22=1),'Rent Roll'!$F$6/BldgSF*ReimbPool/12*AL$7,0)</f>
        <v>0</v>
      </c>
      <c r="AM26" s="49">
        <f>IF(OR(AM20=1,AM22=1),'Rent Roll'!$F$6/BldgSF*ReimbPool/12*AM$7,0)</f>
        <v>0</v>
      </c>
      <c r="AN26" s="49">
        <f>IF(OR(AN20=1,AN22=1),'Rent Roll'!$F$6/BldgSF*ReimbPool/12*AN$7,0)</f>
        <v>22682.347942019995</v>
      </c>
      <c r="AO26" s="49">
        <f>IF(OR(AO20=1,AO22=1),'Rent Roll'!$F$6/BldgSF*ReimbPool/12*AO$7,0)</f>
        <v>22682.347942019995</v>
      </c>
      <c r="AP26" s="49">
        <f>IF(OR(AP20=1,AP22=1),'Rent Roll'!$F$6/BldgSF*ReimbPool/12*AP$7,0)</f>
        <v>22682.347942019995</v>
      </c>
      <c r="AQ26" s="49">
        <f>IF(OR(AQ20=1,AQ22=1),'Rent Roll'!$F$6/BldgSF*ReimbPool/12*AQ$7,0)</f>
        <v>22682.347942019995</v>
      </c>
      <c r="AR26" s="49">
        <f>IF(OR(AR20=1,AR22=1),'Rent Roll'!$F$6/BldgSF*ReimbPool/12*AR$7,0)</f>
        <v>22682.347942019995</v>
      </c>
      <c r="AS26" s="49">
        <f>IF(OR(AS20=1,AS22=1),'Rent Roll'!$F$6/BldgSF*ReimbPool/12*AS$7,0)</f>
        <v>23294.771336454531</v>
      </c>
      <c r="AT26" s="49">
        <f>IF(OR(AT20=1,AT22=1),'Rent Roll'!$F$6/BldgSF*ReimbPool/12*AT$7,0)</f>
        <v>23294.771336454531</v>
      </c>
      <c r="AU26" s="49">
        <f>IF(OR(AU20=1,AU22=1),'Rent Roll'!$F$6/BldgSF*ReimbPool/12*AU$7,0)</f>
        <v>23294.771336454531</v>
      </c>
      <c r="AV26" s="49">
        <f>IF(OR(AV20=1,AV22=1),'Rent Roll'!$F$6/BldgSF*ReimbPool/12*AV$7,0)</f>
        <v>23294.771336454531</v>
      </c>
      <c r="AW26" s="49">
        <f>IF(OR(AW20=1,AW22=1),'Rent Roll'!$F$6/BldgSF*ReimbPool/12*AW$7,0)</f>
        <v>23294.771336454531</v>
      </c>
      <c r="AX26" s="49">
        <f>IF(OR(AX20=1,AX22=1),'Rent Roll'!$F$6/BldgSF*ReimbPool/12*AX$7,0)</f>
        <v>23294.771336454531</v>
      </c>
      <c r="AY26" s="49">
        <f>IF(OR(AY20=1,AY22=1),'Rent Roll'!$F$6/BldgSF*ReimbPool/12*AY$7,0)</f>
        <v>23294.771336454531</v>
      </c>
      <c r="AZ26" s="49">
        <f>IF(OR(AZ20=1,AZ22=1),'Rent Roll'!$F$6/BldgSF*ReimbPool/12*AZ$7,0)</f>
        <v>23294.771336454531</v>
      </c>
      <c r="BA26" s="49">
        <f>IF(OR(BA20=1,BA22=1),'Rent Roll'!$F$6/BldgSF*ReimbPool/12*BA$7,0)</f>
        <v>23294.771336454531</v>
      </c>
      <c r="BB26" s="49">
        <f>IF(OR(BB20=1,BB22=1),'Rent Roll'!$F$6/BldgSF*ReimbPool/12*BB$7,0)</f>
        <v>23294.771336454531</v>
      </c>
      <c r="BC26" s="49">
        <f>IF(OR(BC20=1,BC22=1),'Rent Roll'!$F$6/BldgSF*ReimbPool/12*BC$7,0)</f>
        <v>23294.771336454531</v>
      </c>
      <c r="BD26" s="49">
        <f>IF(OR(BD20=1,BD22=1),'Rent Roll'!$F$6/BldgSF*ReimbPool/12*BD$7,0)</f>
        <v>23294.771336454531</v>
      </c>
      <c r="BE26" s="49">
        <f>IF(OR(BE20=1,BE22=1),'Rent Roll'!$F$6/BldgSF*ReimbPool/12*BE$7,0)</f>
        <v>23923.730162538803</v>
      </c>
      <c r="BF26" s="49">
        <f>IF(OR(BF20=1,BF22=1),'Rent Roll'!$F$6/BldgSF*ReimbPool/12*BF$7,0)</f>
        <v>23923.730162538803</v>
      </c>
      <c r="BG26" s="49">
        <f>IF(OR(BG20=1,BG22=1),'Rent Roll'!$F$6/BldgSF*ReimbPool/12*BG$7,0)</f>
        <v>23923.730162538803</v>
      </c>
      <c r="BH26" s="49">
        <f>IF(OR(BH20=1,BH22=1),'Rent Roll'!$F$6/BldgSF*ReimbPool/12*BH$7,0)</f>
        <v>23923.730162538803</v>
      </c>
      <c r="BI26" s="49">
        <f>IF(OR(BI20=1,BI22=1),'Rent Roll'!$F$6/BldgSF*ReimbPool/12*BI$7,0)</f>
        <v>23923.730162538803</v>
      </c>
      <c r="BJ26" s="49">
        <f>IF(OR(BJ20=1,BJ22=1),'Rent Roll'!$F$6/BldgSF*ReimbPool/12*BJ$7,0)</f>
        <v>23923.730162538803</v>
      </c>
      <c r="BK26" s="49">
        <f>IF(OR(BK20=1,BK22=1),'Rent Roll'!$F$6/BldgSF*ReimbPool/12*BK$7,0)</f>
        <v>23923.730162538803</v>
      </c>
      <c r="BL26" s="49">
        <f>IF(OR(BL20=1,BL22=1),'Rent Roll'!$F$6/BldgSF*ReimbPool/12*BL$7,0)</f>
        <v>23923.730162538803</v>
      </c>
      <c r="BM26" s="49">
        <f>IF(OR(BM20=1,BM22=1),'Rent Roll'!$F$6/BldgSF*ReimbPool/12*BM$7,0)</f>
        <v>23923.730162538803</v>
      </c>
      <c r="BN26" s="49">
        <f>IF(OR(BN20=1,BN22=1),'Rent Roll'!$F$6/BldgSF*ReimbPool/12*BN$7,0)</f>
        <v>23923.730162538803</v>
      </c>
      <c r="BO26" s="49">
        <f>IF(OR(BO20=1,BO22=1),'Rent Roll'!$F$6/BldgSF*ReimbPool/12*BO$7,0)</f>
        <v>23923.730162538803</v>
      </c>
      <c r="BP26" s="49">
        <f>IF(OR(BP20=1,BP22=1),'Rent Roll'!$F$6/BldgSF*ReimbPool/12*BP$7,0)</f>
        <v>23923.730162538803</v>
      </c>
      <c r="BQ26" s="49">
        <f>IF(OR(BQ20=1,BQ22=1),'Rent Roll'!$F$6/BldgSF*ReimbPool/12*BQ$7,0)</f>
        <v>24569.670876927346</v>
      </c>
      <c r="BR26" s="49">
        <f>IF(OR(BR20=1,BR22=1),'Rent Roll'!$F$6/BldgSF*ReimbPool/12*BR$7,0)</f>
        <v>24569.670876927346</v>
      </c>
      <c r="BS26" s="49">
        <f>IF(OR(BS20=1,BS22=1),'Rent Roll'!$F$6/BldgSF*ReimbPool/12*BS$7,0)</f>
        <v>24569.670876927346</v>
      </c>
      <c r="BT26" s="49">
        <f>IF(OR(BT20=1,BT22=1),'Rent Roll'!$F$6/BldgSF*ReimbPool/12*BT$7,0)</f>
        <v>24569.670876927346</v>
      </c>
      <c r="BU26" s="49">
        <f>IF(OR(BU20=1,BU22=1),'Rent Roll'!$F$6/BldgSF*ReimbPool/12*BU$7,0)</f>
        <v>24569.670876927346</v>
      </c>
      <c r="BV26" s="49">
        <f>IF(OR(BV20=1,BV22=1),'Rent Roll'!$F$6/BldgSF*ReimbPool/12*BV$7,0)</f>
        <v>24569.670876927346</v>
      </c>
      <c r="BW26" s="49">
        <f>IF(OR(BW20=1,BW22=1),'Rent Roll'!$F$6/BldgSF*ReimbPool/12*BW$7,0)</f>
        <v>24569.670876927346</v>
      </c>
      <c r="BX26" s="49">
        <f>IF(OR(BX20=1,BX22=1),'Rent Roll'!$F$6/BldgSF*ReimbPool/12*BX$7,0)</f>
        <v>24569.670876927346</v>
      </c>
    </row>
    <row r="27" spans="1:76" hidden="1" outlineLevel="1">
      <c r="B27" t="s">
        <v>86</v>
      </c>
      <c r="D27" s="49">
        <f>IF(D$4=EOMONTH(CloseDate,'Rent Roll'!$O$6+'Rent Roll'!$S$6),-'Rent Roll'!$F$6*'Rent Roll'!$T$6,0)</f>
        <v>0</v>
      </c>
      <c r="E27" s="49">
        <f>IF(E$4=EOMONTH(CloseDate,'Rent Roll'!$O$6+'Rent Roll'!$S$6),-'Rent Roll'!$F$6*'Rent Roll'!$T$6,0)</f>
        <v>0</v>
      </c>
      <c r="F27" s="49">
        <f>IF(F$4=EOMONTH(CloseDate,'Rent Roll'!$O$6+'Rent Roll'!$S$6),-'Rent Roll'!$F$6*'Rent Roll'!$T$6,0)</f>
        <v>0</v>
      </c>
      <c r="G27" s="49">
        <f>IF(G$4=EOMONTH(CloseDate,'Rent Roll'!$O$6+'Rent Roll'!$S$6),-'Rent Roll'!$F$6*'Rent Roll'!$T$6,0)</f>
        <v>0</v>
      </c>
      <c r="H27" s="49">
        <f>IF(H$4=EOMONTH(CloseDate,'Rent Roll'!$O$6+'Rent Roll'!$S$6),-'Rent Roll'!$F$6*'Rent Roll'!$T$6,0)</f>
        <v>0</v>
      </c>
      <c r="I27" s="49">
        <f>IF(I$4=EOMONTH(CloseDate,'Rent Roll'!$O$6+'Rent Roll'!$S$6),-'Rent Roll'!$F$6*'Rent Roll'!$T$6,0)</f>
        <v>0</v>
      </c>
      <c r="J27" s="49">
        <f>IF(J$4=EOMONTH(CloseDate,'Rent Roll'!$O$6+'Rent Roll'!$S$6),-'Rent Roll'!$F$6*'Rent Roll'!$T$6,0)</f>
        <v>0</v>
      </c>
      <c r="K27" s="49">
        <f>IF(K$4=EOMONTH(CloseDate,'Rent Roll'!$O$6+'Rent Roll'!$S$6),-'Rent Roll'!$F$6*'Rent Roll'!$T$6,0)</f>
        <v>0</v>
      </c>
      <c r="L27" s="49">
        <f>IF(L$4=EOMONTH(CloseDate,'Rent Roll'!$O$6+'Rent Roll'!$S$6),-'Rent Roll'!$F$6*'Rent Roll'!$T$6,0)</f>
        <v>0</v>
      </c>
      <c r="M27" s="49">
        <f>IF(M$4=EOMONTH(CloseDate,'Rent Roll'!$O$6+'Rent Roll'!$S$6),-'Rent Roll'!$F$6*'Rent Roll'!$T$6,0)</f>
        <v>0</v>
      </c>
      <c r="N27" s="49">
        <f>IF(N$4=EOMONTH(CloseDate,'Rent Roll'!$O$6+'Rent Roll'!$S$6),-'Rent Roll'!$F$6*'Rent Roll'!$T$6,0)</f>
        <v>0</v>
      </c>
      <c r="O27" s="49">
        <f>IF(O$4=EOMONTH(CloseDate,'Rent Roll'!$O$6+'Rent Roll'!$S$6),-'Rent Roll'!$F$6*'Rent Roll'!$T$6,0)</f>
        <v>0</v>
      </c>
      <c r="P27" s="49">
        <f>IF(P$4=EOMONTH(CloseDate,'Rent Roll'!$O$6+'Rent Roll'!$S$6),-'Rent Roll'!$F$6*'Rent Roll'!$T$6,0)</f>
        <v>0</v>
      </c>
      <c r="Q27" s="49">
        <f>IF(Q$4=EOMONTH(CloseDate,'Rent Roll'!$O$6+'Rent Roll'!$S$6),-'Rent Roll'!$F$6*'Rent Roll'!$T$6,0)</f>
        <v>0</v>
      </c>
      <c r="R27" s="49">
        <f>IF(R$4=EOMONTH(CloseDate,'Rent Roll'!$O$6+'Rent Roll'!$S$6),-'Rent Roll'!$F$6*'Rent Roll'!$T$6,0)</f>
        <v>0</v>
      </c>
      <c r="S27" s="49">
        <f>IF(S$4=EOMONTH(CloseDate,'Rent Roll'!$O$6+'Rent Roll'!$S$6),-'Rent Roll'!$F$6*'Rent Roll'!$T$6,0)</f>
        <v>0</v>
      </c>
      <c r="T27" s="49">
        <f>IF(T$4=EOMONTH(CloseDate,'Rent Roll'!$O$6+'Rent Roll'!$S$6),-'Rent Roll'!$F$6*'Rent Roll'!$T$6,0)</f>
        <v>0</v>
      </c>
      <c r="U27" s="49">
        <f>IF(U$4=EOMONTH(CloseDate,'Rent Roll'!$O$6+'Rent Roll'!$S$6),-'Rent Roll'!$F$6*'Rent Roll'!$T$6,0)</f>
        <v>0</v>
      </c>
      <c r="V27" s="49">
        <f>IF(V$4=EOMONTH(CloseDate,'Rent Roll'!$O$6+'Rent Roll'!$S$6),-'Rent Roll'!$F$6*'Rent Roll'!$T$6,0)</f>
        <v>0</v>
      </c>
      <c r="W27" s="49">
        <f>IF(W$4=EOMONTH(CloseDate,'Rent Roll'!$O$6+'Rent Roll'!$S$6),-'Rent Roll'!$F$6*'Rent Roll'!$T$6,0)</f>
        <v>0</v>
      </c>
      <c r="X27" s="49">
        <f>IF(X$4=EOMONTH(CloseDate,'Rent Roll'!$O$6+'Rent Roll'!$S$6),-'Rent Roll'!$F$6*'Rent Roll'!$T$6,0)</f>
        <v>0</v>
      </c>
      <c r="Y27" s="49">
        <f>IF(Y$4=EOMONTH(CloseDate,'Rent Roll'!$O$6+'Rent Roll'!$S$6),-'Rent Roll'!$F$6*'Rent Roll'!$T$6,0)</f>
        <v>0</v>
      </c>
      <c r="Z27" s="49">
        <f>IF(Z$4=EOMONTH(CloseDate,'Rent Roll'!$O$6+'Rent Roll'!$S$6),-'Rent Roll'!$F$6*'Rent Roll'!$T$6,0)</f>
        <v>0</v>
      </c>
      <c r="AA27" s="49">
        <f>IF(AA$4=EOMONTH(CloseDate,'Rent Roll'!$O$6+'Rent Roll'!$S$6),-'Rent Roll'!$F$6*'Rent Roll'!$T$6,0)</f>
        <v>0</v>
      </c>
      <c r="AB27" s="49">
        <f>IF(AB$4=EOMONTH(CloseDate,'Rent Roll'!$O$6+'Rent Roll'!$S$6),-'Rent Roll'!$F$6*'Rent Roll'!$T$6,0)</f>
        <v>0</v>
      </c>
      <c r="AC27" s="49">
        <f>IF(AC$4=EOMONTH(CloseDate,'Rent Roll'!$O$6+'Rent Roll'!$S$6),-'Rent Roll'!$F$6*'Rent Roll'!$T$6,0)</f>
        <v>0</v>
      </c>
      <c r="AD27" s="49">
        <f>IF(AD$4=EOMONTH(CloseDate,'Rent Roll'!$O$6+'Rent Roll'!$S$6),-'Rent Roll'!$F$6*'Rent Roll'!$T$6,0)</f>
        <v>0</v>
      </c>
      <c r="AE27" s="49">
        <f>IF(AE$4=EOMONTH(CloseDate,'Rent Roll'!$O$6+'Rent Roll'!$S$6),-'Rent Roll'!$F$6*'Rent Roll'!$T$6,0)</f>
        <v>0</v>
      </c>
      <c r="AF27" s="49">
        <f>IF(AF$4=EOMONTH(CloseDate,'Rent Roll'!$O$6+'Rent Roll'!$S$6),-'Rent Roll'!$F$6*'Rent Roll'!$T$6,0)</f>
        <v>0</v>
      </c>
      <c r="AG27" s="49">
        <f>IF(AG$4=EOMONTH(CloseDate,'Rent Roll'!$O$6+'Rent Roll'!$S$6),-'Rent Roll'!$F$6*'Rent Roll'!$T$6,0)</f>
        <v>0</v>
      </c>
      <c r="AH27" s="49">
        <f>IF(AH$4=EOMONTH(CloseDate,'Rent Roll'!$O$6+'Rent Roll'!$S$6),-'Rent Roll'!$F$6*'Rent Roll'!$T$6,0)</f>
        <v>0</v>
      </c>
      <c r="AI27" s="49">
        <f>IF(AI$4=EOMONTH(CloseDate,'Rent Roll'!$O$6+'Rent Roll'!$S$6),-'Rent Roll'!$F$6*'Rent Roll'!$T$6,0)</f>
        <v>0</v>
      </c>
      <c r="AJ27" s="49">
        <f>IF(AJ$4=EOMONTH(CloseDate,'Rent Roll'!$O$6+'Rent Roll'!$S$6),-'Rent Roll'!$F$6*'Rent Roll'!$T$6,0)</f>
        <v>0</v>
      </c>
      <c r="AK27" s="49">
        <f>IF(AK$4=EOMONTH(CloseDate,'Rent Roll'!$O$6+'Rent Roll'!$S$6),-'Rent Roll'!$F$6*'Rent Roll'!$T$6,0)</f>
        <v>0</v>
      </c>
      <c r="AL27" s="49">
        <f>IF(AL$4=EOMONTH(CloseDate,'Rent Roll'!$O$6+'Rent Roll'!$S$6),-'Rent Roll'!$F$6*'Rent Roll'!$T$6,0)</f>
        <v>0</v>
      </c>
      <c r="AM27" s="49">
        <f>IF(AM$4=EOMONTH(CloseDate,'Rent Roll'!$O$6+'Rent Roll'!$S$6),-'Rent Roll'!$F$6*'Rent Roll'!$T$6,0)</f>
        <v>0</v>
      </c>
      <c r="AN27" s="49">
        <f>IF(AN$4=EOMONTH(CloseDate,'Rent Roll'!$O$6+'Rent Roll'!$S$6),-'Rent Roll'!$F$6*'Rent Roll'!$T$6,0)</f>
        <v>-960000</v>
      </c>
      <c r="AO27" s="49">
        <f>IF(AO$4=EOMONTH(CloseDate,'Rent Roll'!$O$6+'Rent Roll'!$S$6),-'Rent Roll'!$F$6*'Rent Roll'!$T$6,0)</f>
        <v>0</v>
      </c>
      <c r="AP27" s="49">
        <f>IF(AP$4=EOMONTH(CloseDate,'Rent Roll'!$O$6+'Rent Roll'!$S$6),-'Rent Roll'!$F$6*'Rent Roll'!$T$6,0)</f>
        <v>0</v>
      </c>
      <c r="AQ27" s="49">
        <f>IF(AQ$4=EOMONTH(CloseDate,'Rent Roll'!$O$6+'Rent Roll'!$S$6),-'Rent Roll'!$F$6*'Rent Roll'!$T$6,0)</f>
        <v>0</v>
      </c>
      <c r="AR27" s="49">
        <f>IF(AR$4=EOMONTH(CloseDate,'Rent Roll'!$O$6+'Rent Roll'!$S$6),-'Rent Roll'!$F$6*'Rent Roll'!$T$6,0)</f>
        <v>0</v>
      </c>
      <c r="AS27" s="49">
        <f>IF(AS$4=EOMONTH(CloseDate,'Rent Roll'!$O$6+'Rent Roll'!$S$6),-'Rent Roll'!$F$6*'Rent Roll'!$T$6,0)</f>
        <v>0</v>
      </c>
      <c r="AT27" s="49">
        <f>IF(AT$4=EOMONTH(CloseDate,'Rent Roll'!$O$6+'Rent Roll'!$S$6),-'Rent Roll'!$F$6*'Rent Roll'!$T$6,0)</f>
        <v>0</v>
      </c>
      <c r="AU27" s="49">
        <f>IF(AU$4=EOMONTH(CloseDate,'Rent Roll'!$O$6+'Rent Roll'!$S$6),-'Rent Roll'!$F$6*'Rent Roll'!$T$6,0)</f>
        <v>0</v>
      </c>
      <c r="AV27" s="49">
        <f>IF(AV$4=EOMONTH(CloseDate,'Rent Roll'!$O$6+'Rent Roll'!$S$6),-'Rent Roll'!$F$6*'Rent Roll'!$T$6,0)</f>
        <v>0</v>
      </c>
      <c r="AW27" s="49">
        <f>IF(AW$4=EOMONTH(CloseDate,'Rent Roll'!$O$6+'Rent Roll'!$S$6),-'Rent Roll'!$F$6*'Rent Roll'!$T$6,0)</f>
        <v>0</v>
      </c>
      <c r="AX27" s="49">
        <f>IF(AX$4=EOMONTH(CloseDate,'Rent Roll'!$O$6+'Rent Roll'!$S$6),-'Rent Roll'!$F$6*'Rent Roll'!$T$6,0)</f>
        <v>0</v>
      </c>
      <c r="AY27" s="49">
        <f>IF(AY$4=EOMONTH(CloseDate,'Rent Roll'!$O$6+'Rent Roll'!$S$6),-'Rent Roll'!$F$6*'Rent Roll'!$T$6,0)</f>
        <v>0</v>
      </c>
      <c r="AZ27" s="49">
        <f>IF(AZ$4=EOMONTH(CloseDate,'Rent Roll'!$O$6+'Rent Roll'!$S$6),-'Rent Roll'!$F$6*'Rent Roll'!$T$6,0)</f>
        <v>0</v>
      </c>
      <c r="BA27" s="49">
        <f>IF(BA$4=EOMONTH(CloseDate,'Rent Roll'!$O$6+'Rent Roll'!$S$6),-'Rent Roll'!$F$6*'Rent Roll'!$T$6,0)</f>
        <v>0</v>
      </c>
      <c r="BB27" s="49">
        <f>IF(BB$4=EOMONTH(CloseDate,'Rent Roll'!$O$6+'Rent Roll'!$S$6),-'Rent Roll'!$F$6*'Rent Roll'!$T$6,0)</f>
        <v>0</v>
      </c>
      <c r="BC27" s="49">
        <f>IF(BC$4=EOMONTH(CloseDate,'Rent Roll'!$O$6+'Rent Roll'!$S$6),-'Rent Roll'!$F$6*'Rent Roll'!$T$6,0)</f>
        <v>0</v>
      </c>
      <c r="BD27" s="49">
        <f>IF(BD$4=EOMONTH(CloseDate,'Rent Roll'!$O$6+'Rent Roll'!$S$6),-'Rent Roll'!$F$6*'Rent Roll'!$T$6,0)</f>
        <v>0</v>
      </c>
      <c r="BE27" s="49">
        <f>IF(BE$4=EOMONTH(CloseDate,'Rent Roll'!$O$6+'Rent Roll'!$S$6),-'Rent Roll'!$F$6*'Rent Roll'!$T$6,0)</f>
        <v>0</v>
      </c>
      <c r="BF27" s="49">
        <f>IF(BF$4=EOMONTH(CloseDate,'Rent Roll'!$O$6+'Rent Roll'!$S$6),-'Rent Roll'!$F$6*'Rent Roll'!$T$6,0)</f>
        <v>0</v>
      </c>
      <c r="BG27" s="49">
        <f>IF(BG$4=EOMONTH(CloseDate,'Rent Roll'!$O$6+'Rent Roll'!$S$6),-'Rent Roll'!$F$6*'Rent Roll'!$T$6,0)</f>
        <v>0</v>
      </c>
      <c r="BH27" s="49">
        <f>IF(BH$4=EOMONTH(CloseDate,'Rent Roll'!$O$6+'Rent Roll'!$S$6),-'Rent Roll'!$F$6*'Rent Roll'!$T$6,0)</f>
        <v>0</v>
      </c>
      <c r="BI27" s="49">
        <f>IF(BI$4=EOMONTH(CloseDate,'Rent Roll'!$O$6+'Rent Roll'!$S$6),-'Rent Roll'!$F$6*'Rent Roll'!$T$6,0)</f>
        <v>0</v>
      </c>
      <c r="BJ27" s="49">
        <f>IF(BJ$4=EOMONTH(CloseDate,'Rent Roll'!$O$6+'Rent Roll'!$S$6),-'Rent Roll'!$F$6*'Rent Roll'!$T$6,0)</f>
        <v>0</v>
      </c>
      <c r="BK27" s="49">
        <f>IF(BK$4=EOMONTH(CloseDate,'Rent Roll'!$O$6+'Rent Roll'!$S$6),-'Rent Roll'!$F$6*'Rent Roll'!$T$6,0)</f>
        <v>0</v>
      </c>
      <c r="BL27" s="49">
        <f>IF(BL$4=EOMONTH(CloseDate,'Rent Roll'!$O$6+'Rent Roll'!$S$6),-'Rent Roll'!$F$6*'Rent Roll'!$T$6,0)</f>
        <v>0</v>
      </c>
      <c r="BM27" s="49">
        <f>IF(BM$4=EOMONTH(CloseDate,'Rent Roll'!$O$6+'Rent Roll'!$S$6),-'Rent Roll'!$F$6*'Rent Roll'!$T$6,0)</f>
        <v>0</v>
      </c>
      <c r="BN27" s="49">
        <f>IF(BN$4=EOMONTH(CloseDate,'Rent Roll'!$O$6+'Rent Roll'!$S$6),-'Rent Roll'!$F$6*'Rent Roll'!$T$6,0)</f>
        <v>0</v>
      </c>
      <c r="BO27" s="49">
        <f>IF(BO$4=EOMONTH(CloseDate,'Rent Roll'!$O$6+'Rent Roll'!$S$6),-'Rent Roll'!$F$6*'Rent Roll'!$T$6,0)</f>
        <v>0</v>
      </c>
      <c r="BP27" s="49">
        <f>IF(BP$4=EOMONTH(CloseDate,'Rent Roll'!$O$6+'Rent Roll'!$S$6),-'Rent Roll'!$F$6*'Rent Roll'!$T$6,0)</f>
        <v>0</v>
      </c>
      <c r="BQ27" s="49">
        <f>IF(BQ$4=EOMONTH(CloseDate,'Rent Roll'!$O$6+'Rent Roll'!$S$6),-'Rent Roll'!$F$6*'Rent Roll'!$T$6,0)</f>
        <v>0</v>
      </c>
      <c r="BR27" s="49">
        <f>IF(BR$4=EOMONTH(CloseDate,'Rent Roll'!$O$6+'Rent Roll'!$S$6),-'Rent Roll'!$F$6*'Rent Roll'!$T$6,0)</f>
        <v>0</v>
      </c>
      <c r="BS27" s="49">
        <f>IF(BS$4=EOMONTH(CloseDate,'Rent Roll'!$O$6+'Rent Roll'!$S$6),-'Rent Roll'!$F$6*'Rent Roll'!$T$6,0)</f>
        <v>0</v>
      </c>
      <c r="BT27" s="49">
        <f>IF(BT$4=EOMONTH(CloseDate,'Rent Roll'!$O$6+'Rent Roll'!$S$6),-'Rent Roll'!$F$6*'Rent Roll'!$T$6,0)</f>
        <v>0</v>
      </c>
      <c r="BU27" s="49">
        <f>IF(BU$4=EOMONTH(CloseDate,'Rent Roll'!$O$6+'Rent Roll'!$S$6),-'Rent Roll'!$F$6*'Rent Roll'!$T$6,0)</f>
        <v>0</v>
      </c>
      <c r="BV27" s="49">
        <f>IF(BV$4=EOMONTH(CloseDate,'Rent Roll'!$O$6+'Rent Roll'!$S$6),-'Rent Roll'!$F$6*'Rent Roll'!$T$6,0)</f>
        <v>0</v>
      </c>
      <c r="BW27" s="49">
        <f>IF(BW$4=EOMONTH(CloseDate,'Rent Roll'!$O$6+'Rent Roll'!$S$6),-'Rent Roll'!$F$6*'Rent Roll'!$T$6,0)</f>
        <v>0</v>
      </c>
      <c r="BX27" s="49">
        <f>IF(BX$4=EOMONTH(CloseDate,'Rent Roll'!$O$6+'Rent Roll'!$S$6),-'Rent Roll'!$F$6*'Rent Roll'!$T$6,0)</f>
        <v>0</v>
      </c>
    </row>
    <row r="28" spans="1:76" hidden="1" outlineLevel="1">
      <c r="B28" t="s">
        <v>87</v>
      </c>
      <c r="D28" s="49">
        <f>IF(D$4=EOMONTH(CloseDate,'Rent Roll'!$O$6+'Rent Roll'!$S$6),-'Rent Roll'!$U$6*'Rent Roll'!$F$6*'Rent Roll'!$X$6,0)</f>
        <v>0</v>
      </c>
      <c r="E28" s="49">
        <f>IF(E$4=EOMONTH(CloseDate,'Rent Roll'!$O$6+'Rent Roll'!$S$6),-'Rent Roll'!$U$6*'Rent Roll'!$F$6*'Rent Roll'!$X$6,0)</f>
        <v>0</v>
      </c>
      <c r="F28" s="49">
        <f>IF(F$4=EOMONTH(CloseDate,'Rent Roll'!$O$6+'Rent Roll'!$S$6),-'Rent Roll'!$U$6*'Rent Roll'!$F$6*'Rent Roll'!$X$6,0)</f>
        <v>0</v>
      </c>
      <c r="G28" s="49">
        <f>IF(G$4=EOMONTH(CloseDate,'Rent Roll'!$O$6+'Rent Roll'!$S$6),-'Rent Roll'!$U$6*'Rent Roll'!$F$6*'Rent Roll'!$X$6,0)</f>
        <v>0</v>
      </c>
      <c r="H28" s="49">
        <f>IF(H$4=EOMONTH(CloseDate,'Rent Roll'!$O$6+'Rent Roll'!$S$6),-'Rent Roll'!$U$6*'Rent Roll'!$F$6*'Rent Roll'!$X$6,0)</f>
        <v>0</v>
      </c>
      <c r="I28" s="49">
        <f>IF(I$4=EOMONTH(CloseDate,'Rent Roll'!$O$6+'Rent Roll'!$S$6),-'Rent Roll'!$U$6*'Rent Roll'!$F$6*'Rent Roll'!$X$6,0)</f>
        <v>0</v>
      </c>
      <c r="J28" s="49">
        <f>IF(J$4=EOMONTH(CloseDate,'Rent Roll'!$O$6+'Rent Roll'!$S$6),-'Rent Roll'!$U$6*'Rent Roll'!$F$6*'Rent Roll'!$X$6,0)</f>
        <v>0</v>
      </c>
      <c r="K28" s="49">
        <f>IF(K$4=EOMONTH(CloseDate,'Rent Roll'!$O$6+'Rent Roll'!$S$6),-'Rent Roll'!$U$6*'Rent Roll'!$F$6*'Rent Roll'!$X$6,0)</f>
        <v>0</v>
      </c>
      <c r="L28" s="49">
        <f>IF(L$4=EOMONTH(CloseDate,'Rent Roll'!$O$6+'Rent Roll'!$S$6),-'Rent Roll'!$U$6*'Rent Roll'!$F$6*'Rent Roll'!$X$6,0)</f>
        <v>0</v>
      </c>
      <c r="M28" s="49">
        <f>IF(M$4=EOMONTH(CloseDate,'Rent Roll'!$O$6+'Rent Roll'!$S$6),-'Rent Roll'!$U$6*'Rent Roll'!$F$6*'Rent Roll'!$X$6,0)</f>
        <v>0</v>
      </c>
      <c r="N28" s="49">
        <f>IF(N$4=EOMONTH(CloseDate,'Rent Roll'!$O$6+'Rent Roll'!$S$6),-'Rent Roll'!$U$6*'Rent Roll'!$F$6*'Rent Roll'!$X$6,0)</f>
        <v>0</v>
      </c>
      <c r="O28" s="49">
        <f>IF(O$4=EOMONTH(CloseDate,'Rent Roll'!$O$6+'Rent Roll'!$S$6),-'Rent Roll'!$U$6*'Rent Roll'!$F$6*'Rent Roll'!$X$6,0)</f>
        <v>0</v>
      </c>
      <c r="P28" s="49">
        <f>IF(P$4=EOMONTH(CloseDate,'Rent Roll'!$O$6+'Rent Roll'!$S$6),-'Rent Roll'!$U$6*'Rent Roll'!$F$6*'Rent Roll'!$X$6,0)</f>
        <v>0</v>
      </c>
      <c r="Q28" s="49">
        <f>IF(Q$4=EOMONTH(CloseDate,'Rent Roll'!$O$6+'Rent Roll'!$S$6),-'Rent Roll'!$U$6*'Rent Roll'!$F$6*'Rent Roll'!$X$6,0)</f>
        <v>0</v>
      </c>
      <c r="R28" s="49">
        <f>IF(R$4=EOMONTH(CloseDate,'Rent Roll'!$O$6+'Rent Roll'!$S$6),-'Rent Roll'!$U$6*'Rent Roll'!$F$6*'Rent Roll'!$X$6,0)</f>
        <v>0</v>
      </c>
      <c r="S28" s="49">
        <f>IF(S$4=EOMONTH(CloseDate,'Rent Roll'!$O$6+'Rent Roll'!$S$6),-'Rent Roll'!$U$6*'Rent Roll'!$F$6*'Rent Roll'!$X$6,0)</f>
        <v>0</v>
      </c>
      <c r="T28" s="49">
        <f>IF(T$4=EOMONTH(CloseDate,'Rent Roll'!$O$6+'Rent Roll'!$S$6),-'Rent Roll'!$U$6*'Rent Roll'!$F$6*'Rent Roll'!$X$6,0)</f>
        <v>0</v>
      </c>
      <c r="U28" s="49">
        <f>IF(U$4=EOMONTH(CloseDate,'Rent Roll'!$O$6+'Rent Roll'!$S$6),-'Rent Roll'!$U$6*'Rent Roll'!$F$6*'Rent Roll'!$X$6,0)</f>
        <v>0</v>
      </c>
      <c r="V28" s="49">
        <f>IF(V$4=EOMONTH(CloseDate,'Rent Roll'!$O$6+'Rent Roll'!$S$6),-'Rent Roll'!$U$6*'Rent Roll'!$F$6*'Rent Roll'!$X$6,0)</f>
        <v>0</v>
      </c>
      <c r="W28" s="49">
        <f>IF(W$4=EOMONTH(CloseDate,'Rent Roll'!$O$6+'Rent Roll'!$S$6),-'Rent Roll'!$U$6*'Rent Roll'!$F$6*'Rent Roll'!$X$6,0)</f>
        <v>0</v>
      </c>
      <c r="X28" s="49">
        <f>IF(X$4=EOMONTH(CloseDate,'Rent Roll'!$O$6+'Rent Roll'!$S$6),-'Rent Roll'!$U$6*'Rent Roll'!$F$6*'Rent Roll'!$X$6,0)</f>
        <v>0</v>
      </c>
      <c r="Y28" s="49">
        <f>IF(Y$4=EOMONTH(CloseDate,'Rent Roll'!$O$6+'Rent Roll'!$S$6),-'Rent Roll'!$U$6*'Rent Roll'!$F$6*'Rent Roll'!$X$6,0)</f>
        <v>0</v>
      </c>
      <c r="Z28" s="49">
        <f>IF(Z$4=EOMONTH(CloseDate,'Rent Roll'!$O$6+'Rent Roll'!$S$6),-'Rent Roll'!$U$6*'Rent Roll'!$F$6*'Rent Roll'!$X$6,0)</f>
        <v>0</v>
      </c>
      <c r="AA28" s="49">
        <f>IF(AA$4=EOMONTH(CloseDate,'Rent Roll'!$O$6+'Rent Roll'!$S$6),-'Rent Roll'!$U$6*'Rent Roll'!$F$6*'Rent Roll'!$X$6,0)</f>
        <v>0</v>
      </c>
      <c r="AB28" s="49">
        <f>IF(AB$4=EOMONTH(CloseDate,'Rent Roll'!$O$6+'Rent Roll'!$S$6),-'Rent Roll'!$U$6*'Rent Roll'!$F$6*'Rent Roll'!$X$6,0)</f>
        <v>0</v>
      </c>
      <c r="AC28" s="49">
        <f>IF(AC$4=EOMONTH(CloseDate,'Rent Roll'!$O$6+'Rent Roll'!$S$6),-'Rent Roll'!$U$6*'Rent Roll'!$F$6*'Rent Roll'!$X$6,0)</f>
        <v>0</v>
      </c>
      <c r="AD28" s="49">
        <f>IF(AD$4=EOMONTH(CloseDate,'Rent Roll'!$O$6+'Rent Roll'!$S$6),-'Rent Roll'!$U$6*'Rent Roll'!$F$6*'Rent Roll'!$X$6,0)</f>
        <v>0</v>
      </c>
      <c r="AE28" s="49">
        <f>IF(AE$4=EOMONTH(CloseDate,'Rent Roll'!$O$6+'Rent Roll'!$S$6),-'Rent Roll'!$U$6*'Rent Roll'!$F$6*'Rent Roll'!$X$6,0)</f>
        <v>0</v>
      </c>
      <c r="AF28" s="49">
        <f>IF(AF$4=EOMONTH(CloseDate,'Rent Roll'!$O$6+'Rent Roll'!$S$6),-'Rent Roll'!$U$6*'Rent Roll'!$F$6*'Rent Roll'!$X$6,0)</f>
        <v>0</v>
      </c>
      <c r="AG28" s="49">
        <f>IF(AG$4=EOMONTH(CloseDate,'Rent Roll'!$O$6+'Rent Roll'!$S$6),-'Rent Roll'!$U$6*'Rent Roll'!$F$6*'Rent Roll'!$X$6,0)</f>
        <v>0</v>
      </c>
      <c r="AH28" s="49">
        <f>IF(AH$4=EOMONTH(CloseDate,'Rent Roll'!$O$6+'Rent Roll'!$S$6),-'Rent Roll'!$U$6*'Rent Roll'!$F$6*'Rent Roll'!$X$6,0)</f>
        <v>0</v>
      </c>
      <c r="AI28" s="49">
        <f>IF(AI$4=EOMONTH(CloseDate,'Rent Roll'!$O$6+'Rent Roll'!$S$6),-'Rent Roll'!$U$6*'Rent Roll'!$F$6*'Rent Roll'!$X$6,0)</f>
        <v>0</v>
      </c>
      <c r="AJ28" s="49">
        <f>IF(AJ$4=EOMONTH(CloseDate,'Rent Roll'!$O$6+'Rent Roll'!$S$6),-'Rent Roll'!$U$6*'Rent Roll'!$F$6*'Rent Roll'!$X$6,0)</f>
        <v>0</v>
      </c>
      <c r="AK28" s="49">
        <f>IF(AK$4=EOMONTH(CloseDate,'Rent Roll'!$O$6+'Rent Roll'!$S$6),-'Rent Roll'!$U$6*'Rent Roll'!$F$6*'Rent Roll'!$X$6,0)</f>
        <v>0</v>
      </c>
      <c r="AL28" s="49">
        <f>IF(AL$4=EOMONTH(CloseDate,'Rent Roll'!$O$6+'Rent Roll'!$S$6),-'Rent Roll'!$U$6*'Rent Roll'!$F$6*'Rent Roll'!$X$6,0)</f>
        <v>0</v>
      </c>
      <c r="AM28" s="49">
        <f>IF(AM$4=EOMONTH(CloseDate,'Rent Roll'!$O$6+'Rent Roll'!$S$6),-'Rent Roll'!$U$6*'Rent Roll'!$F$6*'Rent Roll'!$X$6,0)</f>
        <v>0</v>
      </c>
      <c r="AN28" s="49">
        <f>IF(AN$4=EOMONTH(CloseDate,'Rent Roll'!$O$6+'Rent Roll'!$S$6),-'Rent Roll'!$U$6*'Rent Roll'!$F$6*'Rent Roll'!$X$6,0)</f>
        <v>-23099.999999999996</v>
      </c>
      <c r="AO28" s="49">
        <f>IF(AO$4=EOMONTH(CloseDate,'Rent Roll'!$O$6+'Rent Roll'!$S$6),-'Rent Roll'!$U$6*'Rent Roll'!$F$6*'Rent Roll'!$X$6,0)</f>
        <v>0</v>
      </c>
      <c r="AP28" s="49">
        <f>IF(AP$4=EOMONTH(CloseDate,'Rent Roll'!$O$6+'Rent Roll'!$S$6),-'Rent Roll'!$U$6*'Rent Roll'!$F$6*'Rent Roll'!$X$6,0)</f>
        <v>0</v>
      </c>
      <c r="AQ28" s="49">
        <f>IF(AQ$4=EOMONTH(CloseDate,'Rent Roll'!$O$6+'Rent Roll'!$S$6),-'Rent Roll'!$U$6*'Rent Roll'!$F$6*'Rent Roll'!$X$6,0)</f>
        <v>0</v>
      </c>
      <c r="AR28" s="49">
        <f>IF(AR$4=EOMONTH(CloseDate,'Rent Roll'!$O$6+'Rent Roll'!$S$6),-'Rent Roll'!$U$6*'Rent Roll'!$F$6*'Rent Roll'!$X$6,0)</f>
        <v>0</v>
      </c>
      <c r="AS28" s="49">
        <f>IF(AS$4=EOMONTH(CloseDate,'Rent Roll'!$O$6+'Rent Roll'!$S$6),-'Rent Roll'!$U$6*'Rent Roll'!$F$6*'Rent Roll'!$X$6,0)</f>
        <v>0</v>
      </c>
      <c r="AT28" s="49">
        <f>IF(AT$4=EOMONTH(CloseDate,'Rent Roll'!$O$6+'Rent Roll'!$S$6),-'Rent Roll'!$U$6*'Rent Roll'!$F$6*'Rent Roll'!$X$6,0)</f>
        <v>0</v>
      </c>
      <c r="AU28" s="49">
        <f>IF(AU$4=EOMONTH(CloseDate,'Rent Roll'!$O$6+'Rent Roll'!$S$6),-'Rent Roll'!$U$6*'Rent Roll'!$F$6*'Rent Roll'!$X$6,0)</f>
        <v>0</v>
      </c>
      <c r="AV28" s="49">
        <f>IF(AV$4=EOMONTH(CloseDate,'Rent Roll'!$O$6+'Rent Roll'!$S$6),-'Rent Roll'!$U$6*'Rent Roll'!$F$6*'Rent Roll'!$X$6,0)</f>
        <v>0</v>
      </c>
      <c r="AW28" s="49">
        <f>IF(AW$4=EOMONTH(CloseDate,'Rent Roll'!$O$6+'Rent Roll'!$S$6),-'Rent Roll'!$U$6*'Rent Roll'!$F$6*'Rent Roll'!$X$6,0)</f>
        <v>0</v>
      </c>
      <c r="AX28" s="49">
        <f>IF(AX$4=EOMONTH(CloseDate,'Rent Roll'!$O$6+'Rent Roll'!$S$6),-'Rent Roll'!$U$6*'Rent Roll'!$F$6*'Rent Roll'!$X$6,0)</f>
        <v>0</v>
      </c>
      <c r="AY28" s="49">
        <f>IF(AY$4=EOMONTH(CloseDate,'Rent Roll'!$O$6+'Rent Roll'!$S$6),-'Rent Roll'!$U$6*'Rent Roll'!$F$6*'Rent Roll'!$X$6,0)</f>
        <v>0</v>
      </c>
      <c r="AZ28" s="49">
        <f>IF(AZ$4=EOMONTH(CloseDate,'Rent Roll'!$O$6+'Rent Roll'!$S$6),-'Rent Roll'!$U$6*'Rent Roll'!$F$6*'Rent Roll'!$X$6,0)</f>
        <v>0</v>
      </c>
      <c r="BA28" s="49">
        <f>IF(BA$4=EOMONTH(CloseDate,'Rent Roll'!$O$6+'Rent Roll'!$S$6),-'Rent Roll'!$U$6*'Rent Roll'!$F$6*'Rent Roll'!$X$6,0)</f>
        <v>0</v>
      </c>
      <c r="BB28" s="49">
        <f>IF(BB$4=EOMONTH(CloseDate,'Rent Roll'!$O$6+'Rent Roll'!$S$6),-'Rent Roll'!$U$6*'Rent Roll'!$F$6*'Rent Roll'!$X$6,0)</f>
        <v>0</v>
      </c>
      <c r="BC28" s="49">
        <f>IF(BC$4=EOMONTH(CloseDate,'Rent Roll'!$O$6+'Rent Roll'!$S$6),-'Rent Roll'!$U$6*'Rent Roll'!$F$6*'Rent Roll'!$X$6,0)</f>
        <v>0</v>
      </c>
      <c r="BD28" s="49">
        <f>IF(BD$4=EOMONTH(CloseDate,'Rent Roll'!$O$6+'Rent Roll'!$S$6),-'Rent Roll'!$U$6*'Rent Roll'!$F$6*'Rent Roll'!$X$6,0)</f>
        <v>0</v>
      </c>
      <c r="BE28" s="49">
        <f>IF(BE$4=EOMONTH(CloseDate,'Rent Roll'!$O$6+'Rent Roll'!$S$6),-'Rent Roll'!$U$6*'Rent Roll'!$F$6*'Rent Roll'!$X$6,0)</f>
        <v>0</v>
      </c>
      <c r="BF28" s="49">
        <f>IF(BF$4=EOMONTH(CloseDate,'Rent Roll'!$O$6+'Rent Roll'!$S$6),-'Rent Roll'!$U$6*'Rent Roll'!$F$6*'Rent Roll'!$X$6,0)</f>
        <v>0</v>
      </c>
      <c r="BG28" s="49">
        <f>IF(BG$4=EOMONTH(CloseDate,'Rent Roll'!$O$6+'Rent Roll'!$S$6),-'Rent Roll'!$U$6*'Rent Roll'!$F$6*'Rent Roll'!$X$6,0)</f>
        <v>0</v>
      </c>
      <c r="BH28" s="49">
        <f>IF(BH$4=EOMONTH(CloseDate,'Rent Roll'!$O$6+'Rent Roll'!$S$6),-'Rent Roll'!$U$6*'Rent Roll'!$F$6*'Rent Roll'!$X$6,0)</f>
        <v>0</v>
      </c>
      <c r="BI28" s="49">
        <f>IF(BI$4=EOMONTH(CloseDate,'Rent Roll'!$O$6+'Rent Roll'!$S$6),-'Rent Roll'!$U$6*'Rent Roll'!$F$6*'Rent Roll'!$X$6,0)</f>
        <v>0</v>
      </c>
      <c r="BJ28" s="49">
        <f>IF(BJ$4=EOMONTH(CloseDate,'Rent Roll'!$O$6+'Rent Roll'!$S$6),-'Rent Roll'!$U$6*'Rent Roll'!$F$6*'Rent Roll'!$X$6,0)</f>
        <v>0</v>
      </c>
      <c r="BK28" s="49">
        <f>IF(BK$4=EOMONTH(CloseDate,'Rent Roll'!$O$6+'Rent Roll'!$S$6),-'Rent Roll'!$U$6*'Rent Roll'!$F$6*'Rent Roll'!$X$6,0)</f>
        <v>0</v>
      </c>
      <c r="BL28" s="49">
        <f>IF(BL$4=EOMONTH(CloseDate,'Rent Roll'!$O$6+'Rent Roll'!$S$6),-'Rent Roll'!$U$6*'Rent Roll'!$F$6*'Rent Roll'!$X$6,0)</f>
        <v>0</v>
      </c>
      <c r="BM28" s="49">
        <f>IF(BM$4=EOMONTH(CloseDate,'Rent Roll'!$O$6+'Rent Roll'!$S$6),-'Rent Roll'!$U$6*'Rent Roll'!$F$6*'Rent Roll'!$X$6,0)</f>
        <v>0</v>
      </c>
      <c r="BN28" s="49">
        <f>IF(BN$4=EOMONTH(CloseDate,'Rent Roll'!$O$6+'Rent Roll'!$S$6),-'Rent Roll'!$U$6*'Rent Roll'!$F$6*'Rent Roll'!$X$6,0)</f>
        <v>0</v>
      </c>
      <c r="BO28" s="49">
        <f>IF(BO$4=EOMONTH(CloseDate,'Rent Roll'!$O$6+'Rent Roll'!$S$6),-'Rent Roll'!$U$6*'Rent Roll'!$F$6*'Rent Roll'!$X$6,0)</f>
        <v>0</v>
      </c>
      <c r="BP28" s="49">
        <f>IF(BP$4=EOMONTH(CloseDate,'Rent Roll'!$O$6+'Rent Roll'!$S$6),-'Rent Roll'!$U$6*'Rent Roll'!$F$6*'Rent Roll'!$X$6,0)</f>
        <v>0</v>
      </c>
      <c r="BQ28" s="49">
        <f>IF(BQ$4=EOMONTH(CloseDate,'Rent Roll'!$O$6+'Rent Roll'!$S$6),-'Rent Roll'!$U$6*'Rent Roll'!$F$6*'Rent Roll'!$X$6,0)</f>
        <v>0</v>
      </c>
      <c r="BR28" s="49">
        <f>IF(BR$4=EOMONTH(CloseDate,'Rent Roll'!$O$6+'Rent Roll'!$S$6),-'Rent Roll'!$U$6*'Rent Roll'!$F$6*'Rent Roll'!$X$6,0)</f>
        <v>0</v>
      </c>
      <c r="BS28" s="49">
        <f>IF(BS$4=EOMONTH(CloseDate,'Rent Roll'!$O$6+'Rent Roll'!$S$6),-'Rent Roll'!$U$6*'Rent Roll'!$F$6*'Rent Roll'!$X$6,0)</f>
        <v>0</v>
      </c>
      <c r="BT28" s="49">
        <f>IF(BT$4=EOMONTH(CloseDate,'Rent Roll'!$O$6+'Rent Roll'!$S$6),-'Rent Roll'!$U$6*'Rent Roll'!$F$6*'Rent Roll'!$X$6,0)</f>
        <v>0</v>
      </c>
      <c r="BU28" s="49">
        <f>IF(BU$4=EOMONTH(CloseDate,'Rent Roll'!$O$6+'Rent Roll'!$S$6),-'Rent Roll'!$U$6*'Rent Roll'!$F$6*'Rent Roll'!$X$6,0)</f>
        <v>0</v>
      </c>
      <c r="BV28" s="49">
        <f>IF(BV$4=EOMONTH(CloseDate,'Rent Roll'!$O$6+'Rent Roll'!$S$6),-'Rent Roll'!$U$6*'Rent Roll'!$F$6*'Rent Roll'!$X$6,0)</f>
        <v>0</v>
      </c>
      <c r="BW28" s="49">
        <f>IF(BW$4=EOMONTH(CloseDate,'Rent Roll'!$O$6+'Rent Roll'!$S$6),-'Rent Roll'!$U$6*'Rent Roll'!$F$6*'Rent Roll'!$X$6,0)</f>
        <v>0</v>
      </c>
      <c r="BX28" s="49">
        <f>IF(BX$4=EOMONTH(CloseDate,'Rent Roll'!$O$6+'Rent Roll'!$S$6),-'Rent Roll'!$U$6*'Rent Roll'!$F$6*'Rent Roll'!$X$6,0)</f>
        <v>0</v>
      </c>
    </row>
    <row r="29" spans="1:76" hidden="1" outlineLevel="1">
      <c r="A29" s="17" t="str">
        <f>'Rent Roll'!C7</f>
        <v>Carter &amp; Associates Law</v>
      </c>
      <c r="B29" s="57">
        <f>INDEX('Rent Roll'!$F$5:$F$46,MATCH('Rent Roll Calc'!A29,'Rent Roll'!$C$5:$C$46,0))</f>
        <v>12000</v>
      </c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49"/>
      <c r="AO29" s="49"/>
      <c r="AP29" s="49"/>
      <c r="AQ29" s="49"/>
      <c r="AR29" s="49"/>
      <c r="AS29" s="49"/>
      <c r="AT29" s="49"/>
      <c r="AU29" s="49"/>
      <c r="AV29" s="49"/>
      <c r="AW29" s="49"/>
      <c r="AX29" s="49"/>
      <c r="AY29" s="49"/>
      <c r="AZ29" s="49"/>
      <c r="BA29" s="49"/>
      <c r="BB29" s="49"/>
      <c r="BC29" s="49"/>
      <c r="BD29" s="49"/>
      <c r="BE29" s="49"/>
      <c r="BF29" s="49"/>
      <c r="BG29" s="49"/>
      <c r="BH29" s="49"/>
      <c r="BI29" s="49"/>
      <c r="BJ29" s="49"/>
      <c r="BK29" s="49"/>
      <c r="BL29" s="49"/>
      <c r="BM29" s="49"/>
      <c r="BN29" s="49"/>
      <c r="BO29" s="49"/>
      <c r="BP29" s="49"/>
      <c r="BQ29" s="49"/>
      <c r="BR29" s="49"/>
      <c r="BS29" s="49"/>
      <c r="BT29" s="49"/>
      <c r="BU29" s="49"/>
      <c r="BV29" s="49"/>
      <c r="BW29" s="49"/>
      <c r="BX29" s="49"/>
    </row>
    <row r="30" spans="1:76" hidden="1" outlineLevel="1">
      <c r="B30" t="s">
        <v>83</v>
      </c>
      <c r="D30" s="49">
        <f>IF(AND('Rent Roll'!$N$7&lt;&gt;"Ghost",D$4&lt;='Rent Roll'!$L$7),1,0)</f>
        <v>1</v>
      </c>
      <c r="E30" s="49">
        <f>IF(AND('Rent Roll'!$N$7&lt;&gt;"Ghost",E$4&lt;='Rent Roll'!$L$7),1,0)</f>
        <v>1</v>
      </c>
      <c r="F30" s="49">
        <f>IF(AND('Rent Roll'!$N$7&lt;&gt;"Ghost",F$4&lt;='Rent Roll'!$L$7),1,0)</f>
        <v>1</v>
      </c>
      <c r="G30" s="49">
        <f>IF(AND('Rent Roll'!$N$7&lt;&gt;"Ghost",G$4&lt;='Rent Roll'!$L$7),1,0)</f>
        <v>1</v>
      </c>
      <c r="H30" s="49">
        <f>IF(AND('Rent Roll'!$N$7&lt;&gt;"Ghost",H$4&lt;='Rent Roll'!$L$7),1,0)</f>
        <v>1</v>
      </c>
      <c r="I30" s="49">
        <f>IF(AND('Rent Roll'!$N$7&lt;&gt;"Ghost",I$4&lt;='Rent Roll'!$L$7),1,0)</f>
        <v>1</v>
      </c>
      <c r="J30" s="49">
        <f>IF(AND('Rent Roll'!$N$7&lt;&gt;"Ghost",J$4&lt;='Rent Roll'!$L$7),1,0)</f>
        <v>1</v>
      </c>
      <c r="K30" s="49">
        <f>IF(AND('Rent Roll'!$N$7&lt;&gt;"Ghost",K$4&lt;='Rent Roll'!$L$7),1,0)</f>
        <v>1</v>
      </c>
      <c r="L30" s="49">
        <f>IF(AND('Rent Roll'!$N$7&lt;&gt;"Ghost",L$4&lt;='Rent Roll'!$L$7),1,0)</f>
        <v>1</v>
      </c>
      <c r="M30" s="49">
        <f>IF(AND('Rent Roll'!$N$7&lt;&gt;"Ghost",M$4&lt;='Rent Roll'!$L$7),1,0)</f>
        <v>1</v>
      </c>
      <c r="N30" s="49">
        <f>IF(AND('Rent Roll'!$N$7&lt;&gt;"Ghost",N$4&lt;='Rent Roll'!$L$7),1,0)</f>
        <v>1</v>
      </c>
      <c r="O30" s="49">
        <f>IF(AND('Rent Roll'!$N$7&lt;&gt;"Ghost",O$4&lt;='Rent Roll'!$L$7),1,0)</f>
        <v>1</v>
      </c>
      <c r="P30" s="49">
        <f>IF(AND('Rent Roll'!$N$7&lt;&gt;"Ghost",P$4&lt;='Rent Roll'!$L$7),1,0)</f>
        <v>1</v>
      </c>
      <c r="Q30" s="49">
        <f>IF(AND('Rent Roll'!$N$7&lt;&gt;"Ghost",Q$4&lt;='Rent Roll'!$L$7),1,0)</f>
        <v>1</v>
      </c>
      <c r="R30" s="49">
        <f>IF(AND('Rent Roll'!$N$7&lt;&gt;"Ghost",R$4&lt;='Rent Roll'!$L$7),1,0)</f>
        <v>0</v>
      </c>
      <c r="S30" s="49">
        <f>IF(AND('Rent Roll'!$N$7&lt;&gt;"Ghost",S$4&lt;='Rent Roll'!$L$7),1,0)</f>
        <v>0</v>
      </c>
      <c r="T30" s="49">
        <f>IF(AND('Rent Roll'!$N$7&lt;&gt;"Ghost",T$4&lt;='Rent Roll'!$L$7),1,0)</f>
        <v>0</v>
      </c>
      <c r="U30" s="49">
        <f>IF(AND('Rent Roll'!$N$7&lt;&gt;"Ghost",U$4&lt;='Rent Roll'!$L$7),1,0)</f>
        <v>0</v>
      </c>
      <c r="V30" s="49">
        <f>IF(AND('Rent Roll'!$N$7&lt;&gt;"Ghost",V$4&lt;='Rent Roll'!$L$7),1,0)</f>
        <v>0</v>
      </c>
      <c r="W30" s="49">
        <f>IF(AND('Rent Roll'!$N$7&lt;&gt;"Ghost",W$4&lt;='Rent Roll'!$L$7),1,0)</f>
        <v>0</v>
      </c>
      <c r="X30" s="49">
        <f>IF(AND('Rent Roll'!$N$7&lt;&gt;"Ghost",X$4&lt;='Rent Roll'!$L$7),1,0)</f>
        <v>0</v>
      </c>
      <c r="Y30" s="49">
        <f>IF(AND('Rent Roll'!$N$7&lt;&gt;"Ghost",Y$4&lt;='Rent Roll'!$L$7),1,0)</f>
        <v>0</v>
      </c>
      <c r="Z30" s="49">
        <f>IF(AND('Rent Roll'!$N$7&lt;&gt;"Ghost",Z$4&lt;='Rent Roll'!$L$7),1,0)</f>
        <v>0</v>
      </c>
      <c r="AA30" s="49">
        <f>IF(AND('Rent Roll'!$N$7&lt;&gt;"Ghost",AA$4&lt;='Rent Roll'!$L$7),1,0)</f>
        <v>0</v>
      </c>
      <c r="AB30" s="49">
        <f>IF(AND('Rent Roll'!$N$7&lt;&gt;"Ghost",AB$4&lt;='Rent Roll'!$L$7),1,0)</f>
        <v>0</v>
      </c>
      <c r="AC30" s="49">
        <f>IF(AND('Rent Roll'!$N$7&lt;&gt;"Ghost",AC$4&lt;='Rent Roll'!$L$7),1,0)</f>
        <v>0</v>
      </c>
      <c r="AD30" s="49">
        <f>IF(AND('Rent Roll'!$N$7&lt;&gt;"Ghost",AD$4&lt;='Rent Roll'!$L$7),1,0)</f>
        <v>0</v>
      </c>
      <c r="AE30" s="49">
        <f>IF(AND('Rent Roll'!$N$7&lt;&gt;"Ghost",AE$4&lt;='Rent Roll'!$L$7),1,0)</f>
        <v>0</v>
      </c>
      <c r="AF30" s="49">
        <f>IF(AND('Rent Roll'!$N$7&lt;&gt;"Ghost",AF$4&lt;='Rent Roll'!$L$7),1,0)</f>
        <v>0</v>
      </c>
      <c r="AG30" s="49">
        <f>IF(AND('Rent Roll'!$N$7&lt;&gt;"Ghost",AG$4&lt;='Rent Roll'!$L$7),1,0)</f>
        <v>0</v>
      </c>
      <c r="AH30" s="49">
        <f>IF(AND('Rent Roll'!$N$7&lt;&gt;"Ghost",AH$4&lt;='Rent Roll'!$L$7),1,0)</f>
        <v>0</v>
      </c>
      <c r="AI30" s="49">
        <f>IF(AND('Rent Roll'!$N$7&lt;&gt;"Ghost",AI$4&lt;='Rent Roll'!$L$7),1,0)</f>
        <v>0</v>
      </c>
      <c r="AJ30" s="49">
        <f>IF(AND('Rent Roll'!$N$7&lt;&gt;"Ghost",AJ$4&lt;='Rent Roll'!$L$7),1,0)</f>
        <v>0</v>
      </c>
      <c r="AK30" s="49">
        <f>IF(AND('Rent Roll'!$N$7&lt;&gt;"Ghost",AK$4&lt;='Rent Roll'!$L$7),1,0)</f>
        <v>0</v>
      </c>
      <c r="AL30" s="49">
        <f>IF(AND('Rent Roll'!$N$7&lt;&gt;"Ghost",AL$4&lt;='Rent Roll'!$L$7),1,0)</f>
        <v>0</v>
      </c>
      <c r="AM30" s="49">
        <f>IF(AND('Rent Roll'!$N$7&lt;&gt;"Ghost",AM$4&lt;='Rent Roll'!$L$7),1,0)</f>
        <v>0</v>
      </c>
      <c r="AN30" s="49">
        <f>IF(AND('Rent Roll'!$N$7&lt;&gt;"Ghost",AN$4&lt;='Rent Roll'!$L$7),1,0)</f>
        <v>0</v>
      </c>
      <c r="AO30" s="49">
        <f>IF(AND('Rent Roll'!$N$7&lt;&gt;"Ghost",AO$4&lt;='Rent Roll'!$L$7),1,0)</f>
        <v>0</v>
      </c>
      <c r="AP30" s="49">
        <f>IF(AND('Rent Roll'!$N$7&lt;&gt;"Ghost",AP$4&lt;='Rent Roll'!$L$7),1,0)</f>
        <v>0</v>
      </c>
      <c r="AQ30" s="49">
        <f>IF(AND('Rent Roll'!$N$7&lt;&gt;"Ghost",AQ$4&lt;='Rent Roll'!$L$7),1,0)</f>
        <v>0</v>
      </c>
      <c r="AR30" s="49">
        <f>IF(AND('Rent Roll'!$N$7&lt;&gt;"Ghost",AR$4&lt;='Rent Roll'!$L$7),1,0)</f>
        <v>0</v>
      </c>
      <c r="AS30" s="49">
        <f>IF(AND('Rent Roll'!$N$7&lt;&gt;"Ghost",AS$4&lt;='Rent Roll'!$L$7),1,0)</f>
        <v>0</v>
      </c>
      <c r="AT30" s="49">
        <f>IF(AND('Rent Roll'!$N$7&lt;&gt;"Ghost",AT$4&lt;='Rent Roll'!$L$7),1,0)</f>
        <v>0</v>
      </c>
      <c r="AU30" s="49">
        <f>IF(AND('Rent Roll'!$N$7&lt;&gt;"Ghost",AU$4&lt;='Rent Roll'!$L$7),1,0)</f>
        <v>0</v>
      </c>
      <c r="AV30" s="49">
        <f>IF(AND('Rent Roll'!$N$7&lt;&gt;"Ghost",AV$4&lt;='Rent Roll'!$L$7),1,0)</f>
        <v>0</v>
      </c>
      <c r="AW30" s="49">
        <f>IF(AND('Rent Roll'!$N$7&lt;&gt;"Ghost",AW$4&lt;='Rent Roll'!$L$7),1,0)</f>
        <v>0</v>
      </c>
      <c r="AX30" s="49">
        <f>IF(AND('Rent Roll'!$N$7&lt;&gt;"Ghost",AX$4&lt;='Rent Roll'!$L$7),1,0)</f>
        <v>0</v>
      </c>
      <c r="AY30" s="49">
        <f>IF(AND('Rent Roll'!$N$7&lt;&gt;"Ghost",AY$4&lt;='Rent Roll'!$L$7),1,0)</f>
        <v>0</v>
      </c>
      <c r="AZ30" s="49">
        <f>IF(AND('Rent Roll'!$N$7&lt;&gt;"Ghost",AZ$4&lt;='Rent Roll'!$L$7),1,0)</f>
        <v>0</v>
      </c>
      <c r="BA30" s="49">
        <f>IF(AND('Rent Roll'!$N$7&lt;&gt;"Ghost",BA$4&lt;='Rent Roll'!$L$7),1,0)</f>
        <v>0</v>
      </c>
      <c r="BB30" s="49">
        <f>IF(AND('Rent Roll'!$N$7&lt;&gt;"Ghost",BB$4&lt;='Rent Roll'!$L$7),1,0)</f>
        <v>0</v>
      </c>
      <c r="BC30" s="49">
        <f>IF(AND('Rent Roll'!$N$7&lt;&gt;"Ghost",BC$4&lt;='Rent Roll'!$L$7),1,0)</f>
        <v>0</v>
      </c>
      <c r="BD30" s="49">
        <f>IF(AND('Rent Roll'!$N$7&lt;&gt;"Ghost",BD$4&lt;='Rent Roll'!$L$7),1,0)</f>
        <v>0</v>
      </c>
      <c r="BE30" s="49">
        <f>IF(AND('Rent Roll'!$N$7&lt;&gt;"Ghost",BE$4&lt;='Rent Roll'!$L$7),1,0)</f>
        <v>0</v>
      </c>
      <c r="BF30" s="49">
        <f>IF(AND('Rent Roll'!$N$7&lt;&gt;"Ghost",BF$4&lt;='Rent Roll'!$L$7),1,0)</f>
        <v>0</v>
      </c>
      <c r="BG30" s="49">
        <f>IF(AND('Rent Roll'!$N$7&lt;&gt;"Ghost",BG$4&lt;='Rent Roll'!$L$7),1,0)</f>
        <v>0</v>
      </c>
      <c r="BH30" s="49">
        <f>IF(AND('Rent Roll'!$N$7&lt;&gt;"Ghost",BH$4&lt;='Rent Roll'!$L$7),1,0)</f>
        <v>0</v>
      </c>
      <c r="BI30" s="49">
        <f>IF(AND('Rent Roll'!$N$7&lt;&gt;"Ghost",BI$4&lt;='Rent Roll'!$L$7),1,0)</f>
        <v>0</v>
      </c>
      <c r="BJ30" s="49">
        <f>IF(AND('Rent Roll'!$N$7&lt;&gt;"Ghost",BJ$4&lt;='Rent Roll'!$L$7),1,0)</f>
        <v>0</v>
      </c>
      <c r="BK30" s="49">
        <f>IF(AND('Rent Roll'!$N$7&lt;&gt;"Ghost",BK$4&lt;='Rent Roll'!$L$7),1,0)</f>
        <v>0</v>
      </c>
      <c r="BL30" s="49">
        <f>IF(AND('Rent Roll'!$N$7&lt;&gt;"Ghost",BL$4&lt;='Rent Roll'!$L$7),1,0)</f>
        <v>0</v>
      </c>
      <c r="BM30" s="49">
        <f>IF(AND('Rent Roll'!$N$7&lt;&gt;"Ghost",BM$4&lt;='Rent Roll'!$L$7),1,0)</f>
        <v>0</v>
      </c>
      <c r="BN30" s="49">
        <f>IF(AND('Rent Roll'!$N$7&lt;&gt;"Ghost",BN$4&lt;='Rent Roll'!$L$7),1,0)</f>
        <v>0</v>
      </c>
      <c r="BO30" s="49">
        <f>IF(AND('Rent Roll'!$N$7&lt;&gt;"Ghost",BO$4&lt;='Rent Roll'!$L$7),1,0)</f>
        <v>0</v>
      </c>
      <c r="BP30" s="49">
        <f>IF(AND('Rent Roll'!$N$7&lt;&gt;"Ghost",BP$4&lt;='Rent Roll'!$L$7),1,0)</f>
        <v>0</v>
      </c>
      <c r="BQ30" s="49">
        <f>IF(AND('Rent Roll'!$N$7&lt;&gt;"Ghost",BQ$4&lt;='Rent Roll'!$L$7),1,0)</f>
        <v>0</v>
      </c>
      <c r="BR30" s="49">
        <f>IF(AND('Rent Roll'!$N$7&lt;&gt;"Ghost",BR$4&lt;='Rent Roll'!$L$7),1,0)</f>
        <v>0</v>
      </c>
      <c r="BS30" s="49">
        <f>IF(AND('Rent Roll'!$N$7&lt;&gt;"Ghost",BS$4&lt;='Rent Roll'!$L$7),1,0)</f>
        <v>0</v>
      </c>
      <c r="BT30" s="49">
        <f>IF(AND('Rent Roll'!$N$7&lt;&gt;"Ghost",BT$4&lt;='Rent Roll'!$L$7),1,0)</f>
        <v>0</v>
      </c>
      <c r="BU30" s="49">
        <f>IF(AND('Rent Roll'!$N$7&lt;&gt;"Ghost",BU$4&lt;='Rent Roll'!$L$7),1,0)</f>
        <v>0</v>
      </c>
      <c r="BV30" s="49">
        <f>IF(AND('Rent Roll'!$N$7&lt;&gt;"Ghost",BV$4&lt;='Rent Roll'!$L$7),1,0)</f>
        <v>0</v>
      </c>
      <c r="BW30" s="49">
        <f>IF(AND('Rent Roll'!$N$7&lt;&gt;"Ghost",BW$4&lt;='Rent Roll'!$L$7),1,0)</f>
        <v>0</v>
      </c>
      <c r="BX30" s="49">
        <f>IF(AND('Rent Roll'!$N$7&lt;&gt;"Ghost",BX$4&lt;='Rent Roll'!$L$7),1,0)</f>
        <v>0</v>
      </c>
    </row>
    <row r="31" spans="1:76" collapsed="1">
      <c r="B31" t="s">
        <v>159</v>
      </c>
      <c r="D31" s="49">
        <f>IF(D30=1,'Rent Roll'!$H$7/12*(1+'Rent Roll'!$I$7)^IF(D$4&lt;'Rent Roll'!$Y$7,0,YEAR(D$4)-YEAR('Rent Roll'!$Y$7)+1),0)</f>
        <v>22000</v>
      </c>
      <c r="E31" s="49">
        <f>IF(E30=1,'Rent Roll'!$H$7/12*(1+'Rent Roll'!$I$7)^IF(E$4&lt;'Rent Roll'!$Y$7,0,YEAR(E$4)-YEAR('Rent Roll'!$Y$7)+1),0)</f>
        <v>22000</v>
      </c>
      <c r="F31" s="49">
        <f>IF(F30=1,'Rent Roll'!$H$7/12*(1+'Rent Roll'!$I$7)^IF(F$4&lt;'Rent Roll'!$Y$7,0,YEAR(F$4)-YEAR('Rent Roll'!$Y$7)+1),0)</f>
        <v>22549.999999999996</v>
      </c>
      <c r="G31" s="49">
        <f>IF(G30=1,'Rent Roll'!$H$7/12*(1+'Rent Roll'!$I$7)^IF(G$4&lt;'Rent Roll'!$Y$7,0,YEAR(G$4)-YEAR('Rent Roll'!$Y$7)+1),0)</f>
        <v>22549.999999999996</v>
      </c>
      <c r="H31" s="49">
        <f>IF(H30=1,'Rent Roll'!$H$7/12*(1+'Rent Roll'!$I$7)^IF(H$4&lt;'Rent Roll'!$Y$7,0,YEAR(H$4)-YEAR('Rent Roll'!$Y$7)+1),0)</f>
        <v>22549.999999999996</v>
      </c>
      <c r="I31" s="49">
        <f>IF(I30=1,'Rent Roll'!$H$7/12*(1+'Rent Roll'!$I$7)^IF(I$4&lt;'Rent Roll'!$Y$7,0,YEAR(I$4)-YEAR('Rent Roll'!$Y$7)+1),0)</f>
        <v>23113.75</v>
      </c>
      <c r="J31" s="49">
        <f>IF(J30=1,'Rent Roll'!$H$7/12*(1+'Rent Roll'!$I$7)^IF(J$4&lt;'Rent Roll'!$Y$7,0,YEAR(J$4)-YEAR('Rent Roll'!$Y$7)+1),0)</f>
        <v>23113.75</v>
      </c>
      <c r="K31" s="49">
        <f>IF(K30=1,'Rent Roll'!$H$7/12*(1+'Rent Roll'!$I$7)^IF(K$4&lt;'Rent Roll'!$Y$7,0,YEAR(K$4)-YEAR('Rent Roll'!$Y$7)+1),0)</f>
        <v>23113.75</v>
      </c>
      <c r="L31" s="49">
        <f>IF(L30=1,'Rent Roll'!$H$7/12*(1+'Rent Roll'!$I$7)^IF(L$4&lt;'Rent Roll'!$Y$7,0,YEAR(L$4)-YEAR('Rent Roll'!$Y$7)+1),0)</f>
        <v>23113.75</v>
      </c>
      <c r="M31" s="49">
        <f>IF(M30=1,'Rent Roll'!$H$7/12*(1+'Rent Roll'!$I$7)^IF(M$4&lt;'Rent Roll'!$Y$7,0,YEAR(M$4)-YEAR('Rent Roll'!$Y$7)+1),0)</f>
        <v>23113.75</v>
      </c>
      <c r="N31" s="49">
        <f>IF(N30=1,'Rent Roll'!$H$7/12*(1+'Rent Roll'!$I$7)^IF(N$4&lt;'Rent Roll'!$Y$7,0,YEAR(N$4)-YEAR('Rent Roll'!$Y$7)+1),0)</f>
        <v>23113.75</v>
      </c>
      <c r="O31" s="49">
        <f>IF(O30=1,'Rent Roll'!$H$7/12*(1+'Rent Roll'!$I$7)^IF(O$4&lt;'Rent Roll'!$Y$7,0,YEAR(O$4)-YEAR('Rent Roll'!$Y$7)+1),0)</f>
        <v>23113.75</v>
      </c>
      <c r="P31" s="49">
        <f>IF(P30=1,'Rent Roll'!$H$7/12*(1+'Rent Roll'!$I$7)^IF(P$4&lt;'Rent Roll'!$Y$7,0,YEAR(P$4)-YEAR('Rent Roll'!$Y$7)+1),0)</f>
        <v>23113.75</v>
      </c>
      <c r="Q31" s="49">
        <f>IF(Q30=1,'Rent Roll'!$H$7/12*(1+'Rent Roll'!$I$7)^IF(Q$4&lt;'Rent Roll'!$Y$7,0,YEAR(Q$4)-YEAR('Rent Roll'!$Y$7)+1),0)</f>
        <v>23113.75</v>
      </c>
      <c r="R31" s="49">
        <f>IF(R30=1,'Rent Roll'!$H$7/12*(1+'Rent Roll'!$I$7)^IF(R$4&lt;'Rent Roll'!$Y$7,0,YEAR(R$4)-YEAR('Rent Roll'!$Y$7)+1),0)</f>
        <v>0</v>
      </c>
      <c r="S31" s="49">
        <f>IF(S30=1,'Rent Roll'!$H$7/12*(1+'Rent Roll'!$I$7)^IF(S$4&lt;'Rent Roll'!$Y$7,0,YEAR(S$4)-YEAR('Rent Roll'!$Y$7)+1),0)</f>
        <v>0</v>
      </c>
      <c r="T31" s="49">
        <f>IF(T30=1,'Rent Roll'!$H$7/12*(1+'Rent Roll'!$I$7)^IF(T$4&lt;'Rent Roll'!$Y$7,0,YEAR(T$4)-YEAR('Rent Roll'!$Y$7)+1),0)</f>
        <v>0</v>
      </c>
      <c r="U31" s="49">
        <f>IF(U30=1,'Rent Roll'!$H$7/12*(1+'Rent Roll'!$I$7)^IF(U$4&lt;'Rent Roll'!$Y$7,0,YEAR(U$4)-YEAR('Rent Roll'!$Y$7)+1),0)</f>
        <v>0</v>
      </c>
      <c r="V31" s="49">
        <f>IF(V30=1,'Rent Roll'!$H$7/12*(1+'Rent Roll'!$I$7)^IF(V$4&lt;'Rent Roll'!$Y$7,0,YEAR(V$4)-YEAR('Rent Roll'!$Y$7)+1),0)</f>
        <v>0</v>
      </c>
      <c r="W31" s="49">
        <f>IF(W30=1,'Rent Roll'!$H$7/12*(1+'Rent Roll'!$I$7)^IF(W$4&lt;'Rent Roll'!$Y$7,0,YEAR(W$4)-YEAR('Rent Roll'!$Y$7)+1),0)</f>
        <v>0</v>
      </c>
      <c r="X31" s="49">
        <f>IF(X30=1,'Rent Roll'!$H$7/12*(1+'Rent Roll'!$I$7)^IF(X$4&lt;'Rent Roll'!$Y$7,0,YEAR(X$4)-YEAR('Rent Roll'!$Y$7)+1),0)</f>
        <v>0</v>
      </c>
      <c r="Y31" s="49">
        <f>IF(Y30=1,'Rent Roll'!$H$7/12*(1+'Rent Roll'!$I$7)^IF(Y$4&lt;'Rent Roll'!$Y$7,0,YEAR(Y$4)-YEAR('Rent Roll'!$Y$7)+1),0)</f>
        <v>0</v>
      </c>
      <c r="Z31" s="49">
        <f>IF(Z30=1,'Rent Roll'!$H$7/12*(1+'Rent Roll'!$I$7)^IF(Z$4&lt;'Rent Roll'!$Y$7,0,YEAR(Z$4)-YEAR('Rent Roll'!$Y$7)+1),0)</f>
        <v>0</v>
      </c>
      <c r="AA31" s="49">
        <f>IF(AA30=1,'Rent Roll'!$H$7/12*(1+'Rent Roll'!$I$7)^IF(AA$4&lt;'Rent Roll'!$Y$7,0,YEAR(AA$4)-YEAR('Rent Roll'!$Y$7)+1),0)</f>
        <v>0</v>
      </c>
      <c r="AB31" s="49">
        <f>IF(AB30=1,'Rent Roll'!$H$7/12*(1+'Rent Roll'!$I$7)^IF(AB$4&lt;'Rent Roll'!$Y$7,0,YEAR(AB$4)-YEAR('Rent Roll'!$Y$7)+1),0)</f>
        <v>0</v>
      </c>
      <c r="AC31" s="49">
        <f>IF(AC30=1,'Rent Roll'!$H$7/12*(1+'Rent Roll'!$I$7)^IF(AC$4&lt;'Rent Roll'!$Y$7,0,YEAR(AC$4)-YEAR('Rent Roll'!$Y$7)+1),0)</f>
        <v>0</v>
      </c>
      <c r="AD31" s="49">
        <f>IF(AD30=1,'Rent Roll'!$H$7/12*(1+'Rent Roll'!$I$7)^IF(AD$4&lt;'Rent Roll'!$Y$7,0,YEAR(AD$4)-YEAR('Rent Roll'!$Y$7)+1),0)</f>
        <v>0</v>
      </c>
      <c r="AE31" s="49">
        <f>IF(AE30=1,'Rent Roll'!$H$7/12*(1+'Rent Roll'!$I$7)^IF(AE$4&lt;'Rent Roll'!$Y$7,0,YEAR(AE$4)-YEAR('Rent Roll'!$Y$7)+1),0)</f>
        <v>0</v>
      </c>
      <c r="AF31" s="49">
        <f>IF(AF30=1,'Rent Roll'!$H$7/12*(1+'Rent Roll'!$I$7)^IF(AF$4&lt;'Rent Roll'!$Y$7,0,YEAR(AF$4)-YEAR('Rent Roll'!$Y$7)+1),0)</f>
        <v>0</v>
      </c>
      <c r="AG31" s="49">
        <f>IF(AG30=1,'Rent Roll'!$H$7/12*(1+'Rent Roll'!$I$7)^IF(AG$4&lt;'Rent Roll'!$Y$7,0,YEAR(AG$4)-YEAR('Rent Roll'!$Y$7)+1),0)</f>
        <v>0</v>
      </c>
      <c r="AH31" s="49">
        <f>IF(AH30=1,'Rent Roll'!$H$7/12*(1+'Rent Roll'!$I$7)^IF(AH$4&lt;'Rent Roll'!$Y$7,0,YEAR(AH$4)-YEAR('Rent Roll'!$Y$7)+1),0)</f>
        <v>0</v>
      </c>
      <c r="AI31" s="49">
        <f>IF(AI30=1,'Rent Roll'!$H$7/12*(1+'Rent Roll'!$I$7)^IF(AI$4&lt;'Rent Roll'!$Y$7,0,YEAR(AI$4)-YEAR('Rent Roll'!$Y$7)+1),0)</f>
        <v>0</v>
      </c>
      <c r="AJ31" s="49">
        <f>IF(AJ30=1,'Rent Roll'!$H$7/12*(1+'Rent Roll'!$I$7)^IF(AJ$4&lt;'Rent Roll'!$Y$7,0,YEAR(AJ$4)-YEAR('Rent Roll'!$Y$7)+1),0)</f>
        <v>0</v>
      </c>
      <c r="AK31" s="49">
        <f>IF(AK30=1,'Rent Roll'!$H$7/12*(1+'Rent Roll'!$I$7)^IF(AK$4&lt;'Rent Roll'!$Y$7,0,YEAR(AK$4)-YEAR('Rent Roll'!$Y$7)+1),0)</f>
        <v>0</v>
      </c>
      <c r="AL31" s="49">
        <f>IF(AL30=1,'Rent Roll'!$H$7/12*(1+'Rent Roll'!$I$7)^IF(AL$4&lt;'Rent Roll'!$Y$7,0,YEAR(AL$4)-YEAR('Rent Roll'!$Y$7)+1),0)</f>
        <v>0</v>
      </c>
      <c r="AM31" s="49">
        <f>IF(AM30=1,'Rent Roll'!$H$7/12*(1+'Rent Roll'!$I$7)^IF(AM$4&lt;'Rent Roll'!$Y$7,0,YEAR(AM$4)-YEAR('Rent Roll'!$Y$7)+1),0)</f>
        <v>0</v>
      </c>
      <c r="AN31" s="49">
        <f>IF(AN30=1,'Rent Roll'!$H$7/12*(1+'Rent Roll'!$I$7)^IF(AN$4&lt;'Rent Roll'!$Y$7,0,YEAR(AN$4)-YEAR('Rent Roll'!$Y$7)+1),0)</f>
        <v>0</v>
      </c>
      <c r="AO31" s="49">
        <f>IF(AO30=1,'Rent Roll'!$H$7/12*(1+'Rent Roll'!$I$7)^IF(AO$4&lt;'Rent Roll'!$Y$7,0,YEAR(AO$4)-YEAR('Rent Roll'!$Y$7)+1),0)</f>
        <v>0</v>
      </c>
      <c r="AP31" s="49">
        <f>IF(AP30=1,'Rent Roll'!$H$7/12*(1+'Rent Roll'!$I$7)^IF(AP$4&lt;'Rent Roll'!$Y$7,0,YEAR(AP$4)-YEAR('Rent Roll'!$Y$7)+1),0)</f>
        <v>0</v>
      </c>
      <c r="AQ31" s="49">
        <f>IF(AQ30=1,'Rent Roll'!$H$7/12*(1+'Rent Roll'!$I$7)^IF(AQ$4&lt;'Rent Roll'!$Y$7,0,YEAR(AQ$4)-YEAR('Rent Roll'!$Y$7)+1),0)</f>
        <v>0</v>
      </c>
      <c r="AR31" s="49">
        <f>IF(AR30=1,'Rent Roll'!$H$7/12*(1+'Rent Roll'!$I$7)^IF(AR$4&lt;'Rent Roll'!$Y$7,0,YEAR(AR$4)-YEAR('Rent Roll'!$Y$7)+1),0)</f>
        <v>0</v>
      </c>
      <c r="AS31" s="49">
        <f>IF(AS30=1,'Rent Roll'!$H$7/12*(1+'Rent Roll'!$I$7)^IF(AS$4&lt;'Rent Roll'!$Y$7,0,YEAR(AS$4)-YEAR('Rent Roll'!$Y$7)+1),0)</f>
        <v>0</v>
      </c>
      <c r="AT31" s="49">
        <f>IF(AT30=1,'Rent Roll'!$H$7/12*(1+'Rent Roll'!$I$7)^IF(AT$4&lt;'Rent Roll'!$Y$7,0,YEAR(AT$4)-YEAR('Rent Roll'!$Y$7)+1),0)</f>
        <v>0</v>
      </c>
      <c r="AU31" s="49">
        <f>IF(AU30=1,'Rent Roll'!$H$7/12*(1+'Rent Roll'!$I$7)^IF(AU$4&lt;'Rent Roll'!$Y$7,0,YEAR(AU$4)-YEAR('Rent Roll'!$Y$7)+1),0)</f>
        <v>0</v>
      </c>
      <c r="AV31" s="49">
        <f>IF(AV30=1,'Rent Roll'!$H$7/12*(1+'Rent Roll'!$I$7)^IF(AV$4&lt;'Rent Roll'!$Y$7,0,YEAR(AV$4)-YEAR('Rent Roll'!$Y$7)+1),0)</f>
        <v>0</v>
      </c>
      <c r="AW31" s="49">
        <f>IF(AW30=1,'Rent Roll'!$H$7/12*(1+'Rent Roll'!$I$7)^IF(AW$4&lt;'Rent Roll'!$Y$7,0,YEAR(AW$4)-YEAR('Rent Roll'!$Y$7)+1),0)</f>
        <v>0</v>
      </c>
      <c r="AX31" s="49">
        <f>IF(AX30=1,'Rent Roll'!$H$7/12*(1+'Rent Roll'!$I$7)^IF(AX$4&lt;'Rent Roll'!$Y$7,0,YEAR(AX$4)-YEAR('Rent Roll'!$Y$7)+1),0)</f>
        <v>0</v>
      </c>
      <c r="AY31" s="49">
        <f>IF(AY30=1,'Rent Roll'!$H$7/12*(1+'Rent Roll'!$I$7)^IF(AY$4&lt;'Rent Roll'!$Y$7,0,YEAR(AY$4)-YEAR('Rent Roll'!$Y$7)+1),0)</f>
        <v>0</v>
      </c>
      <c r="AZ31" s="49">
        <f>IF(AZ30=1,'Rent Roll'!$H$7/12*(1+'Rent Roll'!$I$7)^IF(AZ$4&lt;'Rent Roll'!$Y$7,0,YEAR(AZ$4)-YEAR('Rent Roll'!$Y$7)+1),0)</f>
        <v>0</v>
      </c>
      <c r="BA31" s="49">
        <f>IF(BA30=1,'Rent Roll'!$H$7/12*(1+'Rent Roll'!$I$7)^IF(BA$4&lt;'Rent Roll'!$Y$7,0,YEAR(BA$4)-YEAR('Rent Roll'!$Y$7)+1),0)</f>
        <v>0</v>
      </c>
      <c r="BB31" s="49">
        <f>IF(BB30=1,'Rent Roll'!$H$7/12*(1+'Rent Roll'!$I$7)^IF(BB$4&lt;'Rent Roll'!$Y$7,0,YEAR(BB$4)-YEAR('Rent Roll'!$Y$7)+1),0)</f>
        <v>0</v>
      </c>
      <c r="BC31" s="49">
        <f>IF(BC30=1,'Rent Roll'!$H$7/12*(1+'Rent Roll'!$I$7)^IF(BC$4&lt;'Rent Roll'!$Y$7,0,YEAR(BC$4)-YEAR('Rent Roll'!$Y$7)+1),0)</f>
        <v>0</v>
      </c>
      <c r="BD31" s="49">
        <f>IF(BD30=1,'Rent Roll'!$H$7/12*(1+'Rent Roll'!$I$7)^IF(BD$4&lt;'Rent Roll'!$Y$7,0,YEAR(BD$4)-YEAR('Rent Roll'!$Y$7)+1),0)</f>
        <v>0</v>
      </c>
      <c r="BE31" s="49">
        <f>IF(BE30=1,'Rent Roll'!$H$7/12*(1+'Rent Roll'!$I$7)^IF(BE$4&lt;'Rent Roll'!$Y$7,0,YEAR(BE$4)-YEAR('Rent Roll'!$Y$7)+1),0)</f>
        <v>0</v>
      </c>
      <c r="BF31" s="49">
        <f>IF(BF30=1,'Rent Roll'!$H$7/12*(1+'Rent Roll'!$I$7)^IF(BF$4&lt;'Rent Roll'!$Y$7,0,YEAR(BF$4)-YEAR('Rent Roll'!$Y$7)+1),0)</f>
        <v>0</v>
      </c>
      <c r="BG31" s="49">
        <f>IF(BG30=1,'Rent Roll'!$H$7/12*(1+'Rent Roll'!$I$7)^IF(BG$4&lt;'Rent Roll'!$Y$7,0,YEAR(BG$4)-YEAR('Rent Roll'!$Y$7)+1),0)</f>
        <v>0</v>
      </c>
      <c r="BH31" s="49">
        <f>IF(BH30=1,'Rent Roll'!$H$7/12*(1+'Rent Roll'!$I$7)^IF(BH$4&lt;'Rent Roll'!$Y$7,0,YEAR(BH$4)-YEAR('Rent Roll'!$Y$7)+1),0)</f>
        <v>0</v>
      </c>
      <c r="BI31" s="49">
        <f>IF(BI30=1,'Rent Roll'!$H$7/12*(1+'Rent Roll'!$I$7)^IF(BI$4&lt;'Rent Roll'!$Y$7,0,YEAR(BI$4)-YEAR('Rent Roll'!$Y$7)+1),0)</f>
        <v>0</v>
      </c>
      <c r="BJ31" s="49">
        <f>IF(BJ30=1,'Rent Roll'!$H$7/12*(1+'Rent Roll'!$I$7)^IF(BJ$4&lt;'Rent Roll'!$Y$7,0,YEAR(BJ$4)-YEAR('Rent Roll'!$Y$7)+1),0)</f>
        <v>0</v>
      </c>
      <c r="BK31" s="49">
        <f>IF(BK30=1,'Rent Roll'!$H$7/12*(1+'Rent Roll'!$I$7)^IF(BK$4&lt;'Rent Roll'!$Y$7,0,YEAR(BK$4)-YEAR('Rent Roll'!$Y$7)+1),0)</f>
        <v>0</v>
      </c>
      <c r="BL31" s="49">
        <f>IF(BL30=1,'Rent Roll'!$H$7/12*(1+'Rent Roll'!$I$7)^IF(BL$4&lt;'Rent Roll'!$Y$7,0,YEAR(BL$4)-YEAR('Rent Roll'!$Y$7)+1),0)</f>
        <v>0</v>
      </c>
      <c r="BM31" s="49">
        <f>IF(BM30=1,'Rent Roll'!$H$7/12*(1+'Rent Roll'!$I$7)^IF(BM$4&lt;'Rent Roll'!$Y$7,0,YEAR(BM$4)-YEAR('Rent Roll'!$Y$7)+1),0)</f>
        <v>0</v>
      </c>
      <c r="BN31" s="49">
        <f>IF(BN30=1,'Rent Roll'!$H$7/12*(1+'Rent Roll'!$I$7)^IF(BN$4&lt;'Rent Roll'!$Y$7,0,YEAR(BN$4)-YEAR('Rent Roll'!$Y$7)+1),0)</f>
        <v>0</v>
      </c>
      <c r="BO31" s="49">
        <f>IF(BO30=1,'Rent Roll'!$H$7/12*(1+'Rent Roll'!$I$7)^IF(BO$4&lt;'Rent Roll'!$Y$7,0,YEAR(BO$4)-YEAR('Rent Roll'!$Y$7)+1),0)</f>
        <v>0</v>
      </c>
      <c r="BP31" s="49">
        <f>IF(BP30=1,'Rent Roll'!$H$7/12*(1+'Rent Roll'!$I$7)^IF(BP$4&lt;'Rent Roll'!$Y$7,0,YEAR(BP$4)-YEAR('Rent Roll'!$Y$7)+1),0)</f>
        <v>0</v>
      </c>
      <c r="BQ31" s="49">
        <f>IF(BQ30=1,'Rent Roll'!$H$7/12*(1+'Rent Roll'!$I$7)^IF(BQ$4&lt;'Rent Roll'!$Y$7,0,YEAR(BQ$4)-YEAR('Rent Roll'!$Y$7)+1),0)</f>
        <v>0</v>
      </c>
      <c r="BR31" s="49">
        <f>IF(BR30=1,'Rent Roll'!$H$7/12*(1+'Rent Roll'!$I$7)^IF(BR$4&lt;'Rent Roll'!$Y$7,0,YEAR(BR$4)-YEAR('Rent Roll'!$Y$7)+1),0)</f>
        <v>0</v>
      </c>
      <c r="BS31" s="49">
        <f>IF(BS30=1,'Rent Roll'!$H$7/12*(1+'Rent Roll'!$I$7)^IF(BS$4&lt;'Rent Roll'!$Y$7,0,YEAR(BS$4)-YEAR('Rent Roll'!$Y$7)+1),0)</f>
        <v>0</v>
      </c>
      <c r="BT31" s="49">
        <f>IF(BT30=1,'Rent Roll'!$H$7/12*(1+'Rent Roll'!$I$7)^IF(BT$4&lt;'Rent Roll'!$Y$7,0,YEAR(BT$4)-YEAR('Rent Roll'!$Y$7)+1),0)</f>
        <v>0</v>
      </c>
      <c r="BU31" s="49">
        <f>IF(BU30=1,'Rent Roll'!$H$7/12*(1+'Rent Roll'!$I$7)^IF(BU$4&lt;'Rent Roll'!$Y$7,0,YEAR(BU$4)-YEAR('Rent Roll'!$Y$7)+1),0)</f>
        <v>0</v>
      </c>
      <c r="BV31" s="49">
        <f>IF(BV30=1,'Rent Roll'!$H$7/12*(1+'Rent Roll'!$I$7)^IF(BV$4&lt;'Rent Roll'!$Y$7,0,YEAR(BV$4)-YEAR('Rent Roll'!$Y$7)+1),0)</f>
        <v>0</v>
      </c>
      <c r="BW31" s="49">
        <f>IF(BW30=1,'Rent Roll'!$H$7/12*(1+'Rent Roll'!$I$7)^IF(BW$4&lt;'Rent Roll'!$Y$7,0,YEAR(BW$4)-YEAR('Rent Roll'!$Y$7)+1),0)</f>
        <v>0</v>
      </c>
      <c r="BX31" s="49">
        <f>IF(BX30=1,'Rent Roll'!$H$7/12*(1+'Rent Roll'!$I$7)^IF(BX$4&lt;'Rent Roll'!$Y$7,0,YEAR(BX$4)-YEAR('Rent Roll'!$Y$7)+1),0)</f>
        <v>0</v>
      </c>
    </row>
    <row r="32" spans="1:76">
      <c r="B32" t="s">
        <v>160</v>
      </c>
      <c r="D32" s="49">
        <f>IF(D$4&gt;EOMONTH(CloseDate,'Rent Roll'!$O$7+'Rent Roll'!$S$7-1),1,0)</f>
        <v>0</v>
      </c>
      <c r="E32" s="49">
        <f>IF(E$4&gt;EOMONTH(CloseDate,'Rent Roll'!$O$7+'Rent Roll'!$S$7-1),1,0)</f>
        <v>0</v>
      </c>
      <c r="F32" s="49">
        <f>IF(F$4&gt;EOMONTH(CloseDate,'Rent Roll'!$O$7+'Rent Roll'!$S$7-1),1,0)</f>
        <v>0</v>
      </c>
      <c r="G32" s="49">
        <f>IF(G$4&gt;EOMONTH(CloseDate,'Rent Roll'!$O$7+'Rent Roll'!$S$7-1),1,0)</f>
        <v>0</v>
      </c>
      <c r="H32" s="49">
        <f>IF(H$4&gt;EOMONTH(CloseDate,'Rent Roll'!$O$7+'Rent Roll'!$S$7-1),1,0)</f>
        <v>0</v>
      </c>
      <c r="I32" s="49">
        <f>IF(I$4&gt;EOMONTH(CloseDate,'Rent Roll'!$O$7+'Rent Roll'!$S$7-1),1,0)</f>
        <v>0</v>
      </c>
      <c r="J32" s="49">
        <f>IF(J$4&gt;EOMONTH(CloseDate,'Rent Roll'!$O$7+'Rent Roll'!$S$7-1),1,0)</f>
        <v>0</v>
      </c>
      <c r="K32" s="49">
        <f>IF(K$4&gt;EOMONTH(CloseDate,'Rent Roll'!$O$7+'Rent Roll'!$S$7-1),1,0)</f>
        <v>0</v>
      </c>
      <c r="L32" s="49">
        <f>IF(L$4&gt;EOMONTH(CloseDate,'Rent Roll'!$O$7+'Rent Roll'!$S$7-1),1,0)</f>
        <v>0</v>
      </c>
      <c r="M32" s="49">
        <f>IF(M$4&gt;EOMONTH(CloseDate,'Rent Roll'!$O$7+'Rent Roll'!$S$7-1),1,0)</f>
        <v>0</v>
      </c>
      <c r="N32" s="49">
        <f>IF(N$4&gt;EOMONTH(CloseDate,'Rent Roll'!$O$7+'Rent Roll'!$S$7-1),1,0)</f>
        <v>0</v>
      </c>
      <c r="O32" s="49">
        <f>IF(O$4&gt;EOMONTH(CloseDate,'Rent Roll'!$O$7+'Rent Roll'!$S$7-1),1,0)</f>
        <v>0</v>
      </c>
      <c r="P32" s="49">
        <f>IF(P$4&gt;EOMONTH(CloseDate,'Rent Roll'!$O$7+'Rent Roll'!$S$7-1),1,0)</f>
        <v>0</v>
      </c>
      <c r="Q32" s="49">
        <f>IF(Q$4&gt;EOMONTH(CloseDate,'Rent Roll'!$O$7+'Rent Roll'!$S$7-1),1,0)</f>
        <v>0</v>
      </c>
      <c r="R32" s="49">
        <f>IF(R$4&gt;EOMONTH(CloseDate,'Rent Roll'!$O$7+'Rent Roll'!$S$7-1),1,0)</f>
        <v>0</v>
      </c>
      <c r="S32" s="49">
        <f>IF(S$4&gt;EOMONTH(CloseDate,'Rent Roll'!$O$7+'Rent Roll'!$S$7-1),1,0)</f>
        <v>0</v>
      </c>
      <c r="T32" s="49">
        <f>IF(T$4&gt;EOMONTH(CloseDate,'Rent Roll'!$O$7+'Rent Roll'!$S$7-1),1,0)</f>
        <v>0</v>
      </c>
      <c r="U32" s="49">
        <f>IF(U$4&gt;EOMONTH(CloseDate,'Rent Roll'!$O$7+'Rent Roll'!$S$7-1),1,0)</f>
        <v>0</v>
      </c>
      <c r="V32" s="49">
        <f>IF(V$4&gt;EOMONTH(CloseDate,'Rent Roll'!$O$7+'Rent Roll'!$S$7-1),1,0)</f>
        <v>1</v>
      </c>
      <c r="W32" s="49">
        <f>IF(W$4&gt;EOMONTH(CloseDate,'Rent Roll'!$O$7+'Rent Roll'!$S$7-1),1,0)</f>
        <v>1</v>
      </c>
      <c r="X32" s="49">
        <f>IF(X$4&gt;EOMONTH(CloseDate,'Rent Roll'!$O$7+'Rent Roll'!$S$7-1),1,0)</f>
        <v>1</v>
      </c>
      <c r="Y32" s="49">
        <f>IF(Y$4&gt;EOMONTH(CloseDate,'Rent Roll'!$O$7+'Rent Roll'!$S$7-1),1,0)</f>
        <v>1</v>
      </c>
      <c r="Z32" s="49">
        <f>IF(Z$4&gt;EOMONTH(CloseDate,'Rent Roll'!$O$7+'Rent Roll'!$S$7-1),1,0)</f>
        <v>1</v>
      </c>
      <c r="AA32" s="49">
        <f>IF(AA$4&gt;EOMONTH(CloseDate,'Rent Roll'!$O$7+'Rent Roll'!$S$7-1),1,0)</f>
        <v>1</v>
      </c>
      <c r="AB32" s="49">
        <f>IF(AB$4&gt;EOMONTH(CloseDate,'Rent Roll'!$O$7+'Rent Roll'!$S$7-1),1,0)</f>
        <v>1</v>
      </c>
      <c r="AC32" s="49">
        <f>IF(AC$4&gt;EOMONTH(CloseDate,'Rent Roll'!$O$7+'Rent Roll'!$S$7-1),1,0)</f>
        <v>1</v>
      </c>
      <c r="AD32" s="49">
        <f>IF(AD$4&gt;EOMONTH(CloseDate,'Rent Roll'!$O$7+'Rent Roll'!$S$7-1),1,0)</f>
        <v>1</v>
      </c>
      <c r="AE32" s="49">
        <f>IF(AE$4&gt;EOMONTH(CloseDate,'Rent Roll'!$O$7+'Rent Roll'!$S$7-1),1,0)</f>
        <v>1</v>
      </c>
      <c r="AF32" s="49">
        <f>IF(AF$4&gt;EOMONTH(CloseDate,'Rent Roll'!$O$7+'Rent Roll'!$S$7-1),1,0)</f>
        <v>1</v>
      </c>
      <c r="AG32" s="49">
        <f>IF(AG$4&gt;EOMONTH(CloseDate,'Rent Roll'!$O$7+'Rent Roll'!$S$7-1),1,0)</f>
        <v>1</v>
      </c>
      <c r="AH32" s="49">
        <f>IF(AH$4&gt;EOMONTH(CloseDate,'Rent Roll'!$O$7+'Rent Roll'!$S$7-1),1,0)</f>
        <v>1</v>
      </c>
      <c r="AI32" s="49">
        <f>IF(AI$4&gt;EOMONTH(CloseDate,'Rent Roll'!$O$7+'Rent Roll'!$S$7-1),1,0)</f>
        <v>1</v>
      </c>
      <c r="AJ32" s="49">
        <f>IF(AJ$4&gt;EOMONTH(CloseDate,'Rent Roll'!$O$7+'Rent Roll'!$S$7-1),1,0)</f>
        <v>1</v>
      </c>
      <c r="AK32" s="49">
        <f>IF(AK$4&gt;EOMONTH(CloseDate,'Rent Roll'!$O$7+'Rent Roll'!$S$7-1),1,0)</f>
        <v>1</v>
      </c>
      <c r="AL32" s="49">
        <f>IF(AL$4&gt;EOMONTH(CloseDate,'Rent Roll'!$O$7+'Rent Roll'!$S$7-1),1,0)</f>
        <v>1</v>
      </c>
      <c r="AM32" s="49">
        <f>IF(AM$4&gt;EOMONTH(CloseDate,'Rent Roll'!$O$7+'Rent Roll'!$S$7-1),1,0)</f>
        <v>1</v>
      </c>
      <c r="AN32" s="49">
        <f>IF(AN$4&gt;EOMONTH(CloseDate,'Rent Roll'!$O$7+'Rent Roll'!$S$7-1),1,0)</f>
        <v>1</v>
      </c>
      <c r="AO32" s="49">
        <f>IF(AO$4&gt;EOMONTH(CloseDate,'Rent Roll'!$O$7+'Rent Roll'!$S$7-1),1,0)</f>
        <v>1</v>
      </c>
      <c r="AP32" s="49">
        <f>IF(AP$4&gt;EOMONTH(CloseDate,'Rent Roll'!$O$7+'Rent Roll'!$S$7-1),1,0)</f>
        <v>1</v>
      </c>
      <c r="AQ32" s="49">
        <f>IF(AQ$4&gt;EOMONTH(CloseDate,'Rent Roll'!$O$7+'Rent Roll'!$S$7-1),1,0)</f>
        <v>1</v>
      </c>
      <c r="AR32" s="49">
        <f>IF(AR$4&gt;EOMONTH(CloseDate,'Rent Roll'!$O$7+'Rent Roll'!$S$7-1),1,0)</f>
        <v>1</v>
      </c>
      <c r="AS32" s="49">
        <f>IF(AS$4&gt;EOMONTH(CloseDate,'Rent Roll'!$O$7+'Rent Roll'!$S$7-1),1,0)</f>
        <v>1</v>
      </c>
      <c r="AT32" s="49">
        <f>IF(AT$4&gt;EOMONTH(CloseDate,'Rent Roll'!$O$7+'Rent Roll'!$S$7-1),1,0)</f>
        <v>1</v>
      </c>
      <c r="AU32" s="49">
        <f>IF(AU$4&gt;EOMONTH(CloseDate,'Rent Roll'!$O$7+'Rent Roll'!$S$7-1),1,0)</f>
        <v>1</v>
      </c>
      <c r="AV32" s="49">
        <f>IF(AV$4&gt;EOMONTH(CloseDate,'Rent Roll'!$O$7+'Rent Roll'!$S$7-1),1,0)</f>
        <v>1</v>
      </c>
      <c r="AW32" s="49">
        <f>IF(AW$4&gt;EOMONTH(CloseDate,'Rent Roll'!$O$7+'Rent Roll'!$S$7-1),1,0)</f>
        <v>1</v>
      </c>
      <c r="AX32" s="49">
        <f>IF(AX$4&gt;EOMONTH(CloseDate,'Rent Roll'!$O$7+'Rent Roll'!$S$7-1),1,0)</f>
        <v>1</v>
      </c>
      <c r="AY32" s="49">
        <f>IF(AY$4&gt;EOMONTH(CloseDate,'Rent Roll'!$O$7+'Rent Roll'!$S$7-1),1,0)</f>
        <v>1</v>
      </c>
      <c r="AZ32" s="49">
        <f>IF(AZ$4&gt;EOMONTH(CloseDate,'Rent Roll'!$O$7+'Rent Roll'!$S$7-1),1,0)</f>
        <v>1</v>
      </c>
      <c r="BA32" s="49">
        <f>IF(BA$4&gt;EOMONTH(CloseDate,'Rent Roll'!$O$7+'Rent Roll'!$S$7-1),1,0)</f>
        <v>1</v>
      </c>
      <c r="BB32" s="49">
        <f>IF(BB$4&gt;EOMONTH(CloseDate,'Rent Roll'!$O$7+'Rent Roll'!$S$7-1),1,0)</f>
        <v>1</v>
      </c>
      <c r="BC32" s="49">
        <f>IF(BC$4&gt;EOMONTH(CloseDate,'Rent Roll'!$O$7+'Rent Roll'!$S$7-1),1,0)</f>
        <v>1</v>
      </c>
      <c r="BD32" s="49">
        <f>IF(BD$4&gt;EOMONTH(CloseDate,'Rent Roll'!$O$7+'Rent Roll'!$S$7-1),1,0)</f>
        <v>1</v>
      </c>
      <c r="BE32" s="49">
        <f>IF(BE$4&gt;EOMONTH(CloseDate,'Rent Roll'!$O$7+'Rent Roll'!$S$7-1),1,0)</f>
        <v>1</v>
      </c>
      <c r="BF32" s="49">
        <f>IF(BF$4&gt;EOMONTH(CloseDate,'Rent Roll'!$O$7+'Rent Roll'!$S$7-1),1,0)</f>
        <v>1</v>
      </c>
      <c r="BG32" s="49">
        <f>IF(BG$4&gt;EOMONTH(CloseDate,'Rent Roll'!$O$7+'Rent Roll'!$S$7-1),1,0)</f>
        <v>1</v>
      </c>
      <c r="BH32" s="49">
        <f>IF(BH$4&gt;EOMONTH(CloseDate,'Rent Roll'!$O$7+'Rent Roll'!$S$7-1),1,0)</f>
        <v>1</v>
      </c>
      <c r="BI32" s="49">
        <f>IF(BI$4&gt;EOMONTH(CloseDate,'Rent Roll'!$O$7+'Rent Roll'!$S$7-1),1,0)</f>
        <v>1</v>
      </c>
      <c r="BJ32" s="49">
        <f>IF(BJ$4&gt;EOMONTH(CloseDate,'Rent Roll'!$O$7+'Rent Roll'!$S$7-1),1,0)</f>
        <v>1</v>
      </c>
      <c r="BK32" s="49">
        <f>IF(BK$4&gt;EOMONTH(CloseDate,'Rent Roll'!$O$7+'Rent Roll'!$S$7-1),1,0)</f>
        <v>1</v>
      </c>
      <c r="BL32" s="49">
        <f>IF(BL$4&gt;EOMONTH(CloseDate,'Rent Roll'!$O$7+'Rent Roll'!$S$7-1),1,0)</f>
        <v>1</v>
      </c>
      <c r="BM32" s="49">
        <f>IF(BM$4&gt;EOMONTH(CloseDate,'Rent Roll'!$O$7+'Rent Roll'!$S$7-1),1,0)</f>
        <v>1</v>
      </c>
      <c r="BN32" s="49">
        <f>IF(BN$4&gt;EOMONTH(CloseDate,'Rent Roll'!$O$7+'Rent Roll'!$S$7-1),1,0)</f>
        <v>1</v>
      </c>
      <c r="BO32" s="49">
        <f>IF(BO$4&gt;EOMONTH(CloseDate,'Rent Roll'!$O$7+'Rent Roll'!$S$7-1),1,0)</f>
        <v>1</v>
      </c>
      <c r="BP32" s="49">
        <f>IF(BP$4&gt;EOMONTH(CloseDate,'Rent Roll'!$O$7+'Rent Roll'!$S$7-1),1,0)</f>
        <v>1</v>
      </c>
      <c r="BQ32" s="49">
        <f>IF(BQ$4&gt;EOMONTH(CloseDate,'Rent Roll'!$O$7+'Rent Roll'!$S$7-1),1,0)</f>
        <v>1</v>
      </c>
      <c r="BR32" s="49">
        <f>IF(BR$4&gt;EOMONTH(CloseDate,'Rent Roll'!$O$7+'Rent Roll'!$S$7-1),1,0)</f>
        <v>1</v>
      </c>
      <c r="BS32" s="49">
        <f>IF(BS$4&gt;EOMONTH(CloseDate,'Rent Roll'!$O$7+'Rent Roll'!$S$7-1),1,0)</f>
        <v>1</v>
      </c>
      <c r="BT32" s="49">
        <f>IF(BT$4&gt;EOMONTH(CloseDate,'Rent Roll'!$O$7+'Rent Roll'!$S$7-1),1,0)</f>
        <v>1</v>
      </c>
      <c r="BU32" s="49">
        <f>IF(BU$4&gt;EOMONTH(CloseDate,'Rent Roll'!$O$7+'Rent Roll'!$S$7-1),1,0)</f>
        <v>1</v>
      </c>
      <c r="BV32" s="49">
        <f>IF(BV$4&gt;EOMONTH(CloseDate,'Rent Roll'!$O$7+'Rent Roll'!$S$7-1),1,0)</f>
        <v>1</v>
      </c>
      <c r="BW32" s="49">
        <f>IF(BW$4&gt;EOMONTH(CloseDate,'Rent Roll'!$O$7+'Rent Roll'!$S$7-1),1,0)</f>
        <v>1</v>
      </c>
      <c r="BX32" s="49">
        <f>IF(BX$4&gt;EOMONTH(CloseDate,'Rent Roll'!$O$7+'Rent Roll'!$S$7-1),1,0)</f>
        <v>1</v>
      </c>
    </row>
    <row r="33" spans="1:76" hidden="1" outlineLevel="1">
      <c r="B33" t="s">
        <v>162</v>
      </c>
      <c r="D33" s="49">
        <f>IF(D32=1,'Rent Roll'!$F$7*'Rent Roll'!$X$7/12*D$6,0)</f>
        <v>0</v>
      </c>
      <c r="E33" s="49">
        <f>IF(E32=1,'Rent Roll'!$F$7*'Rent Roll'!$X$7/12*E$6,0)</f>
        <v>0</v>
      </c>
      <c r="F33" s="49">
        <f>IF(F32=1,'Rent Roll'!$F$7*'Rent Roll'!$X$7/12*F$6,0)</f>
        <v>0</v>
      </c>
      <c r="G33" s="49">
        <f>IF(G32=1,'Rent Roll'!$F$7*'Rent Roll'!$X$7/12*G$6,0)</f>
        <v>0</v>
      </c>
      <c r="H33" s="49">
        <f>IF(H32=1,'Rent Roll'!$F$7*'Rent Roll'!$X$7/12*H$6,0)</f>
        <v>0</v>
      </c>
      <c r="I33" s="49">
        <f>IF(I32=1,'Rent Roll'!$F$7*'Rent Roll'!$X$7/12*I$6,0)</f>
        <v>0</v>
      </c>
      <c r="J33" s="49">
        <f>IF(J32=1,'Rent Roll'!$F$7*'Rent Roll'!$X$7/12*J$6,0)</f>
        <v>0</v>
      </c>
      <c r="K33" s="49">
        <f>IF(K32=1,'Rent Roll'!$F$7*'Rent Roll'!$X$7/12*K$6,0)</f>
        <v>0</v>
      </c>
      <c r="L33" s="49">
        <f>IF(L32=1,'Rent Roll'!$F$7*'Rent Roll'!$X$7/12*L$6,0)</f>
        <v>0</v>
      </c>
      <c r="M33" s="49">
        <f>IF(M32=1,'Rent Roll'!$F$7*'Rent Roll'!$X$7/12*M$6,0)</f>
        <v>0</v>
      </c>
      <c r="N33" s="49">
        <f>IF(N32=1,'Rent Roll'!$F$7*'Rent Roll'!$X$7/12*N$6,0)</f>
        <v>0</v>
      </c>
      <c r="O33" s="49">
        <f>IF(O32=1,'Rent Roll'!$F$7*'Rent Roll'!$X$7/12*O$6,0)</f>
        <v>0</v>
      </c>
      <c r="P33" s="49">
        <f>IF(P32=1,'Rent Roll'!$F$7*'Rent Roll'!$X$7/12*P$6,0)</f>
        <v>0</v>
      </c>
      <c r="Q33" s="49">
        <f>IF(Q32=1,'Rent Roll'!$F$7*'Rent Roll'!$X$7/12*Q$6,0)</f>
        <v>0</v>
      </c>
      <c r="R33" s="49">
        <f>IF(R32=1,'Rent Roll'!$F$7*'Rent Roll'!$X$7/12*R$6,0)</f>
        <v>0</v>
      </c>
      <c r="S33" s="49">
        <f>IF(S32=1,'Rent Roll'!$F$7*'Rent Roll'!$X$7/12*S$6,0)</f>
        <v>0</v>
      </c>
      <c r="T33" s="49">
        <f>IF(T32=1,'Rent Roll'!$F$7*'Rent Roll'!$X$7/12*T$6,0)</f>
        <v>0</v>
      </c>
      <c r="U33" s="49">
        <f>IF(U32=1,'Rent Roll'!$F$7*'Rent Roll'!$X$7/12*U$6,0)</f>
        <v>0</v>
      </c>
      <c r="V33" s="49">
        <f>IF(V32=1,'Rent Roll'!$F$7*'Rent Roll'!$X$7/12*V$6,0)</f>
        <v>26021.482841249992</v>
      </c>
      <c r="W33" s="49">
        <f>IF(W32=1,'Rent Roll'!$F$7*'Rent Roll'!$X$7/12*W$6,0)</f>
        <v>26021.482841249992</v>
      </c>
      <c r="X33" s="49">
        <f>IF(X32=1,'Rent Roll'!$F$7*'Rent Roll'!$X$7/12*X$6,0)</f>
        <v>26021.482841249992</v>
      </c>
      <c r="Y33" s="49">
        <f>IF(Y32=1,'Rent Roll'!$F$7*'Rent Roll'!$X$7/12*Y$6,0)</f>
        <v>26021.482841249992</v>
      </c>
      <c r="Z33" s="49">
        <f>IF(Z32=1,'Rent Roll'!$F$7*'Rent Roll'!$X$7/12*Z$6,0)</f>
        <v>26021.482841249992</v>
      </c>
      <c r="AA33" s="49">
        <f>IF(AA32=1,'Rent Roll'!$F$7*'Rent Roll'!$X$7/12*AA$6,0)</f>
        <v>26021.482841249992</v>
      </c>
      <c r="AB33" s="49">
        <f>IF(AB32=1,'Rent Roll'!$F$7*'Rent Roll'!$X$7/12*AB$6,0)</f>
        <v>26021.482841249992</v>
      </c>
      <c r="AC33" s="49">
        <f>IF(AC32=1,'Rent Roll'!$F$7*'Rent Roll'!$X$7/12*AC$6,0)</f>
        <v>26021.482841249992</v>
      </c>
      <c r="AD33" s="49">
        <f>IF(AD32=1,'Rent Roll'!$F$7*'Rent Roll'!$X$7/12*AD$6,0)</f>
        <v>26021.482841249992</v>
      </c>
      <c r="AE33" s="49">
        <f>IF(AE32=1,'Rent Roll'!$F$7*'Rent Roll'!$X$7/12*AE$6,0)</f>
        <v>26021.482841249992</v>
      </c>
      <c r="AF33" s="49">
        <f>IF(AF32=1,'Rent Roll'!$F$7*'Rent Roll'!$X$7/12*AF$6,0)</f>
        <v>26021.482841249992</v>
      </c>
      <c r="AG33" s="49">
        <f>IF(AG32=1,'Rent Roll'!$F$7*'Rent Roll'!$X$7/12*AG$6,0)</f>
        <v>26724.062877963741</v>
      </c>
      <c r="AH33" s="49">
        <f>IF(AH32=1,'Rent Roll'!$F$7*'Rent Roll'!$X$7/12*AH$6,0)</f>
        <v>26724.062877963741</v>
      </c>
      <c r="AI33" s="49">
        <f>IF(AI32=1,'Rent Roll'!$F$7*'Rent Roll'!$X$7/12*AI$6,0)</f>
        <v>26724.062877963741</v>
      </c>
      <c r="AJ33" s="49">
        <f>IF(AJ32=1,'Rent Roll'!$F$7*'Rent Roll'!$X$7/12*AJ$6,0)</f>
        <v>26724.062877963741</v>
      </c>
      <c r="AK33" s="49">
        <f>IF(AK32=1,'Rent Roll'!$F$7*'Rent Roll'!$X$7/12*AK$6,0)</f>
        <v>26724.062877963741</v>
      </c>
      <c r="AL33" s="49">
        <f>IF(AL32=1,'Rent Roll'!$F$7*'Rent Roll'!$X$7/12*AL$6,0)</f>
        <v>26724.062877963741</v>
      </c>
      <c r="AM33" s="49">
        <f>IF(AM32=1,'Rent Roll'!$F$7*'Rent Roll'!$X$7/12*AM$6,0)</f>
        <v>26724.062877963741</v>
      </c>
      <c r="AN33" s="49">
        <f>IF(AN32=1,'Rent Roll'!$F$7*'Rent Roll'!$X$7/12*AN$6,0)</f>
        <v>26724.062877963741</v>
      </c>
      <c r="AO33" s="49">
        <f>IF(AO32=1,'Rent Roll'!$F$7*'Rent Roll'!$X$7/12*AO$6,0)</f>
        <v>26724.062877963741</v>
      </c>
      <c r="AP33" s="49">
        <f>IF(AP32=1,'Rent Roll'!$F$7*'Rent Roll'!$X$7/12*AP$6,0)</f>
        <v>26724.062877963741</v>
      </c>
      <c r="AQ33" s="49">
        <f>IF(AQ32=1,'Rent Roll'!$F$7*'Rent Roll'!$X$7/12*AQ$6,0)</f>
        <v>26724.062877963741</v>
      </c>
      <c r="AR33" s="49">
        <f>IF(AR32=1,'Rent Roll'!$F$7*'Rent Roll'!$X$7/12*AR$6,0)</f>
        <v>26724.062877963741</v>
      </c>
      <c r="AS33" s="49">
        <f>IF(AS32=1,'Rent Roll'!$F$7*'Rent Roll'!$X$7/12*AS$6,0)</f>
        <v>27445.612575668758</v>
      </c>
      <c r="AT33" s="49">
        <f>IF(AT32=1,'Rent Roll'!$F$7*'Rent Roll'!$X$7/12*AT$6,0)</f>
        <v>27445.612575668758</v>
      </c>
      <c r="AU33" s="49">
        <f>IF(AU32=1,'Rent Roll'!$F$7*'Rent Roll'!$X$7/12*AU$6,0)</f>
        <v>27445.612575668758</v>
      </c>
      <c r="AV33" s="49">
        <f>IF(AV32=1,'Rent Roll'!$F$7*'Rent Roll'!$X$7/12*AV$6,0)</f>
        <v>27445.612575668758</v>
      </c>
      <c r="AW33" s="49">
        <f>IF(AW32=1,'Rent Roll'!$F$7*'Rent Roll'!$X$7/12*AW$6,0)</f>
        <v>27445.612575668758</v>
      </c>
      <c r="AX33" s="49">
        <f>IF(AX32=1,'Rent Roll'!$F$7*'Rent Roll'!$X$7/12*AX$6,0)</f>
        <v>27445.612575668758</v>
      </c>
      <c r="AY33" s="49">
        <f>IF(AY32=1,'Rent Roll'!$F$7*'Rent Roll'!$X$7/12*AY$6,0)</f>
        <v>27445.612575668758</v>
      </c>
      <c r="AZ33" s="49">
        <f>IF(AZ32=1,'Rent Roll'!$F$7*'Rent Roll'!$X$7/12*AZ$6,0)</f>
        <v>27445.612575668758</v>
      </c>
      <c r="BA33" s="49">
        <f>IF(BA32=1,'Rent Roll'!$F$7*'Rent Roll'!$X$7/12*BA$6,0)</f>
        <v>27445.612575668758</v>
      </c>
      <c r="BB33" s="49">
        <f>IF(BB32=1,'Rent Roll'!$F$7*'Rent Roll'!$X$7/12*BB$6,0)</f>
        <v>27445.612575668758</v>
      </c>
      <c r="BC33" s="49">
        <f>IF(BC32=1,'Rent Roll'!$F$7*'Rent Roll'!$X$7/12*BC$6,0)</f>
        <v>27445.612575668758</v>
      </c>
      <c r="BD33" s="49">
        <f>IF(BD32=1,'Rent Roll'!$F$7*'Rent Roll'!$X$7/12*BD$6,0)</f>
        <v>27445.612575668758</v>
      </c>
      <c r="BE33" s="49">
        <f>IF(BE32=1,'Rent Roll'!$F$7*'Rent Roll'!$X$7/12*BE$6,0)</f>
        <v>28186.644115211813</v>
      </c>
      <c r="BF33" s="49">
        <f>IF(BF32=1,'Rent Roll'!$F$7*'Rent Roll'!$X$7/12*BF$6,0)</f>
        <v>28186.644115211813</v>
      </c>
      <c r="BG33" s="49">
        <f>IF(BG32=1,'Rent Roll'!$F$7*'Rent Roll'!$X$7/12*BG$6,0)</f>
        <v>28186.644115211813</v>
      </c>
      <c r="BH33" s="49">
        <f>IF(BH32=1,'Rent Roll'!$F$7*'Rent Roll'!$X$7/12*BH$6,0)</f>
        <v>28186.644115211813</v>
      </c>
      <c r="BI33" s="49">
        <f>IF(BI32=1,'Rent Roll'!$F$7*'Rent Roll'!$X$7/12*BI$6,0)</f>
        <v>28186.644115211813</v>
      </c>
      <c r="BJ33" s="49">
        <f>IF(BJ32=1,'Rent Roll'!$F$7*'Rent Roll'!$X$7/12*BJ$6,0)</f>
        <v>28186.644115211813</v>
      </c>
      <c r="BK33" s="49">
        <f>IF(BK32=1,'Rent Roll'!$F$7*'Rent Roll'!$X$7/12*BK$6,0)</f>
        <v>28186.644115211813</v>
      </c>
      <c r="BL33" s="49">
        <f>IF(BL32=1,'Rent Roll'!$F$7*'Rent Roll'!$X$7/12*BL$6,0)</f>
        <v>28186.644115211813</v>
      </c>
      <c r="BM33" s="49">
        <f>IF(BM32=1,'Rent Roll'!$F$7*'Rent Roll'!$X$7/12*BM$6,0)</f>
        <v>28186.644115211813</v>
      </c>
      <c r="BN33" s="49">
        <f>IF(BN32=1,'Rent Roll'!$F$7*'Rent Roll'!$X$7/12*BN$6,0)</f>
        <v>28186.644115211813</v>
      </c>
      <c r="BO33" s="49">
        <f>IF(BO32=1,'Rent Roll'!$F$7*'Rent Roll'!$X$7/12*BO$6,0)</f>
        <v>28186.644115211813</v>
      </c>
      <c r="BP33" s="49">
        <f>IF(BP32=1,'Rent Roll'!$F$7*'Rent Roll'!$X$7/12*BP$6,0)</f>
        <v>28186.644115211813</v>
      </c>
      <c r="BQ33" s="49">
        <f>IF(BQ32=1,'Rent Roll'!$F$7*'Rent Roll'!$X$7/12*BQ$6,0)</f>
        <v>28947.683506322526</v>
      </c>
      <c r="BR33" s="49">
        <f>IF(BR32=1,'Rent Roll'!$F$7*'Rent Roll'!$X$7/12*BR$6,0)</f>
        <v>28947.683506322526</v>
      </c>
      <c r="BS33" s="49">
        <f>IF(BS32=1,'Rent Roll'!$F$7*'Rent Roll'!$X$7/12*BS$6,0)</f>
        <v>28947.683506322526</v>
      </c>
      <c r="BT33" s="49">
        <f>IF(BT32=1,'Rent Roll'!$F$7*'Rent Roll'!$X$7/12*BT$6,0)</f>
        <v>28947.683506322526</v>
      </c>
      <c r="BU33" s="49">
        <f>IF(BU32=1,'Rent Roll'!$F$7*'Rent Roll'!$X$7/12*BU$6,0)</f>
        <v>28947.683506322526</v>
      </c>
      <c r="BV33" s="49">
        <f>IF(BV32=1,'Rent Roll'!$F$7*'Rent Roll'!$X$7/12*BV$6,0)</f>
        <v>28947.683506322526</v>
      </c>
      <c r="BW33" s="49">
        <f>IF(BW32=1,'Rent Roll'!$F$7*'Rent Roll'!$X$7/12*BW$6,0)</f>
        <v>28947.683506322526</v>
      </c>
      <c r="BX33" s="49">
        <f>IF(BX32=1,'Rent Roll'!$F$7*'Rent Roll'!$X$7/12*BX$6,0)</f>
        <v>28947.683506322526</v>
      </c>
    </row>
    <row r="34" spans="1:76" hidden="1" outlineLevel="1">
      <c r="B34" t="s">
        <v>163</v>
      </c>
      <c r="D34" s="49">
        <f>IF(AND(D$4&gt;EOMONTH(CloseDate,'Rent Roll'!$O$7+'Rent Roll'!$S$7-1),D$4&lt;=EOMONTH(CloseDate,'Rent Roll'!$O$7+'Rent Roll'!$S$7-1+'Rent Roll'!$V$7)),-D33,0)</f>
        <v>0</v>
      </c>
      <c r="E34" s="49">
        <f>IF(AND(E$4&gt;EOMONTH(CloseDate,'Rent Roll'!$O$7+'Rent Roll'!$S$7-1),E$4&lt;=EOMONTH(CloseDate,'Rent Roll'!$O$7+'Rent Roll'!$S$7-1+'Rent Roll'!$V$7)),-E33,0)</f>
        <v>0</v>
      </c>
      <c r="F34" s="49">
        <f>IF(AND(F$4&gt;EOMONTH(CloseDate,'Rent Roll'!$O$7+'Rent Roll'!$S$7-1),F$4&lt;=EOMONTH(CloseDate,'Rent Roll'!$O$7+'Rent Roll'!$S$7-1+'Rent Roll'!$V$7)),-F33,0)</f>
        <v>0</v>
      </c>
      <c r="G34" s="49">
        <f>IF(AND(G$4&gt;EOMONTH(CloseDate,'Rent Roll'!$O$7+'Rent Roll'!$S$7-1),G$4&lt;=EOMONTH(CloseDate,'Rent Roll'!$O$7+'Rent Roll'!$S$7-1+'Rent Roll'!$V$7)),-G33,0)</f>
        <v>0</v>
      </c>
      <c r="H34" s="49">
        <f>IF(AND(H$4&gt;EOMONTH(CloseDate,'Rent Roll'!$O$7+'Rent Roll'!$S$7-1),H$4&lt;=EOMONTH(CloseDate,'Rent Roll'!$O$7+'Rent Roll'!$S$7-1+'Rent Roll'!$V$7)),-H33,0)</f>
        <v>0</v>
      </c>
      <c r="I34" s="49">
        <f>IF(AND(I$4&gt;EOMONTH(CloseDate,'Rent Roll'!$O$7+'Rent Roll'!$S$7-1),I$4&lt;=EOMONTH(CloseDate,'Rent Roll'!$O$7+'Rent Roll'!$S$7-1+'Rent Roll'!$V$7)),-I33,0)</f>
        <v>0</v>
      </c>
      <c r="J34" s="49">
        <f>IF(AND(J$4&gt;EOMONTH(CloseDate,'Rent Roll'!$O$7+'Rent Roll'!$S$7-1),J$4&lt;=EOMONTH(CloseDate,'Rent Roll'!$O$7+'Rent Roll'!$S$7-1+'Rent Roll'!$V$7)),-J33,0)</f>
        <v>0</v>
      </c>
      <c r="K34" s="49">
        <f>IF(AND(K$4&gt;EOMONTH(CloseDate,'Rent Roll'!$O$7+'Rent Roll'!$S$7-1),K$4&lt;=EOMONTH(CloseDate,'Rent Roll'!$O$7+'Rent Roll'!$S$7-1+'Rent Roll'!$V$7)),-K33,0)</f>
        <v>0</v>
      </c>
      <c r="L34" s="49">
        <f>IF(AND(L$4&gt;EOMONTH(CloseDate,'Rent Roll'!$O$7+'Rent Roll'!$S$7-1),L$4&lt;=EOMONTH(CloseDate,'Rent Roll'!$O$7+'Rent Roll'!$S$7-1+'Rent Roll'!$V$7)),-L33,0)</f>
        <v>0</v>
      </c>
      <c r="M34" s="49">
        <f>IF(AND(M$4&gt;EOMONTH(CloseDate,'Rent Roll'!$O$7+'Rent Roll'!$S$7-1),M$4&lt;=EOMONTH(CloseDate,'Rent Roll'!$O$7+'Rent Roll'!$S$7-1+'Rent Roll'!$V$7)),-M33,0)</f>
        <v>0</v>
      </c>
      <c r="N34" s="49">
        <f>IF(AND(N$4&gt;EOMONTH(CloseDate,'Rent Roll'!$O$7+'Rent Roll'!$S$7-1),N$4&lt;=EOMONTH(CloseDate,'Rent Roll'!$O$7+'Rent Roll'!$S$7-1+'Rent Roll'!$V$7)),-N33,0)</f>
        <v>0</v>
      </c>
      <c r="O34" s="49">
        <f>IF(AND(O$4&gt;EOMONTH(CloseDate,'Rent Roll'!$O$7+'Rent Roll'!$S$7-1),O$4&lt;=EOMONTH(CloseDate,'Rent Roll'!$O$7+'Rent Roll'!$S$7-1+'Rent Roll'!$V$7)),-O33,0)</f>
        <v>0</v>
      </c>
      <c r="P34" s="49">
        <f>IF(AND(P$4&gt;EOMONTH(CloseDate,'Rent Roll'!$O$7+'Rent Roll'!$S$7-1),P$4&lt;=EOMONTH(CloseDate,'Rent Roll'!$O$7+'Rent Roll'!$S$7-1+'Rent Roll'!$V$7)),-P33,0)</f>
        <v>0</v>
      </c>
      <c r="Q34" s="49">
        <f>IF(AND(Q$4&gt;EOMONTH(CloseDate,'Rent Roll'!$O$7+'Rent Roll'!$S$7-1),Q$4&lt;=EOMONTH(CloseDate,'Rent Roll'!$O$7+'Rent Roll'!$S$7-1+'Rent Roll'!$V$7)),-Q33,0)</f>
        <v>0</v>
      </c>
      <c r="R34" s="49">
        <f>IF(AND(R$4&gt;EOMONTH(CloseDate,'Rent Roll'!$O$7+'Rent Roll'!$S$7-1),R$4&lt;=EOMONTH(CloseDate,'Rent Roll'!$O$7+'Rent Roll'!$S$7-1+'Rent Roll'!$V$7)),-R33,0)</f>
        <v>0</v>
      </c>
      <c r="S34" s="49">
        <f>IF(AND(S$4&gt;EOMONTH(CloseDate,'Rent Roll'!$O$7+'Rent Roll'!$S$7-1),S$4&lt;=EOMONTH(CloseDate,'Rent Roll'!$O$7+'Rent Roll'!$S$7-1+'Rent Roll'!$V$7)),-S33,0)</f>
        <v>0</v>
      </c>
      <c r="T34" s="49">
        <f>IF(AND(T$4&gt;EOMONTH(CloseDate,'Rent Roll'!$O$7+'Rent Roll'!$S$7-1),T$4&lt;=EOMONTH(CloseDate,'Rent Roll'!$O$7+'Rent Roll'!$S$7-1+'Rent Roll'!$V$7)),-T33,0)</f>
        <v>0</v>
      </c>
      <c r="U34" s="49">
        <f>IF(AND(U$4&gt;EOMONTH(CloseDate,'Rent Roll'!$O$7+'Rent Roll'!$S$7-1),U$4&lt;=EOMONTH(CloseDate,'Rent Roll'!$O$7+'Rent Roll'!$S$7-1+'Rent Roll'!$V$7)),-U33,0)</f>
        <v>0</v>
      </c>
      <c r="V34" s="49">
        <f>IF(AND(V$4&gt;EOMONTH(CloseDate,'Rent Roll'!$O$7+'Rent Roll'!$S$7-1),V$4&lt;=EOMONTH(CloseDate,'Rent Roll'!$O$7+'Rent Roll'!$S$7-1+'Rent Roll'!$V$7)),-V33,0)</f>
        <v>-26021.482841249992</v>
      </c>
      <c r="W34" s="49">
        <f>IF(AND(W$4&gt;EOMONTH(CloseDate,'Rent Roll'!$O$7+'Rent Roll'!$S$7-1),W$4&lt;=EOMONTH(CloseDate,'Rent Roll'!$O$7+'Rent Roll'!$S$7-1+'Rent Roll'!$V$7)),-W33,0)</f>
        <v>-26021.482841249992</v>
      </c>
      <c r="X34" s="49">
        <f>IF(AND(X$4&gt;EOMONTH(CloseDate,'Rent Roll'!$O$7+'Rent Roll'!$S$7-1),X$4&lt;=EOMONTH(CloseDate,'Rent Roll'!$O$7+'Rent Roll'!$S$7-1+'Rent Roll'!$V$7)),-X33,0)</f>
        <v>0</v>
      </c>
      <c r="Y34" s="49">
        <f>IF(AND(Y$4&gt;EOMONTH(CloseDate,'Rent Roll'!$O$7+'Rent Roll'!$S$7-1),Y$4&lt;=EOMONTH(CloseDate,'Rent Roll'!$O$7+'Rent Roll'!$S$7-1+'Rent Roll'!$V$7)),-Y33,0)</f>
        <v>0</v>
      </c>
      <c r="Z34" s="49">
        <f>IF(AND(Z$4&gt;EOMONTH(CloseDate,'Rent Roll'!$O$7+'Rent Roll'!$S$7-1),Z$4&lt;=EOMONTH(CloseDate,'Rent Roll'!$O$7+'Rent Roll'!$S$7-1+'Rent Roll'!$V$7)),-Z33,0)</f>
        <v>0</v>
      </c>
      <c r="AA34" s="49">
        <f>IF(AND(AA$4&gt;EOMONTH(CloseDate,'Rent Roll'!$O$7+'Rent Roll'!$S$7-1),AA$4&lt;=EOMONTH(CloseDate,'Rent Roll'!$O$7+'Rent Roll'!$S$7-1+'Rent Roll'!$V$7)),-AA33,0)</f>
        <v>0</v>
      </c>
      <c r="AB34" s="49">
        <f>IF(AND(AB$4&gt;EOMONTH(CloseDate,'Rent Roll'!$O$7+'Rent Roll'!$S$7-1),AB$4&lt;=EOMONTH(CloseDate,'Rent Roll'!$O$7+'Rent Roll'!$S$7-1+'Rent Roll'!$V$7)),-AB33,0)</f>
        <v>0</v>
      </c>
      <c r="AC34" s="49">
        <f>IF(AND(AC$4&gt;EOMONTH(CloseDate,'Rent Roll'!$O$7+'Rent Roll'!$S$7-1),AC$4&lt;=EOMONTH(CloseDate,'Rent Roll'!$O$7+'Rent Roll'!$S$7-1+'Rent Roll'!$V$7)),-AC33,0)</f>
        <v>0</v>
      </c>
      <c r="AD34" s="49">
        <f>IF(AND(AD$4&gt;EOMONTH(CloseDate,'Rent Roll'!$O$7+'Rent Roll'!$S$7-1),AD$4&lt;=EOMONTH(CloseDate,'Rent Roll'!$O$7+'Rent Roll'!$S$7-1+'Rent Roll'!$V$7)),-AD33,0)</f>
        <v>0</v>
      </c>
      <c r="AE34" s="49">
        <f>IF(AND(AE$4&gt;EOMONTH(CloseDate,'Rent Roll'!$O$7+'Rent Roll'!$S$7-1),AE$4&lt;=EOMONTH(CloseDate,'Rent Roll'!$O$7+'Rent Roll'!$S$7-1+'Rent Roll'!$V$7)),-AE33,0)</f>
        <v>0</v>
      </c>
      <c r="AF34" s="49">
        <f>IF(AND(AF$4&gt;EOMONTH(CloseDate,'Rent Roll'!$O$7+'Rent Roll'!$S$7-1),AF$4&lt;=EOMONTH(CloseDate,'Rent Roll'!$O$7+'Rent Roll'!$S$7-1+'Rent Roll'!$V$7)),-AF33,0)</f>
        <v>0</v>
      </c>
      <c r="AG34" s="49">
        <f>IF(AND(AG$4&gt;EOMONTH(CloseDate,'Rent Roll'!$O$7+'Rent Roll'!$S$7-1),AG$4&lt;=EOMONTH(CloseDate,'Rent Roll'!$O$7+'Rent Roll'!$S$7-1+'Rent Roll'!$V$7)),-AG33,0)</f>
        <v>0</v>
      </c>
      <c r="AH34" s="49">
        <f>IF(AND(AH$4&gt;EOMONTH(CloseDate,'Rent Roll'!$O$7+'Rent Roll'!$S$7-1),AH$4&lt;=EOMONTH(CloseDate,'Rent Roll'!$O$7+'Rent Roll'!$S$7-1+'Rent Roll'!$V$7)),-AH33,0)</f>
        <v>0</v>
      </c>
      <c r="AI34" s="49">
        <f>IF(AND(AI$4&gt;EOMONTH(CloseDate,'Rent Roll'!$O$7+'Rent Roll'!$S$7-1),AI$4&lt;=EOMONTH(CloseDate,'Rent Roll'!$O$7+'Rent Roll'!$S$7-1+'Rent Roll'!$V$7)),-AI33,0)</f>
        <v>0</v>
      </c>
      <c r="AJ34" s="49">
        <f>IF(AND(AJ$4&gt;EOMONTH(CloseDate,'Rent Roll'!$O$7+'Rent Roll'!$S$7-1),AJ$4&lt;=EOMONTH(CloseDate,'Rent Roll'!$O$7+'Rent Roll'!$S$7-1+'Rent Roll'!$V$7)),-AJ33,0)</f>
        <v>0</v>
      </c>
      <c r="AK34" s="49">
        <f>IF(AND(AK$4&gt;EOMONTH(CloseDate,'Rent Roll'!$O$7+'Rent Roll'!$S$7-1),AK$4&lt;=EOMONTH(CloseDate,'Rent Roll'!$O$7+'Rent Roll'!$S$7-1+'Rent Roll'!$V$7)),-AK33,0)</f>
        <v>0</v>
      </c>
      <c r="AL34" s="49">
        <f>IF(AND(AL$4&gt;EOMONTH(CloseDate,'Rent Roll'!$O$7+'Rent Roll'!$S$7-1),AL$4&lt;=EOMONTH(CloseDate,'Rent Roll'!$O$7+'Rent Roll'!$S$7-1+'Rent Roll'!$V$7)),-AL33,0)</f>
        <v>0</v>
      </c>
      <c r="AM34" s="49">
        <f>IF(AND(AM$4&gt;EOMONTH(CloseDate,'Rent Roll'!$O$7+'Rent Roll'!$S$7-1),AM$4&lt;=EOMONTH(CloseDate,'Rent Roll'!$O$7+'Rent Roll'!$S$7-1+'Rent Roll'!$V$7)),-AM33,0)</f>
        <v>0</v>
      </c>
      <c r="AN34" s="49">
        <f>IF(AND(AN$4&gt;EOMONTH(CloseDate,'Rent Roll'!$O$7+'Rent Roll'!$S$7-1),AN$4&lt;=EOMONTH(CloseDate,'Rent Roll'!$O$7+'Rent Roll'!$S$7-1+'Rent Roll'!$V$7)),-AN33,0)</f>
        <v>0</v>
      </c>
      <c r="AO34" s="49">
        <f>IF(AND(AO$4&gt;EOMONTH(CloseDate,'Rent Roll'!$O$7+'Rent Roll'!$S$7-1),AO$4&lt;=EOMONTH(CloseDate,'Rent Roll'!$O$7+'Rent Roll'!$S$7-1+'Rent Roll'!$V$7)),-AO33,0)</f>
        <v>0</v>
      </c>
      <c r="AP34" s="49">
        <f>IF(AND(AP$4&gt;EOMONTH(CloseDate,'Rent Roll'!$O$7+'Rent Roll'!$S$7-1),AP$4&lt;=EOMONTH(CloseDate,'Rent Roll'!$O$7+'Rent Roll'!$S$7-1+'Rent Roll'!$V$7)),-AP33,0)</f>
        <v>0</v>
      </c>
      <c r="AQ34" s="49">
        <f>IF(AND(AQ$4&gt;EOMONTH(CloseDate,'Rent Roll'!$O$7+'Rent Roll'!$S$7-1),AQ$4&lt;=EOMONTH(CloseDate,'Rent Roll'!$O$7+'Rent Roll'!$S$7-1+'Rent Roll'!$V$7)),-AQ33,0)</f>
        <v>0</v>
      </c>
      <c r="AR34" s="49">
        <f>IF(AND(AR$4&gt;EOMONTH(CloseDate,'Rent Roll'!$O$7+'Rent Roll'!$S$7-1),AR$4&lt;=EOMONTH(CloseDate,'Rent Roll'!$O$7+'Rent Roll'!$S$7-1+'Rent Roll'!$V$7)),-AR33,0)</f>
        <v>0</v>
      </c>
      <c r="AS34" s="49">
        <f>IF(AND(AS$4&gt;EOMONTH(CloseDate,'Rent Roll'!$O$7+'Rent Roll'!$S$7-1),AS$4&lt;=EOMONTH(CloseDate,'Rent Roll'!$O$7+'Rent Roll'!$S$7-1+'Rent Roll'!$V$7)),-AS33,0)</f>
        <v>0</v>
      </c>
      <c r="AT34" s="49">
        <f>IF(AND(AT$4&gt;EOMONTH(CloseDate,'Rent Roll'!$O$7+'Rent Roll'!$S$7-1),AT$4&lt;=EOMONTH(CloseDate,'Rent Roll'!$O$7+'Rent Roll'!$S$7-1+'Rent Roll'!$V$7)),-AT33,0)</f>
        <v>0</v>
      </c>
      <c r="AU34" s="49">
        <f>IF(AND(AU$4&gt;EOMONTH(CloseDate,'Rent Roll'!$O$7+'Rent Roll'!$S$7-1),AU$4&lt;=EOMONTH(CloseDate,'Rent Roll'!$O$7+'Rent Roll'!$S$7-1+'Rent Roll'!$V$7)),-AU33,0)</f>
        <v>0</v>
      </c>
      <c r="AV34" s="49">
        <f>IF(AND(AV$4&gt;EOMONTH(CloseDate,'Rent Roll'!$O$7+'Rent Roll'!$S$7-1),AV$4&lt;=EOMONTH(CloseDate,'Rent Roll'!$O$7+'Rent Roll'!$S$7-1+'Rent Roll'!$V$7)),-AV33,0)</f>
        <v>0</v>
      </c>
      <c r="AW34" s="49">
        <f>IF(AND(AW$4&gt;EOMONTH(CloseDate,'Rent Roll'!$O$7+'Rent Roll'!$S$7-1),AW$4&lt;=EOMONTH(CloseDate,'Rent Roll'!$O$7+'Rent Roll'!$S$7-1+'Rent Roll'!$V$7)),-AW33,0)</f>
        <v>0</v>
      </c>
      <c r="AX34" s="49">
        <f>IF(AND(AX$4&gt;EOMONTH(CloseDate,'Rent Roll'!$O$7+'Rent Roll'!$S$7-1),AX$4&lt;=EOMONTH(CloseDate,'Rent Roll'!$O$7+'Rent Roll'!$S$7-1+'Rent Roll'!$V$7)),-AX33,0)</f>
        <v>0</v>
      </c>
      <c r="AY34" s="49">
        <f>IF(AND(AY$4&gt;EOMONTH(CloseDate,'Rent Roll'!$O$7+'Rent Roll'!$S$7-1),AY$4&lt;=EOMONTH(CloseDate,'Rent Roll'!$O$7+'Rent Roll'!$S$7-1+'Rent Roll'!$V$7)),-AY33,0)</f>
        <v>0</v>
      </c>
      <c r="AZ34" s="49">
        <f>IF(AND(AZ$4&gt;EOMONTH(CloseDate,'Rent Roll'!$O$7+'Rent Roll'!$S$7-1),AZ$4&lt;=EOMONTH(CloseDate,'Rent Roll'!$O$7+'Rent Roll'!$S$7-1+'Rent Roll'!$V$7)),-AZ33,0)</f>
        <v>0</v>
      </c>
      <c r="BA34" s="49">
        <f>IF(AND(BA$4&gt;EOMONTH(CloseDate,'Rent Roll'!$O$7+'Rent Roll'!$S$7-1),BA$4&lt;=EOMONTH(CloseDate,'Rent Roll'!$O$7+'Rent Roll'!$S$7-1+'Rent Roll'!$V$7)),-BA33,0)</f>
        <v>0</v>
      </c>
      <c r="BB34" s="49">
        <f>IF(AND(BB$4&gt;EOMONTH(CloseDate,'Rent Roll'!$O$7+'Rent Roll'!$S$7-1),BB$4&lt;=EOMONTH(CloseDate,'Rent Roll'!$O$7+'Rent Roll'!$S$7-1+'Rent Roll'!$V$7)),-BB33,0)</f>
        <v>0</v>
      </c>
      <c r="BC34" s="49">
        <f>IF(AND(BC$4&gt;EOMONTH(CloseDate,'Rent Roll'!$O$7+'Rent Roll'!$S$7-1),BC$4&lt;=EOMONTH(CloseDate,'Rent Roll'!$O$7+'Rent Roll'!$S$7-1+'Rent Roll'!$V$7)),-BC33,0)</f>
        <v>0</v>
      </c>
      <c r="BD34" s="49">
        <f>IF(AND(BD$4&gt;EOMONTH(CloseDate,'Rent Roll'!$O$7+'Rent Roll'!$S$7-1),BD$4&lt;=EOMONTH(CloseDate,'Rent Roll'!$O$7+'Rent Roll'!$S$7-1+'Rent Roll'!$V$7)),-BD33,0)</f>
        <v>0</v>
      </c>
      <c r="BE34" s="49">
        <f>IF(AND(BE$4&gt;EOMONTH(CloseDate,'Rent Roll'!$O$7+'Rent Roll'!$S$7-1),BE$4&lt;=EOMONTH(CloseDate,'Rent Roll'!$O$7+'Rent Roll'!$S$7-1+'Rent Roll'!$V$7)),-BE33,0)</f>
        <v>0</v>
      </c>
      <c r="BF34" s="49">
        <f>IF(AND(BF$4&gt;EOMONTH(CloseDate,'Rent Roll'!$O$7+'Rent Roll'!$S$7-1),BF$4&lt;=EOMONTH(CloseDate,'Rent Roll'!$O$7+'Rent Roll'!$S$7-1+'Rent Roll'!$V$7)),-BF33,0)</f>
        <v>0</v>
      </c>
      <c r="BG34" s="49">
        <f>IF(AND(BG$4&gt;EOMONTH(CloseDate,'Rent Roll'!$O$7+'Rent Roll'!$S$7-1),BG$4&lt;=EOMONTH(CloseDate,'Rent Roll'!$O$7+'Rent Roll'!$S$7-1+'Rent Roll'!$V$7)),-BG33,0)</f>
        <v>0</v>
      </c>
      <c r="BH34" s="49">
        <f>IF(AND(BH$4&gt;EOMONTH(CloseDate,'Rent Roll'!$O$7+'Rent Roll'!$S$7-1),BH$4&lt;=EOMONTH(CloseDate,'Rent Roll'!$O$7+'Rent Roll'!$S$7-1+'Rent Roll'!$V$7)),-BH33,0)</f>
        <v>0</v>
      </c>
      <c r="BI34" s="49">
        <f>IF(AND(BI$4&gt;EOMONTH(CloseDate,'Rent Roll'!$O$7+'Rent Roll'!$S$7-1),BI$4&lt;=EOMONTH(CloseDate,'Rent Roll'!$O$7+'Rent Roll'!$S$7-1+'Rent Roll'!$V$7)),-BI33,0)</f>
        <v>0</v>
      </c>
      <c r="BJ34" s="49">
        <f>IF(AND(BJ$4&gt;EOMONTH(CloseDate,'Rent Roll'!$O$7+'Rent Roll'!$S$7-1),BJ$4&lt;=EOMONTH(CloseDate,'Rent Roll'!$O$7+'Rent Roll'!$S$7-1+'Rent Roll'!$V$7)),-BJ33,0)</f>
        <v>0</v>
      </c>
      <c r="BK34" s="49">
        <f>IF(AND(BK$4&gt;EOMONTH(CloseDate,'Rent Roll'!$O$7+'Rent Roll'!$S$7-1),BK$4&lt;=EOMONTH(CloseDate,'Rent Roll'!$O$7+'Rent Roll'!$S$7-1+'Rent Roll'!$V$7)),-BK33,0)</f>
        <v>0</v>
      </c>
      <c r="BL34" s="49">
        <f>IF(AND(BL$4&gt;EOMONTH(CloseDate,'Rent Roll'!$O$7+'Rent Roll'!$S$7-1),BL$4&lt;=EOMONTH(CloseDate,'Rent Roll'!$O$7+'Rent Roll'!$S$7-1+'Rent Roll'!$V$7)),-BL33,0)</f>
        <v>0</v>
      </c>
      <c r="BM34" s="49">
        <f>IF(AND(BM$4&gt;EOMONTH(CloseDate,'Rent Roll'!$O$7+'Rent Roll'!$S$7-1),BM$4&lt;=EOMONTH(CloseDate,'Rent Roll'!$O$7+'Rent Roll'!$S$7-1+'Rent Roll'!$V$7)),-BM33,0)</f>
        <v>0</v>
      </c>
      <c r="BN34" s="49">
        <f>IF(AND(BN$4&gt;EOMONTH(CloseDate,'Rent Roll'!$O$7+'Rent Roll'!$S$7-1),BN$4&lt;=EOMONTH(CloseDate,'Rent Roll'!$O$7+'Rent Roll'!$S$7-1+'Rent Roll'!$V$7)),-BN33,0)</f>
        <v>0</v>
      </c>
      <c r="BO34" s="49">
        <f>IF(AND(BO$4&gt;EOMONTH(CloseDate,'Rent Roll'!$O$7+'Rent Roll'!$S$7-1),BO$4&lt;=EOMONTH(CloseDate,'Rent Roll'!$O$7+'Rent Roll'!$S$7-1+'Rent Roll'!$V$7)),-BO33,0)</f>
        <v>0</v>
      </c>
      <c r="BP34" s="49">
        <f>IF(AND(BP$4&gt;EOMONTH(CloseDate,'Rent Roll'!$O$7+'Rent Roll'!$S$7-1),BP$4&lt;=EOMONTH(CloseDate,'Rent Roll'!$O$7+'Rent Roll'!$S$7-1+'Rent Roll'!$V$7)),-BP33,0)</f>
        <v>0</v>
      </c>
      <c r="BQ34" s="49">
        <f>IF(AND(BQ$4&gt;EOMONTH(CloseDate,'Rent Roll'!$O$7+'Rent Roll'!$S$7-1),BQ$4&lt;=EOMONTH(CloseDate,'Rent Roll'!$O$7+'Rent Roll'!$S$7-1+'Rent Roll'!$V$7)),-BQ33,0)</f>
        <v>0</v>
      </c>
      <c r="BR34" s="49">
        <f>IF(AND(BR$4&gt;EOMONTH(CloseDate,'Rent Roll'!$O$7+'Rent Roll'!$S$7-1),BR$4&lt;=EOMONTH(CloseDate,'Rent Roll'!$O$7+'Rent Roll'!$S$7-1+'Rent Roll'!$V$7)),-BR33,0)</f>
        <v>0</v>
      </c>
      <c r="BS34" s="49">
        <f>IF(AND(BS$4&gt;EOMONTH(CloseDate,'Rent Roll'!$O$7+'Rent Roll'!$S$7-1),BS$4&lt;=EOMONTH(CloseDate,'Rent Roll'!$O$7+'Rent Roll'!$S$7-1+'Rent Roll'!$V$7)),-BS33,0)</f>
        <v>0</v>
      </c>
      <c r="BT34" s="49">
        <f>IF(AND(BT$4&gt;EOMONTH(CloseDate,'Rent Roll'!$O$7+'Rent Roll'!$S$7-1),BT$4&lt;=EOMONTH(CloseDate,'Rent Roll'!$O$7+'Rent Roll'!$S$7-1+'Rent Roll'!$V$7)),-BT33,0)</f>
        <v>0</v>
      </c>
      <c r="BU34" s="49">
        <f>IF(AND(BU$4&gt;EOMONTH(CloseDate,'Rent Roll'!$O$7+'Rent Roll'!$S$7-1),BU$4&lt;=EOMONTH(CloseDate,'Rent Roll'!$O$7+'Rent Roll'!$S$7-1+'Rent Roll'!$V$7)),-BU33,0)</f>
        <v>0</v>
      </c>
      <c r="BV34" s="49">
        <f>IF(AND(BV$4&gt;EOMONTH(CloseDate,'Rent Roll'!$O$7+'Rent Roll'!$S$7-1),BV$4&lt;=EOMONTH(CloseDate,'Rent Roll'!$O$7+'Rent Roll'!$S$7-1+'Rent Roll'!$V$7)),-BV33,0)</f>
        <v>0</v>
      </c>
      <c r="BW34" s="49">
        <f>IF(AND(BW$4&gt;EOMONTH(CloseDate,'Rent Roll'!$O$7+'Rent Roll'!$S$7-1),BW$4&lt;=EOMONTH(CloseDate,'Rent Roll'!$O$7+'Rent Roll'!$S$7-1+'Rent Roll'!$V$7)),-BW33,0)</f>
        <v>0</v>
      </c>
      <c r="BX34" s="49">
        <f>IF(AND(BX$4&gt;EOMONTH(CloseDate,'Rent Roll'!$O$7+'Rent Roll'!$S$7-1),BX$4&lt;=EOMONTH(CloseDate,'Rent Roll'!$O$7+'Rent Roll'!$S$7-1+'Rent Roll'!$V$7)),-BX33,0)</f>
        <v>0</v>
      </c>
    </row>
    <row r="35" spans="1:76" hidden="1" outlineLevel="1">
      <c r="B35" t="s">
        <v>84</v>
      </c>
      <c r="D35" s="49">
        <f>D31+D33+D34</f>
        <v>22000</v>
      </c>
      <c r="E35" s="49">
        <f t="shared" ref="E35:BJ35" si="20">E31+E33+E34</f>
        <v>22000</v>
      </c>
      <c r="F35" s="49">
        <f t="shared" si="20"/>
        <v>22549.999999999996</v>
      </c>
      <c r="G35" s="49">
        <f t="shared" si="20"/>
        <v>22549.999999999996</v>
      </c>
      <c r="H35" s="49">
        <f t="shared" si="20"/>
        <v>22549.999999999996</v>
      </c>
      <c r="I35" s="49">
        <f t="shared" si="20"/>
        <v>23113.75</v>
      </c>
      <c r="J35" s="49">
        <f t="shared" si="20"/>
        <v>23113.75</v>
      </c>
      <c r="K35" s="49">
        <f t="shared" si="20"/>
        <v>23113.75</v>
      </c>
      <c r="L35" s="49">
        <f t="shared" si="20"/>
        <v>23113.75</v>
      </c>
      <c r="M35" s="49">
        <f t="shared" si="20"/>
        <v>23113.75</v>
      </c>
      <c r="N35" s="49">
        <f t="shared" si="20"/>
        <v>23113.75</v>
      </c>
      <c r="O35" s="49">
        <f t="shared" si="20"/>
        <v>23113.75</v>
      </c>
      <c r="P35" s="49">
        <f t="shared" si="20"/>
        <v>23113.75</v>
      </c>
      <c r="Q35" s="49">
        <f t="shared" si="20"/>
        <v>23113.75</v>
      </c>
      <c r="R35" s="49">
        <f t="shared" si="20"/>
        <v>0</v>
      </c>
      <c r="S35" s="49">
        <f t="shared" si="20"/>
        <v>0</v>
      </c>
      <c r="T35" s="49">
        <f t="shared" si="20"/>
        <v>0</v>
      </c>
      <c r="U35" s="49">
        <f t="shared" si="20"/>
        <v>0</v>
      </c>
      <c r="V35" s="49">
        <f t="shared" si="20"/>
        <v>0</v>
      </c>
      <c r="W35" s="49">
        <f t="shared" si="20"/>
        <v>0</v>
      </c>
      <c r="X35" s="49">
        <f t="shared" si="20"/>
        <v>26021.482841249992</v>
      </c>
      <c r="Y35" s="49">
        <f t="shared" si="20"/>
        <v>26021.482841249992</v>
      </c>
      <c r="Z35" s="49">
        <f t="shared" si="20"/>
        <v>26021.482841249992</v>
      </c>
      <c r="AA35" s="49">
        <f t="shared" si="20"/>
        <v>26021.482841249992</v>
      </c>
      <c r="AB35" s="49">
        <f t="shared" si="20"/>
        <v>26021.482841249992</v>
      </c>
      <c r="AC35" s="49">
        <f t="shared" si="20"/>
        <v>26021.482841249992</v>
      </c>
      <c r="AD35" s="49">
        <f t="shared" si="20"/>
        <v>26021.482841249992</v>
      </c>
      <c r="AE35" s="49">
        <f t="shared" si="20"/>
        <v>26021.482841249992</v>
      </c>
      <c r="AF35" s="49">
        <f t="shared" si="20"/>
        <v>26021.482841249992</v>
      </c>
      <c r="AG35" s="49">
        <f t="shared" si="20"/>
        <v>26724.062877963741</v>
      </c>
      <c r="AH35" s="49">
        <f t="shared" si="20"/>
        <v>26724.062877963741</v>
      </c>
      <c r="AI35" s="49">
        <f t="shared" si="20"/>
        <v>26724.062877963741</v>
      </c>
      <c r="AJ35" s="49">
        <f t="shared" si="20"/>
        <v>26724.062877963741</v>
      </c>
      <c r="AK35" s="49">
        <f t="shared" si="20"/>
        <v>26724.062877963741</v>
      </c>
      <c r="AL35" s="49">
        <f t="shared" si="20"/>
        <v>26724.062877963741</v>
      </c>
      <c r="AM35" s="49">
        <f t="shared" si="20"/>
        <v>26724.062877963741</v>
      </c>
      <c r="AN35" s="49">
        <f t="shared" si="20"/>
        <v>26724.062877963741</v>
      </c>
      <c r="AO35" s="49">
        <f t="shared" si="20"/>
        <v>26724.062877963741</v>
      </c>
      <c r="AP35" s="49">
        <f t="shared" si="20"/>
        <v>26724.062877963741</v>
      </c>
      <c r="AQ35" s="49">
        <f t="shared" si="20"/>
        <v>26724.062877963741</v>
      </c>
      <c r="AR35" s="49">
        <f t="shared" si="20"/>
        <v>26724.062877963741</v>
      </c>
      <c r="AS35" s="49">
        <f t="shared" si="20"/>
        <v>27445.612575668758</v>
      </c>
      <c r="AT35" s="49">
        <f t="shared" si="20"/>
        <v>27445.612575668758</v>
      </c>
      <c r="AU35" s="49">
        <f t="shared" si="20"/>
        <v>27445.612575668758</v>
      </c>
      <c r="AV35" s="49">
        <f t="shared" si="20"/>
        <v>27445.612575668758</v>
      </c>
      <c r="AW35" s="49">
        <f t="shared" si="20"/>
        <v>27445.612575668758</v>
      </c>
      <c r="AX35" s="49">
        <f t="shared" si="20"/>
        <v>27445.612575668758</v>
      </c>
      <c r="AY35" s="49">
        <f t="shared" si="20"/>
        <v>27445.612575668758</v>
      </c>
      <c r="AZ35" s="49">
        <f t="shared" si="20"/>
        <v>27445.612575668758</v>
      </c>
      <c r="BA35" s="49">
        <f t="shared" si="20"/>
        <v>27445.612575668758</v>
      </c>
      <c r="BB35" s="49">
        <f t="shared" si="20"/>
        <v>27445.612575668758</v>
      </c>
      <c r="BC35" s="49">
        <f t="shared" si="20"/>
        <v>27445.612575668758</v>
      </c>
      <c r="BD35" s="49">
        <f t="shared" si="20"/>
        <v>27445.612575668758</v>
      </c>
      <c r="BE35" s="49">
        <f t="shared" si="20"/>
        <v>28186.644115211813</v>
      </c>
      <c r="BF35" s="49">
        <f t="shared" si="20"/>
        <v>28186.644115211813</v>
      </c>
      <c r="BG35" s="49">
        <f t="shared" si="20"/>
        <v>28186.644115211813</v>
      </c>
      <c r="BH35" s="49">
        <f t="shared" si="20"/>
        <v>28186.644115211813</v>
      </c>
      <c r="BI35" s="49">
        <f t="shared" si="20"/>
        <v>28186.644115211813</v>
      </c>
      <c r="BJ35" s="49">
        <f t="shared" si="20"/>
        <v>28186.644115211813</v>
      </c>
      <c r="BK35" s="49">
        <f t="shared" ref="BK35" si="21">BK31+BK33+BK34</f>
        <v>28186.644115211813</v>
      </c>
      <c r="BL35" s="49">
        <f t="shared" ref="BL35:BX35" si="22">BL31+BL33+BL34</f>
        <v>28186.644115211813</v>
      </c>
      <c r="BM35" s="49">
        <f t="shared" si="22"/>
        <v>28186.644115211813</v>
      </c>
      <c r="BN35" s="49">
        <f t="shared" si="22"/>
        <v>28186.644115211813</v>
      </c>
      <c r="BO35" s="49">
        <f t="shared" si="22"/>
        <v>28186.644115211813</v>
      </c>
      <c r="BP35" s="49">
        <f t="shared" si="22"/>
        <v>28186.644115211813</v>
      </c>
      <c r="BQ35" s="49">
        <f t="shared" si="22"/>
        <v>28947.683506322526</v>
      </c>
      <c r="BR35" s="49">
        <f t="shared" si="22"/>
        <v>28947.683506322526</v>
      </c>
      <c r="BS35" s="49">
        <f t="shared" si="22"/>
        <v>28947.683506322526</v>
      </c>
      <c r="BT35" s="49">
        <f t="shared" si="22"/>
        <v>28947.683506322526</v>
      </c>
      <c r="BU35" s="49">
        <f t="shared" si="22"/>
        <v>28947.683506322526</v>
      </c>
      <c r="BV35" s="49">
        <f t="shared" si="22"/>
        <v>28947.683506322526</v>
      </c>
      <c r="BW35" s="49">
        <f t="shared" si="22"/>
        <v>28947.683506322526</v>
      </c>
      <c r="BX35" s="49">
        <f t="shared" si="22"/>
        <v>28947.683506322526</v>
      </c>
    </row>
    <row r="36" spans="1:76" hidden="1" outlineLevel="1">
      <c r="B36" t="s">
        <v>85</v>
      </c>
      <c r="D36" s="49">
        <f>IF(OR(D30=1,D32=1),'Rent Roll'!$F$7/BldgSF*ReimbPool/12*D$7,0)</f>
        <v>10470</v>
      </c>
      <c r="E36" s="49">
        <f>IF(OR(E30=1,E32=1),'Rent Roll'!$F$7/BldgSF*ReimbPool/12*E$7,0)</f>
        <v>10470</v>
      </c>
      <c r="F36" s="49">
        <f>IF(OR(F30=1,F32=1),'Rent Roll'!$F$7/BldgSF*ReimbPool/12*F$7,0)</f>
        <v>10470</v>
      </c>
      <c r="G36" s="49">
        <f>IF(OR(G30=1,G32=1),'Rent Roll'!$F$7/BldgSF*ReimbPool/12*G$7,0)</f>
        <v>10470</v>
      </c>
      <c r="H36" s="49">
        <f>IF(OR(H30=1,H32=1),'Rent Roll'!$F$7/BldgSF*ReimbPool/12*H$7,0)</f>
        <v>10470</v>
      </c>
      <c r="I36" s="49">
        <f>IF(OR(I30=1,I32=1),'Rent Roll'!$F$7/BldgSF*ReimbPool/12*I$7,0)</f>
        <v>10752.689999999999</v>
      </c>
      <c r="J36" s="49">
        <f>IF(OR(J30=1,J32=1),'Rent Roll'!$F$7/BldgSF*ReimbPool/12*J$7,0)</f>
        <v>10752.689999999999</v>
      </c>
      <c r="K36" s="49">
        <f>IF(OR(K30=1,K32=1),'Rent Roll'!$F$7/BldgSF*ReimbPool/12*K$7,0)</f>
        <v>10752.689999999999</v>
      </c>
      <c r="L36" s="49">
        <f>IF(OR(L30=1,L32=1),'Rent Roll'!$F$7/BldgSF*ReimbPool/12*L$7,0)</f>
        <v>10752.689999999999</v>
      </c>
      <c r="M36" s="49">
        <f>IF(OR(M30=1,M32=1),'Rent Roll'!$F$7/BldgSF*ReimbPool/12*M$7,0)</f>
        <v>10752.689999999999</v>
      </c>
      <c r="N36" s="49">
        <f>IF(OR(N30=1,N32=1),'Rent Roll'!$F$7/BldgSF*ReimbPool/12*N$7,0)</f>
        <v>10752.689999999999</v>
      </c>
      <c r="O36" s="49">
        <f>IF(OR(O30=1,O32=1),'Rent Roll'!$F$7/BldgSF*ReimbPool/12*O$7,0)</f>
        <v>10752.689999999999</v>
      </c>
      <c r="P36" s="49">
        <f>IF(OR(P30=1,P32=1),'Rent Roll'!$F$7/BldgSF*ReimbPool/12*P$7,0)</f>
        <v>10752.689999999999</v>
      </c>
      <c r="Q36" s="49">
        <f>IF(OR(Q30=1,Q32=1),'Rent Roll'!$F$7/BldgSF*ReimbPool/12*Q$7,0)</f>
        <v>10752.689999999999</v>
      </c>
      <c r="R36" s="49">
        <f>IF(OR(R30=1,R32=1),'Rent Roll'!$F$7/BldgSF*ReimbPool/12*R$7,0)</f>
        <v>0</v>
      </c>
      <c r="S36" s="49">
        <f>IF(OR(S30=1,S32=1),'Rent Roll'!$F$7/BldgSF*ReimbPool/12*S$7,0)</f>
        <v>0</v>
      </c>
      <c r="T36" s="49">
        <f>IF(OR(T30=1,T32=1),'Rent Roll'!$F$7/BldgSF*ReimbPool/12*T$7,0)</f>
        <v>0</v>
      </c>
      <c r="U36" s="49">
        <f>IF(OR(U30=1,U32=1),'Rent Roll'!$F$7/BldgSF*ReimbPool/12*U$7,0)</f>
        <v>0</v>
      </c>
      <c r="V36" s="49">
        <f>IF(OR(V30=1,V32=1),'Rent Roll'!$F$7/BldgSF*ReimbPool/12*V$7,0)</f>
        <v>11043.012629999997</v>
      </c>
      <c r="W36" s="49">
        <f>IF(OR(W30=1,W32=1),'Rent Roll'!$F$7/BldgSF*ReimbPool/12*W$7,0)</f>
        <v>11043.012629999997</v>
      </c>
      <c r="X36" s="49">
        <f>IF(OR(X30=1,X32=1),'Rent Roll'!$F$7/BldgSF*ReimbPool/12*X$7,0)</f>
        <v>11043.012629999997</v>
      </c>
      <c r="Y36" s="49">
        <f>IF(OR(Y30=1,Y32=1),'Rent Roll'!$F$7/BldgSF*ReimbPool/12*Y$7,0)</f>
        <v>11043.012629999997</v>
      </c>
      <c r="Z36" s="49">
        <f>IF(OR(Z30=1,Z32=1),'Rent Roll'!$F$7/BldgSF*ReimbPool/12*Z$7,0)</f>
        <v>11043.012629999997</v>
      </c>
      <c r="AA36" s="49">
        <f>IF(OR(AA30=1,AA32=1),'Rent Roll'!$F$7/BldgSF*ReimbPool/12*AA$7,0)</f>
        <v>11043.012629999997</v>
      </c>
      <c r="AB36" s="49">
        <f>IF(OR(AB30=1,AB32=1),'Rent Roll'!$F$7/BldgSF*ReimbPool/12*AB$7,0)</f>
        <v>11043.012629999997</v>
      </c>
      <c r="AC36" s="49">
        <f>IF(OR(AC30=1,AC32=1),'Rent Roll'!$F$7/BldgSF*ReimbPool/12*AC$7,0)</f>
        <v>11043.012629999997</v>
      </c>
      <c r="AD36" s="49">
        <f>IF(OR(AD30=1,AD32=1),'Rent Roll'!$F$7/BldgSF*ReimbPool/12*AD$7,0)</f>
        <v>11043.012629999997</v>
      </c>
      <c r="AE36" s="49">
        <f>IF(OR(AE30=1,AE32=1),'Rent Roll'!$F$7/BldgSF*ReimbPool/12*AE$7,0)</f>
        <v>11043.012629999997</v>
      </c>
      <c r="AF36" s="49">
        <f>IF(OR(AF30=1,AF32=1),'Rent Roll'!$F$7/BldgSF*ReimbPool/12*AF$7,0)</f>
        <v>11043.012629999997</v>
      </c>
      <c r="AG36" s="49">
        <f>IF(OR(AG30=1,AG32=1),'Rent Roll'!$F$7/BldgSF*ReimbPool/12*AG$7,0)</f>
        <v>11341.173971009997</v>
      </c>
      <c r="AH36" s="49">
        <f>IF(OR(AH30=1,AH32=1),'Rent Roll'!$F$7/BldgSF*ReimbPool/12*AH$7,0)</f>
        <v>11341.173971009997</v>
      </c>
      <c r="AI36" s="49">
        <f>IF(OR(AI30=1,AI32=1),'Rent Roll'!$F$7/BldgSF*ReimbPool/12*AI$7,0)</f>
        <v>11341.173971009997</v>
      </c>
      <c r="AJ36" s="49">
        <f>IF(OR(AJ30=1,AJ32=1),'Rent Roll'!$F$7/BldgSF*ReimbPool/12*AJ$7,0)</f>
        <v>11341.173971009997</v>
      </c>
      <c r="AK36" s="49">
        <f>IF(OR(AK30=1,AK32=1),'Rent Roll'!$F$7/BldgSF*ReimbPool/12*AK$7,0)</f>
        <v>11341.173971009997</v>
      </c>
      <c r="AL36" s="49">
        <f>IF(OR(AL30=1,AL32=1),'Rent Roll'!$F$7/BldgSF*ReimbPool/12*AL$7,0)</f>
        <v>11341.173971009997</v>
      </c>
      <c r="AM36" s="49">
        <f>IF(OR(AM30=1,AM32=1),'Rent Roll'!$F$7/BldgSF*ReimbPool/12*AM$7,0)</f>
        <v>11341.173971009997</v>
      </c>
      <c r="AN36" s="49">
        <f>IF(OR(AN30=1,AN32=1),'Rent Roll'!$F$7/BldgSF*ReimbPool/12*AN$7,0)</f>
        <v>11341.173971009997</v>
      </c>
      <c r="AO36" s="49">
        <f>IF(OR(AO30=1,AO32=1),'Rent Roll'!$F$7/BldgSF*ReimbPool/12*AO$7,0)</f>
        <v>11341.173971009997</v>
      </c>
      <c r="AP36" s="49">
        <f>IF(OR(AP30=1,AP32=1),'Rent Roll'!$F$7/BldgSF*ReimbPool/12*AP$7,0)</f>
        <v>11341.173971009997</v>
      </c>
      <c r="AQ36" s="49">
        <f>IF(OR(AQ30=1,AQ32=1),'Rent Roll'!$F$7/BldgSF*ReimbPool/12*AQ$7,0)</f>
        <v>11341.173971009997</v>
      </c>
      <c r="AR36" s="49">
        <f>IF(OR(AR30=1,AR32=1),'Rent Roll'!$F$7/BldgSF*ReimbPool/12*AR$7,0)</f>
        <v>11341.173971009997</v>
      </c>
      <c r="AS36" s="49">
        <f>IF(OR(AS30=1,AS32=1),'Rent Roll'!$F$7/BldgSF*ReimbPool/12*AS$7,0)</f>
        <v>11647.385668227265</v>
      </c>
      <c r="AT36" s="49">
        <f>IF(OR(AT30=1,AT32=1),'Rent Roll'!$F$7/BldgSF*ReimbPool/12*AT$7,0)</f>
        <v>11647.385668227265</v>
      </c>
      <c r="AU36" s="49">
        <f>IF(OR(AU30=1,AU32=1),'Rent Roll'!$F$7/BldgSF*ReimbPool/12*AU$7,0)</f>
        <v>11647.385668227265</v>
      </c>
      <c r="AV36" s="49">
        <f>IF(OR(AV30=1,AV32=1),'Rent Roll'!$F$7/BldgSF*ReimbPool/12*AV$7,0)</f>
        <v>11647.385668227265</v>
      </c>
      <c r="AW36" s="49">
        <f>IF(OR(AW30=1,AW32=1),'Rent Roll'!$F$7/BldgSF*ReimbPool/12*AW$7,0)</f>
        <v>11647.385668227265</v>
      </c>
      <c r="AX36" s="49">
        <f>IF(OR(AX30=1,AX32=1),'Rent Roll'!$F$7/BldgSF*ReimbPool/12*AX$7,0)</f>
        <v>11647.385668227265</v>
      </c>
      <c r="AY36" s="49">
        <f>IF(OR(AY30=1,AY32=1),'Rent Roll'!$F$7/BldgSF*ReimbPool/12*AY$7,0)</f>
        <v>11647.385668227265</v>
      </c>
      <c r="AZ36" s="49">
        <f>IF(OR(AZ30=1,AZ32=1),'Rent Roll'!$F$7/BldgSF*ReimbPool/12*AZ$7,0)</f>
        <v>11647.385668227265</v>
      </c>
      <c r="BA36" s="49">
        <f>IF(OR(BA30=1,BA32=1),'Rent Roll'!$F$7/BldgSF*ReimbPool/12*BA$7,0)</f>
        <v>11647.385668227265</v>
      </c>
      <c r="BB36" s="49">
        <f>IF(OR(BB30=1,BB32=1),'Rent Roll'!$F$7/BldgSF*ReimbPool/12*BB$7,0)</f>
        <v>11647.385668227265</v>
      </c>
      <c r="BC36" s="49">
        <f>IF(OR(BC30=1,BC32=1),'Rent Roll'!$F$7/BldgSF*ReimbPool/12*BC$7,0)</f>
        <v>11647.385668227265</v>
      </c>
      <c r="BD36" s="49">
        <f>IF(OR(BD30=1,BD32=1),'Rent Roll'!$F$7/BldgSF*ReimbPool/12*BD$7,0)</f>
        <v>11647.385668227265</v>
      </c>
      <c r="BE36" s="49">
        <f>IF(OR(BE30=1,BE32=1),'Rent Roll'!$F$7/BldgSF*ReimbPool/12*BE$7,0)</f>
        <v>11961.865081269401</v>
      </c>
      <c r="BF36" s="49">
        <f>IF(OR(BF30=1,BF32=1),'Rent Roll'!$F$7/BldgSF*ReimbPool/12*BF$7,0)</f>
        <v>11961.865081269401</v>
      </c>
      <c r="BG36" s="49">
        <f>IF(OR(BG30=1,BG32=1),'Rent Roll'!$F$7/BldgSF*ReimbPool/12*BG$7,0)</f>
        <v>11961.865081269401</v>
      </c>
      <c r="BH36" s="49">
        <f>IF(OR(BH30=1,BH32=1),'Rent Roll'!$F$7/BldgSF*ReimbPool/12*BH$7,0)</f>
        <v>11961.865081269401</v>
      </c>
      <c r="BI36" s="49">
        <f>IF(OR(BI30=1,BI32=1),'Rent Roll'!$F$7/BldgSF*ReimbPool/12*BI$7,0)</f>
        <v>11961.865081269401</v>
      </c>
      <c r="BJ36" s="49">
        <f>IF(OR(BJ30=1,BJ32=1),'Rent Roll'!$F$7/BldgSF*ReimbPool/12*BJ$7,0)</f>
        <v>11961.865081269401</v>
      </c>
      <c r="BK36" s="49">
        <f>IF(OR(BK30=1,BK32=1),'Rent Roll'!$F$7/BldgSF*ReimbPool/12*BK$7,0)</f>
        <v>11961.865081269401</v>
      </c>
      <c r="BL36" s="49">
        <f>IF(OR(BL30=1,BL32=1),'Rent Roll'!$F$7/BldgSF*ReimbPool/12*BL$7,0)</f>
        <v>11961.865081269401</v>
      </c>
      <c r="BM36" s="49">
        <f>IF(OR(BM30=1,BM32=1),'Rent Roll'!$F$7/BldgSF*ReimbPool/12*BM$7,0)</f>
        <v>11961.865081269401</v>
      </c>
      <c r="BN36" s="49">
        <f>IF(OR(BN30=1,BN32=1),'Rent Roll'!$F$7/BldgSF*ReimbPool/12*BN$7,0)</f>
        <v>11961.865081269401</v>
      </c>
      <c r="BO36" s="49">
        <f>IF(OR(BO30=1,BO32=1),'Rent Roll'!$F$7/BldgSF*ReimbPool/12*BO$7,0)</f>
        <v>11961.865081269401</v>
      </c>
      <c r="BP36" s="49">
        <f>IF(OR(BP30=1,BP32=1),'Rent Roll'!$F$7/BldgSF*ReimbPool/12*BP$7,0)</f>
        <v>11961.865081269401</v>
      </c>
      <c r="BQ36" s="49">
        <f>IF(OR(BQ30=1,BQ32=1),'Rent Roll'!$F$7/BldgSF*ReimbPool/12*BQ$7,0)</f>
        <v>12284.835438463673</v>
      </c>
      <c r="BR36" s="49">
        <f>IF(OR(BR30=1,BR32=1),'Rent Roll'!$F$7/BldgSF*ReimbPool/12*BR$7,0)</f>
        <v>12284.835438463673</v>
      </c>
      <c r="BS36" s="49">
        <f>IF(OR(BS30=1,BS32=1),'Rent Roll'!$F$7/BldgSF*ReimbPool/12*BS$7,0)</f>
        <v>12284.835438463673</v>
      </c>
      <c r="BT36" s="49">
        <f>IF(OR(BT30=1,BT32=1),'Rent Roll'!$F$7/BldgSF*ReimbPool/12*BT$7,0)</f>
        <v>12284.835438463673</v>
      </c>
      <c r="BU36" s="49">
        <f>IF(OR(BU30=1,BU32=1),'Rent Roll'!$F$7/BldgSF*ReimbPool/12*BU$7,0)</f>
        <v>12284.835438463673</v>
      </c>
      <c r="BV36" s="49">
        <f>IF(OR(BV30=1,BV32=1),'Rent Roll'!$F$7/BldgSF*ReimbPool/12*BV$7,0)</f>
        <v>12284.835438463673</v>
      </c>
      <c r="BW36" s="49">
        <f>IF(OR(BW30=1,BW32=1),'Rent Roll'!$F$7/BldgSF*ReimbPool/12*BW$7,0)</f>
        <v>12284.835438463673</v>
      </c>
      <c r="BX36" s="49">
        <f>IF(OR(BX30=1,BX32=1),'Rent Roll'!$F$7/BldgSF*ReimbPool/12*BX$7,0)</f>
        <v>12284.835438463673</v>
      </c>
    </row>
    <row r="37" spans="1:76" hidden="1" outlineLevel="1">
      <c r="B37" t="s">
        <v>86</v>
      </c>
      <c r="D37" s="49">
        <f>IF(D$4=EOMONTH(CloseDate,'Rent Roll'!$O$7+'Rent Roll'!$S$7),-'Rent Roll'!$F$7*'Rent Roll'!$T$7,0)</f>
        <v>0</v>
      </c>
      <c r="E37" s="49">
        <f>IF(E$4=EOMONTH(CloseDate,'Rent Roll'!$O$7+'Rent Roll'!$S$7),-'Rent Roll'!$F$7*'Rent Roll'!$T$7,0)</f>
        <v>0</v>
      </c>
      <c r="F37" s="49">
        <f>IF(F$4=EOMONTH(CloseDate,'Rent Roll'!$O$7+'Rent Roll'!$S$7),-'Rent Roll'!$F$7*'Rent Roll'!$T$7,0)</f>
        <v>0</v>
      </c>
      <c r="G37" s="49">
        <f>IF(G$4=EOMONTH(CloseDate,'Rent Roll'!$O$7+'Rent Roll'!$S$7),-'Rent Roll'!$F$7*'Rent Roll'!$T$7,0)</f>
        <v>0</v>
      </c>
      <c r="H37" s="49">
        <f>IF(H$4=EOMONTH(CloseDate,'Rent Roll'!$O$7+'Rent Roll'!$S$7),-'Rent Roll'!$F$7*'Rent Roll'!$T$7,0)</f>
        <v>0</v>
      </c>
      <c r="I37" s="49">
        <f>IF(I$4=EOMONTH(CloseDate,'Rent Roll'!$O$7+'Rent Roll'!$S$7),-'Rent Roll'!$F$7*'Rent Roll'!$T$7,0)</f>
        <v>0</v>
      </c>
      <c r="J37" s="49">
        <f>IF(J$4=EOMONTH(CloseDate,'Rent Roll'!$O$7+'Rent Roll'!$S$7),-'Rent Roll'!$F$7*'Rent Roll'!$T$7,0)</f>
        <v>0</v>
      </c>
      <c r="K37" s="49">
        <f>IF(K$4=EOMONTH(CloseDate,'Rent Roll'!$O$7+'Rent Roll'!$S$7),-'Rent Roll'!$F$7*'Rent Roll'!$T$7,0)</f>
        <v>0</v>
      </c>
      <c r="L37" s="49">
        <f>IF(L$4=EOMONTH(CloseDate,'Rent Roll'!$O$7+'Rent Roll'!$S$7),-'Rent Roll'!$F$7*'Rent Roll'!$T$7,0)</f>
        <v>0</v>
      </c>
      <c r="M37" s="49">
        <f>IF(M$4=EOMONTH(CloseDate,'Rent Roll'!$O$7+'Rent Roll'!$S$7),-'Rent Roll'!$F$7*'Rent Roll'!$T$7,0)</f>
        <v>0</v>
      </c>
      <c r="N37" s="49">
        <f>IF(N$4=EOMONTH(CloseDate,'Rent Roll'!$O$7+'Rent Roll'!$S$7),-'Rent Roll'!$F$7*'Rent Roll'!$T$7,0)</f>
        <v>0</v>
      </c>
      <c r="O37" s="49">
        <f>IF(O$4=EOMONTH(CloseDate,'Rent Roll'!$O$7+'Rent Roll'!$S$7),-'Rent Roll'!$F$7*'Rent Roll'!$T$7,0)</f>
        <v>0</v>
      </c>
      <c r="P37" s="49">
        <f>IF(P$4=EOMONTH(CloseDate,'Rent Roll'!$O$7+'Rent Roll'!$S$7),-'Rent Roll'!$F$7*'Rent Roll'!$T$7,0)</f>
        <v>0</v>
      </c>
      <c r="Q37" s="49">
        <f>IF(Q$4=EOMONTH(CloseDate,'Rent Roll'!$O$7+'Rent Roll'!$S$7),-'Rent Roll'!$F$7*'Rent Roll'!$T$7,0)</f>
        <v>0</v>
      </c>
      <c r="R37" s="49">
        <f>IF(R$4=EOMONTH(CloseDate,'Rent Roll'!$O$7+'Rent Roll'!$S$7),-'Rent Roll'!$F$7*'Rent Roll'!$T$7,0)</f>
        <v>0</v>
      </c>
      <c r="S37" s="49">
        <f>IF(S$4=EOMONTH(CloseDate,'Rent Roll'!$O$7+'Rent Roll'!$S$7),-'Rent Roll'!$F$7*'Rent Roll'!$T$7,0)</f>
        <v>0</v>
      </c>
      <c r="T37" s="49">
        <f>IF(T$4=EOMONTH(CloseDate,'Rent Roll'!$O$7+'Rent Roll'!$S$7),-'Rent Roll'!$F$7*'Rent Roll'!$T$7,0)</f>
        <v>0</v>
      </c>
      <c r="U37" s="49">
        <f>IF(U$4=EOMONTH(CloseDate,'Rent Roll'!$O$7+'Rent Roll'!$S$7),-'Rent Roll'!$F$7*'Rent Roll'!$T$7,0)</f>
        <v>0</v>
      </c>
      <c r="V37" s="49">
        <f>IF(V$4=EOMONTH(CloseDate,'Rent Roll'!$O$7+'Rent Roll'!$S$7),-'Rent Roll'!$F$7*'Rent Roll'!$T$7,0)</f>
        <v>-432000</v>
      </c>
      <c r="W37" s="49">
        <f>IF(W$4=EOMONTH(CloseDate,'Rent Roll'!$O$7+'Rent Roll'!$S$7),-'Rent Roll'!$F$7*'Rent Roll'!$T$7,0)</f>
        <v>0</v>
      </c>
      <c r="X37" s="49">
        <f>IF(X$4=EOMONTH(CloseDate,'Rent Roll'!$O$7+'Rent Roll'!$S$7),-'Rent Roll'!$F$7*'Rent Roll'!$T$7,0)</f>
        <v>0</v>
      </c>
      <c r="Y37" s="49">
        <f>IF(Y$4=EOMONTH(CloseDate,'Rent Roll'!$O$7+'Rent Roll'!$S$7),-'Rent Roll'!$F$7*'Rent Roll'!$T$7,0)</f>
        <v>0</v>
      </c>
      <c r="Z37" s="49">
        <f>IF(Z$4=EOMONTH(CloseDate,'Rent Roll'!$O$7+'Rent Roll'!$S$7),-'Rent Roll'!$F$7*'Rent Roll'!$T$7,0)</f>
        <v>0</v>
      </c>
      <c r="AA37" s="49">
        <f>IF(AA$4=EOMONTH(CloseDate,'Rent Roll'!$O$7+'Rent Roll'!$S$7),-'Rent Roll'!$F$7*'Rent Roll'!$T$7,0)</f>
        <v>0</v>
      </c>
      <c r="AB37" s="49">
        <f>IF(AB$4=EOMONTH(CloseDate,'Rent Roll'!$O$7+'Rent Roll'!$S$7),-'Rent Roll'!$F$7*'Rent Roll'!$T$7,0)</f>
        <v>0</v>
      </c>
      <c r="AC37" s="49">
        <f>IF(AC$4=EOMONTH(CloseDate,'Rent Roll'!$O$7+'Rent Roll'!$S$7),-'Rent Roll'!$F$7*'Rent Roll'!$T$7,0)</f>
        <v>0</v>
      </c>
      <c r="AD37" s="49">
        <f>IF(AD$4=EOMONTH(CloseDate,'Rent Roll'!$O$7+'Rent Roll'!$S$7),-'Rent Roll'!$F$7*'Rent Roll'!$T$7,0)</f>
        <v>0</v>
      </c>
      <c r="AE37" s="49">
        <f>IF(AE$4=EOMONTH(CloseDate,'Rent Roll'!$O$7+'Rent Roll'!$S$7),-'Rent Roll'!$F$7*'Rent Roll'!$T$7,0)</f>
        <v>0</v>
      </c>
      <c r="AF37" s="49">
        <f>IF(AF$4=EOMONTH(CloseDate,'Rent Roll'!$O$7+'Rent Roll'!$S$7),-'Rent Roll'!$F$7*'Rent Roll'!$T$7,0)</f>
        <v>0</v>
      </c>
      <c r="AG37" s="49">
        <f>IF(AG$4=EOMONTH(CloseDate,'Rent Roll'!$O$7+'Rent Roll'!$S$7),-'Rent Roll'!$F$7*'Rent Roll'!$T$7,0)</f>
        <v>0</v>
      </c>
      <c r="AH37" s="49">
        <f>IF(AH$4=EOMONTH(CloseDate,'Rent Roll'!$O$7+'Rent Roll'!$S$7),-'Rent Roll'!$F$7*'Rent Roll'!$T$7,0)</f>
        <v>0</v>
      </c>
      <c r="AI37" s="49">
        <f>IF(AI$4=EOMONTH(CloseDate,'Rent Roll'!$O$7+'Rent Roll'!$S$7),-'Rent Roll'!$F$7*'Rent Roll'!$T$7,0)</f>
        <v>0</v>
      </c>
      <c r="AJ37" s="49">
        <f>IF(AJ$4=EOMONTH(CloseDate,'Rent Roll'!$O$7+'Rent Roll'!$S$7),-'Rent Roll'!$F$7*'Rent Roll'!$T$7,0)</f>
        <v>0</v>
      </c>
      <c r="AK37" s="49">
        <f>IF(AK$4=EOMONTH(CloseDate,'Rent Roll'!$O$7+'Rent Roll'!$S$7),-'Rent Roll'!$F$7*'Rent Roll'!$T$7,0)</f>
        <v>0</v>
      </c>
      <c r="AL37" s="49">
        <f>IF(AL$4=EOMONTH(CloseDate,'Rent Roll'!$O$7+'Rent Roll'!$S$7),-'Rent Roll'!$F$7*'Rent Roll'!$T$7,0)</f>
        <v>0</v>
      </c>
      <c r="AM37" s="49">
        <f>IF(AM$4=EOMONTH(CloseDate,'Rent Roll'!$O$7+'Rent Roll'!$S$7),-'Rent Roll'!$F$7*'Rent Roll'!$T$7,0)</f>
        <v>0</v>
      </c>
      <c r="AN37" s="49">
        <f>IF(AN$4=EOMONTH(CloseDate,'Rent Roll'!$O$7+'Rent Roll'!$S$7),-'Rent Roll'!$F$7*'Rent Roll'!$T$7,0)</f>
        <v>0</v>
      </c>
      <c r="AO37" s="49">
        <f>IF(AO$4=EOMONTH(CloseDate,'Rent Roll'!$O$7+'Rent Roll'!$S$7),-'Rent Roll'!$F$7*'Rent Roll'!$T$7,0)</f>
        <v>0</v>
      </c>
      <c r="AP37" s="49">
        <f>IF(AP$4=EOMONTH(CloseDate,'Rent Roll'!$O$7+'Rent Roll'!$S$7),-'Rent Roll'!$F$7*'Rent Roll'!$T$7,0)</f>
        <v>0</v>
      </c>
      <c r="AQ37" s="49">
        <f>IF(AQ$4=EOMONTH(CloseDate,'Rent Roll'!$O$7+'Rent Roll'!$S$7),-'Rent Roll'!$F$7*'Rent Roll'!$T$7,0)</f>
        <v>0</v>
      </c>
      <c r="AR37" s="49">
        <f>IF(AR$4=EOMONTH(CloseDate,'Rent Roll'!$O$7+'Rent Roll'!$S$7),-'Rent Roll'!$F$7*'Rent Roll'!$T$7,0)</f>
        <v>0</v>
      </c>
      <c r="AS37" s="49">
        <f>IF(AS$4=EOMONTH(CloseDate,'Rent Roll'!$O$7+'Rent Roll'!$S$7),-'Rent Roll'!$F$7*'Rent Roll'!$T$7,0)</f>
        <v>0</v>
      </c>
      <c r="AT37" s="49">
        <f>IF(AT$4=EOMONTH(CloseDate,'Rent Roll'!$O$7+'Rent Roll'!$S$7),-'Rent Roll'!$F$7*'Rent Roll'!$T$7,0)</f>
        <v>0</v>
      </c>
      <c r="AU37" s="49">
        <f>IF(AU$4=EOMONTH(CloseDate,'Rent Roll'!$O$7+'Rent Roll'!$S$7),-'Rent Roll'!$F$7*'Rent Roll'!$T$7,0)</f>
        <v>0</v>
      </c>
      <c r="AV37" s="49">
        <f>IF(AV$4=EOMONTH(CloseDate,'Rent Roll'!$O$7+'Rent Roll'!$S$7),-'Rent Roll'!$F$7*'Rent Roll'!$T$7,0)</f>
        <v>0</v>
      </c>
      <c r="AW37" s="49">
        <f>IF(AW$4=EOMONTH(CloseDate,'Rent Roll'!$O$7+'Rent Roll'!$S$7),-'Rent Roll'!$F$7*'Rent Roll'!$T$7,0)</f>
        <v>0</v>
      </c>
      <c r="AX37" s="49">
        <f>IF(AX$4=EOMONTH(CloseDate,'Rent Roll'!$O$7+'Rent Roll'!$S$7),-'Rent Roll'!$F$7*'Rent Roll'!$T$7,0)</f>
        <v>0</v>
      </c>
      <c r="AY37" s="49">
        <f>IF(AY$4=EOMONTH(CloseDate,'Rent Roll'!$O$7+'Rent Roll'!$S$7),-'Rent Roll'!$F$7*'Rent Roll'!$T$7,0)</f>
        <v>0</v>
      </c>
      <c r="AZ37" s="49">
        <f>IF(AZ$4=EOMONTH(CloseDate,'Rent Roll'!$O$7+'Rent Roll'!$S$7),-'Rent Roll'!$F$7*'Rent Roll'!$T$7,0)</f>
        <v>0</v>
      </c>
      <c r="BA37" s="49">
        <f>IF(BA$4=EOMONTH(CloseDate,'Rent Roll'!$O$7+'Rent Roll'!$S$7),-'Rent Roll'!$F$7*'Rent Roll'!$T$7,0)</f>
        <v>0</v>
      </c>
      <c r="BB37" s="49">
        <f>IF(BB$4=EOMONTH(CloseDate,'Rent Roll'!$O$7+'Rent Roll'!$S$7),-'Rent Roll'!$F$7*'Rent Roll'!$T$7,0)</f>
        <v>0</v>
      </c>
      <c r="BC37" s="49">
        <f>IF(BC$4=EOMONTH(CloseDate,'Rent Roll'!$O$7+'Rent Roll'!$S$7),-'Rent Roll'!$F$7*'Rent Roll'!$T$7,0)</f>
        <v>0</v>
      </c>
      <c r="BD37" s="49">
        <f>IF(BD$4=EOMONTH(CloseDate,'Rent Roll'!$O$7+'Rent Roll'!$S$7),-'Rent Roll'!$F$7*'Rent Roll'!$T$7,0)</f>
        <v>0</v>
      </c>
      <c r="BE37" s="49">
        <f>IF(BE$4=EOMONTH(CloseDate,'Rent Roll'!$O$7+'Rent Roll'!$S$7),-'Rent Roll'!$F$7*'Rent Roll'!$T$7,0)</f>
        <v>0</v>
      </c>
      <c r="BF37" s="49">
        <f>IF(BF$4=EOMONTH(CloseDate,'Rent Roll'!$O$7+'Rent Roll'!$S$7),-'Rent Roll'!$F$7*'Rent Roll'!$T$7,0)</f>
        <v>0</v>
      </c>
      <c r="BG37" s="49">
        <f>IF(BG$4=EOMONTH(CloseDate,'Rent Roll'!$O$7+'Rent Roll'!$S$7),-'Rent Roll'!$F$7*'Rent Roll'!$T$7,0)</f>
        <v>0</v>
      </c>
      <c r="BH37" s="49">
        <f>IF(BH$4=EOMONTH(CloseDate,'Rent Roll'!$O$7+'Rent Roll'!$S$7),-'Rent Roll'!$F$7*'Rent Roll'!$T$7,0)</f>
        <v>0</v>
      </c>
      <c r="BI37" s="49">
        <f>IF(BI$4=EOMONTH(CloseDate,'Rent Roll'!$O$7+'Rent Roll'!$S$7),-'Rent Roll'!$F$7*'Rent Roll'!$T$7,0)</f>
        <v>0</v>
      </c>
      <c r="BJ37" s="49">
        <f>IF(BJ$4=EOMONTH(CloseDate,'Rent Roll'!$O$7+'Rent Roll'!$S$7),-'Rent Roll'!$F$7*'Rent Roll'!$T$7,0)</f>
        <v>0</v>
      </c>
      <c r="BK37" s="49">
        <f>IF(BK$4=EOMONTH(CloseDate,'Rent Roll'!$O$7+'Rent Roll'!$S$7),-'Rent Roll'!$F$7*'Rent Roll'!$T$7,0)</f>
        <v>0</v>
      </c>
      <c r="BL37" s="49">
        <f>IF(BL$4=EOMONTH(CloseDate,'Rent Roll'!$O$7+'Rent Roll'!$S$7),-'Rent Roll'!$F$7*'Rent Roll'!$T$7,0)</f>
        <v>0</v>
      </c>
      <c r="BM37" s="49">
        <f>IF(BM$4=EOMONTH(CloseDate,'Rent Roll'!$O$7+'Rent Roll'!$S$7),-'Rent Roll'!$F$7*'Rent Roll'!$T$7,0)</f>
        <v>0</v>
      </c>
      <c r="BN37" s="49">
        <f>IF(BN$4=EOMONTH(CloseDate,'Rent Roll'!$O$7+'Rent Roll'!$S$7),-'Rent Roll'!$F$7*'Rent Roll'!$T$7,0)</f>
        <v>0</v>
      </c>
      <c r="BO37" s="49">
        <f>IF(BO$4=EOMONTH(CloseDate,'Rent Roll'!$O$7+'Rent Roll'!$S$7),-'Rent Roll'!$F$7*'Rent Roll'!$T$7,0)</f>
        <v>0</v>
      </c>
      <c r="BP37" s="49">
        <f>IF(BP$4=EOMONTH(CloseDate,'Rent Roll'!$O$7+'Rent Roll'!$S$7),-'Rent Roll'!$F$7*'Rent Roll'!$T$7,0)</f>
        <v>0</v>
      </c>
      <c r="BQ37" s="49">
        <f>IF(BQ$4=EOMONTH(CloseDate,'Rent Roll'!$O$7+'Rent Roll'!$S$7),-'Rent Roll'!$F$7*'Rent Roll'!$T$7,0)</f>
        <v>0</v>
      </c>
      <c r="BR37" s="49">
        <f>IF(BR$4=EOMONTH(CloseDate,'Rent Roll'!$O$7+'Rent Roll'!$S$7),-'Rent Roll'!$F$7*'Rent Roll'!$T$7,0)</f>
        <v>0</v>
      </c>
      <c r="BS37" s="49">
        <f>IF(BS$4=EOMONTH(CloseDate,'Rent Roll'!$O$7+'Rent Roll'!$S$7),-'Rent Roll'!$F$7*'Rent Roll'!$T$7,0)</f>
        <v>0</v>
      </c>
      <c r="BT37" s="49">
        <f>IF(BT$4=EOMONTH(CloseDate,'Rent Roll'!$O$7+'Rent Roll'!$S$7),-'Rent Roll'!$F$7*'Rent Roll'!$T$7,0)</f>
        <v>0</v>
      </c>
      <c r="BU37" s="49">
        <f>IF(BU$4=EOMONTH(CloseDate,'Rent Roll'!$O$7+'Rent Roll'!$S$7),-'Rent Roll'!$F$7*'Rent Roll'!$T$7,0)</f>
        <v>0</v>
      </c>
      <c r="BV37" s="49">
        <f>IF(BV$4=EOMONTH(CloseDate,'Rent Roll'!$O$7+'Rent Roll'!$S$7),-'Rent Roll'!$F$7*'Rent Roll'!$T$7,0)</f>
        <v>0</v>
      </c>
      <c r="BW37" s="49">
        <f>IF(BW$4=EOMONTH(CloseDate,'Rent Roll'!$O$7+'Rent Roll'!$S$7),-'Rent Roll'!$F$7*'Rent Roll'!$T$7,0)</f>
        <v>0</v>
      </c>
      <c r="BX37" s="49">
        <f>IF(BX$4=EOMONTH(CloseDate,'Rent Roll'!$O$7+'Rent Roll'!$S$7),-'Rent Roll'!$F$7*'Rent Roll'!$T$7,0)</f>
        <v>0</v>
      </c>
    </row>
    <row r="38" spans="1:76" hidden="1" outlineLevel="1">
      <c r="B38" t="s">
        <v>87</v>
      </c>
      <c r="D38" s="49">
        <f>IF(D$4=EOMONTH(CloseDate,'Rent Roll'!$O$7+'Rent Roll'!$S$7),-'Rent Roll'!$U$7*'Rent Roll'!$F$7*'Rent Roll'!$X$7,0)</f>
        <v>0</v>
      </c>
      <c r="E38" s="49">
        <f>IF(E$4=EOMONTH(CloseDate,'Rent Roll'!$O$7+'Rent Roll'!$S$7),-'Rent Roll'!$U$7*'Rent Roll'!$F$7*'Rent Roll'!$X$7,0)</f>
        <v>0</v>
      </c>
      <c r="F38" s="49">
        <f>IF(F$4=EOMONTH(CloseDate,'Rent Roll'!$O$7+'Rent Roll'!$S$7),-'Rent Roll'!$U$7*'Rent Roll'!$F$7*'Rent Roll'!$X$7,0)</f>
        <v>0</v>
      </c>
      <c r="G38" s="49">
        <f>IF(G$4=EOMONTH(CloseDate,'Rent Roll'!$O$7+'Rent Roll'!$S$7),-'Rent Roll'!$U$7*'Rent Roll'!$F$7*'Rent Roll'!$X$7,0)</f>
        <v>0</v>
      </c>
      <c r="H38" s="49">
        <f>IF(H$4=EOMONTH(CloseDate,'Rent Roll'!$O$7+'Rent Roll'!$S$7),-'Rent Roll'!$U$7*'Rent Roll'!$F$7*'Rent Roll'!$X$7,0)</f>
        <v>0</v>
      </c>
      <c r="I38" s="49">
        <f>IF(I$4=EOMONTH(CloseDate,'Rent Roll'!$O$7+'Rent Roll'!$S$7),-'Rent Roll'!$U$7*'Rent Roll'!$F$7*'Rent Roll'!$X$7,0)</f>
        <v>0</v>
      </c>
      <c r="J38" s="49">
        <f>IF(J$4=EOMONTH(CloseDate,'Rent Roll'!$O$7+'Rent Roll'!$S$7),-'Rent Roll'!$U$7*'Rent Roll'!$F$7*'Rent Roll'!$X$7,0)</f>
        <v>0</v>
      </c>
      <c r="K38" s="49">
        <f>IF(K$4=EOMONTH(CloseDate,'Rent Roll'!$O$7+'Rent Roll'!$S$7),-'Rent Roll'!$U$7*'Rent Roll'!$F$7*'Rent Roll'!$X$7,0)</f>
        <v>0</v>
      </c>
      <c r="L38" s="49">
        <f>IF(L$4=EOMONTH(CloseDate,'Rent Roll'!$O$7+'Rent Roll'!$S$7),-'Rent Roll'!$U$7*'Rent Roll'!$F$7*'Rent Roll'!$X$7,0)</f>
        <v>0</v>
      </c>
      <c r="M38" s="49">
        <f>IF(M$4=EOMONTH(CloseDate,'Rent Roll'!$O$7+'Rent Roll'!$S$7),-'Rent Roll'!$U$7*'Rent Roll'!$F$7*'Rent Roll'!$X$7,0)</f>
        <v>0</v>
      </c>
      <c r="N38" s="49">
        <f>IF(N$4=EOMONTH(CloseDate,'Rent Roll'!$O$7+'Rent Roll'!$S$7),-'Rent Roll'!$U$7*'Rent Roll'!$F$7*'Rent Roll'!$X$7,0)</f>
        <v>0</v>
      </c>
      <c r="O38" s="49">
        <f>IF(O$4=EOMONTH(CloseDate,'Rent Roll'!$O$7+'Rent Roll'!$S$7),-'Rent Roll'!$U$7*'Rent Roll'!$F$7*'Rent Roll'!$X$7,0)</f>
        <v>0</v>
      </c>
      <c r="P38" s="49">
        <f>IF(P$4=EOMONTH(CloseDate,'Rent Roll'!$O$7+'Rent Roll'!$S$7),-'Rent Roll'!$U$7*'Rent Roll'!$F$7*'Rent Roll'!$X$7,0)</f>
        <v>0</v>
      </c>
      <c r="Q38" s="49">
        <f>IF(Q$4=EOMONTH(CloseDate,'Rent Roll'!$O$7+'Rent Roll'!$S$7),-'Rent Roll'!$U$7*'Rent Roll'!$F$7*'Rent Roll'!$X$7,0)</f>
        <v>0</v>
      </c>
      <c r="R38" s="49">
        <f>IF(R$4=EOMONTH(CloseDate,'Rent Roll'!$O$7+'Rent Roll'!$S$7),-'Rent Roll'!$U$7*'Rent Roll'!$F$7*'Rent Roll'!$X$7,0)</f>
        <v>0</v>
      </c>
      <c r="S38" s="49">
        <f>IF(S$4=EOMONTH(CloseDate,'Rent Roll'!$O$7+'Rent Roll'!$S$7),-'Rent Roll'!$U$7*'Rent Roll'!$F$7*'Rent Roll'!$X$7,0)</f>
        <v>0</v>
      </c>
      <c r="T38" s="49">
        <f>IF(T$4=EOMONTH(CloseDate,'Rent Roll'!$O$7+'Rent Roll'!$S$7),-'Rent Roll'!$U$7*'Rent Roll'!$F$7*'Rent Roll'!$X$7,0)</f>
        <v>0</v>
      </c>
      <c r="U38" s="49">
        <f>IF(U$4=EOMONTH(CloseDate,'Rent Roll'!$O$7+'Rent Roll'!$S$7),-'Rent Roll'!$U$7*'Rent Roll'!$F$7*'Rent Roll'!$X$7,0)</f>
        <v>0</v>
      </c>
      <c r="V38" s="49">
        <f>IF(V$4=EOMONTH(CloseDate,'Rent Roll'!$O$7+'Rent Roll'!$S$7),-'Rent Roll'!$U$7*'Rent Roll'!$F$7*'Rent Roll'!$X$7,0)</f>
        <v>-14802.749999999998</v>
      </c>
      <c r="W38" s="49">
        <f>IF(W$4=EOMONTH(CloseDate,'Rent Roll'!$O$7+'Rent Roll'!$S$7),-'Rent Roll'!$U$7*'Rent Roll'!$F$7*'Rent Roll'!$X$7,0)</f>
        <v>0</v>
      </c>
      <c r="X38" s="49">
        <f>IF(X$4=EOMONTH(CloseDate,'Rent Roll'!$O$7+'Rent Roll'!$S$7),-'Rent Roll'!$U$7*'Rent Roll'!$F$7*'Rent Roll'!$X$7,0)</f>
        <v>0</v>
      </c>
      <c r="Y38" s="49">
        <f>IF(Y$4=EOMONTH(CloseDate,'Rent Roll'!$O$7+'Rent Roll'!$S$7),-'Rent Roll'!$U$7*'Rent Roll'!$F$7*'Rent Roll'!$X$7,0)</f>
        <v>0</v>
      </c>
      <c r="Z38" s="49">
        <f>IF(Z$4=EOMONTH(CloseDate,'Rent Roll'!$O$7+'Rent Roll'!$S$7),-'Rent Roll'!$U$7*'Rent Roll'!$F$7*'Rent Roll'!$X$7,0)</f>
        <v>0</v>
      </c>
      <c r="AA38" s="49">
        <f>IF(AA$4=EOMONTH(CloseDate,'Rent Roll'!$O$7+'Rent Roll'!$S$7),-'Rent Roll'!$U$7*'Rent Roll'!$F$7*'Rent Roll'!$X$7,0)</f>
        <v>0</v>
      </c>
      <c r="AB38" s="49">
        <f>IF(AB$4=EOMONTH(CloseDate,'Rent Roll'!$O$7+'Rent Roll'!$S$7),-'Rent Roll'!$U$7*'Rent Roll'!$F$7*'Rent Roll'!$X$7,0)</f>
        <v>0</v>
      </c>
      <c r="AC38" s="49">
        <f>IF(AC$4=EOMONTH(CloseDate,'Rent Roll'!$O$7+'Rent Roll'!$S$7),-'Rent Roll'!$U$7*'Rent Roll'!$F$7*'Rent Roll'!$X$7,0)</f>
        <v>0</v>
      </c>
      <c r="AD38" s="49">
        <f>IF(AD$4=EOMONTH(CloseDate,'Rent Roll'!$O$7+'Rent Roll'!$S$7),-'Rent Roll'!$U$7*'Rent Roll'!$F$7*'Rent Roll'!$X$7,0)</f>
        <v>0</v>
      </c>
      <c r="AE38" s="49">
        <f>IF(AE$4=EOMONTH(CloseDate,'Rent Roll'!$O$7+'Rent Roll'!$S$7),-'Rent Roll'!$U$7*'Rent Roll'!$F$7*'Rent Roll'!$X$7,0)</f>
        <v>0</v>
      </c>
      <c r="AF38" s="49">
        <f>IF(AF$4=EOMONTH(CloseDate,'Rent Roll'!$O$7+'Rent Roll'!$S$7),-'Rent Roll'!$U$7*'Rent Roll'!$F$7*'Rent Roll'!$X$7,0)</f>
        <v>0</v>
      </c>
      <c r="AG38" s="49">
        <f>IF(AG$4=EOMONTH(CloseDate,'Rent Roll'!$O$7+'Rent Roll'!$S$7),-'Rent Roll'!$U$7*'Rent Roll'!$F$7*'Rent Roll'!$X$7,0)</f>
        <v>0</v>
      </c>
      <c r="AH38" s="49">
        <f>IF(AH$4=EOMONTH(CloseDate,'Rent Roll'!$O$7+'Rent Roll'!$S$7),-'Rent Roll'!$U$7*'Rent Roll'!$F$7*'Rent Roll'!$X$7,0)</f>
        <v>0</v>
      </c>
      <c r="AI38" s="49">
        <f>IF(AI$4=EOMONTH(CloseDate,'Rent Roll'!$O$7+'Rent Roll'!$S$7),-'Rent Roll'!$U$7*'Rent Roll'!$F$7*'Rent Roll'!$X$7,0)</f>
        <v>0</v>
      </c>
      <c r="AJ38" s="49">
        <f>IF(AJ$4=EOMONTH(CloseDate,'Rent Roll'!$O$7+'Rent Roll'!$S$7),-'Rent Roll'!$U$7*'Rent Roll'!$F$7*'Rent Roll'!$X$7,0)</f>
        <v>0</v>
      </c>
      <c r="AK38" s="49">
        <f>IF(AK$4=EOMONTH(CloseDate,'Rent Roll'!$O$7+'Rent Roll'!$S$7),-'Rent Roll'!$U$7*'Rent Roll'!$F$7*'Rent Roll'!$X$7,0)</f>
        <v>0</v>
      </c>
      <c r="AL38" s="49">
        <f>IF(AL$4=EOMONTH(CloseDate,'Rent Roll'!$O$7+'Rent Roll'!$S$7),-'Rent Roll'!$U$7*'Rent Roll'!$F$7*'Rent Roll'!$X$7,0)</f>
        <v>0</v>
      </c>
      <c r="AM38" s="49">
        <f>IF(AM$4=EOMONTH(CloseDate,'Rent Roll'!$O$7+'Rent Roll'!$S$7),-'Rent Roll'!$U$7*'Rent Roll'!$F$7*'Rent Roll'!$X$7,0)</f>
        <v>0</v>
      </c>
      <c r="AN38" s="49">
        <f>IF(AN$4=EOMONTH(CloseDate,'Rent Roll'!$O$7+'Rent Roll'!$S$7),-'Rent Roll'!$U$7*'Rent Roll'!$F$7*'Rent Roll'!$X$7,0)</f>
        <v>0</v>
      </c>
      <c r="AO38" s="49">
        <f>IF(AO$4=EOMONTH(CloseDate,'Rent Roll'!$O$7+'Rent Roll'!$S$7),-'Rent Roll'!$U$7*'Rent Roll'!$F$7*'Rent Roll'!$X$7,0)</f>
        <v>0</v>
      </c>
      <c r="AP38" s="49">
        <f>IF(AP$4=EOMONTH(CloseDate,'Rent Roll'!$O$7+'Rent Roll'!$S$7),-'Rent Roll'!$U$7*'Rent Roll'!$F$7*'Rent Roll'!$X$7,0)</f>
        <v>0</v>
      </c>
      <c r="AQ38" s="49">
        <f>IF(AQ$4=EOMONTH(CloseDate,'Rent Roll'!$O$7+'Rent Roll'!$S$7),-'Rent Roll'!$U$7*'Rent Roll'!$F$7*'Rent Roll'!$X$7,0)</f>
        <v>0</v>
      </c>
      <c r="AR38" s="49">
        <f>IF(AR$4=EOMONTH(CloseDate,'Rent Roll'!$O$7+'Rent Roll'!$S$7),-'Rent Roll'!$U$7*'Rent Roll'!$F$7*'Rent Roll'!$X$7,0)</f>
        <v>0</v>
      </c>
      <c r="AS38" s="49">
        <f>IF(AS$4=EOMONTH(CloseDate,'Rent Roll'!$O$7+'Rent Roll'!$S$7),-'Rent Roll'!$U$7*'Rent Roll'!$F$7*'Rent Roll'!$X$7,0)</f>
        <v>0</v>
      </c>
      <c r="AT38" s="49">
        <f>IF(AT$4=EOMONTH(CloseDate,'Rent Roll'!$O$7+'Rent Roll'!$S$7),-'Rent Roll'!$U$7*'Rent Roll'!$F$7*'Rent Roll'!$X$7,0)</f>
        <v>0</v>
      </c>
      <c r="AU38" s="49">
        <f>IF(AU$4=EOMONTH(CloseDate,'Rent Roll'!$O$7+'Rent Roll'!$S$7),-'Rent Roll'!$U$7*'Rent Roll'!$F$7*'Rent Roll'!$X$7,0)</f>
        <v>0</v>
      </c>
      <c r="AV38" s="49">
        <f>IF(AV$4=EOMONTH(CloseDate,'Rent Roll'!$O$7+'Rent Roll'!$S$7),-'Rent Roll'!$U$7*'Rent Roll'!$F$7*'Rent Roll'!$X$7,0)</f>
        <v>0</v>
      </c>
      <c r="AW38" s="49">
        <f>IF(AW$4=EOMONTH(CloseDate,'Rent Roll'!$O$7+'Rent Roll'!$S$7),-'Rent Roll'!$U$7*'Rent Roll'!$F$7*'Rent Roll'!$X$7,0)</f>
        <v>0</v>
      </c>
      <c r="AX38" s="49">
        <f>IF(AX$4=EOMONTH(CloseDate,'Rent Roll'!$O$7+'Rent Roll'!$S$7),-'Rent Roll'!$U$7*'Rent Roll'!$F$7*'Rent Roll'!$X$7,0)</f>
        <v>0</v>
      </c>
      <c r="AY38" s="49">
        <f>IF(AY$4=EOMONTH(CloseDate,'Rent Roll'!$O$7+'Rent Roll'!$S$7),-'Rent Roll'!$U$7*'Rent Roll'!$F$7*'Rent Roll'!$X$7,0)</f>
        <v>0</v>
      </c>
      <c r="AZ38" s="49">
        <f>IF(AZ$4=EOMONTH(CloseDate,'Rent Roll'!$O$7+'Rent Roll'!$S$7),-'Rent Roll'!$U$7*'Rent Roll'!$F$7*'Rent Roll'!$X$7,0)</f>
        <v>0</v>
      </c>
      <c r="BA38" s="49">
        <f>IF(BA$4=EOMONTH(CloseDate,'Rent Roll'!$O$7+'Rent Roll'!$S$7),-'Rent Roll'!$U$7*'Rent Roll'!$F$7*'Rent Roll'!$X$7,0)</f>
        <v>0</v>
      </c>
      <c r="BB38" s="49">
        <f>IF(BB$4=EOMONTH(CloseDate,'Rent Roll'!$O$7+'Rent Roll'!$S$7),-'Rent Roll'!$U$7*'Rent Roll'!$F$7*'Rent Roll'!$X$7,0)</f>
        <v>0</v>
      </c>
      <c r="BC38" s="49">
        <f>IF(BC$4=EOMONTH(CloseDate,'Rent Roll'!$O$7+'Rent Roll'!$S$7),-'Rent Roll'!$U$7*'Rent Roll'!$F$7*'Rent Roll'!$X$7,0)</f>
        <v>0</v>
      </c>
      <c r="BD38" s="49">
        <f>IF(BD$4=EOMONTH(CloseDate,'Rent Roll'!$O$7+'Rent Roll'!$S$7),-'Rent Roll'!$U$7*'Rent Roll'!$F$7*'Rent Roll'!$X$7,0)</f>
        <v>0</v>
      </c>
      <c r="BE38" s="49">
        <f>IF(BE$4=EOMONTH(CloseDate,'Rent Roll'!$O$7+'Rent Roll'!$S$7),-'Rent Roll'!$U$7*'Rent Roll'!$F$7*'Rent Roll'!$X$7,0)</f>
        <v>0</v>
      </c>
      <c r="BF38" s="49">
        <f>IF(BF$4=EOMONTH(CloseDate,'Rent Roll'!$O$7+'Rent Roll'!$S$7),-'Rent Roll'!$U$7*'Rent Roll'!$F$7*'Rent Roll'!$X$7,0)</f>
        <v>0</v>
      </c>
      <c r="BG38" s="49">
        <f>IF(BG$4=EOMONTH(CloseDate,'Rent Roll'!$O$7+'Rent Roll'!$S$7),-'Rent Roll'!$U$7*'Rent Roll'!$F$7*'Rent Roll'!$X$7,0)</f>
        <v>0</v>
      </c>
      <c r="BH38" s="49">
        <f>IF(BH$4=EOMONTH(CloseDate,'Rent Roll'!$O$7+'Rent Roll'!$S$7),-'Rent Roll'!$U$7*'Rent Roll'!$F$7*'Rent Roll'!$X$7,0)</f>
        <v>0</v>
      </c>
      <c r="BI38" s="49">
        <f>IF(BI$4=EOMONTH(CloseDate,'Rent Roll'!$O$7+'Rent Roll'!$S$7),-'Rent Roll'!$U$7*'Rent Roll'!$F$7*'Rent Roll'!$X$7,0)</f>
        <v>0</v>
      </c>
      <c r="BJ38" s="49">
        <f>IF(BJ$4=EOMONTH(CloseDate,'Rent Roll'!$O$7+'Rent Roll'!$S$7),-'Rent Roll'!$U$7*'Rent Roll'!$F$7*'Rent Roll'!$X$7,0)</f>
        <v>0</v>
      </c>
      <c r="BK38" s="49">
        <f>IF(BK$4=EOMONTH(CloseDate,'Rent Roll'!$O$7+'Rent Roll'!$S$7),-'Rent Roll'!$U$7*'Rent Roll'!$F$7*'Rent Roll'!$X$7,0)</f>
        <v>0</v>
      </c>
      <c r="BL38" s="49">
        <f>IF(BL$4=EOMONTH(CloseDate,'Rent Roll'!$O$7+'Rent Roll'!$S$7),-'Rent Roll'!$U$7*'Rent Roll'!$F$7*'Rent Roll'!$X$7,0)</f>
        <v>0</v>
      </c>
      <c r="BM38" s="49">
        <f>IF(BM$4=EOMONTH(CloseDate,'Rent Roll'!$O$7+'Rent Roll'!$S$7),-'Rent Roll'!$U$7*'Rent Roll'!$F$7*'Rent Roll'!$X$7,0)</f>
        <v>0</v>
      </c>
      <c r="BN38" s="49">
        <f>IF(BN$4=EOMONTH(CloseDate,'Rent Roll'!$O$7+'Rent Roll'!$S$7),-'Rent Roll'!$U$7*'Rent Roll'!$F$7*'Rent Roll'!$X$7,0)</f>
        <v>0</v>
      </c>
      <c r="BO38" s="49">
        <f>IF(BO$4=EOMONTH(CloseDate,'Rent Roll'!$O$7+'Rent Roll'!$S$7),-'Rent Roll'!$U$7*'Rent Roll'!$F$7*'Rent Roll'!$X$7,0)</f>
        <v>0</v>
      </c>
      <c r="BP38" s="49">
        <f>IF(BP$4=EOMONTH(CloseDate,'Rent Roll'!$O$7+'Rent Roll'!$S$7),-'Rent Roll'!$U$7*'Rent Roll'!$F$7*'Rent Roll'!$X$7,0)</f>
        <v>0</v>
      </c>
      <c r="BQ38" s="49">
        <f>IF(BQ$4=EOMONTH(CloseDate,'Rent Roll'!$O$7+'Rent Roll'!$S$7),-'Rent Roll'!$U$7*'Rent Roll'!$F$7*'Rent Roll'!$X$7,0)</f>
        <v>0</v>
      </c>
      <c r="BR38" s="49">
        <f>IF(BR$4=EOMONTH(CloseDate,'Rent Roll'!$O$7+'Rent Roll'!$S$7),-'Rent Roll'!$U$7*'Rent Roll'!$F$7*'Rent Roll'!$X$7,0)</f>
        <v>0</v>
      </c>
      <c r="BS38" s="49">
        <f>IF(BS$4=EOMONTH(CloseDate,'Rent Roll'!$O$7+'Rent Roll'!$S$7),-'Rent Roll'!$U$7*'Rent Roll'!$F$7*'Rent Roll'!$X$7,0)</f>
        <v>0</v>
      </c>
      <c r="BT38" s="49">
        <f>IF(BT$4=EOMONTH(CloseDate,'Rent Roll'!$O$7+'Rent Roll'!$S$7),-'Rent Roll'!$U$7*'Rent Roll'!$F$7*'Rent Roll'!$X$7,0)</f>
        <v>0</v>
      </c>
      <c r="BU38" s="49">
        <f>IF(BU$4=EOMONTH(CloseDate,'Rent Roll'!$O$7+'Rent Roll'!$S$7),-'Rent Roll'!$U$7*'Rent Roll'!$F$7*'Rent Roll'!$X$7,0)</f>
        <v>0</v>
      </c>
      <c r="BV38" s="49">
        <f>IF(BV$4=EOMONTH(CloseDate,'Rent Roll'!$O$7+'Rent Roll'!$S$7),-'Rent Roll'!$U$7*'Rent Roll'!$F$7*'Rent Roll'!$X$7,0)</f>
        <v>0</v>
      </c>
      <c r="BW38" s="49">
        <f>IF(BW$4=EOMONTH(CloseDate,'Rent Roll'!$O$7+'Rent Roll'!$S$7),-'Rent Roll'!$U$7*'Rent Roll'!$F$7*'Rent Roll'!$X$7,0)</f>
        <v>0</v>
      </c>
      <c r="BX38" s="49">
        <f>IF(BX$4=EOMONTH(CloseDate,'Rent Roll'!$O$7+'Rent Roll'!$S$7),-'Rent Roll'!$U$7*'Rent Roll'!$F$7*'Rent Roll'!$X$7,0)</f>
        <v>0</v>
      </c>
    </row>
    <row r="39" spans="1:76" hidden="1" outlineLevel="1">
      <c r="A39" s="17" t="str">
        <f>'Rent Roll'!C8</f>
        <v>Pinnacle Wealth Advisors</v>
      </c>
      <c r="B39" s="57">
        <f>INDEX('Rent Roll'!$F$5:$F$46,MATCH('Rent Roll Calc'!A39,'Rent Roll'!$C$5:$C$46,0))</f>
        <v>11000</v>
      </c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  <c r="AD39" s="49"/>
      <c r="AE39" s="49"/>
      <c r="AF39" s="49"/>
      <c r="AG39" s="49"/>
      <c r="AH39" s="49"/>
      <c r="AI39" s="49"/>
      <c r="AJ39" s="49"/>
      <c r="AK39" s="49"/>
      <c r="AL39" s="49"/>
      <c r="AM39" s="49"/>
      <c r="AN39" s="49"/>
      <c r="AO39" s="49"/>
      <c r="AP39" s="49"/>
      <c r="AQ39" s="49"/>
      <c r="AR39" s="49"/>
      <c r="AS39" s="49"/>
      <c r="AT39" s="49"/>
      <c r="AU39" s="49"/>
      <c r="AV39" s="49"/>
      <c r="AW39" s="49"/>
      <c r="AX39" s="49"/>
      <c r="AY39" s="49"/>
      <c r="AZ39" s="49"/>
      <c r="BA39" s="49"/>
      <c r="BB39" s="49"/>
      <c r="BC39" s="49"/>
      <c r="BD39" s="49"/>
      <c r="BE39" s="49"/>
      <c r="BF39" s="49"/>
      <c r="BG39" s="49"/>
      <c r="BH39" s="49"/>
      <c r="BI39" s="49"/>
      <c r="BJ39" s="49"/>
      <c r="BK39" s="49"/>
      <c r="BL39" s="49"/>
      <c r="BM39" s="49"/>
      <c r="BN39" s="49"/>
      <c r="BO39" s="49"/>
      <c r="BP39" s="49"/>
      <c r="BQ39" s="49"/>
      <c r="BR39" s="49"/>
      <c r="BS39" s="49"/>
      <c r="BT39" s="49"/>
      <c r="BU39" s="49"/>
      <c r="BV39" s="49"/>
      <c r="BW39" s="49"/>
      <c r="BX39" s="49"/>
    </row>
    <row r="40" spans="1:76" hidden="1" outlineLevel="1">
      <c r="B40" t="s">
        <v>83</v>
      </c>
      <c r="D40" s="49">
        <f>IF(AND('Rent Roll'!$N$8&lt;&gt;"Ghost",D$4&lt;='Rent Roll'!$L$8),1,0)</f>
        <v>1</v>
      </c>
      <c r="E40" s="49">
        <f>IF(AND('Rent Roll'!$N$8&lt;&gt;"Ghost",E$4&lt;='Rent Roll'!$L$8),1,0)</f>
        <v>1</v>
      </c>
      <c r="F40" s="49">
        <f>IF(AND('Rent Roll'!$N$8&lt;&gt;"Ghost",F$4&lt;='Rent Roll'!$L$8),1,0)</f>
        <v>1</v>
      </c>
      <c r="G40" s="49">
        <f>IF(AND('Rent Roll'!$N$8&lt;&gt;"Ghost",G$4&lt;='Rent Roll'!$L$8),1,0)</f>
        <v>1</v>
      </c>
      <c r="H40" s="49">
        <f>IF(AND('Rent Roll'!$N$8&lt;&gt;"Ghost",H$4&lt;='Rent Roll'!$L$8),1,0)</f>
        <v>1</v>
      </c>
      <c r="I40" s="49">
        <f>IF(AND('Rent Roll'!$N$8&lt;&gt;"Ghost",I$4&lt;='Rent Roll'!$L$8),1,0)</f>
        <v>1</v>
      </c>
      <c r="J40" s="49">
        <f>IF(AND('Rent Roll'!$N$8&lt;&gt;"Ghost",J$4&lt;='Rent Roll'!$L$8),1,0)</f>
        <v>1</v>
      </c>
      <c r="K40" s="49">
        <f>IF(AND('Rent Roll'!$N$8&lt;&gt;"Ghost",K$4&lt;='Rent Roll'!$L$8),1,0)</f>
        <v>1</v>
      </c>
      <c r="L40" s="49">
        <f>IF(AND('Rent Roll'!$N$8&lt;&gt;"Ghost",L$4&lt;='Rent Roll'!$L$8),1,0)</f>
        <v>1</v>
      </c>
      <c r="M40" s="49">
        <f>IF(AND('Rent Roll'!$N$8&lt;&gt;"Ghost",M$4&lt;='Rent Roll'!$L$8),1,0)</f>
        <v>1</v>
      </c>
      <c r="N40" s="49">
        <f>IF(AND('Rent Roll'!$N$8&lt;&gt;"Ghost",N$4&lt;='Rent Roll'!$L$8),1,0)</f>
        <v>1</v>
      </c>
      <c r="O40" s="49">
        <f>IF(AND('Rent Roll'!$N$8&lt;&gt;"Ghost",O$4&lt;='Rent Roll'!$L$8),1,0)</f>
        <v>1</v>
      </c>
      <c r="P40" s="49">
        <f>IF(AND('Rent Roll'!$N$8&lt;&gt;"Ghost",P$4&lt;='Rent Roll'!$L$8),1,0)</f>
        <v>1</v>
      </c>
      <c r="Q40" s="49">
        <f>IF(AND('Rent Roll'!$N$8&lt;&gt;"Ghost",Q$4&lt;='Rent Roll'!$L$8),1,0)</f>
        <v>1</v>
      </c>
      <c r="R40" s="49">
        <f>IF(AND('Rent Roll'!$N$8&lt;&gt;"Ghost",R$4&lt;='Rent Roll'!$L$8),1,0)</f>
        <v>1</v>
      </c>
      <c r="S40" s="49">
        <f>IF(AND('Rent Roll'!$N$8&lt;&gt;"Ghost",S$4&lt;='Rent Roll'!$L$8),1,0)</f>
        <v>1</v>
      </c>
      <c r="T40" s="49">
        <f>IF(AND('Rent Roll'!$N$8&lt;&gt;"Ghost",T$4&lt;='Rent Roll'!$L$8),1,0)</f>
        <v>1</v>
      </c>
      <c r="U40" s="49">
        <f>IF(AND('Rent Roll'!$N$8&lt;&gt;"Ghost",U$4&lt;='Rent Roll'!$L$8),1,0)</f>
        <v>1</v>
      </c>
      <c r="V40" s="49">
        <f>IF(AND('Rent Roll'!$N$8&lt;&gt;"Ghost",V$4&lt;='Rent Roll'!$L$8),1,0)</f>
        <v>1</v>
      </c>
      <c r="W40" s="49">
        <f>IF(AND('Rent Roll'!$N$8&lt;&gt;"Ghost",W$4&lt;='Rent Roll'!$L$8),1,0)</f>
        <v>1</v>
      </c>
      <c r="X40" s="49">
        <f>IF(AND('Rent Roll'!$N$8&lt;&gt;"Ghost",X$4&lt;='Rent Roll'!$L$8),1,0)</f>
        <v>1</v>
      </c>
      <c r="Y40" s="49">
        <f>IF(AND('Rent Roll'!$N$8&lt;&gt;"Ghost",Y$4&lt;='Rent Roll'!$L$8),1,0)</f>
        <v>1</v>
      </c>
      <c r="Z40" s="49">
        <f>IF(AND('Rent Roll'!$N$8&lt;&gt;"Ghost",Z$4&lt;='Rent Roll'!$L$8),1,0)</f>
        <v>1</v>
      </c>
      <c r="AA40" s="49">
        <f>IF(AND('Rent Roll'!$N$8&lt;&gt;"Ghost",AA$4&lt;='Rent Roll'!$L$8),1,0)</f>
        <v>1</v>
      </c>
      <c r="AB40" s="49">
        <f>IF(AND('Rent Roll'!$N$8&lt;&gt;"Ghost",AB$4&lt;='Rent Roll'!$L$8),1,0)</f>
        <v>1</v>
      </c>
      <c r="AC40" s="49">
        <f>IF(AND('Rent Roll'!$N$8&lt;&gt;"Ghost",AC$4&lt;='Rent Roll'!$L$8),1,0)</f>
        <v>1</v>
      </c>
      <c r="AD40" s="49">
        <f>IF(AND('Rent Roll'!$N$8&lt;&gt;"Ghost",AD$4&lt;='Rent Roll'!$L$8),1,0)</f>
        <v>1</v>
      </c>
      <c r="AE40" s="49">
        <f>IF(AND('Rent Roll'!$N$8&lt;&gt;"Ghost",AE$4&lt;='Rent Roll'!$L$8),1,0)</f>
        <v>1</v>
      </c>
      <c r="AF40" s="49">
        <f>IF(AND('Rent Roll'!$N$8&lt;&gt;"Ghost",AF$4&lt;='Rent Roll'!$L$8),1,0)</f>
        <v>1</v>
      </c>
      <c r="AG40" s="49">
        <f>IF(AND('Rent Roll'!$N$8&lt;&gt;"Ghost",AG$4&lt;='Rent Roll'!$L$8),1,0)</f>
        <v>0</v>
      </c>
      <c r="AH40" s="49">
        <f>IF(AND('Rent Roll'!$N$8&lt;&gt;"Ghost",AH$4&lt;='Rent Roll'!$L$8),1,0)</f>
        <v>0</v>
      </c>
      <c r="AI40" s="49">
        <f>IF(AND('Rent Roll'!$N$8&lt;&gt;"Ghost",AI$4&lt;='Rent Roll'!$L$8),1,0)</f>
        <v>0</v>
      </c>
      <c r="AJ40" s="49">
        <f>IF(AND('Rent Roll'!$N$8&lt;&gt;"Ghost",AJ$4&lt;='Rent Roll'!$L$8),1,0)</f>
        <v>0</v>
      </c>
      <c r="AK40" s="49">
        <f>IF(AND('Rent Roll'!$N$8&lt;&gt;"Ghost",AK$4&lt;='Rent Roll'!$L$8),1,0)</f>
        <v>0</v>
      </c>
      <c r="AL40" s="49">
        <f>IF(AND('Rent Roll'!$N$8&lt;&gt;"Ghost",AL$4&lt;='Rent Roll'!$L$8),1,0)</f>
        <v>0</v>
      </c>
      <c r="AM40" s="49">
        <f>IF(AND('Rent Roll'!$N$8&lt;&gt;"Ghost",AM$4&lt;='Rent Roll'!$L$8),1,0)</f>
        <v>0</v>
      </c>
      <c r="AN40" s="49">
        <f>IF(AND('Rent Roll'!$N$8&lt;&gt;"Ghost",AN$4&lt;='Rent Roll'!$L$8),1,0)</f>
        <v>0</v>
      </c>
      <c r="AO40" s="49">
        <f>IF(AND('Rent Roll'!$N$8&lt;&gt;"Ghost",AO$4&lt;='Rent Roll'!$L$8),1,0)</f>
        <v>0</v>
      </c>
      <c r="AP40" s="49">
        <f>IF(AND('Rent Roll'!$N$8&lt;&gt;"Ghost",AP$4&lt;='Rent Roll'!$L$8),1,0)</f>
        <v>0</v>
      </c>
      <c r="AQ40" s="49">
        <f>IF(AND('Rent Roll'!$N$8&lt;&gt;"Ghost",AQ$4&lt;='Rent Roll'!$L$8),1,0)</f>
        <v>0</v>
      </c>
      <c r="AR40" s="49">
        <f>IF(AND('Rent Roll'!$N$8&lt;&gt;"Ghost",AR$4&lt;='Rent Roll'!$L$8),1,0)</f>
        <v>0</v>
      </c>
      <c r="AS40" s="49">
        <f>IF(AND('Rent Roll'!$N$8&lt;&gt;"Ghost",AS$4&lt;='Rent Roll'!$L$8),1,0)</f>
        <v>0</v>
      </c>
      <c r="AT40" s="49">
        <f>IF(AND('Rent Roll'!$N$8&lt;&gt;"Ghost",AT$4&lt;='Rent Roll'!$L$8),1,0)</f>
        <v>0</v>
      </c>
      <c r="AU40" s="49">
        <f>IF(AND('Rent Roll'!$N$8&lt;&gt;"Ghost",AU$4&lt;='Rent Roll'!$L$8),1,0)</f>
        <v>0</v>
      </c>
      <c r="AV40" s="49">
        <f>IF(AND('Rent Roll'!$N$8&lt;&gt;"Ghost",AV$4&lt;='Rent Roll'!$L$8),1,0)</f>
        <v>0</v>
      </c>
      <c r="AW40" s="49">
        <f>IF(AND('Rent Roll'!$N$8&lt;&gt;"Ghost",AW$4&lt;='Rent Roll'!$L$8),1,0)</f>
        <v>0</v>
      </c>
      <c r="AX40" s="49">
        <f>IF(AND('Rent Roll'!$N$8&lt;&gt;"Ghost",AX$4&lt;='Rent Roll'!$L$8),1,0)</f>
        <v>0</v>
      </c>
      <c r="AY40" s="49">
        <f>IF(AND('Rent Roll'!$N$8&lt;&gt;"Ghost",AY$4&lt;='Rent Roll'!$L$8),1,0)</f>
        <v>0</v>
      </c>
      <c r="AZ40" s="49">
        <f>IF(AND('Rent Roll'!$N$8&lt;&gt;"Ghost",AZ$4&lt;='Rent Roll'!$L$8),1,0)</f>
        <v>0</v>
      </c>
      <c r="BA40" s="49">
        <f>IF(AND('Rent Roll'!$N$8&lt;&gt;"Ghost",BA$4&lt;='Rent Roll'!$L$8),1,0)</f>
        <v>0</v>
      </c>
      <c r="BB40" s="49">
        <f>IF(AND('Rent Roll'!$N$8&lt;&gt;"Ghost",BB$4&lt;='Rent Roll'!$L$8),1,0)</f>
        <v>0</v>
      </c>
      <c r="BC40" s="49">
        <f>IF(AND('Rent Roll'!$N$8&lt;&gt;"Ghost",BC$4&lt;='Rent Roll'!$L$8),1,0)</f>
        <v>0</v>
      </c>
      <c r="BD40" s="49">
        <f>IF(AND('Rent Roll'!$N$8&lt;&gt;"Ghost",BD$4&lt;='Rent Roll'!$L$8),1,0)</f>
        <v>0</v>
      </c>
      <c r="BE40" s="49">
        <f>IF(AND('Rent Roll'!$N$8&lt;&gt;"Ghost",BE$4&lt;='Rent Roll'!$L$8),1,0)</f>
        <v>0</v>
      </c>
      <c r="BF40" s="49">
        <f>IF(AND('Rent Roll'!$N$8&lt;&gt;"Ghost",BF$4&lt;='Rent Roll'!$L$8),1,0)</f>
        <v>0</v>
      </c>
      <c r="BG40" s="49">
        <f>IF(AND('Rent Roll'!$N$8&lt;&gt;"Ghost",BG$4&lt;='Rent Roll'!$L$8),1,0)</f>
        <v>0</v>
      </c>
      <c r="BH40" s="49">
        <f>IF(AND('Rent Roll'!$N$8&lt;&gt;"Ghost",BH$4&lt;='Rent Roll'!$L$8),1,0)</f>
        <v>0</v>
      </c>
      <c r="BI40" s="49">
        <f>IF(AND('Rent Roll'!$N$8&lt;&gt;"Ghost",BI$4&lt;='Rent Roll'!$L$8),1,0)</f>
        <v>0</v>
      </c>
      <c r="BJ40" s="49">
        <f>IF(AND('Rent Roll'!$N$8&lt;&gt;"Ghost",BJ$4&lt;='Rent Roll'!$L$8),1,0)</f>
        <v>0</v>
      </c>
      <c r="BK40" s="49">
        <f>IF(AND('Rent Roll'!$N$8&lt;&gt;"Ghost",BK$4&lt;='Rent Roll'!$L$8),1,0)</f>
        <v>0</v>
      </c>
      <c r="BL40" s="49">
        <f>IF(AND('Rent Roll'!$N$8&lt;&gt;"Ghost",BL$4&lt;='Rent Roll'!$L$8),1,0)</f>
        <v>0</v>
      </c>
      <c r="BM40" s="49">
        <f>IF(AND('Rent Roll'!$N$8&lt;&gt;"Ghost",BM$4&lt;='Rent Roll'!$L$8),1,0)</f>
        <v>0</v>
      </c>
      <c r="BN40" s="49">
        <f>IF(AND('Rent Roll'!$N$8&lt;&gt;"Ghost",BN$4&lt;='Rent Roll'!$L$8),1,0)</f>
        <v>0</v>
      </c>
      <c r="BO40" s="49">
        <f>IF(AND('Rent Roll'!$N$8&lt;&gt;"Ghost",BO$4&lt;='Rent Roll'!$L$8),1,0)</f>
        <v>0</v>
      </c>
      <c r="BP40" s="49">
        <f>IF(AND('Rent Roll'!$N$8&lt;&gt;"Ghost",BP$4&lt;='Rent Roll'!$L$8),1,0)</f>
        <v>0</v>
      </c>
      <c r="BQ40" s="49">
        <f>IF(AND('Rent Roll'!$N$8&lt;&gt;"Ghost",BQ$4&lt;='Rent Roll'!$L$8),1,0)</f>
        <v>0</v>
      </c>
      <c r="BR40" s="49">
        <f>IF(AND('Rent Roll'!$N$8&lt;&gt;"Ghost",BR$4&lt;='Rent Roll'!$L$8),1,0)</f>
        <v>0</v>
      </c>
      <c r="BS40" s="49">
        <f>IF(AND('Rent Roll'!$N$8&lt;&gt;"Ghost",BS$4&lt;='Rent Roll'!$L$8),1,0)</f>
        <v>0</v>
      </c>
      <c r="BT40" s="49">
        <f>IF(AND('Rent Roll'!$N$8&lt;&gt;"Ghost",BT$4&lt;='Rent Roll'!$L$8),1,0)</f>
        <v>0</v>
      </c>
      <c r="BU40" s="49">
        <f>IF(AND('Rent Roll'!$N$8&lt;&gt;"Ghost",BU$4&lt;='Rent Roll'!$L$8),1,0)</f>
        <v>0</v>
      </c>
      <c r="BV40" s="49">
        <f>IF(AND('Rent Roll'!$N$8&lt;&gt;"Ghost",BV$4&lt;='Rent Roll'!$L$8),1,0)</f>
        <v>0</v>
      </c>
      <c r="BW40" s="49">
        <f>IF(AND('Rent Roll'!$N$8&lt;&gt;"Ghost",BW$4&lt;='Rent Roll'!$L$8),1,0)</f>
        <v>0</v>
      </c>
      <c r="BX40" s="49">
        <f>IF(AND('Rent Roll'!$N$8&lt;&gt;"Ghost",BX$4&lt;='Rent Roll'!$L$8),1,0)</f>
        <v>0</v>
      </c>
    </row>
    <row r="41" spans="1:76" hidden="1" outlineLevel="1">
      <c r="B41" t="s">
        <v>159</v>
      </c>
      <c r="D41" s="49">
        <f>IF(D40=1,'Rent Roll'!$H$8/12*(1+'Rent Roll'!$I$8)^IF(D$4&lt;'Rent Roll'!$Y$8,0,YEAR(D$4)-YEAR('Rent Roll'!$Y$8)+1),0)</f>
        <v>18562.5</v>
      </c>
      <c r="E41" s="49">
        <f>IF(E40=1,'Rent Roll'!$H$8/12*(1+'Rent Roll'!$I$8)^IF(E$4&lt;'Rent Roll'!$Y$8,0,YEAR(E$4)-YEAR('Rent Roll'!$Y$8)+1),0)</f>
        <v>18562.5</v>
      </c>
      <c r="F41" s="49">
        <f>IF(F40=1,'Rent Roll'!$H$8/12*(1+'Rent Roll'!$I$8)^IF(F$4&lt;'Rent Roll'!$Y$8,0,YEAR(F$4)-YEAR('Rent Roll'!$Y$8)+1),0)</f>
        <v>18562.5</v>
      </c>
      <c r="G41" s="49">
        <f>IF(G40=1,'Rent Roll'!$H$8/12*(1+'Rent Roll'!$I$8)^IF(G$4&lt;'Rent Roll'!$Y$8,0,YEAR(G$4)-YEAR('Rent Roll'!$Y$8)+1),0)</f>
        <v>18562.5</v>
      </c>
      <c r="H41" s="49">
        <f>IF(H40=1,'Rent Roll'!$H$8/12*(1+'Rent Roll'!$I$8)^IF(H$4&lt;'Rent Roll'!$Y$8,0,YEAR(H$4)-YEAR('Rent Roll'!$Y$8)+1),0)</f>
        <v>18562.5</v>
      </c>
      <c r="I41" s="49">
        <f>IF(I40=1,'Rent Roll'!$H$8/12*(1+'Rent Roll'!$I$8)^IF(I$4&lt;'Rent Roll'!$Y$8,0,YEAR(I$4)-YEAR('Rent Roll'!$Y$8)+1),0)</f>
        <v>18933.75</v>
      </c>
      <c r="J41" s="49">
        <f>IF(J40=1,'Rent Roll'!$H$8/12*(1+'Rent Roll'!$I$8)^IF(J$4&lt;'Rent Roll'!$Y$8,0,YEAR(J$4)-YEAR('Rent Roll'!$Y$8)+1),0)</f>
        <v>18933.75</v>
      </c>
      <c r="K41" s="49">
        <f>IF(K40=1,'Rent Roll'!$H$8/12*(1+'Rent Roll'!$I$8)^IF(K$4&lt;'Rent Roll'!$Y$8,0,YEAR(K$4)-YEAR('Rent Roll'!$Y$8)+1),0)</f>
        <v>18933.75</v>
      </c>
      <c r="L41" s="49">
        <f>IF(L40=1,'Rent Roll'!$H$8/12*(1+'Rent Roll'!$I$8)^IF(L$4&lt;'Rent Roll'!$Y$8,0,YEAR(L$4)-YEAR('Rent Roll'!$Y$8)+1),0)</f>
        <v>18933.75</v>
      </c>
      <c r="M41" s="49">
        <f>IF(M40=1,'Rent Roll'!$H$8/12*(1+'Rent Roll'!$I$8)^IF(M$4&lt;'Rent Roll'!$Y$8,0,YEAR(M$4)-YEAR('Rent Roll'!$Y$8)+1),0)</f>
        <v>18933.75</v>
      </c>
      <c r="N41" s="49">
        <f>IF(N40=1,'Rent Roll'!$H$8/12*(1+'Rent Roll'!$I$8)^IF(N$4&lt;'Rent Roll'!$Y$8,0,YEAR(N$4)-YEAR('Rent Roll'!$Y$8)+1),0)</f>
        <v>18933.75</v>
      </c>
      <c r="O41" s="49">
        <f>IF(O40=1,'Rent Roll'!$H$8/12*(1+'Rent Roll'!$I$8)^IF(O$4&lt;'Rent Roll'!$Y$8,0,YEAR(O$4)-YEAR('Rent Roll'!$Y$8)+1),0)</f>
        <v>18933.75</v>
      </c>
      <c r="P41" s="49">
        <f>IF(P40=1,'Rent Roll'!$H$8/12*(1+'Rent Roll'!$I$8)^IF(P$4&lt;'Rent Roll'!$Y$8,0,YEAR(P$4)-YEAR('Rent Roll'!$Y$8)+1),0)</f>
        <v>18933.75</v>
      </c>
      <c r="Q41" s="49">
        <f>IF(Q40=1,'Rent Roll'!$H$8/12*(1+'Rent Roll'!$I$8)^IF(Q$4&lt;'Rent Roll'!$Y$8,0,YEAR(Q$4)-YEAR('Rent Roll'!$Y$8)+1),0)</f>
        <v>18933.75</v>
      </c>
      <c r="R41" s="49">
        <f>IF(R40=1,'Rent Roll'!$H$8/12*(1+'Rent Roll'!$I$8)^IF(R$4&lt;'Rent Roll'!$Y$8,0,YEAR(R$4)-YEAR('Rent Roll'!$Y$8)+1),0)</f>
        <v>18933.75</v>
      </c>
      <c r="S41" s="49">
        <f>IF(S40=1,'Rent Roll'!$H$8/12*(1+'Rent Roll'!$I$8)^IF(S$4&lt;'Rent Roll'!$Y$8,0,YEAR(S$4)-YEAR('Rent Roll'!$Y$8)+1),0)</f>
        <v>18933.75</v>
      </c>
      <c r="T41" s="49">
        <f>IF(T40=1,'Rent Roll'!$H$8/12*(1+'Rent Roll'!$I$8)^IF(T$4&lt;'Rent Roll'!$Y$8,0,YEAR(T$4)-YEAR('Rent Roll'!$Y$8)+1),0)</f>
        <v>18933.75</v>
      </c>
      <c r="U41" s="49">
        <f>IF(U40=1,'Rent Roll'!$H$8/12*(1+'Rent Roll'!$I$8)^IF(U$4&lt;'Rent Roll'!$Y$8,0,YEAR(U$4)-YEAR('Rent Roll'!$Y$8)+1),0)</f>
        <v>19312.424999999999</v>
      </c>
      <c r="V41" s="49">
        <f>IF(V40=1,'Rent Roll'!$H$8/12*(1+'Rent Roll'!$I$8)^IF(V$4&lt;'Rent Roll'!$Y$8,0,YEAR(V$4)-YEAR('Rent Roll'!$Y$8)+1),0)</f>
        <v>19312.424999999999</v>
      </c>
      <c r="W41" s="49">
        <f>IF(W40=1,'Rent Roll'!$H$8/12*(1+'Rent Roll'!$I$8)^IF(W$4&lt;'Rent Roll'!$Y$8,0,YEAR(W$4)-YEAR('Rent Roll'!$Y$8)+1),0)</f>
        <v>19312.424999999999</v>
      </c>
      <c r="X41" s="49">
        <f>IF(X40=1,'Rent Roll'!$H$8/12*(1+'Rent Roll'!$I$8)^IF(X$4&lt;'Rent Roll'!$Y$8,0,YEAR(X$4)-YEAR('Rent Roll'!$Y$8)+1),0)</f>
        <v>19312.424999999999</v>
      </c>
      <c r="Y41" s="49">
        <f>IF(Y40=1,'Rent Roll'!$H$8/12*(1+'Rent Roll'!$I$8)^IF(Y$4&lt;'Rent Roll'!$Y$8,0,YEAR(Y$4)-YEAR('Rent Roll'!$Y$8)+1),0)</f>
        <v>19312.424999999999</v>
      </c>
      <c r="Z41" s="49">
        <f>IF(Z40=1,'Rent Roll'!$H$8/12*(1+'Rent Roll'!$I$8)^IF(Z$4&lt;'Rent Roll'!$Y$8,0,YEAR(Z$4)-YEAR('Rent Roll'!$Y$8)+1),0)</f>
        <v>19312.424999999999</v>
      </c>
      <c r="AA41" s="49">
        <f>IF(AA40=1,'Rent Roll'!$H$8/12*(1+'Rent Roll'!$I$8)^IF(AA$4&lt;'Rent Roll'!$Y$8,0,YEAR(AA$4)-YEAR('Rent Roll'!$Y$8)+1),0)</f>
        <v>19312.424999999999</v>
      </c>
      <c r="AB41" s="49">
        <f>IF(AB40=1,'Rent Roll'!$H$8/12*(1+'Rent Roll'!$I$8)^IF(AB$4&lt;'Rent Roll'!$Y$8,0,YEAR(AB$4)-YEAR('Rent Roll'!$Y$8)+1),0)</f>
        <v>19312.424999999999</v>
      </c>
      <c r="AC41" s="49">
        <f>IF(AC40=1,'Rent Roll'!$H$8/12*(1+'Rent Roll'!$I$8)^IF(AC$4&lt;'Rent Roll'!$Y$8,0,YEAR(AC$4)-YEAR('Rent Roll'!$Y$8)+1),0)</f>
        <v>19312.424999999999</v>
      </c>
      <c r="AD41" s="49">
        <f>IF(AD40=1,'Rent Roll'!$H$8/12*(1+'Rent Roll'!$I$8)^IF(AD$4&lt;'Rent Roll'!$Y$8,0,YEAR(AD$4)-YEAR('Rent Roll'!$Y$8)+1),0)</f>
        <v>19312.424999999999</v>
      </c>
      <c r="AE41" s="49">
        <f>IF(AE40=1,'Rent Roll'!$H$8/12*(1+'Rent Roll'!$I$8)^IF(AE$4&lt;'Rent Roll'!$Y$8,0,YEAR(AE$4)-YEAR('Rent Roll'!$Y$8)+1),0)</f>
        <v>19312.424999999999</v>
      </c>
      <c r="AF41" s="49">
        <f>IF(AF40=1,'Rent Roll'!$H$8/12*(1+'Rent Roll'!$I$8)^IF(AF$4&lt;'Rent Roll'!$Y$8,0,YEAR(AF$4)-YEAR('Rent Roll'!$Y$8)+1),0)</f>
        <v>19312.424999999999</v>
      </c>
      <c r="AG41" s="49">
        <f>IF(AG40=1,'Rent Roll'!$H$8/12*(1+'Rent Roll'!$I$8)^IF(AG$4&lt;'Rent Roll'!$Y$8,0,YEAR(AG$4)-YEAR('Rent Roll'!$Y$8)+1),0)</f>
        <v>0</v>
      </c>
      <c r="AH41" s="49">
        <f>IF(AH40=1,'Rent Roll'!$H$8/12*(1+'Rent Roll'!$I$8)^IF(AH$4&lt;'Rent Roll'!$Y$8,0,YEAR(AH$4)-YEAR('Rent Roll'!$Y$8)+1),0)</f>
        <v>0</v>
      </c>
      <c r="AI41" s="49">
        <f>IF(AI40=1,'Rent Roll'!$H$8/12*(1+'Rent Roll'!$I$8)^IF(AI$4&lt;'Rent Roll'!$Y$8,0,YEAR(AI$4)-YEAR('Rent Roll'!$Y$8)+1),0)</f>
        <v>0</v>
      </c>
      <c r="AJ41" s="49">
        <f>IF(AJ40=1,'Rent Roll'!$H$8/12*(1+'Rent Roll'!$I$8)^IF(AJ$4&lt;'Rent Roll'!$Y$8,0,YEAR(AJ$4)-YEAR('Rent Roll'!$Y$8)+1),0)</f>
        <v>0</v>
      </c>
      <c r="AK41" s="49">
        <f>IF(AK40=1,'Rent Roll'!$H$8/12*(1+'Rent Roll'!$I$8)^IF(AK$4&lt;'Rent Roll'!$Y$8,0,YEAR(AK$4)-YEAR('Rent Roll'!$Y$8)+1),0)</f>
        <v>0</v>
      </c>
      <c r="AL41" s="49">
        <f>IF(AL40=1,'Rent Roll'!$H$8/12*(1+'Rent Roll'!$I$8)^IF(AL$4&lt;'Rent Roll'!$Y$8,0,YEAR(AL$4)-YEAR('Rent Roll'!$Y$8)+1),0)</f>
        <v>0</v>
      </c>
      <c r="AM41" s="49">
        <f>IF(AM40=1,'Rent Roll'!$H$8/12*(1+'Rent Roll'!$I$8)^IF(AM$4&lt;'Rent Roll'!$Y$8,0,YEAR(AM$4)-YEAR('Rent Roll'!$Y$8)+1),0)</f>
        <v>0</v>
      </c>
      <c r="AN41" s="49">
        <f>IF(AN40=1,'Rent Roll'!$H$8/12*(1+'Rent Roll'!$I$8)^IF(AN$4&lt;'Rent Roll'!$Y$8,0,YEAR(AN$4)-YEAR('Rent Roll'!$Y$8)+1),0)</f>
        <v>0</v>
      </c>
      <c r="AO41" s="49">
        <f>IF(AO40=1,'Rent Roll'!$H$8/12*(1+'Rent Roll'!$I$8)^IF(AO$4&lt;'Rent Roll'!$Y$8,0,YEAR(AO$4)-YEAR('Rent Roll'!$Y$8)+1),0)</f>
        <v>0</v>
      </c>
      <c r="AP41" s="49">
        <f>IF(AP40=1,'Rent Roll'!$H$8/12*(1+'Rent Roll'!$I$8)^IF(AP$4&lt;'Rent Roll'!$Y$8,0,YEAR(AP$4)-YEAR('Rent Roll'!$Y$8)+1),0)</f>
        <v>0</v>
      </c>
      <c r="AQ41" s="49">
        <f>IF(AQ40=1,'Rent Roll'!$H$8/12*(1+'Rent Roll'!$I$8)^IF(AQ$4&lt;'Rent Roll'!$Y$8,0,YEAR(AQ$4)-YEAR('Rent Roll'!$Y$8)+1),0)</f>
        <v>0</v>
      </c>
      <c r="AR41" s="49">
        <f>IF(AR40=1,'Rent Roll'!$H$8/12*(1+'Rent Roll'!$I$8)^IF(AR$4&lt;'Rent Roll'!$Y$8,0,YEAR(AR$4)-YEAR('Rent Roll'!$Y$8)+1),0)</f>
        <v>0</v>
      </c>
      <c r="AS41" s="49">
        <f>IF(AS40=1,'Rent Roll'!$H$8/12*(1+'Rent Roll'!$I$8)^IF(AS$4&lt;'Rent Roll'!$Y$8,0,YEAR(AS$4)-YEAR('Rent Roll'!$Y$8)+1),0)</f>
        <v>0</v>
      </c>
      <c r="AT41" s="49">
        <f>IF(AT40=1,'Rent Roll'!$H$8/12*(1+'Rent Roll'!$I$8)^IF(AT$4&lt;'Rent Roll'!$Y$8,0,YEAR(AT$4)-YEAR('Rent Roll'!$Y$8)+1),0)</f>
        <v>0</v>
      </c>
      <c r="AU41" s="49">
        <f>IF(AU40=1,'Rent Roll'!$H$8/12*(1+'Rent Roll'!$I$8)^IF(AU$4&lt;'Rent Roll'!$Y$8,0,YEAR(AU$4)-YEAR('Rent Roll'!$Y$8)+1),0)</f>
        <v>0</v>
      </c>
      <c r="AV41" s="49">
        <f>IF(AV40=1,'Rent Roll'!$H$8/12*(1+'Rent Roll'!$I$8)^IF(AV$4&lt;'Rent Roll'!$Y$8,0,YEAR(AV$4)-YEAR('Rent Roll'!$Y$8)+1),0)</f>
        <v>0</v>
      </c>
      <c r="AW41" s="49">
        <f>IF(AW40=1,'Rent Roll'!$H$8/12*(1+'Rent Roll'!$I$8)^IF(AW$4&lt;'Rent Roll'!$Y$8,0,YEAR(AW$4)-YEAR('Rent Roll'!$Y$8)+1),0)</f>
        <v>0</v>
      </c>
      <c r="AX41" s="49">
        <f>IF(AX40=1,'Rent Roll'!$H$8/12*(1+'Rent Roll'!$I$8)^IF(AX$4&lt;'Rent Roll'!$Y$8,0,YEAR(AX$4)-YEAR('Rent Roll'!$Y$8)+1),0)</f>
        <v>0</v>
      </c>
      <c r="AY41" s="49">
        <f>IF(AY40=1,'Rent Roll'!$H$8/12*(1+'Rent Roll'!$I$8)^IF(AY$4&lt;'Rent Roll'!$Y$8,0,YEAR(AY$4)-YEAR('Rent Roll'!$Y$8)+1),0)</f>
        <v>0</v>
      </c>
      <c r="AZ41" s="49">
        <f>IF(AZ40=1,'Rent Roll'!$H$8/12*(1+'Rent Roll'!$I$8)^IF(AZ$4&lt;'Rent Roll'!$Y$8,0,YEAR(AZ$4)-YEAR('Rent Roll'!$Y$8)+1),0)</f>
        <v>0</v>
      </c>
      <c r="BA41" s="49">
        <f>IF(BA40=1,'Rent Roll'!$H$8/12*(1+'Rent Roll'!$I$8)^IF(BA$4&lt;'Rent Roll'!$Y$8,0,YEAR(BA$4)-YEAR('Rent Roll'!$Y$8)+1),0)</f>
        <v>0</v>
      </c>
      <c r="BB41" s="49">
        <f>IF(BB40=1,'Rent Roll'!$H$8/12*(1+'Rent Roll'!$I$8)^IF(BB$4&lt;'Rent Roll'!$Y$8,0,YEAR(BB$4)-YEAR('Rent Roll'!$Y$8)+1),0)</f>
        <v>0</v>
      </c>
      <c r="BC41" s="49">
        <f>IF(BC40=1,'Rent Roll'!$H$8/12*(1+'Rent Roll'!$I$8)^IF(BC$4&lt;'Rent Roll'!$Y$8,0,YEAR(BC$4)-YEAR('Rent Roll'!$Y$8)+1),0)</f>
        <v>0</v>
      </c>
      <c r="BD41" s="49">
        <f>IF(BD40=1,'Rent Roll'!$H$8/12*(1+'Rent Roll'!$I$8)^IF(BD$4&lt;'Rent Roll'!$Y$8,0,YEAR(BD$4)-YEAR('Rent Roll'!$Y$8)+1),0)</f>
        <v>0</v>
      </c>
      <c r="BE41" s="49">
        <f>IF(BE40=1,'Rent Roll'!$H$8/12*(1+'Rent Roll'!$I$8)^IF(BE$4&lt;'Rent Roll'!$Y$8,0,YEAR(BE$4)-YEAR('Rent Roll'!$Y$8)+1),0)</f>
        <v>0</v>
      </c>
      <c r="BF41" s="49">
        <f>IF(BF40=1,'Rent Roll'!$H$8/12*(1+'Rent Roll'!$I$8)^IF(BF$4&lt;'Rent Roll'!$Y$8,0,YEAR(BF$4)-YEAR('Rent Roll'!$Y$8)+1),0)</f>
        <v>0</v>
      </c>
      <c r="BG41" s="49">
        <f>IF(BG40=1,'Rent Roll'!$H$8/12*(1+'Rent Roll'!$I$8)^IF(BG$4&lt;'Rent Roll'!$Y$8,0,YEAR(BG$4)-YEAR('Rent Roll'!$Y$8)+1),0)</f>
        <v>0</v>
      </c>
      <c r="BH41" s="49">
        <f>IF(BH40=1,'Rent Roll'!$H$8/12*(1+'Rent Roll'!$I$8)^IF(BH$4&lt;'Rent Roll'!$Y$8,0,YEAR(BH$4)-YEAR('Rent Roll'!$Y$8)+1),0)</f>
        <v>0</v>
      </c>
      <c r="BI41" s="49">
        <f>IF(BI40=1,'Rent Roll'!$H$8/12*(1+'Rent Roll'!$I$8)^IF(BI$4&lt;'Rent Roll'!$Y$8,0,YEAR(BI$4)-YEAR('Rent Roll'!$Y$8)+1),0)</f>
        <v>0</v>
      </c>
      <c r="BJ41" s="49">
        <f>IF(BJ40=1,'Rent Roll'!$H$8/12*(1+'Rent Roll'!$I$8)^IF(BJ$4&lt;'Rent Roll'!$Y$8,0,YEAR(BJ$4)-YEAR('Rent Roll'!$Y$8)+1),0)</f>
        <v>0</v>
      </c>
      <c r="BK41" s="49">
        <f>IF(BK40=1,'Rent Roll'!$H$8/12*(1+'Rent Roll'!$I$8)^IF(BK$4&lt;'Rent Roll'!$Y$8,0,YEAR(BK$4)-YEAR('Rent Roll'!$Y$8)+1),0)</f>
        <v>0</v>
      </c>
      <c r="BL41" s="49">
        <f>IF(BL40=1,'Rent Roll'!$H$8/12*(1+'Rent Roll'!$I$8)^IF(BL$4&lt;'Rent Roll'!$Y$8,0,YEAR(BL$4)-YEAR('Rent Roll'!$Y$8)+1),0)</f>
        <v>0</v>
      </c>
      <c r="BM41" s="49">
        <f>IF(BM40=1,'Rent Roll'!$H$8/12*(1+'Rent Roll'!$I$8)^IF(BM$4&lt;'Rent Roll'!$Y$8,0,YEAR(BM$4)-YEAR('Rent Roll'!$Y$8)+1),0)</f>
        <v>0</v>
      </c>
      <c r="BN41" s="49">
        <f>IF(BN40=1,'Rent Roll'!$H$8/12*(1+'Rent Roll'!$I$8)^IF(BN$4&lt;'Rent Roll'!$Y$8,0,YEAR(BN$4)-YEAR('Rent Roll'!$Y$8)+1),0)</f>
        <v>0</v>
      </c>
      <c r="BO41" s="49">
        <f>IF(BO40=1,'Rent Roll'!$H$8/12*(1+'Rent Roll'!$I$8)^IF(BO$4&lt;'Rent Roll'!$Y$8,0,YEAR(BO$4)-YEAR('Rent Roll'!$Y$8)+1),0)</f>
        <v>0</v>
      </c>
      <c r="BP41" s="49">
        <f>IF(BP40=1,'Rent Roll'!$H$8/12*(1+'Rent Roll'!$I$8)^IF(BP$4&lt;'Rent Roll'!$Y$8,0,YEAR(BP$4)-YEAR('Rent Roll'!$Y$8)+1),0)</f>
        <v>0</v>
      </c>
      <c r="BQ41" s="49">
        <f>IF(BQ40=1,'Rent Roll'!$H$8/12*(1+'Rent Roll'!$I$8)^IF(BQ$4&lt;'Rent Roll'!$Y$8,0,YEAR(BQ$4)-YEAR('Rent Roll'!$Y$8)+1),0)</f>
        <v>0</v>
      </c>
      <c r="BR41" s="49">
        <f>IF(BR40=1,'Rent Roll'!$H$8/12*(1+'Rent Roll'!$I$8)^IF(BR$4&lt;'Rent Roll'!$Y$8,0,YEAR(BR$4)-YEAR('Rent Roll'!$Y$8)+1),0)</f>
        <v>0</v>
      </c>
      <c r="BS41" s="49">
        <f>IF(BS40=1,'Rent Roll'!$H$8/12*(1+'Rent Roll'!$I$8)^IF(BS$4&lt;'Rent Roll'!$Y$8,0,YEAR(BS$4)-YEAR('Rent Roll'!$Y$8)+1),0)</f>
        <v>0</v>
      </c>
      <c r="BT41" s="49">
        <f>IF(BT40=1,'Rent Roll'!$H$8/12*(1+'Rent Roll'!$I$8)^IF(BT$4&lt;'Rent Roll'!$Y$8,0,YEAR(BT$4)-YEAR('Rent Roll'!$Y$8)+1),0)</f>
        <v>0</v>
      </c>
      <c r="BU41" s="49">
        <f>IF(BU40=1,'Rent Roll'!$H$8/12*(1+'Rent Roll'!$I$8)^IF(BU$4&lt;'Rent Roll'!$Y$8,0,YEAR(BU$4)-YEAR('Rent Roll'!$Y$8)+1),0)</f>
        <v>0</v>
      </c>
      <c r="BV41" s="49">
        <f>IF(BV40=1,'Rent Roll'!$H$8/12*(1+'Rent Roll'!$I$8)^IF(BV$4&lt;'Rent Roll'!$Y$8,0,YEAR(BV$4)-YEAR('Rent Roll'!$Y$8)+1),0)</f>
        <v>0</v>
      </c>
      <c r="BW41" s="49">
        <f>IF(BW40=1,'Rent Roll'!$H$8/12*(1+'Rent Roll'!$I$8)^IF(BW$4&lt;'Rent Roll'!$Y$8,0,YEAR(BW$4)-YEAR('Rent Roll'!$Y$8)+1),0)</f>
        <v>0</v>
      </c>
      <c r="BX41" s="49">
        <f>IF(BX40=1,'Rent Roll'!$H$8/12*(1+'Rent Roll'!$I$8)^IF(BX$4&lt;'Rent Roll'!$Y$8,0,YEAR(BX$4)-YEAR('Rent Roll'!$Y$8)+1),0)</f>
        <v>0</v>
      </c>
    </row>
    <row r="42" spans="1:76" hidden="1" outlineLevel="1">
      <c r="B42" t="s">
        <v>160</v>
      </c>
      <c r="D42" s="49">
        <f>IF(D$4&gt;EOMONTH(CloseDate,'Rent Roll'!$O$8+'Rent Roll'!$S$8-1),1,0)</f>
        <v>0</v>
      </c>
      <c r="E42" s="49">
        <f>IF(E$4&gt;EOMONTH(CloseDate,'Rent Roll'!$O$8+'Rent Roll'!$S$8-1),1,0)</f>
        <v>0</v>
      </c>
      <c r="F42" s="49">
        <f>IF(F$4&gt;EOMONTH(CloseDate,'Rent Roll'!$O$8+'Rent Roll'!$S$8-1),1,0)</f>
        <v>0</v>
      </c>
      <c r="G42" s="49">
        <f>IF(G$4&gt;EOMONTH(CloseDate,'Rent Roll'!$O$8+'Rent Roll'!$S$8-1),1,0)</f>
        <v>0</v>
      </c>
      <c r="H42" s="49">
        <f>IF(H$4&gt;EOMONTH(CloseDate,'Rent Roll'!$O$8+'Rent Roll'!$S$8-1),1,0)</f>
        <v>0</v>
      </c>
      <c r="I42" s="49">
        <f>IF(I$4&gt;EOMONTH(CloseDate,'Rent Roll'!$O$8+'Rent Roll'!$S$8-1),1,0)</f>
        <v>0</v>
      </c>
      <c r="J42" s="49">
        <f>IF(J$4&gt;EOMONTH(CloseDate,'Rent Roll'!$O$8+'Rent Roll'!$S$8-1),1,0)</f>
        <v>0</v>
      </c>
      <c r="K42" s="49">
        <f>IF(K$4&gt;EOMONTH(CloseDate,'Rent Roll'!$O$8+'Rent Roll'!$S$8-1),1,0)</f>
        <v>0</v>
      </c>
      <c r="L42" s="49">
        <f>IF(L$4&gt;EOMONTH(CloseDate,'Rent Roll'!$O$8+'Rent Roll'!$S$8-1),1,0)</f>
        <v>0</v>
      </c>
      <c r="M42" s="49">
        <f>IF(M$4&gt;EOMONTH(CloseDate,'Rent Roll'!$O$8+'Rent Roll'!$S$8-1),1,0)</f>
        <v>0</v>
      </c>
      <c r="N42" s="49">
        <f>IF(N$4&gt;EOMONTH(CloseDate,'Rent Roll'!$O$8+'Rent Roll'!$S$8-1),1,0)</f>
        <v>0</v>
      </c>
      <c r="O42" s="49">
        <f>IF(O$4&gt;EOMONTH(CloseDate,'Rent Roll'!$O$8+'Rent Roll'!$S$8-1),1,0)</f>
        <v>0</v>
      </c>
      <c r="P42" s="49">
        <f>IF(P$4&gt;EOMONTH(CloseDate,'Rent Roll'!$O$8+'Rent Roll'!$S$8-1),1,0)</f>
        <v>0</v>
      </c>
      <c r="Q42" s="49">
        <f>IF(Q$4&gt;EOMONTH(CloseDate,'Rent Roll'!$O$8+'Rent Roll'!$S$8-1),1,0)</f>
        <v>0</v>
      </c>
      <c r="R42" s="49">
        <f>IF(R$4&gt;EOMONTH(CloseDate,'Rent Roll'!$O$8+'Rent Roll'!$S$8-1),1,0)</f>
        <v>0</v>
      </c>
      <c r="S42" s="49">
        <f>IF(S$4&gt;EOMONTH(CloseDate,'Rent Roll'!$O$8+'Rent Roll'!$S$8-1),1,0)</f>
        <v>0</v>
      </c>
      <c r="T42" s="49">
        <f>IF(T$4&gt;EOMONTH(CloseDate,'Rent Roll'!$O$8+'Rent Roll'!$S$8-1),1,0)</f>
        <v>0</v>
      </c>
      <c r="U42" s="49">
        <f>IF(U$4&gt;EOMONTH(CloseDate,'Rent Roll'!$O$8+'Rent Roll'!$S$8-1),1,0)</f>
        <v>0</v>
      </c>
      <c r="V42" s="49">
        <f>IF(V$4&gt;EOMONTH(CloseDate,'Rent Roll'!$O$8+'Rent Roll'!$S$8-1),1,0)</f>
        <v>0</v>
      </c>
      <c r="W42" s="49">
        <f>IF(W$4&gt;EOMONTH(CloseDate,'Rent Roll'!$O$8+'Rent Roll'!$S$8-1),1,0)</f>
        <v>0</v>
      </c>
      <c r="X42" s="49">
        <f>IF(X$4&gt;EOMONTH(CloseDate,'Rent Roll'!$O$8+'Rent Roll'!$S$8-1),1,0)</f>
        <v>0</v>
      </c>
      <c r="Y42" s="49">
        <f>IF(Y$4&gt;EOMONTH(CloseDate,'Rent Roll'!$O$8+'Rent Roll'!$S$8-1),1,0)</f>
        <v>0</v>
      </c>
      <c r="Z42" s="49">
        <f>IF(Z$4&gt;EOMONTH(CloseDate,'Rent Roll'!$O$8+'Rent Roll'!$S$8-1),1,0)</f>
        <v>0</v>
      </c>
      <c r="AA42" s="49">
        <f>IF(AA$4&gt;EOMONTH(CloseDate,'Rent Roll'!$O$8+'Rent Roll'!$S$8-1),1,0)</f>
        <v>0</v>
      </c>
      <c r="AB42" s="49">
        <f>IF(AB$4&gt;EOMONTH(CloseDate,'Rent Roll'!$O$8+'Rent Roll'!$S$8-1),1,0)</f>
        <v>0</v>
      </c>
      <c r="AC42" s="49">
        <f>IF(AC$4&gt;EOMONTH(CloseDate,'Rent Roll'!$O$8+'Rent Roll'!$S$8-1),1,0)</f>
        <v>0</v>
      </c>
      <c r="AD42" s="49">
        <f>IF(AD$4&gt;EOMONTH(CloseDate,'Rent Roll'!$O$8+'Rent Roll'!$S$8-1),1,0)</f>
        <v>0</v>
      </c>
      <c r="AE42" s="49">
        <f>IF(AE$4&gt;EOMONTH(CloseDate,'Rent Roll'!$O$8+'Rent Roll'!$S$8-1),1,0)</f>
        <v>0</v>
      </c>
      <c r="AF42" s="49">
        <f>IF(AF$4&gt;EOMONTH(CloseDate,'Rent Roll'!$O$8+'Rent Roll'!$S$8-1),1,0)</f>
        <v>0</v>
      </c>
      <c r="AG42" s="49">
        <f>IF(AG$4&gt;EOMONTH(CloseDate,'Rent Roll'!$O$8+'Rent Roll'!$S$8-1),1,0)</f>
        <v>0</v>
      </c>
      <c r="AH42" s="49">
        <f>IF(AH$4&gt;EOMONTH(CloseDate,'Rent Roll'!$O$8+'Rent Roll'!$S$8-1),1,0)</f>
        <v>0</v>
      </c>
      <c r="AI42" s="49">
        <f>IF(AI$4&gt;EOMONTH(CloseDate,'Rent Roll'!$O$8+'Rent Roll'!$S$8-1),1,0)</f>
        <v>0</v>
      </c>
      <c r="AJ42" s="49">
        <f>IF(AJ$4&gt;EOMONTH(CloseDate,'Rent Roll'!$O$8+'Rent Roll'!$S$8-1),1,0)</f>
        <v>0</v>
      </c>
      <c r="AK42" s="49">
        <f>IF(AK$4&gt;EOMONTH(CloseDate,'Rent Roll'!$O$8+'Rent Roll'!$S$8-1),1,0)</f>
        <v>0</v>
      </c>
      <c r="AL42" s="49">
        <f>IF(AL$4&gt;EOMONTH(CloseDate,'Rent Roll'!$O$8+'Rent Roll'!$S$8-1),1,0)</f>
        <v>1</v>
      </c>
      <c r="AM42" s="49">
        <f>IF(AM$4&gt;EOMONTH(CloseDate,'Rent Roll'!$O$8+'Rent Roll'!$S$8-1),1,0)</f>
        <v>1</v>
      </c>
      <c r="AN42" s="49">
        <f>IF(AN$4&gt;EOMONTH(CloseDate,'Rent Roll'!$O$8+'Rent Roll'!$S$8-1),1,0)</f>
        <v>1</v>
      </c>
      <c r="AO42" s="49">
        <f>IF(AO$4&gt;EOMONTH(CloseDate,'Rent Roll'!$O$8+'Rent Roll'!$S$8-1),1,0)</f>
        <v>1</v>
      </c>
      <c r="AP42" s="49">
        <f>IF(AP$4&gt;EOMONTH(CloseDate,'Rent Roll'!$O$8+'Rent Roll'!$S$8-1),1,0)</f>
        <v>1</v>
      </c>
      <c r="AQ42" s="49">
        <f>IF(AQ$4&gt;EOMONTH(CloseDate,'Rent Roll'!$O$8+'Rent Roll'!$S$8-1),1,0)</f>
        <v>1</v>
      </c>
      <c r="AR42" s="49">
        <f>IF(AR$4&gt;EOMONTH(CloseDate,'Rent Roll'!$O$8+'Rent Roll'!$S$8-1),1,0)</f>
        <v>1</v>
      </c>
      <c r="AS42" s="49">
        <f>IF(AS$4&gt;EOMONTH(CloseDate,'Rent Roll'!$O$8+'Rent Roll'!$S$8-1),1,0)</f>
        <v>1</v>
      </c>
      <c r="AT42" s="49">
        <f>IF(AT$4&gt;EOMONTH(CloseDate,'Rent Roll'!$O$8+'Rent Roll'!$S$8-1),1,0)</f>
        <v>1</v>
      </c>
      <c r="AU42" s="49">
        <f>IF(AU$4&gt;EOMONTH(CloseDate,'Rent Roll'!$O$8+'Rent Roll'!$S$8-1),1,0)</f>
        <v>1</v>
      </c>
      <c r="AV42" s="49">
        <f>IF(AV$4&gt;EOMONTH(CloseDate,'Rent Roll'!$O$8+'Rent Roll'!$S$8-1),1,0)</f>
        <v>1</v>
      </c>
      <c r="AW42" s="49">
        <f>IF(AW$4&gt;EOMONTH(CloseDate,'Rent Roll'!$O$8+'Rent Roll'!$S$8-1),1,0)</f>
        <v>1</v>
      </c>
      <c r="AX42" s="49">
        <f>IF(AX$4&gt;EOMONTH(CloseDate,'Rent Roll'!$O$8+'Rent Roll'!$S$8-1),1,0)</f>
        <v>1</v>
      </c>
      <c r="AY42" s="49">
        <f>IF(AY$4&gt;EOMONTH(CloseDate,'Rent Roll'!$O$8+'Rent Roll'!$S$8-1),1,0)</f>
        <v>1</v>
      </c>
      <c r="AZ42" s="49">
        <f>IF(AZ$4&gt;EOMONTH(CloseDate,'Rent Roll'!$O$8+'Rent Roll'!$S$8-1),1,0)</f>
        <v>1</v>
      </c>
      <c r="BA42" s="49">
        <f>IF(BA$4&gt;EOMONTH(CloseDate,'Rent Roll'!$O$8+'Rent Roll'!$S$8-1),1,0)</f>
        <v>1</v>
      </c>
      <c r="BB42" s="49">
        <f>IF(BB$4&gt;EOMONTH(CloseDate,'Rent Roll'!$O$8+'Rent Roll'!$S$8-1),1,0)</f>
        <v>1</v>
      </c>
      <c r="BC42" s="49">
        <f>IF(BC$4&gt;EOMONTH(CloseDate,'Rent Roll'!$O$8+'Rent Roll'!$S$8-1),1,0)</f>
        <v>1</v>
      </c>
      <c r="BD42" s="49">
        <f>IF(BD$4&gt;EOMONTH(CloseDate,'Rent Roll'!$O$8+'Rent Roll'!$S$8-1),1,0)</f>
        <v>1</v>
      </c>
      <c r="BE42" s="49">
        <f>IF(BE$4&gt;EOMONTH(CloseDate,'Rent Roll'!$O$8+'Rent Roll'!$S$8-1),1,0)</f>
        <v>1</v>
      </c>
      <c r="BF42" s="49">
        <f>IF(BF$4&gt;EOMONTH(CloseDate,'Rent Roll'!$O$8+'Rent Roll'!$S$8-1),1,0)</f>
        <v>1</v>
      </c>
      <c r="BG42" s="49">
        <f>IF(BG$4&gt;EOMONTH(CloseDate,'Rent Roll'!$O$8+'Rent Roll'!$S$8-1),1,0)</f>
        <v>1</v>
      </c>
      <c r="BH42" s="49">
        <f>IF(BH$4&gt;EOMONTH(CloseDate,'Rent Roll'!$O$8+'Rent Roll'!$S$8-1),1,0)</f>
        <v>1</v>
      </c>
      <c r="BI42" s="49">
        <f>IF(BI$4&gt;EOMONTH(CloseDate,'Rent Roll'!$O$8+'Rent Roll'!$S$8-1),1,0)</f>
        <v>1</v>
      </c>
      <c r="BJ42" s="49">
        <f>IF(BJ$4&gt;EOMONTH(CloseDate,'Rent Roll'!$O$8+'Rent Roll'!$S$8-1),1,0)</f>
        <v>1</v>
      </c>
      <c r="BK42" s="49">
        <f>IF(BK$4&gt;EOMONTH(CloseDate,'Rent Roll'!$O$8+'Rent Roll'!$S$8-1),1,0)</f>
        <v>1</v>
      </c>
      <c r="BL42" s="49">
        <f>IF(BL$4&gt;EOMONTH(CloseDate,'Rent Roll'!$O$8+'Rent Roll'!$S$8-1),1,0)</f>
        <v>1</v>
      </c>
      <c r="BM42" s="49">
        <f>IF(BM$4&gt;EOMONTH(CloseDate,'Rent Roll'!$O$8+'Rent Roll'!$S$8-1),1,0)</f>
        <v>1</v>
      </c>
      <c r="BN42" s="49">
        <f>IF(BN$4&gt;EOMONTH(CloseDate,'Rent Roll'!$O$8+'Rent Roll'!$S$8-1),1,0)</f>
        <v>1</v>
      </c>
      <c r="BO42" s="49">
        <f>IF(BO$4&gt;EOMONTH(CloseDate,'Rent Roll'!$O$8+'Rent Roll'!$S$8-1),1,0)</f>
        <v>1</v>
      </c>
      <c r="BP42" s="49">
        <f>IF(BP$4&gt;EOMONTH(CloseDate,'Rent Roll'!$O$8+'Rent Roll'!$S$8-1),1,0)</f>
        <v>1</v>
      </c>
      <c r="BQ42" s="49">
        <f>IF(BQ$4&gt;EOMONTH(CloseDate,'Rent Roll'!$O$8+'Rent Roll'!$S$8-1),1,0)</f>
        <v>1</v>
      </c>
      <c r="BR42" s="49">
        <f>IF(BR$4&gt;EOMONTH(CloseDate,'Rent Roll'!$O$8+'Rent Roll'!$S$8-1),1,0)</f>
        <v>1</v>
      </c>
      <c r="BS42" s="49">
        <f>IF(BS$4&gt;EOMONTH(CloseDate,'Rent Roll'!$O$8+'Rent Roll'!$S$8-1),1,0)</f>
        <v>1</v>
      </c>
      <c r="BT42" s="49">
        <f>IF(BT$4&gt;EOMONTH(CloseDate,'Rent Roll'!$O$8+'Rent Roll'!$S$8-1),1,0)</f>
        <v>1</v>
      </c>
      <c r="BU42" s="49">
        <f>IF(BU$4&gt;EOMONTH(CloseDate,'Rent Roll'!$O$8+'Rent Roll'!$S$8-1),1,0)</f>
        <v>1</v>
      </c>
      <c r="BV42" s="49">
        <f>IF(BV$4&gt;EOMONTH(CloseDate,'Rent Roll'!$O$8+'Rent Roll'!$S$8-1),1,0)</f>
        <v>1</v>
      </c>
      <c r="BW42" s="49">
        <f>IF(BW$4&gt;EOMONTH(CloseDate,'Rent Roll'!$O$8+'Rent Roll'!$S$8-1),1,0)</f>
        <v>1</v>
      </c>
      <c r="BX42" s="49">
        <f>IF(BX$4&gt;EOMONTH(CloseDate,'Rent Roll'!$O$8+'Rent Roll'!$S$8-1),1,0)</f>
        <v>1</v>
      </c>
    </row>
    <row r="43" spans="1:76" hidden="1" outlineLevel="1">
      <c r="B43" t="s">
        <v>162</v>
      </c>
      <c r="D43" s="49">
        <f>IF(D42=1,'Rent Roll'!$F$8*'Rent Roll'!$X$8/12*D$6,0)</f>
        <v>0</v>
      </c>
      <c r="E43" s="49">
        <f>IF(E42=1,'Rent Roll'!$F$8*'Rent Roll'!$X$8/12*E$6,0)</f>
        <v>0</v>
      </c>
      <c r="F43" s="49">
        <f>IF(F42=1,'Rent Roll'!$F$8*'Rent Roll'!$X$8/12*F$6,0)</f>
        <v>0</v>
      </c>
      <c r="G43" s="49">
        <f>IF(G42=1,'Rent Roll'!$F$8*'Rent Roll'!$X$8/12*G$6,0)</f>
        <v>0</v>
      </c>
      <c r="H43" s="49">
        <f>IF(H42=1,'Rent Roll'!$F$8*'Rent Roll'!$X$8/12*H$6,0)</f>
        <v>0</v>
      </c>
      <c r="I43" s="49">
        <f>IF(I42=1,'Rent Roll'!$F$8*'Rent Roll'!$X$8/12*I$6,0)</f>
        <v>0</v>
      </c>
      <c r="J43" s="49">
        <f>IF(J42=1,'Rent Roll'!$F$8*'Rent Roll'!$X$8/12*J$6,0)</f>
        <v>0</v>
      </c>
      <c r="K43" s="49">
        <f>IF(K42=1,'Rent Roll'!$F$8*'Rent Roll'!$X$8/12*K$6,0)</f>
        <v>0</v>
      </c>
      <c r="L43" s="49">
        <f>IF(L42=1,'Rent Roll'!$F$8*'Rent Roll'!$X$8/12*L$6,0)</f>
        <v>0</v>
      </c>
      <c r="M43" s="49">
        <f>IF(M42=1,'Rent Roll'!$F$8*'Rent Roll'!$X$8/12*M$6,0)</f>
        <v>0</v>
      </c>
      <c r="N43" s="49">
        <f>IF(N42=1,'Rent Roll'!$F$8*'Rent Roll'!$X$8/12*N$6,0)</f>
        <v>0</v>
      </c>
      <c r="O43" s="49">
        <f>IF(O42=1,'Rent Roll'!$F$8*'Rent Roll'!$X$8/12*O$6,0)</f>
        <v>0</v>
      </c>
      <c r="P43" s="49">
        <f>IF(P42=1,'Rent Roll'!$F$8*'Rent Roll'!$X$8/12*P$6,0)</f>
        <v>0</v>
      </c>
      <c r="Q43" s="49">
        <f>IF(Q42=1,'Rent Roll'!$F$8*'Rent Roll'!$X$8/12*Q$6,0)</f>
        <v>0</v>
      </c>
      <c r="R43" s="49">
        <f>IF(R42=1,'Rent Roll'!$F$8*'Rent Roll'!$X$8/12*R$6,0)</f>
        <v>0</v>
      </c>
      <c r="S43" s="49">
        <f>IF(S42=1,'Rent Roll'!$F$8*'Rent Roll'!$X$8/12*S$6,0)</f>
        <v>0</v>
      </c>
      <c r="T43" s="49">
        <f>IF(T42=1,'Rent Roll'!$F$8*'Rent Roll'!$X$8/12*T$6,0)</f>
        <v>0</v>
      </c>
      <c r="U43" s="49">
        <f>IF(U42=1,'Rent Roll'!$F$8*'Rent Roll'!$X$8/12*U$6,0)</f>
        <v>0</v>
      </c>
      <c r="V43" s="49">
        <f>IF(V42=1,'Rent Roll'!$F$8*'Rent Roll'!$X$8/12*V$6,0)</f>
        <v>0</v>
      </c>
      <c r="W43" s="49">
        <f>IF(W42=1,'Rent Roll'!$F$8*'Rent Roll'!$X$8/12*W$6,0)</f>
        <v>0</v>
      </c>
      <c r="X43" s="49">
        <f>IF(X42=1,'Rent Roll'!$F$8*'Rent Roll'!$X$8/12*X$6,0)</f>
        <v>0</v>
      </c>
      <c r="Y43" s="49">
        <f>IF(Y42=1,'Rent Roll'!$F$8*'Rent Roll'!$X$8/12*Y$6,0)</f>
        <v>0</v>
      </c>
      <c r="Z43" s="49">
        <f>IF(Z42=1,'Rent Roll'!$F$8*'Rent Roll'!$X$8/12*Z$6,0)</f>
        <v>0</v>
      </c>
      <c r="AA43" s="49">
        <f>IF(AA42=1,'Rent Roll'!$F$8*'Rent Roll'!$X$8/12*AA$6,0)</f>
        <v>0</v>
      </c>
      <c r="AB43" s="49">
        <f>IF(AB42=1,'Rent Roll'!$F$8*'Rent Roll'!$X$8/12*AB$6,0)</f>
        <v>0</v>
      </c>
      <c r="AC43" s="49">
        <f>IF(AC42=1,'Rent Roll'!$F$8*'Rent Roll'!$X$8/12*AC$6,0)</f>
        <v>0</v>
      </c>
      <c r="AD43" s="49">
        <f>IF(AD42=1,'Rent Roll'!$F$8*'Rent Roll'!$X$8/12*AD$6,0)</f>
        <v>0</v>
      </c>
      <c r="AE43" s="49">
        <f>IF(AE42=1,'Rent Roll'!$F$8*'Rent Roll'!$X$8/12*AE$6,0)</f>
        <v>0</v>
      </c>
      <c r="AF43" s="49">
        <f>IF(AF42=1,'Rent Roll'!$F$8*'Rent Roll'!$X$8/12*AF$6,0)</f>
        <v>0</v>
      </c>
      <c r="AG43" s="49">
        <f>IF(AG42=1,'Rent Roll'!$F$8*'Rent Roll'!$X$8/12*AG$6,0)</f>
        <v>0</v>
      </c>
      <c r="AH43" s="49">
        <f>IF(AH42=1,'Rent Roll'!$F$8*'Rent Roll'!$X$8/12*AH$6,0)</f>
        <v>0</v>
      </c>
      <c r="AI43" s="49">
        <f>IF(AI42=1,'Rent Roll'!$F$8*'Rent Roll'!$X$8/12*AI$6,0)</f>
        <v>0</v>
      </c>
      <c r="AJ43" s="49">
        <f>IF(AJ42=1,'Rent Roll'!$F$8*'Rent Roll'!$X$8/12*AJ$6,0)</f>
        <v>0</v>
      </c>
      <c r="AK43" s="49">
        <f>IF(AK42=1,'Rent Roll'!$F$8*'Rent Roll'!$X$8/12*AK$6,0)</f>
        <v>0</v>
      </c>
      <c r="AL43" s="49">
        <f>IF(AL42=1,'Rent Roll'!$F$8*'Rent Roll'!$X$8/12*AL$6,0)</f>
        <v>24497.057638133429</v>
      </c>
      <c r="AM43" s="49">
        <f>IF(AM42=1,'Rent Roll'!$F$8*'Rent Roll'!$X$8/12*AM$6,0)</f>
        <v>24497.057638133429</v>
      </c>
      <c r="AN43" s="49">
        <f>IF(AN42=1,'Rent Roll'!$F$8*'Rent Roll'!$X$8/12*AN$6,0)</f>
        <v>24497.057638133429</v>
      </c>
      <c r="AO43" s="49">
        <f>IF(AO42=1,'Rent Roll'!$F$8*'Rent Roll'!$X$8/12*AO$6,0)</f>
        <v>24497.057638133429</v>
      </c>
      <c r="AP43" s="49">
        <f>IF(AP42=1,'Rent Roll'!$F$8*'Rent Roll'!$X$8/12*AP$6,0)</f>
        <v>24497.057638133429</v>
      </c>
      <c r="AQ43" s="49">
        <f>IF(AQ42=1,'Rent Roll'!$F$8*'Rent Roll'!$X$8/12*AQ$6,0)</f>
        <v>24497.057638133429</v>
      </c>
      <c r="AR43" s="49">
        <f>IF(AR42=1,'Rent Roll'!$F$8*'Rent Roll'!$X$8/12*AR$6,0)</f>
        <v>24497.057638133429</v>
      </c>
      <c r="AS43" s="49">
        <f>IF(AS42=1,'Rent Roll'!$F$8*'Rent Roll'!$X$8/12*AS$6,0)</f>
        <v>25158.478194363026</v>
      </c>
      <c r="AT43" s="49">
        <f>IF(AT42=1,'Rent Roll'!$F$8*'Rent Roll'!$X$8/12*AT$6,0)</f>
        <v>25158.478194363026</v>
      </c>
      <c r="AU43" s="49">
        <f>IF(AU42=1,'Rent Roll'!$F$8*'Rent Roll'!$X$8/12*AU$6,0)</f>
        <v>25158.478194363026</v>
      </c>
      <c r="AV43" s="49">
        <f>IF(AV42=1,'Rent Roll'!$F$8*'Rent Roll'!$X$8/12*AV$6,0)</f>
        <v>25158.478194363026</v>
      </c>
      <c r="AW43" s="49">
        <f>IF(AW42=1,'Rent Roll'!$F$8*'Rent Roll'!$X$8/12*AW$6,0)</f>
        <v>25158.478194363026</v>
      </c>
      <c r="AX43" s="49">
        <f>IF(AX42=1,'Rent Roll'!$F$8*'Rent Roll'!$X$8/12*AX$6,0)</f>
        <v>25158.478194363026</v>
      </c>
      <c r="AY43" s="49">
        <f>IF(AY42=1,'Rent Roll'!$F$8*'Rent Roll'!$X$8/12*AY$6,0)</f>
        <v>25158.478194363026</v>
      </c>
      <c r="AZ43" s="49">
        <f>IF(AZ42=1,'Rent Roll'!$F$8*'Rent Roll'!$X$8/12*AZ$6,0)</f>
        <v>25158.478194363026</v>
      </c>
      <c r="BA43" s="49">
        <f>IF(BA42=1,'Rent Roll'!$F$8*'Rent Roll'!$X$8/12*BA$6,0)</f>
        <v>25158.478194363026</v>
      </c>
      <c r="BB43" s="49">
        <f>IF(BB42=1,'Rent Roll'!$F$8*'Rent Roll'!$X$8/12*BB$6,0)</f>
        <v>25158.478194363026</v>
      </c>
      <c r="BC43" s="49">
        <f>IF(BC42=1,'Rent Roll'!$F$8*'Rent Roll'!$X$8/12*BC$6,0)</f>
        <v>25158.478194363026</v>
      </c>
      <c r="BD43" s="49">
        <f>IF(BD42=1,'Rent Roll'!$F$8*'Rent Roll'!$X$8/12*BD$6,0)</f>
        <v>25158.478194363026</v>
      </c>
      <c r="BE43" s="49">
        <f>IF(BE42=1,'Rent Roll'!$F$8*'Rent Roll'!$X$8/12*BE$6,0)</f>
        <v>25837.757105610828</v>
      </c>
      <c r="BF43" s="49">
        <f>IF(BF42=1,'Rent Roll'!$F$8*'Rent Roll'!$X$8/12*BF$6,0)</f>
        <v>25837.757105610828</v>
      </c>
      <c r="BG43" s="49">
        <f>IF(BG42=1,'Rent Roll'!$F$8*'Rent Roll'!$X$8/12*BG$6,0)</f>
        <v>25837.757105610828</v>
      </c>
      <c r="BH43" s="49">
        <f>IF(BH42=1,'Rent Roll'!$F$8*'Rent Roll'!$X$8/12*BH$6,0)</f>
        <v>25837.757105610828</v>
      </c>
      <c r="BI43" s="49">
        <f>IF(BI42=1,'Rent Roll'!$F$8*'Rent Roll'!$X$8/12*BI$6,0)</f>
        <v>25837.757105610828</v>
      </c>
      <c r="BJ43" s="49">
        <f>IF(BJ42=1,'Rent Roll'!$F$8*'Rent Roll'!$X$8/12*BJ$6,0)</f>
        <v>25837.757105610828</v>
      </c>
      <c r="BK43" s="49">
        <f>IF(BK42=1,'Rent Roll'!$F$8*'Rent Roll'!$X$8/12*BK$6,0)</f>
        <v>25837.757105610828</v>
      </c>
      <c r="BL43" s="49">
        <f>IF(BL42=1,'Rent Roll'!$F$8*'Rent Roll'!$X$8/12*BL$6,0)</f>
        <v>25837.757105610828</v>
      </c>
      <c r="BM43" s="49">
        <f>IF(BM42=1,'Rent Roll'!$F$8*'Rent Roll'!$X$8/12*BM$6,0)</f>
        <v>25837.757105610828</v>
      </c>
      <c r="BN43" s="49">
        <f>IF(BN42=1,'Rent Roll'!$F$8*'Rent Roll'!$X$8/12*BN$6,0)</f>
        <v>25837.757105610828</v>
      </c>
      <c r="BO43" s="49">
        <f>IF(BO42=1,'Rent Roll'!$F$8*'Rent Roll'!$X$8/12*BO$6,0)</f>
        <v>25837.757105610828</v>
      </c>
      <c r="BP43" s="49">
        <f>IF(BP42=1,'Rent Roll'!$F$8*'Rent Roll'!$X$8/12*BP$6,0)</f>
        <v>25837.757105610828</v>
      </c>
      <c r="BQ43" s="49">
        <f>IF(BQ42=1,'Rent Roll'!$F$8*'Rent Roll'!$X$8/12*BQ$6,0)</f>
        <v>26535.376547462314</v>
      </c>
      <c r="BR43" s="49">
        <f>IF(BR42=1,'Rent Roll'!$F$8*'Rent Roll'!$X$8/12*BR$6,0)</f>
        <v>26535.376547462314</v>
      </c>
      <c r="BS43" s="49">
        <f>IF(BS42=1,'Rent Roll'!$F$8*'Rent Roll'!$X$8/12*BS$6,0)</f>
        <v>26535.376547462314</v>
      </c>
      <c r="BT43" s="49">
        <f>IF(BT42=1,'Rent Roll'!$F$8*'Rent Roll'!$X$8/12*BT$6,0)</f>
        <v>26535.376547462314</v>
      </c>
      <c r="BU43" s="49">
        <f>IF(BU42=1,'Rent Roll'!$F$8*'Rent Roll'!$X$8/12*BU$6,0)</f>
        <v>26535.376547462314</v>
      </c>
      <c r="BV43" s="49">
        <f>IF(BV42=1,'Rent Roll'!$F$8*'Rent Roll'!$X$8/12*BV$6,0)</f>
        <v>26535.376547462314</v>
      </c>
      <c r="BW43" s="49">
        <f>IF(BW42=1,'Rent Roll'!$F$8*'Rent Roll'!$X$8/12*BW$6,0)</f>
        <v>26535.376547462314</v>
      </c>
      <c r="BX43" s="49">
        <f>IF(BX42=1,'Rent Roll'!$F$8*'Rent Roll'!$X$8/12*BX$6,0)</f>
        <v>26535.376547462314</v>
      </c>
    </row>
    <row r="44" spans="1:76" collapsed="1">
      <c r="B44" t="s">
        <v>163</v>
      </c>
      <c r="D44" s="49">
        <f>IF(AND(D$4&gt;EOMONTH(CloseDate,'Rent Roll'!$O$8+'Rent Roll'!$S$8-1),D$4&lt;=EOMONTH(CloseDate,'Rent Roll'!$O$8+'Rent Roll'!$S$8-1+'Rent Roll'!$V$8)),-D43,0)</f>
        <v>0</v>
      </c>
      <c r="E44" s="49">
        <f>IF(AND(E$4&gt;EOMONTH(CloseDate,'Rent Roll'!$O$8+'Rent Roll'!$S$8-1),E$4&lt;=EOMONTH(CloseDate,'Rent Roll'!$O$8+'Rent Roll'!$S$8-1+'Rent Roll'!$V$8)),-E43,0)</f>
        <v>0</v>
      </c>
      <c r="F44" s="49">
        <f>IF(AND(F$4&gt;EOMONTH(CloseDate,'Rent Roll'!$O$8+'Rent Roll'!$S$8-1),F$4&lt;=EOMONTH(CloseDate,'Rent Roll'!$O$8+'Rent Roll'!$S$8-1+'Rent Roll'!$V$8)),-F43,0)</f>
        <v>0</v>
      </c>
      <c r="G44" s="49">
        <f>IF(AND(G$4&gt;EOMONTH(CloseDate,'Rent Roll'!$O$8+'Rent Roll'!$S$8-1),G$4&lt;=EOMONTH(CloseDate,'Rent Roll'!$O$8+'Rent Roll'!$S$8-1+'Rent Roll'!$V$8)),-G43,0)</f>
        <v>0</v>
      </c>
      <c r="H44" s="49">
        <f>IF(AND(H$4&gt;EOMONTH(CloseDate,'Rent Roll'!$O$8+'Rent Roll'!$S$8-1),H$4&lt;=EOMONTH(CloseDate,'Rent Roll'!$O$8+'Rent Roll'!$S$8-1+'Rent Roll'!$V$8)),-H43,0)</f>
        <v>0</v>
      </c>
      <c r="I44" s="49">
        <f>IF(AND(I$4&gt;EOMONTH(CloseDate,'Rent Roll'!$O$8+'Rent Roll'!$S$8-1),I$4&lt;=EOMONTH(CloseDate,'Rent Roll'!$O$8+'Rent Roll'!$S$8-1+'Rent Roll'!$V$8)),-I43,0)</f>
        <v>0</v>
      </c>
      <c r="J44" s="49">
        <f>IF(AND(J$4&gt;EOMONTH(CloseDate,'Rent Roll'!$O$8+'Rent Roll'!$S$8-1),J$4&lt;=EOMONTH(CloseDate,'Rent Roll'!$O$8+'Rent Roll'!$S$8-1+'Rent Roll'!$V$8)),-J43,0)</f>
        <v>0</v>
      </c>
      <c r="K44" s="49">
        <f>IF(AND(K$4&gt;EOMONTH(CloseDate,'Rent Roll'!$O$8+'Rent Roll'!$S$8-1),K$4&lt;=EOMONTH(CloseDate,'Rent Roll'!$O$8+'Rent Roll'!$S$8-1+'Rent Roll'!$V$8)),-K43,0)</f>
        <v>0</v>
      </c>
      <c r="L44" s="49">
        <f>IF(AND(L$4&gt;EOMONTH(CloseDate,'Rent Roll'!$O$8+'Rent Roll'!$S$8-1),L$4&lt;=EOMONTH(CloseDate,'Rent Roll'!$O$8+'Rent Roll'!$S$8-1+'Rent Roll'!$V$8)),-L43,0)</f>
        <v>0</v>
      </c>
      <c r="M44" s="49">
        <f>IF(AND(M$4&gt;EOMONTH(CloseDate,'Rent Roll'!$O$8+'Rent Roll'!$S$8-1),M$4&lt;=EOMONTH(CloseDate,'Rent Roll'!$O$8+'Rent Roll'!$S$8-1+'Rent Roll'!$V$8)),-M43,0)</f>
        <v>0</v>
      </c>
      <c r="N44" s="49">
        <f>IF(AND(N$4&gt;EOMONTH(CloseDate,'Rent Roll'!$O$8+'Rent Roll'!$S$8-1),N$4&lt;=EOMONTH(CloseDate,'Rent Roll'!$O$8+'Rent Roll'!$S$8-1+'Rent Roll'!$V$8)),-N43,0)</f>
        <v>0</v>
      </c>
      <c r="O44" s="49">
        <f>IF(AND(O$4&gt;EOMONTH(CloseDate,'Rent Roll'!$O$8+'Rent Roll'!$S$8-1),O$4&lt;=EOMONTH(CloseDate,'Rent Roll'!$O$8+'Rent Roll'!$S$8-1+'Rent Roll'!$V$8)),-O43,0)</f>
        <v>0</v>
      </c>
      <c r="P44" s="49">
        <f>IF(AND(P$4&gt;EOMONTH(CloseDate,'Rent Roll'!$O$8+'Rent Roll'!$S$8-1),P$4&lt;=EOMONTH(CloseDate,'Rent Roll'!$O$8+'Rent Roll'!$S$8-1+'Rent Roll'!$V$8)),-P43,0)</f>
        <v>0</v>
      </c>
      <c r="Q44" s="49">
        <f>IF(AND(Q$4&gt;EOMONTH(CloseDate,'Rent Roll'!$O$8+'Rent Roll'!$S$8-1),Q$4&lt;=EOMONTH(CloseDate,'Rent Roll'!$O$8+'Rent Roll'!$S$8-1+'Rent Roll'!$V$8)),-Q43,0)</f>
        <v>0</v>
      </c>
      <c r="R44" s="49">
        <f>IF(AND(R$4&gt;EOMONTH(CloseDate,'Rent Roll'!$O$8+'Rent Roll'!$S$8-1),R$4&lt;=EOMONTH(CloseDate,'Rent Roll'!$O$8+'Rent Roll'!$S$8-1+'Rent Roll'!$V$8)),-R43,0)</f>
        <v>0</v>
      </c>
      <c r="S44" s="49">
        <f>IF(AND(S$4&gt;EOMONTH(CloseDate,'Rent Roll'!$O$8+'Rent Roll'!$S$8-1),S$4&lt;=EOMONTH(CloseDate,'Rent Roll'!$O$8+'Rent Roll'!$S$8-1+'Rent Roll'!$V$8)),-S43,0)</f>
        <v>0</v>
      </c>
      <c r="T44" s="49">
        <f>IF(AND(T$4&gt;EOMONTH(CloseDate,'Rent Roll'!$O$8+'Rent Roll'!$S$8-1),T$4&lt;=EOMONTH(CloseDate,'Rent Roll'!$O$8+'Rent Roll'!$S$8-1+'Rent Roll'!$V$8)),-T43,0)</f>
        <v>0</v>
      </c>
      <c r="U44" s="49">
        <f>IF(AND(U$4&gt;EOMONTH(CloseDate,'Rent Roll'!$O$8+'Rent Roll'!$S$8-1),U$4&lt;=EOMONTH(CloseDate,'Rent Roll'!$O$8+'Rent Roll'!$S$8-1+'Rent Roll'!$V$8)),-U43,0)</f>
        <v>0</v>
      </c>
      <c r="V44" s="49">
        <f>IF(AND(V$4&gt;EOMONTH(CloseDate,'Rent Roll'!$O$8+'Rent Roll'!$S$8-1),V$4&lt;=EOMONTH(CloseDate,'Rent Roll'!$O$8+'Rent Roll'!$S$8-1+'Rent Roll'!$V$8)),-V43,0)</f>
        <v>0</v>
      </c>
      <c r="W44" s="49">
        <f>IF(AND(W$4&gt;EOMONTH(CloseDate,'Rent Roll'!$O$8+'Rent Roll'!$S$8-1),W$4&lt;=EOMONTH(CloseDate,'Rent Roll'!$O$8+'Rent Roll'!$S$8-1+'Rent Roll'!$V$8)),-W43,0)</f>
        <v>0</v>
      </c>
      <c r="X44" s="49">
        <f>IF(AND(X$4&gt;EOMONTH(CloseDate,'Rent Roll'!$O$8+'Rent Roll'!$S$8-1),X$4&lt;=EOMONTH(CloseDate,'Rent Roll'!$O$8+'Rent Roll'!$S$8-1+'Rent Roll'!$V$8)),-X43,0)</f>
        <v>0</v>
      </c>
      <c r="Y44" s="49">
        <f>IF(AND(Y$4&gt;EOMONTH(CloseDate,'Rent Roll'!$O$8+'Rent Roll'!$S$8-1),Y$4&lt;=EOMONTH(CloseDate,'Rent Roll'!$O$8+'Rent Roll'!$S$8-1+'Rent Roll'!$V$8)),-Y43,0)</f>
        <v>0</v>
      </c>
      <c r="Z44" s="49">
        <f>IF(AND(Z$4&gt;EOMONTH(CloseDate,'Rent Roll'!$O$8+'Rent Roll'!$S$8-1),Z$4&lt;=EOMONTH(CloseDate,'Rent Roll'!$O$8+'Rent Roll'!$S$8-1+'Rent Roll'!$V$8)),-Z43,0)</f>
        <v>0</v>
      </c>
      <c r="AA44" s="49">
        <f>IF(AND(AA$4&gt;EOMONTH(CloseDate,'Rent Roll'!$O$8+'Rent Roll'!$S$8-1),AA$4&lt;=EOMONTH(CloseDate,'Rent Roll'!$O$8+'Rent Roll'!$S$8-1+'Rent Roll'!$V$8)),-AA43,0)</f>
        <v>0</v>
      </c>
      <c r="AB44" s="49">
        <f>IF(AND(AB$4&gt;EOMONTH(CloseDate,'Rent Roll'!$O$8+'Rent Roll'!$S$8-1),AB$4&lt;=EOMONTH(CloseDate,'Rent Roll'!$O$8+'Rent Roll'!$S$8-1+'Rent Roll'!$V$8)),-AB43,0)</f>
        <v>0</v>
      </c>
      <c r="AC44" s="49">
        <f>IF(AND(AC$4&gt;EOMONTH(CloseDate,'Rent Roll'!$O$8+'Rent Roll'!$S$8-1),AC$4&lt;=EOMONTH(CloseDate,'Rent Roll'!$O$8+'Rent Roll'!$S$8-1+'Rent Roll'!$V$8)),-AC43,0)</f>
        <v>0</v>
      </c>
      <c r="AD44" s="49">
        <f>IF(AND(AD$4&gt;EOMONTH(CloseDate,'Rent Roll'!$O$8+'Rent Roll'!$S$8-1),AD$4&lt;=EOMONTH(CloseDate,'Rent Roll'!$O$8+'Rent Roll'!$S$8-1+'Rent Roll'!$V$8)),-AD43,0)</f>
        <v>0</v>
      </c>
      <c r="AE44" s="49">
        <f>IF(AND(AE$4&gt;EOMONTH(CloseDate,'Rent Roll'!$O$8+'Rent Roll'!$S$8-1),AE$4&lt;=EOMONTH(CloseDate,'Rent Roll'!$O$8+'Rent Roll'!$S$8-1+'Rent Roll'!$V$8)),-AE43,0)</f>
        <v>0</v>
      </c>
      <c r="AF44" s="49">
        <f>IF(AND(AF$4&gt;EOMONTH(CloseDate,'Rent Roll'!$O$8+'Rent Roll'!$S$8-1),AF$4&lt;=EOMONTH(CloseDate,'Rent Roll'!$O$8+'Rent Roll'!$S$8-1+'Rent Roll'!$V$8)),-AF43,0)</f>
        <v>0</v>
      </c>
      <c r="AG44" s="49">
        <f>IF(AND(AG$4&gt;EOMONTH(CloseDate,'Rent Roll'!$O$8+'Rent Roll'!$S$8-1),AG$4&lt;=EOMONTH(CloseDate,'Rent Roll'!$O$8+'Rent Roll'!$S$8-1+'Rent Roll'!$V$8)),-AG43,0)</f>
        <v>0</v>
      </c>
      <c r="AH44" s="49">
        <f>IF(AND(AH$4&gt;EOMONTH(CloseDate,'Rent Roll'!$O$8+'Rent Roll'!$S$8-1),AH$4&lt;=EOMONTH(CloseDate,'Rent Roll'!$O$8+'Rent Roll'!$S$8-1+'Rent Roll'!$V$8)),-AH43,0)</f>
        <v>0</v>
      </c>
      <c r="AI44" s="49">
        <f>IF(AND(AI$4&gt;EOMONTH(CloseDate,'Rent Roll'!$O$8+'Rent Roll'!$S$8-1),AI$4&lt;=EOMONTH(CloseDate,'Rent Roll'!$O$8+'Rent Roll'!$S$8-1+'Rent Roll'!$V$8)),-AI43,0)</f>
        <v>0</v>
      </c>
      <c r="AJ44" s="49">
        <f>IF(AND(AJ$4&gt;EOMONTH(CloseDate,'Rent Roll'!$O$8+'Rent Roll'!$S$8-1),AJ$4&lt;=EOMONTH(CloseDate,'Rent Roll'!$O$8+'Rent Roll'!$S$8-1+'Rent Roll'!$V$8)),-AJ43,0)</f>
        <v>0</v>
      </c>
      <c r="AK44" s="49">
        <f>IF(AND(AK$4&gt;EOMONTH(CloseDate,'Rent Roll'!$O$8+'Rent Roll'!$S$8-1),AK$4&lt;=EOMONTH(CloseDate,'Rent Roll'!$O$8+'Rent Roll'!$S$8-1+'Rent Roll'!$V$8)),-AK43,0)</f>
        <v>0</v>
      </c>
      <c r="AL44" s="49">
        <f>IF(AND(AL$4&gt;EOMONTH(CloseDate,'Rent Roll'!$O$8+'Rent Roll'!$S$8-1),AL$4&lt;=EOMONTH(CloseDate,'Rent Roll'!$O$8+'Rent Roll'!$S$8-1+'Rent Roll'!$V$8)),-AL43,0)</f>
        <v>-24497.057638133429</v>
      </c>
      <c r="AM44" s="49">
        <f>IF(AND(AM$4&gt;EOMONTH(CloseDate,'Rent Roll'!$O$8+'Rent Roll'!$S$8-1),AM$4&lt;=EOMONTH(CloseDate,'Rent Roll'!$O$8+'Rent Roll'!$S$8-1+'Rent Roll'!$V$8)),-AM43,0)</f>
        <v>-24497.057638133429</v>
      </c>
      <c r="AN44" s="49">
        <f>IF(AND(AN$4&gt;EOMONTH(CloseDate,'Rent Roll'!$O$8+'Rent Roll'!$S$8-1),AN$4&lt;=EOMONTH(CloseDate,'Rent Roll'!$O$8+'Rent Roll'!$S$8-1+'Rent Roll'!$V$8)),-AN43,0)</f>
        <v>0</v>
      </c>
      <c r="AO44" s="49">
        <f>IF(AND(AO$4&gt;EOMONTH(CloseDate,'Rent Roll'!$O$8+'Rent Roll'!$S$8-1),AO$4&lt;=EOMONTH(CloseDate,'Rent Roll'!$O$8+'Rent Roll'!$S$8-1+'Rent Roll'!$V$8)),-AO43,0)</f>
        <v>0</v>
      </c>
      <c r="AP44" s="49">
        <f>IF(AND(AP$4&gt;EOMONTH(CloseDate,'Rent Roll'!$O$8+'Rent Roll'!$S$8-1),AP$4&lt;=EOMONTH(CloseDate,'Rent Roll'!$O$8+'Rent Roll'!$S$8-1+'Rent Roll'!$V$8)),-AP43,0)</f>
        <v>0</v>
      </c>
      <c r="AQ44" s="49">
        <f>IF(AND(AQ$4&gt;EOMONTH(CloseDate,'Rent Roll'!$O$8+'Rent Roll'!$S$8-1),AQ$4&lt;=EOMONTH(CloseDate,'Rent Roll'!$O$8+'Rent Roll'!$S$8-1+'Rent Roll'!$V$8)),-AQ43,0)</f>
        <v>0</v>
      </c>
      <c r="AR44" s="49">
        <f>IF(AND(AR$4&gt;EOMONTH(CloseDate,'Rent Roll'!$O$8+'Rent Roll'!$S$8-1),AR$4&lt;=EOMONTH(CloseDate,'Rent Roll'!$O$8+'Rent Roll'!$S$8-1+'Rent Roll'!$V$8)),-AR43,0)</f>
        <v>0</v>
      </c>
      <c r="AS44" s="49">
        <f>IF(AND(AS$4&gt;EOMONTH(CloseDate,'Rent Roll'!$O$8+'Rent Roll'!$S$8-1),AS$4&lt;=EOMONTH(CloseDate,'Rent Roll'!$O$8+'Rent Roll'!$S$8-1+'Rent Roll'!$V$8)),-AS43,0)</f>
        <v>0</v>
      </c>
      <c r="AT44" s="49">
        <f>IF(AND(AT$4&gt;EOMONTH(CloseDate,'Rent Roll'!$O$8+'Rent Roll'!$S$8-1),AT$4&lt;=EOMONTH(CloseDate,'Rent Roll'!$O$8+'Rent Roll'!$S$8-1+'Rent Roll'!$V$8)),-AT43,0)</f>
        <v>0</v>
      </c>
      <c r="AU44" s="49">
        <f>IF(AND(AU$4&gt;EOMONTH(CloseDate,'Rent Roll'!$O$8+'Rent Roll'!$S$8-1),AU$4&lt;=EOMONTH(CloseDate,'Rent Roll'!$O$8+'Rent Roll'!$S$8-1+'Rent Roll'!$V$8)),-AU43,0)</f>
        <v>0</v>
      </c>
      <c r="AV44" s="49">
        <f>IF(AND(AV$4&gt;EOMONTH(CloseDate,'Rent Roll'!$O$8+'Rent Roll'!$S$8-1),AV$4&lt;=EOMONTH(CloseDate,'Rent Roll'!$O$8+'Rent Roll'!$S$8-1+'Rent Roll'!$V$8)),-AV43,0)</f>
        <v>0</v>
      </c>
      <c r="AW44" s="49">
        <f>IF(AND(AW$4&gt;EOMONTH(CloseDate,'Rent Roll'!$O$8+'Rent Roll'!$S$8-1),AW$4&lt;=EOMONTH(CloseDate,'Rent Roll'!$O$8+'Rent Roll'!$S$8-1+'Rent Roll'!$V$8)),-AW43,0)</f>
        <v>0</v>
      </c>
      <c r="AX44" s="49">
        <f>IF(AND(AX$4&gt;EOMONTH(CloseDate,'Rent Roll'!$O$8+'Rent Roll'!$S$8-1),AX$4&lt;=EOMONTH(CloseDate,'Rent Roll'!$O$8+'Rent Roll'!$S$8-1+'Rent Roll'!$V$8)),-AX43,0)</f>
        <v>0</v>
      </c>
      <c r="AY44" s="49">
        <f>IF(AND(AY$4&gt;EOMONTH(CloseDate,'Rent Roll'!$O$8+'Rent Roll'!$S$8-1),AY$4&lt;=EOMONTH(CloseDate,'Rent Roll'!$O$8+'Rent Roll'!$S$8-1+'Rent Roll'!$V$8)),-AY43,0)</f>
        <v>0</v>
      </c>
      <c r="AZ44" s="49">
        <f>IF(AND(AZ$4&gt;EOMONTH(CloseDate,'Rent Roll'!$O$8+'Rent Roll'!$S$8-1),AZ$4&lt;=EOMONTH(CloseDate,'Rent Roll'!$O$8+'Rent Roll'!$S$8-1+'Rent Roll'!$V$8)),-AZ43,0)</f>
        <v>0</v>
      </c>
      <c r="BA44" s="49">
        <f>IF(AND(BA$4&gt;EOMONTH(CloseDate,'Rent Roll'!$O$8+'Rent Roll'!$S$8-1),BA$4&lt;=EOMONTH(CloseDate,'Rent Roll'!$O$8+'Rent Roll'!$S$8-1+'Rent Roll'!$V$8)),-BA43,0)</f>
        <v>0</v>
      </c>
      <c r="BB44" s="49">
        <f>IF(AND(BB$4&gt;EOMONTH(CloseDate,'Rent Roll'!$O$8+'Rent Roll'!$S$8-1),BB$4&lt;=EOMONTH(CloseDate,'Rent Roll'!$O$8+'Rent Roll'!$S$8-1+'Rent Roll'!$V$8)),-BB43,0)</f>
        <v>0</v>
      </c>
      <c r="BC44" s="49">
        <f>IF(AND(BC$4&gt;EOMONTH(CloseDate,'Rent Roll'!$O$8+'Rent Roll'!$S$8-1),BC$4&lt;=EOMONTH(CloseDate,'Rent Roll'!$O$8+'Rent Roll'!$S$8-1+'Rent Roll'!$V$8)),-BC43,0)</f>
        <v>0</v>
      </c>
      <c r="BD44" s="49">
        <f>IF(AND(BD$4&gt;EOMONTH(CloseDate,'Rent Roll'!$O$8+'Rent Roll'!$S$8-1),BD$4&lt;=EOMONTH(CloseDate,'Rent Roll'!$O$8+'Rent Roll'!$S$8-1+'Rent Roll'!$V$8)),-BD43,0)</f>
        <v>0</v>
      </c>
      <c r="BE44" s="49">
        <f>IF(AND(BE$4&gt;EOMONTH(CloseDate,'Rent Roll'!$O$8+'Rent Roll'!$S$8-1),BE$4&lt;=EOMONTH(CloseDate,'Rent Roll'!$O$8+'Rent Roll'!$S$8-1+'Rent Roll'!$V$8)),-BE43,0)</f>
        <v>0</v>
      </c>
      <c r="BF44" s="49">
        <f>IF(AND(BF$4&gt;EOMONTH(CloseDate,'Rent Roll'!$O$8+'Rent Roll'!$S$8-1),BF$4&lt;=EOMONTH(CloseDate,'Rent Roll'!$O$8+'Rent Roll'!$S$8-1+'Rent Roll'!$V$8)),-BF43,0)</f>
        <v>0</v>
      </c>
      <c r="BG44" s="49">
        <f>IF(AND(BG$4&gt;EOMONTH(CloseDate,'Rent Roll'!$O$8+'Rent Roll'!$S$8-1),BG$4&lt;=EOMONTH(CloseDate,'Rent Roll'!$O$8+'Rent Roll'!$S$8-1+'Rent Roll'!$V$8)),-BG43,0)</f>
        <v>0</v>
      </c>
      <c r="BH44" s="49">
        <f>IF(AND(BH$4&gt;EOMONTH(CloseDate,'Rent Roll'!$O$8+'Rent Roll'!$S$8-1),BH$4&lt;=EOMONTH(CloseDate,'Rent Roll'!$O$8+'Rent Roll'!$S$8-1+'Rent Roll'!$V$8)),-BH43,0)</f>
        <v>0</v>
      </c>
      <c r="BI44" s="49">
        <f>IF(AND(BI$4&gt;EOMONTH(CloseDate,'Rent Roll'!$O$8+'Rent Roll'!$S$8-1),BI$4&lt;=EOMONTH(CloseDate,'Rent Roll'!$O$8+'Rent Roll'!$S$8-1+'Rent Roll'!$V$8)),-BI43,0)</f>
        <v>0</v>
      </c>
      <c r="BJ44" s="49">
        <f>IF(AND(BJ$4&gt;EOMONTH(CloseDate,'Rent Roll'!$O$8+'Rent Roll'!$S$8-1),BJ$4&lt;=EOMONTH(CloseDate,'Rent Roll'!$O$8+'Rent Roll'!$S$8-1+'Rent Roll'!$V$8)),-BJ43,0)</f>
        <v>0</v>
      </c>
      <c r="BK44" s="49">
        <f>IF(AND(BK$4&gt;EOMONTH(CloseDate,'Rent Roll'!$O$8+'Rent Roll'!$S$8-1),BK$4&lt;=EOMONTH(CloseDate,'Rent Roll'!$O$8+'Rent Roll'!$S$8-1+'Rent Roll'!$V$8)),-BK43,0)</f>
        <v>0</v>
      </c>
      <c r="BL44" s="49">
        <f>IF(AND(BL$4&gt;EOMONTH(CloseDate,'Rent Roll'!$O$8+'Rent Roll'!$S$8-1),BL$4&lt;=EOMONTH(CloseDate,'Rent Roll'!$O$8+'Rent Roll'!$S$8-1+'Rent Roll'!$V$8)),-BL43,0)</f>
        <v>0</v>
      </c>
      <c r="BM44" s="49">
        <f>IF(AND(BM$4&gt;EOMONTH(CloseDate,'Rent Roll'!$O$8+'Rent Roll'!$S$8-1),BM$4&lt;=EOMONTH(CloseDate,'Rent Roll'!$O$8+'Rent Roll'!$S$8-1+'Rent Roll'!$V$8)),-BM43,0)</f>
        <v>0</v>
      </c>
      <c r="BN44" s="49">
        <f>IF(AND(BN$4&gt;EOMONTH(CloseDate,'Rent Roll'!$O$8+'Rent Roll'!$S$8-1),BN$4&lt;=EOMONTH(CloseDate,'Rent Roll'!$O$8+'Rent Roll'!$S$8-1+'Rent Roll'!$V$8)),-BN43,0)</f>
        <v>0</v>
      </c>
      <c r="BO44" s="49">
        <f>IF(AND(BO$4&gt;EOMONTH(CloseDate,'Rent Roll'!$O$8+'Rent Roll'!$S$8-1),BO$4&lt;=EOMONTH(CloseDate,'Rent Roll'!$O$8+'Rent Roll'!$S$8-1+'Rent Roll'!$V$8)),-BO43,0)</f>
        <v>0</v>
      </c>
      <c r="BP44" s="49">
        <f>IF(AND(BP$4&gt;EOMONTH(CloseDate,'Rent Roll'!$O$8+'Rent Roll'!$S$8-1),BP$4&lt;=EOMONTH(CloseDate,'Rent Roll'!$O$8+'Rent Roll'!$S$8-1+'Rent Roll'!$V$8)),-BP43,0)</f>
        <v>0</v>
      </c>
      <c r="BQ44" s="49">
        <f>IF(AND(BQ$4&gt;EOMONTH(CloseDate,'Rent Roll'!$O$8+'Rent Roll'!$S$8-1),BQ$4&lt;=EOMONTH(CloseDate,'Rent Roll'!$O$8+'Rent Roll'!$S$8-1+'Rent Roll'!$V$8)),-BQ43,0)</f>
        <v>0</v>
      </c>
      <c r="BR44" s="49">
        <f>IF(AND(BR$4&gt;EOMONTH(CloseDate,'Rent Roll'!$O$8+'Rent Roll'!$S$8-1),BR$4&lt;=EOMONTH(CloseDate,'Rent Roll'!$O$8+'Rent Roll'!$S$8-1+'Rent Roll'!$V$8)),-BR43,0)</f>
        <v>0</v>
      </c>
      <c r="BS44" s="49">
        <f>IF(AND(BS$4&gt;EOMONTH(CloseDate,'Rent Roll'!$O$8+'Rent Roll'!$S$8-1),BS$4&lt;=EOMONTH(CloseDate,'Rent Roll'!$O$8+'Rent Roll'!$S$8-1+'Rent Roll'!$V$8)),-BS43,0)</f>
        <v>0</v>
      </c>
      <c r="BT44" s="49">
        <f>IF(AND(BT$4&gt;EOMONTH(CloseDate,'Rent Roll'!$O$8+'Rent Roll'!$S$8-1),BT$4&lt;=EOMONTH(CloseDate,'Rent Roll'!$O$8+'Rent Roll'!$S$8-1+'Rent Roll'!$V$8)),-BT43,0)</f>
        <v>0</v>
      </c>
      <c r="BU44" s="49">
        <f>IF(AND(BU$4&gt;EOMONTH(CloseDate,'Rent Roll'!$O$8+'Rent Roll'!$S$8-1),BU$4&lt;=EOMONTH(CloseDate,'Rent Roll'!$O$8+'Rent Roll'!$S$8-1+'Rent Roll'!$V$8)),-BU43,0)</f>
        <v>0</v>
      </c>
      <c r="BV44" s="49">
        <f>IF(AND(BV$4&gt;EOMONTH(CloseDate,'Rent Roll'!$O$8+'Rent Roll'!$S$8-1),BV$4&lt;=EOMONTH(CloseDate,'Rent Roll'!$O$8+'Rent Roll'!$S$8-1+'Rent Roll'!$V$8)),-BV43,0)</f>
        <v>0</v>
      </c>
      <c r="BW44" s="49">
        <f>IF(AND(BW$4&gt;EOMONTH(CloseDate,'Rent Roll'!$O$8+'Rent Roll'!$S$8-1),BW$4&lt;=EOMONTH(CloseDate,'Rent Roll'!$O$8+'Rent Roll'!$S$8-1+'Rent Roll'!$V$8)),-BW43,0)</f>
        <v>0</v>
      </c>
      <c r="BX44" s="49">
        <f>IF(AND(BX$4&gt;EOMONTH(CloseDate,'Rent Roll'!$O$8+'Rent Roll'!$S$8-1),BX$4&lt;=EOMONTH(CloseDate,'Rent Roll'!$O$8+'Rent Roll'!$S$8-1+'Rent Roll'!$V$8)),-BX43,0)</f>
        <v>0</v>
      </c>
    </row>
    <row r="45" spans="1:76">
      <c r="B45" t="s">
        <v>84</v>
      </c>
      <c r="D45" s="49">
        <f>D41+D43+D44</f>
        <v>18562.5</v>
      </c>
      <c r="E45" s="49">
        <f t="shared" ref="E45:BJ45" si="23">E41+E43+E44</f>
        <v>18562.5</v>
      </c>
      <c r="F45" s="49">
        <f t="shared" si="23"/>
        <v>18562.5</v>
      </c>
      <c r="G45" s="49">
        <f t="shared" si="23"/>
        <v>18562.5</v>
      </c>
      <c r="H45" s="49">
        <f t="shared" si="23"/>
        <v>18562.5</v>
      </c>
      <c r="I45" s="49">
        <f t="shared" si="23"/>
        <v>18933.75</v>
      </c>
      <c r="J45" s="49">
        <f t="shared" si="23"/>
        <v>18933.75</v>
      </c>
      <c r="K45" s="49">
        <f t="shared" si="23"/>
        <v>18933.75</v>
      </c>
      <c r="L45" s="49">
        <f t="shared" si="23"/>
        <v>18933.75</v>
      </c>
      <c r="M45" s="49">
        <f t="shared" si="23"/>
        <v>18933.75</v>
      </c>
      <c r="N45" s="49">
        <f t="shared" si="23"/>
        <v>18933.75</v>
      </c>
      <c r="O45" s="49">
        <f t="shared" si="23"/>
        <v>18933.75</v>
      </c>
      <c r="P45" s="49">
        <f t="shared" si="23"/>
        <v>18933.75</v>
      </c>
      <c r="Q45" s="49">
        <f t="shared" si="23"/>
        <v>18933.75</v>
      </c>
      <c r="R45" s="49">
        <f t="shared" si="23"/>
        <v>18933.75</v>
      </c>
      <c r="S45" s="49">
        <f t="shared" si="23"/>
        <v>18933.75</v>
      </c>
      <c r="T45" s="49">
        <f t="shared" si="23"/>
        <v>18933.75</v>
      </c>
      <c r="U45" s="49">
        <f t="shared" si="23"/>
        <v>19312.424999999999</v>
      </c>
      <c r="V45" s="49">
        <f t="shared" si="23"/>
        <v>19312.424999999999</v>
      </c>
      <c r="W45" s="49">
        <f t="shared" si="23"/>
        <v>19312.424999999999</v>
      </c>
      <c r="X45" s="49">
        <f t="shared" si="23"/>
        <v>19312.424999999999</v>
      </c>
      <c r="Y45" s="49">
        <f t="shared" si="23"/>
        <v>19312.424999999999</v>
      </c>
      <c r="Z45" s="49">
        <f t="shared" si="23"/>
        <v>19312.424999999999</v>
      </c>
      <c r="AA45" s="49">
        <f t="shared" si="23"/>
        <v>19312.424999999999</v>
      </c>
      <c r="AB45" s="49">
        <f t="shared" si="23"/>
        <v>19312.424999999999</v>
      </c>
      <c r="AC45" s="49">
        <f t="shared" si="23"/>
        <v>19312.424999999999</v>
      </c>
      <c r="AD45" s="49">
        <f t="shared" si="23"/>
        <v>19312.424999999999</v>
      </c>
      <c r="AE45" s="49">
        <f t="shared" si="23"/>
        <v>19312.424999999999</v>
      </c>
      <c r="AF45" s="49">
        <f t="shared" si="23"/>
        <v>19312.424999999999</v>
      </c>
      <c r="AG45" s="49">
        <f t="shared" si="23"/>
        <v>0</v>
      </c>
      <c r="AH45" s="49">
        <f t="shared" si="23"/>
        <v>0</v>
      </c>
      <c r="AI45" s="49">
        <f t="shared" si="23"/>
        <v>0</v>
      </c>
      <c r="AJ45" s="49">
        <f t="shared" si="23"/>
        <v>0</v>
      </c>
      <c r="AK45" s="49">
        <f t="shared" si="23"/>
        <v>0</v>
      </c>
      <c r="AL45" s="49">
        <f t="shared" si="23"/>
        <v>0</v>
      </c>
      <c r="AM45" s="49">
        <f t="shared" si="23"/>
        <v>0</v>
      </c>
      <c r="AN45" s="49">
        <f t="shared" si="23"/>
        <v>24497.057638133429</v>
      </c>
      <c r="AO45" s="49">
        <f t="shared" si="23"/>
        <v>24497.057638133429</v>
      </c>
      <c r="AP45" s="49">
        <f t="shared" si="23"/>
        <v>24497.057638133429</v>
      </c>
      <c r="AQ45" s="49">
        <f t="shared" si="23"/>
        <v>24497.057638133429</v>
      </c>
      <c r="AR45" s="49">
        <f t="shared" si="23"/>
        <v>24497.057638133429</v>
      </c>
      <c r="AS45" s="49">
        <f t="shared" si="23"/>
        <v>25158.478194363026</v>
      </c>
      <c r="AT45" s="49">
        <f t="shared" si="23"/>
        <v>25158.478194363026</v>
      </c>
      <c r="AU45" s="49">
        <f t="shared" si="23"/>
        <v>25158.478194363026</v>
      </c>
      <c r="AV45" s="49">
        <f t="shared" si="23"/>
        <v>25158.478194363026</v>
      </c>
      <c r="AW45" s="49">
        <f t="shared" si="23"/>
        <v>25158.478194363026</v>
      </c>
      <c r="AX45" s="49">
        <f t="shared" si="23"/>
        <v>25158.478194363026</v>
      </c>
      <c r="AY45" s="49">
        <f t="shared" si="23"/>
        <v>25158.478194363026</v>
      </c>
      <c r="AZ45" s="49">
        <f t="shared" si="23"/>
        <v>25158.478194363026</v>
      </c>
      <c r="BA45" s="49">
        <f t="shared" si="23"/>
        <v>25158.478194363026</v>
      </c>
      <c r="BB45" s="49">
        <f t="shared" si="23"/>
        <v>25158.478194363026</v>
      </c>
      <c r="BC45" s="49">
        <f t="shared" si="23"/>
        <v>25158.478194363026</v>
      </c>
      <c r="BD45" s="49">
        <f t="shared" si="23"/>
        <v>25158.478194363026</v>
      </c>
      <c r="BE45" s="49">
        <f t="shared" si="23"/>
        <v>25837.757105610828</v>
      </c>
      <c r="BF45" s="49">
        <f t="shared" si="23"/>
        <v>25837.757105610828</v>
      </c>
      <c r="BG45" s="49">
        <f t="shared" si="23"/>
        <v>25837.757105610828</v>
      </c>
      <c r="BH45" s="49">
        <f t="shared" si="23"/>
        <v>25837.757105610828</v>
      </c>
      <c r="BI45" s="49">
        <f t="shared" si="23"/>
        <v>25837.757105610828</v>
      </c>
      <c r="BJ45" s="49">
        <f t="shared" si="23"/>
        <v>25837.757105610828</v>
      </c>
      <c r="BK45" s="49">
        <f t="shared" ref="BK45" si="24">BK41+BK43+BK44</f>
        <v>25837.757105610828</v>
      </c>
      <c r="BL45" s="49">
        <f t="shared" ref="BL45:BX45" si="25">BL41+BL43+BL44</f>
        <v>25837.757105610828</v>
      </c>
      <c r="BM45" s="49">
        <f t="shared" si="25"/>
        <v>25837.757105610828</v>
      </c>
      <c r="BN45" s="49">
        <f t="shared" si="25"/>
        <v>25837.757105610828</v>
      </c>
      <c r="BO45" s="49">
        <f t="shared" si="25"/>
        <v>25837.757105610828</v>
      </c>
      <c r="BP45" s="49">
        <f t="shared" si="25"/>
        <v>25837.757105610828</v>
      </c>
      <c r="BQ45" s="49">
        <f t="shared" si="25"/>
        <v>26535.376547462314</v>
      </c>
      <c r="BR45" s="49">
        <f t="shared" si="25"/>
        <v>26535.376547462314</v>
      </c>
      <c r="BS45" s="49">
        <f t="shared" si="25"/>
        <v>26535.376547462314</v>
      </c>
      <c r="BT45" s="49">
        <f t="shared" si="25"/>
        <v>26535.376547462314</v>
      </c>
      <c r="BU45" s="49">
        <f t="shared" si="25"/>
        <v>26535.376547462314</v>
      </c>
      <c r="BV45" s="49">
        <f t="shared" si="25"/>
        <v>26535.376547462314</v>
      </c>
      <c r="BW45" s="49">
        <f t="shared" si="25"/>
        <v>26535.376547462314</v>
      </c>
      <c r="BX45" s="49">
        <f t="shared" si="25"/>
        <v>26535.376547462314</v>
      </c>
    </row>
    <row r="46" spans="1:76" hidden="1" outlineLevel="1">
      <c r="B46" t="s">
        <v>85</v>
      </c>
      <c r="D46" s="49">
        <f>IF(OR(D40=1,D42=1),'Rent Roll'!$F$8/BldgSF*ReimbPool/12*D$7,0)</f>
        <v>9597.5</v>
      </c>
      <c r="E46" s="49">
        <f>IF(OR(E40=1,E42=1),'Rent Roll'!$F$8/BldgSF*ReimbPool/12*E$7,0)</f>
        <v>9597.5</v>
      </c>
      <c r="F46" s="49">
        <f>IF(OR(F40=1,F42=1),'Rent Roll'!$F$8/BldgSF*ReimbPool/12*F$7,0)</f>
        <v>9597.5</v>
      </c>
      <c r="G46" s="49">
        <f>IF(OR(G40=1,G42=1),'Rent Roll'!$F$8/BldgSF*ReimbPool/12*G$7,0)</f>
        <v>9597.5</v>
      </c>
      <c r="H46" s="49">
        <f>IF(OR(H40=1,H42=1),'Rent Roll'!$F$8/BldgSF*ReimbPool/12*H$7,0)</f>
        <v>9597.5</v>
      </c>
      <c r="I46" s="49">
        <f>IF(OR(I40=1,I42=1),'Rent Roll'!$F$8/BldgSF*ReimbPool/12*I$7,0)</f>
        <v>9856.6324999999997</v>
      </c>
      <c r="J46" s="49">
        <f>IF(OR(J40=1,J42=1),'Rent Roll'!$F$8/BldgSF*ReimbPool/12*J$7,0)</f>
        <v>9856.6324999999997</v>
      </c>
      <c r="K46" s="49">
        <f>IF(OR(K40=1,K42=1),'Rent Roll'!$F$8/BldgSF*ReimbPool/12*K$7,0)</f>
        <v>9856.6324999999997</v>
      </c>
      <c r="L46" s="49">
        <f>IF(OR(L40=1,L42=1),'Rent Roll'!$F$8/BldgSF*ReimbPool/12*L$7,0)</f>
        <v>9856.6324999999997</v>
      </c>
      <c r="M46" s="49">
        <f>IF(OR(M40=1,M42=1),'Rent Roll'!$F$8/BldgSF*ReimbPool/12*M$7,0)</f>
        <v>9856.6324999999997</v>
      </c>
      <c r="N46" s="49">
        <f>IF(OR(N40=1,N42=1),'Rent Roll'!$F$8/BldgSF*ReimbPool/12*N$7,0)</f>
        <v>9856.6324999999997</v>
      </c>
      <c r="O46" s="49">
        <f>IF(OR(O40=1,O42=1),'Rent Roll'!$F$8/BldgSF*ReimbPool/12*O$7,0)</f>
        <v>9856.6324999999997</v>
      </c>
      <c r="P46" s="49">
        <f>IF(OR(P40=1,P42=1),'Rent Roll'!$F$8/BldgSF*ReimbPool/12*P$7,0)</f>
        <v>9856.6324999999997</v>
      </c>
      <c r="Q46" s="49">
        <f>IF(OR(Q40=1,Q42=1),'Rent Roll'!$F$8/BldgSF*ReimbPool/12*Q$7,0)</f>
        <v>9856.6324999999997</v>
      </c>
      <c r="R46" s="49">
        <f>IF(OR(R40=1,R42=1),'Rent Roll'!$F$8/BldgSF*ReimbPool/12*R$7,0)</f>
        <v>9856.6324999999997</v>
      </c>
      <c r="S46" s="49">
        <f>IF(OR(S40=1,S42=1),'Rent Roll'!$F$8/BldgSF*ReimbPool/12*S$7,0)</f>
        <v>9856.6324999999997</v>
      </c>
      <c r="T46" s="49">
        <f>IF(OR(T40=1,T42=1),'Rent Roll'!$F$8/BldgSF*ReimbPool/12*T$7,0)</f>
        <v>9856.6324999999997</v>
      </c>
      <c r="U46" s="49">
        <f>IF(OR(U40=1,U42=1),'Rent Roll'!$F$8/BldgSF*ReimbPool/12*U$7,0)</f>
        <v>10122.761577499998</v>
      </c>
      <c r="V46" s="49">
        <f>IF(OR(V40=1,V42=1),'Rent Roll'!$F$8/BldgSF*ReimbPool/12*V$7,0)</f>
        <v>10122.761577499998</v>
      </c>
      <c r="W46" s="49">
        <f>IF(OR(W40=1,W42=1),'Rent Roll'!$F$8/BldgSF*ReimbPool/12*W$7,0)</f>
        <v>10122.761577499998</v>
      </c>
      <c r="X46" s="49">
        <f>IF(OR(X40=1,X42=1),'Rent Roll'!$F$8/BldgSF*ReimbPool/12*X$7,0)</f>
        <v>10122.761577499998</v>
      </c>
      <c r="Y46" s="49">
        <f>IF(OR(Y40=1,Y42=1),'Rent Roll'!$F$8/BldgSF*ReimbPool/12*Y$7,0)</f>
        <v>10122.761577499998</v>
      </c>
      <c r="Z46" s="49">
        <f>IF(OR(Z40=1,Z42=1),'Rent Roll'!$F$8/BldgSF*ReimbPool/12*Z$7,0)</f>
        <v>10122.761577499998</v>
      </c>
      <c r="AA46" s="49">
        <f>IF(OR(AA40=1,AA42=1),'Rent Roll'!$F$8/BldgSF*ReimbPool/12*AA$7,0)</f>
        <v>10122.761577499998</v>
      </c>
      <c r="AB46" s="49">
        <f>IF(OR(AB40=1,AB42=1),'Rent Roll'!$F$8/BldgSF*ReimbPool/12*AB$7,0)</f>
        <v>10122.761577499998</v>
      </c>
      <c r="AC46" s="49">
        <f>IF(OR(AC40=1,AC42=1),'Rent Roll'!$F$8/BldgSF*ReimbPool/12*AC$7,0)</f>
        <v>10122.761577499998</v>
      </c>
      <c r="AD46" s="49">
        <f>IF(OR(AD40=1,AD42=1),'Rent Roll'!$F$8/BldgSF*ReimbPool/12*AD$7,0)</f>
        <v>10122.761577499998</v>
      </c>
      <c r="AE46" s="49">
        <f>IF(OR(AE40=1,AE42=1),'Rent Roll'!$F$8/BldgSF*ReimbPool/12*AE$7,0)</f>
        <v>10122.761577499998</v>
      </c>
      <c r="AF46" s="49">
        <f>IF(OR(AF40=1,AF42=1),'Rent Roll'!$F$8/BldgSF*ReimbPool/12*AF$7,0)</f>
        <v>10122.761577499998</v>
      </c>
      <c r="AG46" s="49">
        <f>IF(OR(AG40=1,AG42=1),'Rent Roll'!$F$8/BldgSF*ReimbPool/12*AG$7,0)</f>
        <v>0</v>
      </c>
      <c r="AH46" s="49">
        <f>IF(OR(AH40=1,AH42=1),'Rent Roll'!$F$8/BldgSF*ReimbPool/12*AH$7,0)</f>
        <v>0</v>
      </c>
      <c r="AI46" s="49">
        <f>IF(OR(AI40=1,AI42=1),'Rent Roll'!$F$8/BldgSF*ReimbPool/12*AI$7,0)</f>
        <v>0</v>
      </c>
      <c r="AJ46" s="49">
        <f>IF(OR(AJ40=1,AJ42=1),'Rent Roll'!$F$8/BldgSF*ReimbPool/12*AJ$7,0)</f>
        <v>0</v>
      </c>
      <c r="AK46" s="49">
        <f>IF(OR(AK40=1,AK42=1),'Rent Roll'!$F$8/BldgSF*ReimbPool/12*AK$7,0)</f>
        <v>0</v>
      </c>
      <c r="AL46" s="49">
        <f>IF(OR(AL40=1,AL42=1),'Rent Roll'!$F$8/BldgSF*ReimbPool/12*AL$7,0)</f>
        <v>10396.076140092498</v>
      </c>
      <c r="AM46" s="49">
        <f>IF(OR(AM40=1,AM42=1),'Rent Roll'!$F$8/BldgSF*ReimbPool/12*AM$7,0)</f>
        <v>10396.076140092498</v>
      </c>
      <c r="AN46" s="49">
        <f>IF(OR(AN40=1,AN42=1),'Rent Roll'!$F$8/BldgSF*ReimbPool/12*AN$7,0)</f>
        <v>10396.076140092498</v>
      </c>
      <c r="AO46" s="49">
        <f>IF(OR(AO40=1,AO42=1),'Rent Roll'!$F$8/BldgSF*ReimbPool/12*AO$7,0)</f>
        <v>10396.076140092498</v>
      </c>
      <c r="AP46" s="49">
        <f>IF(OR(AP40=1,AP42=1),'Rent Roll'!$F$8/BldgSF*ReimbPool/12*AP$7,0)</f>
        <v>10396.076140092498</v>
      </c>
      <c r="AQ46" s="49">
        <f>IF(OR(AQ40=1,AQ42=1),'Rent Roll'!$F$8/BldgSF*ReimbPool/12*AQ$7,0)</f>
        <v>10396.076140092498</v>
      </c>
      <c r="AR46" s="49">
        <f>IF(OR(AR40=1,AR42=1),'Rent Roll'!$F$8/BldgSF*ReimbPool/12*AR$7,0)</f>
        <v>10396.076140092498</v>
      </c>
      <c r="AS46" s="49">
        <f>IF(OR(AS40=1,AS42=1),'Rent Roll'!$F$8/BldgSF*ReimbPool/12*AS$7,0)</f>
        <v>10676.770195874993</v>
      </c>
      <c r="AT46" s="49">
        <f>IF(OR(AT40=1,AT42=1),'Rent Roll'!$F$8/BldgSF*ReimbPool/12*AT$7,0)</f>
        <v>10676.770195874993</v>
      </c>
      <c r="AU46" s="49">
        <f>IF(OR(AU40=1,AU42=1),'Rent Roll'!$F$8/BldgSF*ReimbPool/12*AU$7,0)</f>
        <v>10676.770195874993</v>
      </c>
      <c r="AV46" s="49">
        <f>IF(OR(AV40=1,AV42=1),'Rent Roll'!$F$8/BldgSF*ReimbPool/12*AV$7,0)</f>
        <v>10676.770195874993</v>
      </c>
      <c r="AW46" s="49">
        <f>IF(OR(AW40=1,AW42=1),'Rent Roll'!$F$8/BldgSF*ReimbPool/12*AW$7,0)</f>
        <v>10676.770195874993</v>
      </c>
      <c r="AX46" s="49">
        <f>IF(OR(AX40=1,AX42=1),'Rent Roll'!$F$8/BldgSF*ReimbPool/12*AX$7,0)</f>
        <v>10676.770195874993</v>
      </c>
      <c r="AY46" s="49">
        <f>IF(OR(AY40=1,AY42=1),'Rent Roll'!$F$8/BldgSF*ReimbPool/12*AY$7,0)</f>
        <v>10676.770195874993</v>
      </c>
      <c r="AZ46" s="49">
        <f>IF(OR(AZ40=1,AZ42=1),'Rent Roll'!$F$8/BldgSF*ReimbPool/12*AZ$7,0)</f>
        <v>10676.770195874993</v>
      </c>
      <c r="BA46" s="49">
        <f>IF(OR(BA40=1,BA42=1),'Rent Roll'!$F$8/BldgSF*ReimbPool/12*BA$7,0)</f>
        <v>10676.770195874993</v>
      </c>
      <c r="BB46" s="49">
        <f>IF(OR(BB40=1,BB42=1),'Rent Roll'!$F$8/BldgSF*ReimbPool/12*BB$7,0)</f>
        <v>10676.770195874993</v>
      </c>
      <c r="BC46" s="49">
        <f>IF(OR(BC40=1,BC42=1),'Rent Roll'!$F$8/BldgSF*ReimbPool/12*BC$7,0)</f>
        <v>10676.770195874993</v>
      </c>
      <c r="BD46" s="49">
        <f>IF(OR(BD40=1,BD42=1),'Rent Roll'!$F$8/BldgSF*ReimbPool/12*BD$7,0)</f>
        <v>10676.770195874993</v>
      </c>
      <c r="BE46" s="49">
        <f>IF(OR(BE40=1,BE42=1),'Rent Roll'!$F$8/BldgSF*ReimbPool/12*BE$7,0)</f>
        <v>10965.042991163618</v>
      </c>
      <c r="BF46" s="49">
        <f>IF(OR(BF40=1,BF42=1),'Rent Roll'!$F$8/BldgSF*ReimbPool/12*BF$7,0)</f>
        <v>10965.042991163618</v>
      </c>
      <c r="BG46" s="49">
        <f>IF(OR(BG40=1,BG42=1),'Rent Roll'!$F$8/BldgSF*ReimbPool/12*BG$7,0)</f>
        <v>10965.042991163618</v>
      </c>
      <c r="BH46" s="49">
        <f>IF(OR(BH40=1,BH42=1),'Rent Roll'!$F$8/BldgSF*ReimbPool/12*BH$7,0)</f>
        <v>10965.042991163618</v>
      </c>
      <c r="BI46" s="49">
        <f>IF(OR(BI40=1,BI42=1),'Rent Roll'!$F$8/BldgSF*ReimbPool/12*BI$7,0)</f>
        <v>10965.042991163618</v>
      </c>
      <c r="BJ46" s="49">
        <f>IF(OR(BJ40=1,BJ42=1),'Rent Roll'!$F$8/BldgSF*ReimbPool/12*BJ$7,0)</f>
        <v>10965.042991163618</v>
      </c>
      <c r="BK46" s="49">
        <f>IF(OR(BK40=1,BK42=1),'Rent Roll'!$F$8/BldgSF*ReimbPool/12*BK$7,0)</f>
        <v>10965.042991163618</v>
      </c>
      <c r="BL46" s="49">
        <f>IF(OR(BL40=1,BL42=1),'Rent Roll'!$F$8/BldgSF*ReimbPool/12*BL$7,0)</f>
        <v>10965.042991163618</v>
      </c>
      <c r="BM46" s="49">
        <f>IF(OR(BM40=1,BM42=1),'Rent Roll'!$F$8/BldgSF*ReimbPool/12*BM$7,0)</f>
        <v>10965.042991163618</v>
      </c>
      <c r="BN46" s="49">
        <f>IF(OR(BN40=1,BN42=1),'Rent Roll'!$F$8/BldgSF*ReimbPool/12*BN$7,0)</f>
        <v>10965.042991163618</v>
      </c>
      <c r="BO46" s="49">
        <f>IF(OR(BO40=1,BO42=1),'Rent Roll'!$F$8/BldgSF*ReimbPool/12*BO$7,0)</f>
        <v>10965.042991163618</v>
      </c>
      <c r="BP46" s="49">
        <f>IF(OR(BP40=1,BP42=1),'Rent Roll'!$F$8/BldgSF*ReimbPool/12*BP$7,0)</f>
        <v>10965.042991163618</v>
      </c>
      <c r="BQ46" s="49">
        <f>IF(OR(BQ40=1,BQ42=1),'Rent Roll'!$F$8/BldgSF*ReimbPool/12*BQ$7,0)</f>
        <v>11261.099151925035</v>
      </c>
      <c r="BR46" s="49">
        <f>IF(OR(BR40=1,BR42=1),'Rent Roll'!$F$8/BldgSF*ReimbPool/12*BR$7,0)</f>
        <v>11261.099151925035</v>
      </c>
      <c r="BS46" s="49">
        <f>IF(OR(BS40=1,BS42=1),'Rent Roll'!$F$8/BldgSF*ReimbPool/12*BS$7,0)</f>
        <v>11261.099151925035</v>
      </c>
      <c r="BT46" s="49">
        <f>IF(OR(BT40=1,BT42=1),'Rent Roll'!$F$8/BldgSF*ReimbPool/12*BT$7,0)</f>
        <v>11261.099151925035</v>
      </c>
      <c r="BU46" s="49">
        <f>IF(OR(BU40=1,BU42=1),'Rent Roll'!$F$8/BldgSF*ReimbPool/12*BU$7,0)</f>
        <v>11261.099151925035</v>
      </c>
      <c r="BV46" s="49">
        <f>IF(OR(BV40=1,BV42=1),'Rent Roll'!$F$8/BldgSF*ReimbPool/12*BV$7,0)</f>
        <v>11261.099151925035</v>
      </c>
      <c r="BW46" s="49">
        <f>IF(OR(BW40=1,BW42=1),'Rent Roll'!$F$8/BldgSF*ReimbPool/12*BW$7,0)</f>
        <v>11261.099151925035</v>
      </c>
      <c r="BX46" s="49">
        <f>IF(OR(BX40=1,BX42=1),'Rent Roll'!$F$8/BldgSF*ReimbPool/12*BX$7,0)</f>
        <v>11261.099151925035</v>
      </c>
    </row>
    <row r="47" spans="1:76" hidden="1" outlineLevel="1">
      <c r="B47" t="s">
        <v>86</v>
      </c>
      <c r="D47" s="49">
        <f>IF(D$4=EOMONTH(CloseDate,'Rent Roll'!$O$8+'Rent Roll'!$S$8),-'Rent Roll'!$F$8*'Rent Roll'!$T$8,0)</f>
        <v>0</v>
      </c>
      <c r="E47" s="49">
        <f>IF(E$4=EOMONTH(CloseDate,'Rent Roll'!$O$8+'Rent Roll'!$S$8),-'Rent Roll'!$F$8*'Rent Roll'!$T$8,0)</f>
        <v>0</v>
      </c>
      <c r="F47" s="49">
        <f>IF(F$4=EOMONTH(CloseDate,'Rent Roll'!$O$8+'Rent Roll'!$S$8),-'Rent Roll'!$F$8*'Rent Roll'!$T$8,0)</f>
        <v>0</v>
      </c>
      <c r="G47" s="49">
        <f>IF(G$4=EOMONTH(CloseDate,'Rent Roll'!$O$8+'Rent Roll'!$S$8),-'Rent Roll'!$F$8*'Rent Roll'!$T$8,0)</f>
        <v>0</v>
      </c>
      <c r="H47" s="49">
        <f>IF(H$4=EOMONTH(CloseDate,'Rent Roll'!$O$8+'Rent Roll'!$S$8),-'Rent Roll'!$F$8*'Rent Roll'!$T$8,0)</f>
        <v>0</v>
      </c>
      <c r="I47" s="49">
        <f>IF(I$4=EOMONTH(CloseDate,'Rent Roll'!$O$8+'Rent Roll'!$S$8),-'Rent Roll'!$F$8*'Rent Roll'!$T$8,0)</f>
        <v>0</v>
      </c>
      <c r="J47" s="49">
        <f>IF(J$4=EOMONTH(CloseDate,'Rent Roll'!$O$8+'Rent Roll'!$S$8),-'Rent Roll'!$F$8*'Rent Roll'!$T$8,0)</f>
        <v>0</v>
      </c>
      <c r="K47" s="49">
        <f>IF(K$4=EOMONTH(CloseDate,'Rent Roll'!$O$8+'Rent Roll'!$S$8),-'Rent Roll'!$F$8*'Rent Roll'!$T$8,0)</f>
        <v>0</v>
      </c>
      <c r="L47" s="49">
        <f>IF(L$4=EOMONTH(CloseDate,'Rent Roll'!$O$8+'Rent Roll'!$S$8),-'Rent Roll'!$F$8*'Rent Roll'!$T$8,0)</f>
        <v>0</v>
      </c>
      <c r="M47" s="49">
        <f>IF(M$4=EOMONTH(CloseDate,'Rent Roll'!$O$8+'Rent Roll'!$S$8),-'Rent Roll'!$F$8*'Rent Roll'!$T$8,0)</f>
        <v>0</v>
      </c>
      <c r="N47" s="49">
        <f>IF(N$4=EOMONTH(CloseDate,'Rent Roll'!$O$8+'Rent Roll'!$S$8),-'Rent Roll'!$F$8*'Rent Roll'!$T$8,0)</f>
        <v>0</v>
      </c>
      <c r="O47" s="49">
        <f>IF(O$4=EOMONTH(CloseDate,'Rent Roll'!$O$8+'Rent Roll'!$S$8),-'Rent Roll'!$F$8*'Rent Roll'!$T$8,0)</f>
        <v>0</v>
      </c>
      <c r="P47" s="49">
        <f>IF(P$4=EOMONTH(CloseDate,'Rent Roll'!$O$8+'Rent Roll'!$S$8),-'Rent Roll'!$F$8*'Rent Roll'!$T$8,0)</f>
        <v>0</v>
      </c>
      <c r="Q47" s="49">
        <f>IF(Q$4=EOMONTH(CloseDate,'Rent Roll'!$O$8+'Rent Roll'!$S$8),-'Rent Roll'!$F$8*'Rent Roll'!$T$8,0)</f>
        <v>0</v>
      </c>
      <c r="R47" s="49">
        <f>IF(R$4=EOMONTH(CloseDate,'Rent Roll'!$O$8+'Rent Roll'!$S$8),-'Rent Roll'!$F$8*'Rent Roll'!$T$8,0)</f>
        <v>0</v>
      </c>
      <c r="S47" s="49">
        <f>IF(S$4=EOMONTH(CloseDate,'Rent Roll'!$O$8+'Rent Roll'!$S$8),-'Rent Roll'!$F$8*'Rent Roll'!$T$8,0)</f>
        <v>0</v>
      </c>
      <c r="T47" s="49">
        <f>IF(T$4=EOMONTH(CloseDate,'Rent Roll'!$O$8+'Rent Roll'!$S$8),-'Rent Roll'!$F$8*'Rent Roll'!$T$8,0)</f>
        <v>0</v>
      </c>
      <c r="U47" s="49">
        <f>IF(U$4=EOMONTH(CloseDate,'Rent Roll'!$O$8+'Rent Roll'!$S$8),-'Rent Roll'!$F$8*'Rent Roll'!$T$8,0)</f>
        <v>0</v>
      </c>
      <c r="V47" s="49">
        <f>IF(V$4=EOMONTH(CloseDate,'Rent Roll'!$O$8+'Rent Roll'!$S$8),-'Rent Roll'!$F$8*'Rent Roll'!$T$8,0)</f>
        <v>0</v>
      </c>
      <c r="W47" s="49">
        <f>IF(W$4=EOMONTH(CloseDate,'Rent Roll'!$O$8+'Rent Roll'!$S$8),-'Rent Roll'!$F$8*'Rent Roll'!$T$8,0)</f>
        <v>0</v>
      </c>
      <c r="X47" s="49">
        <f>IF(X$4=EOMONTH(CloseDate,'Rent Roll'!$O$8+'Rent Roll'!$S$8),-'Rent Roll'!$F$8*'Rent Roll'!$T$8,0)</f>
        <v>0</v>
      </c>
      <c r="Y47" s="49">
        <f>IF(Y$4=EOMONTH(CloseDate,'Rent Roll'!$O$8+'Rent Roll'!$S$8),-'Rent Roll'!$F$8*'Rent Roll'!$T$8,0)</f>
        <v>0</v>
      </c>
      <c r="Z47" s="49">
        <f>IF(Z$4=EOMONTH(CloseDate,'Rent Roll'!$O$8+'Rent Roll'!$S$8),-'Rent Roll'!$F$8*'Rent Roll'!$T$8,0)</f>
        <v>0</v>
      </c>
      <c r="AA47" s="49">
        <f>IF(AA$4=EOMONTH(CloseDate,'Rent Roll'!$O$8+'Rent Roll'!$S$8),-'Rent Roll'!$F$8*'Rent Roll'!$T$8,0)</f>
        <v>0</v>
      </c>
      <c r="AB47" s="49">
        <f>IF(AB$4=EOMONTH(CloseDate,'Rent Roll'!$O$8+'Rent Roll'!$S$8),-'Rent Roll'!$F$8*'Rent Roll'!$T$8,0)</f>
        <v>0</v>
      </c>
      <c r="AC47" s="49">
        <f>IF(AC$4=EOMONTH(CloseDate,'Rent Roll'!$O$8+'Rent Roll'!$S$8),-'Rent Roll'!$F$8*'Rent Roll'!$T$8,0)</f>
        <v>0</v>
      </c>
      <c r="AD47" s="49">
        <f>IF(AD$4=EOMONTH(CloseDate,'Rent Roll'!$O$8+'Rent Roll'!$S$8),-'Rent Roll'!$F$8*'Rent Roll'!$T$8,0)</f>
        <v>0</v>
      </c>
      <c r="AE47" s="49">
        <f>IF(AE$4=EOMONTH(CloseDate,'Rent Roll'!$O$8+'Rent Roll'!$S$8),-'Rent Roll'!$F$8*'Rent Roll'!$T$8,0)</f>
        <v>0</v>
      </c>
      <c r="AF47" s="49">
        <f>IF(AF$4=EOMONTH(CloseDate,'Rent Roll'!$O$8+'Rent Roll'!$S$8),-'Rent Roll'!$F$8*'Rent Roll'!$T$8,0)</f>
        <v>0</v>
      </c>
      <c r="AG47" s="49">
        <f>IF(AG$4=EOMONTH(CloseDate,'Rent Roll'!$O$8+'Rent Roll'!$S$8),-'Rent Roll'!$F$8*'Rent Roll'!$T$8,0)</f>
        <v>0</v>
      </c>
      <c r="AH47" s="49">
        <f>IF(AH$4=EOMONTH(CloseDate,'Rent Roll'!$O$8+'Rent Roll'!$S$8),-'Rent Roll'!$F$8*'Rent Roll'!$T$8,0)</f>
        <v>0</v>
      </c>
      <c r="AI47" s="49">
        <f>IF(AI$4=EOMONTH(CloseDate,'Rent Roll'!$O$8+'Rent Roll'!$S$8),-'Rent Roll'!$F$8*'Rent Roll'!$T$8,0)</f>
        <v>0</v>
      </c>
      <c r="AJ47" s="49">
        <f>IF(AJ$4=EOMONTH(CloseDate,'Rent Roll'!$O$8+'Rent Roll'!$S$8),-'Rent Roll'!$F$8*'Rent Roll'!$T$8,0)</f>
        <v>0</v>
      </c>
      <c r="AK47" s="49">
        <f>IF(AK$4=EOMONTH(CloseDate,'Rent Roll'!$O$8+'Rent Roll'!$S$8),-'Rent Roll'!$F$8*'Rent Roll'!$T$8,0)</f>
        <v>0</v>
      </c>
      <c r="AL47" s="49">
        <f>IF(AL$4=EOMONTH(CloseDate,'Rent Roll'!$O$8+'Rent Roll'!$S$8),-'Rent Roll'!$F$8*'Rent Roll'!$T$8,0)</f>
        <v>-396000</v>
      </c>
      <c r="AM47" s="49">
        <f>IF(AM$4=EOMONTH(CloseDate,'Rent Roll'!$O$8+'Rent Roll'!$S$8),-'Rent Roll'!$F$8*'Rent Roll'!$T$8,0)</f>
        <v>0</v>
      </c>
      <c r="AN47" s="49">
        <f>IF(AN$4=EOMONTH(CloseDate,'Rent Roll'!$O$8+'Rent Roll'!$S$8),-'Rent Roll'!$F$8*'Rent Roll'!$T$8,0)</f>
        <v>0</v>
      </c>
      <c r="AO47" s="49">
        <f>IF(AO$4=EOMONTH(CloseDate,'Rent Roll'!$O$8+'Rent Roll'!$S$8),-'Rent Roll'!$F$8*'Rent Roll'!$T$8,0)</f>
        <v>0</v>
      </c>
      <c r="AP47" s="49">
        <f>IF(AP$4=EOMONTH(CloseDate,'Rent Roll'!$O$8+'Rent Roll'!$S$8),-'Rent Roll'!$F$8*'Rent Roll'!$T$8,0)</f>
        <v>0</v>
      </c>
      <c r="AQ47" s="49">
        <f>IF(AQ$4=EOMONTH(CloseDate,'Rent Roll'!$O$8+'Rent Roll'!$S$8),-'Rent Roll'!$F$8*'Rent Roll'!$T$8,0)</f>
        <v>0</v>
      </c>
      <c r="AR47" s="49">
        <f>IF(AR$4=EOMONTH(CloseDate,'Rent Roll'!$O$8+'Rent Roll'!$S$8),-'Rent Roll'!$F$8*'Rent Roll'!$T$8,0)</f>
        <v>0</v>
      </c>
      <c r="AS47" s="49">
        <f>IF(AS$4=EOMONTH(CloseDate,'Rent Roll'!$O$8+'Rent Roll'!$S$8),-'Rent Roll'!$F$8*'Rent Roll'!$T$8,0)</f>
        <v>0</v>
      </c>
      <c r="AT47" s="49">
        <f>IF(AT$4=EOMONTH(CloseDate,'Rent Roll'!$O$8+'Rent Roll'!$S$8),-'Rent Roll'!$F$8*'Rent Roll'!$T$8,0)</f>
        <v>0</v>
      </c>
      <c r="AU47" s="49">
        <f>IF(AU$4=EOMONTH(CloseDate,'Rent Roll'!$O$8+'Rent Roll'!$S$8),-'Rent Roll'!$F$8*'Rent Roll'!$T$8,0)</f>
        <v>0</v>
      </c>
      <c r="AV47" s="49">
        <f>IF(AV$4=EOMONTH(CloseDate,'Rent Roll'!$O$8+'Rent Roll'!$S$8),-'Rent Roll'!$F$8*'Rent Roll'!$T$8,0)</f>
        <v>0</v>
      </c>
      <c r="AW47" s="49">
        <f>IF(AW$4=EOMONTH(CloseDate,'Rent Roll'!$O$8+'Rent Roll'!$S$8),-'Rent Roll'!$F$8*'Rent Roll'!$T$8,0)</f>
        <v>0</v>
      </c>
      <c r="AX47" s="49">
        <f>IF(AX$4=EOMONTH(CloseDate,'Rent Roll'!$O$8+'Rent Roll'!$S$8),-'Rent Roll'!$F$8*'Rent Roll'!$T$8,0)</f>
        <v>0</v>
      </c>
      <c r="AY47" s="49">
        <f>IF(AY$4=EOMONTH(CloseDate,'Rent Roll'!$O$8+'Rent Roll'!$S$8),-'Rent Roll'!$F$8*'Rent Roll'!$T$8,0)</f>
        <v>0</v>
      </c>
      <c r="AZ47" s="49">
        <f>IF(AZ$4=EOMONTH(CloseDate,'Rent Roll'!$O$8+'Rent Roll'!$S$8),-'Rent Roll'!$F$8*'Rent Roll'!$T$8,0)</f>
        <v>0</v>
      </c>
      <c r="BA47" s="49">
        <f>IF(BA$4=EOMONTH(CloseDate,'Rent Roll'!$O$8+'Rent Roll'!$S$8),-'Rent Roll'!$F$8*'Rent Roll'!$T$8,0)</f>
        <v>0</v>
      </c>
      <c r="BB47" s="49">
        <f>IF(BB$4=EOMONTH(CloseDate,'Rent Roll'!$O$8+'Rent Roll'!$S$8),-'Rent Roll'!$F$8*'Rent Roll'!$T$8,0)</f>
        <v>0</v>
      </c>
      <c r="BC47" s="49">
        <f>IF(BC$4=EOMONTH(CloseDate,'Rent Roll'!$O$8+'Rent Roll'!$S$8),-'Rent Roll'!$F$8*'Rent Roll'!$T$8,0)</f>
        <v>0</v>
      </c>
      <c r="BD47" s="49">
        <f>IF(BD$4=EOMONTH(CloseDate,'Rent Roll'!$O$8+'Rent Roll'!$S$8),-'Rent Roll'!$F$8*'Rent Roll'!$T$8,0)</f>
        <v>0</v>
      </c>
      <c r="BE47" s="49">
        <f>IF(BE$4=EOMONTH(CloseDate,'Rent Roll'!$O$8+'Rent Roll'!$S$8),-'Rent Roll'!$F$8*'Rent Roll'!$T$8,0)</f>
        <v>0</v>
      </c>
      <c r="BF47" s="49">
        <f>IF(BF$4=EOMONTH(CloseDate,'Rent Roll'!$O$8+'Rent Roll'!$S$8),-'Rent Roll'!$F$8*'Rent Roll'!$T$8,0)</f>
        <v>0</v>
      </c>
      <c r="BG47" s="49">
        <f>IF(BG$4=EOMONTH(CloseDate,'Rent Roll'!$O$8+'Rent Roll'!$S$8),-'Rent Roll'!$F$8*'Rent Roll'!$T$8,0)</f>
        <v>0</v>
      </c>
      <c r="BH47" s="49">
        <f>IF(BH$4=EOMONTH(CloseDate,'Rent Roll'!$O$8+'Rent Roll'!$S$8),-'Rent Roll'!$F$8*'Rent Roll'!$T$8,0)</f>
        <v>0</v>
      </c>
      <c r="BI47" s="49">
        <f>IF(BI$4=EOMONTH(CloseDate,'Rent Roll'!$O$8+'Rent Roll'!$S$8),-'Rent Roll'!$F$8*'Rent Roll'!$T$8,0)</f>
        <v>0</v>
      </c>
      <c r="BJ47" s="49">
        <f>IF(BJ$4=EOMONTH(CloseDate,'Rent Roll'!$O$8+'Rent Roll'!$S$8),-'Rent Roll'!$F$8*'Rent Roll'!$T$8,0)</f>
        <v>0</v>
      </c>
      <c r="BK47" s="49">
        <f>IF(BK$4=EOMONTH(CloseDate,'Rent Roll'!$O$8+'Rent Roll'!$S$8),-'Rent Roll'!$F$8*'Rent Roll'!$T$8,0)</f>
        <v>0</v>
      </c>
      <c r="BL47" s="49">
        <f>IF(BL$4=EOMONTH(CloseDate,'Rent Roll'!$O$8+'Rent Roll'!$S$8),-'Rent Roll'!$F$8*'Rent Roll'!$T$8,0)</f>
        <v>0</v>
      </c>
      <c r="BM47" s="49">
        <f>IF(BM$4=EOMONTH(CloseDate,'Rent Roll'!$O$8+'Rent Roll'!$S$8),-'Rent Roll'!$F$8*'Rent Roll'!$T$8,0)</f>
        <v>0</v>
      </c>
      <c r="BN47" s="49">
        <f>IF(BN$4=EOMONTH(CloseDate,'Rent Roll'!$O$8+'Rent Roll'!$S$8),-'Rent Roll'!$F$8*'Rent Roll'!$T$8,0)</f>
        <v>0</v>
      </c>
      <c r="BO47" s="49">
        <f>IF(BO$4=EOMONTH(CloseDate,'Rent Roll'!$O$8+'Rent Roll'!$S$8),-'Rent Roll'!$F$8*'Rent Roll'!$T$8,0)</f>
        <v>0</v>
      </c>
      <c r="BP47" s="49">
        <f>IF(BP$4=EOMONTH(CloseDate,'Rent Roll'!$O$8+'Rent Roll'!$S$8),-'Rent Roll'!$F$8*'Rent Roll'!$T$8,0)</f>
        <v>0</v>
      </c>
      <c r="BQ47" s="49">
        <f>IF(BQ$4=EOMONTH(CloseDate,'Rent Roll'!$O$8+'Rent Roll'!$S$8),-'Rent Roll'!$F$8*'Rent Roll'!$T$8,0)</f>
        <v>0</v>
      </c>
      <c r="BR47" s="49">
        <f>IF(BR$4=EOMONTH(CloseDate,'Rent Roll'!$O$8+'Rent Roll'!$S$8),-'Rent Roll'!$F$8*'Rent Roll'!$T$8,0)</f>
        <v>0</v>
      </c>
      <c r="BS47" s="49">
        <f>IF(BS$4=EOMONTH(CloseDate,'Rent Roll'!$O$8+'Rent Roll'!$S$8),-'Rent Roll'!$F$8*'Rent Roll'!$T$8,0)</f>
        <v>0</v>
      </c>
      <c r="BT47" s="49">
        <f>IF(BT$4=EOMONTH(CloseDate,'Rent Roll'!$O$8+'Rent Roll'!$S$8),-'Rent Roll'!$F$8*'Rent Roll'!$T$8,0)</f>
        <v>0</v>
      </c>
      <c r="BU47" s="49">
        <f>IF(BU$4=EOMONTH(CloseDate,'Rent Roll'!$O$8+'Rent Roll'!$S$8),-'Rent Roll'!$F$8*'Rent Roll'!$T$8,0)</f>
        <v>0</v>
      </c>
      <c r="BV47" s="49">
        <f>IF(BV$4=EOMONTH(CloseDate,'Rent Roll'!$O$8+'Rent Roll'!$S$8),-'Rent Roll'!$F$8*'Rent Roll'!$T$8,0)</f>
        <v>0</v>
      </c>
      <c r="BW47" s="49">
        <f>IF(BW$4=EOMONTH(CloseDate,'Rent Roll'!$O$8+'Rent Roll'!$S$8),-'Rent Roll'!$F$8*'Rent Roll'!$T$8,0)</f>
        <v>0</v>
      </c>
      <c r="BX47" s="49">
        <f>IF(BX$4=EOMONTH(CloseDate,'Rent Roll'!$O$8+'Rent Roll'!$S$8),-'Rent Roll'!$F$8*'Rent Roll'!$T$8,0)</f>
        <v>0</v>
      </c>
    </row>
    <row r="48" spans="1:76" hidden="1" outlineLevel="1">
      <c r="B48" t="s">
        <v>87</v>
      </c>
      <c r="D48" s="49">
        <f>IF(D$4=EOMONTH(CloseDate,'Rent Roll'!$O$8+'Rent Roll'!$S$8),-'Rent Roll'!$U$8*'Rent Roll'!$F$8*'Rent Roll'!$X$8,0)</f>
        <v>0</v>
      </c>
      <c r="E48" s="49">
        <f>IF(E$4=EOMONTH(CloseDate,'Rent Roll'!$O$8+'Rent Roll'!$S$8),-'Rent Roll'!$U$8*'Rent Roll'!$F$8*'Rent Roll'!$X$8,0)</f>
        <v>0</v>
      </c>
      <c r="F48" s="49">
        <f>IF(F$4=EOMONTH(CloseDate,'Rent Roll'!$O$8+'Rent Roll'!$S$8),-'Rent Roll'!$U$8*'Rent Roll'!$F$8*'Rent Roll'!$X$8,0)</f>
        <v>0</v>
      </c>
      <c r="G48" s="49">
        <f>IF(G$4=EOMONTH(CloseDate,'Rent Roll'!$O$8+'Rent Roll'!$S$8),-'Rent Roll'!$U$8*'Rent Roll'!$F$8*'Rent Roll'!$X$8,0)</f>
        <v>0</v>
      </c>
      <c r="H48" s="49">
        <f>IF(H$4=EOMONTH(CloseDate,'Rent Roll'!$O$8+'Rent Roll'!$S$8),-'Rent Roll'!$U$8*'Rent Roll'!$F$8*'Rent Roll'!$X$8,0)</f>
        <v>0</v>
      </c>
      <c r="I48" s="49">
        <f>IF(I$4=EOMONTH(CloseDate,'Rent Roll'!$O$8+'Rent Roll'!$S$8),-'Rent Roll'!$U$8*'Rent Roll'!$F$8*'Rent Roll'!$X$8,0)</f>
        <v>0</v>
      </c>
      <c r="J48" s="49">
        <f>IF(J$4=EOMONTH(CloseDate,'Rent Roll'!$O$8+'Rent Roll'!$S$8),-'Rent Roll'!$U$8*'Rent Roll'!$F$8*'Rent Roll'!$X$8,0)</f>
        <v>0</v>
      </c>
      <c r="K48" s="49">
        <f>IF(K$4=EOMONTH(CloseDate,'Rent Roll'!$O$8+'Rent Roll'!$S$8),-'Rent Roll'!$U$8*'Rent Roll'!$F$8*'Rent Roll'!$X$8,0)</f>
        <v>0</v>
      </c>
      <c r="L48" s="49">
        <f>IF(L$4=EOMONTH(CloseDate,'Rent Roll'!$O$8+'Rent Roll'!$S$8),-'Rent Roll'!$U$8*'Rent Roll'!$F$8*'Rent Roll'!$X$8,0)</f>
        <v>0</v>
      </c>
      <c r="M48" s="49">
        <f>IF(M$4=EOMONTH(CloseDate,'Rent Roll'!$O$8+'Rent Roll'!$S$8),-'Rent Roll'!$U$8*'Rent Roll'!$F$8*'Rent Roll'!$X$8,0)</f>
        <v>0</v>
      </c>
      <c r="N48" s="49">
        <f>IF(N$4=EOMONTH(CloseDate,'Rent Roll'!$O$8+'Rent Roll'!$S$8),-'Rent Roll'!$U$8*'Rent Roll'!$F$8*'Rent Roll'!$X$8,0)</f>
        <v>0</v>
      </c>
      <c r="O48" s="49">
        <f>IF(O$4=EOMONTH(CloseDate,'Rent Roll'!$O$8+'Rent Roll'!$S$8),-'Rent Roll'!$U$8*'Rent Roll'!$F$8*'Rent Roll'!$X$8,0)</f>
        <v>0</v>
      </c>
      <c r="P48" s="49">
        <f>IF(P$4=EOMONTH(CloseDate,'Rent Roll'!$O$8+'Rent Roll'!$S$8),-'Rent Roll'!$U$8*'Rent Roll'!$F$8*'Rent Roll'!$X$8,0)</f>
        <v>0</v>
      </c>
      <c r="Q48" s="49">
        <f>IF(Q$4=EOMONTH(CloseDate,'Rent Roll'!$O$8+'Rent Roll'!$S$8),-'Rent Roll'!$U$8*'Rent Roll'!$F$8*'Rent Roll'!$X$8,0)</f>
        <v>0</v>
      </c>
      <c r="R48" s="49">
        <f>IF(R$4=EOMONTH(CloseDate,'Rent Roll'!$O$8+'Rent Roll'!$S$8),-'Rent Roll'!$U$8*'Rent Roll'!$F$8*'Rent Roll'!$X$8,0)</f>
        <v>0</v>
      </c>
      <c r="S48" s="49">
        <f>IF(S$4=EOMONTH(CloseDate,'Rent Roll'!$O$8+'Rent Roll'!$S$8),-'Rent Roll'!$U$8*'Rent Roll'!$F$8*'Rent Roll'!$X$8,0)</f>
        <v>0</v>
      </c>
      <c r="T48" s="49">
        <f>IF(T$4=EOMONTH(CloseDate,'Rent Roll'!$O$8+'Rent Roll'!$S$8),-'Rent Roll'!$U$8*'Rent Roll'!$F$8*'Rent Roll'!$X$8,0)</f>
        <v>0</v>
      </c>
      <c r="U48" s="49">
        <f>IF(U$4=EOMONTH(CloseDate,'Rent Roll'!$O$8+'Rent Roll'!$S$8),-'Rent Roll'!$U$8*'Rent Roll'!$F$8*'Rent Roll'!$X$8,0)</f>
        <v>0</v>
      </c>
      <c r="V48" s="49">
        <f>IF(V$4=EOMONTH(CloseDate,'Rent Roll'!$O$8+'Rent Roll'!$S$8),-'Rent Roll'!$U$8*'Rent Roll'!$F$8*'Rent Roll'!$X$8,0)</f>
        <v>0</v>
      </c>
      <c r="W48" s="49">
        <f>IF(W$4=EOMONTH(CloseDate,'Rent Roll'!$O$8+'Rent Roll'!$S$8),-'Rent Roll'!$U$8*'Rent Roll'!$F$8*'Rent Roll'!$X$8,0)</f>
        <v>0</v>
      </c>
      <c r="X48" s="49">
        <f>IF(X$4=EOMONTH(CloseDate,'Rent Roll'!$O$8+'Rent Roll'!$S$8),-'Rent Roll'!$U$8*'Rent Roll'!$F$8*'Rent Roll'!$X$8,0)</f>
        <v>0</v>
      </c>
      <c r="Y48" s="49">
        <f>IF(Y$4=EOMONTH(CloseDate,'Rent Roll'!$O$8+'Rent Roll'!$S$8),-'Rent Roll'!$U$8*'Rent Roll'!$F$8*'Rent Roll'!$X$8,0)</f>
        <v>0</v>
      </c>
      <c r="Z48" s="49">
        <f>IF(Z$4=EOMONTH(CloseDate,'Rent Roll'!$O$8+'Rent Roll'!$S$8),-'Rent Roll'!$U$8*'Rent Roll'!$F$8*'Rent Roll'!$X$8,0)</f>
        <v>0</v>
      </c>
      <c r="AA48" s="49">
        <f>IF(AA$4=EOMONTH(CloseDate,'Rent Roll'!$O$8+'Rent Roll'!$S$8),-'Rent Roll'!$U$8*'Rent Roll'!$F$8*'Rent Roll'!$X$8,0)</f>
        <v>0</v>
      </c>
      <c r="AB48" s="49">
        <f>IF(AB$4=EOMONTH(CloseDate,'Rent Roll'!$O$8+'Rent Roll'!$S$8),-'Rent Roll'!$U$8*'Rent Roll'!$F$8*'Rent Roll'!$X$8,0)</f>
        <v>0</v>
      </c>
      <c r="AC48" s="49">
        <f>IF(AC$4=EOMONTH(CloseDate,'Rent Roll'!$O$8+'Rent Roll'!$S$8),-'Rent Roll'!$U$8*'Rent Roll'!$F$8*'Rent Roll'!$X$8,0)</f>
        <v>0</v>
      </c>
      <c r="AD48" s="49">
        <f>IF(AD$4=EOMONTH(CloseDate,'Rent Roll'!$O$8+'Rent Roll'!$S$8),-'Rent Roll'!$U$8*'Rent Roll'!$F$8*'Rent Roll'!$X$8,0)</f>
        <v>0</v>
      </c>
      <c r="AE48" s="49">
        <f>IF(AE$4=EOMONTH(CloseDate,'Rent Roll'!$O$8+'Rent Roll'!$S$8),-'Rent Roll'!$U$8*'Rent Roll'!$F$8*'Rent Roll'!$X$8,0)</f>
        <v>0</v>
      </c>
      <c r="AF48" s="49">
        <f>IF(AF$4=EOMONTH(CloseDate,'Rent Roll'!$O$8+'Rent Roll'!$S$8),-'Rent Roll'!$U$8*'Rent Roll'!$F$8*'Rent Roll'!$X$8,0)</f>
        <v>0</v>
      </c>
      <c r="AG48" s="49">
        <f>IF(AG$4=EOMONTH(CloseDate,'Rent Roll'!$O$8+'Rent Roll'!$S$8),-'Rent Roll'!$U$8*'Rent Roll'!$F$8*'Rent Roll'!$X$8,0)</f>
        <v>0</v>
      </c>
      <c r="AH48" s="49">
        <f>IF(AH$4=EOMONTH(CloseDate,'Rent Roll'!$O$8+'Rent Roll'!$S$8),-'Rent Roll'!$U$8*'Rent Roll'!$F$8*'Rent Roll'!$X$8,0)</f>
        <v>0</v>
      </c>
      <c r="AI48" s="49">
        <f>IF(AI$4=EOMONTH(CloseDate,'Rent Roll'!$O$8+'Rent Roll'!$S$8),-'Rent Roll'!$U$8*'Rent Roll'!$F$8*'Rent Roll'!$X$8,0)</f>
        <v>0</v>
      </c>
      <c r="AJ48" s="49">
        <f>IF(AJ$4=EOMONTH(CloseDate,'Rent Roll'!$O$8+'Rent Roll'!$S$8),-'Rent Roll'!$U$8*'Rent Roll'!$F$8*'Rent Roll'!$X$8,0)</f>
        <v>0</v>
      </c>
      <c r="AK48" s="49">
        <f>IF(AK$4=EOMONTH(CloseDate,'Rent Roll'!$O$8+'Rent Roll'!$S$8),-'Rent Roll'!$U$8*'Rent Roll'!$F$8*'Rent Roll'!$X$8,0)</f>
        <v>0</v>
      </c>
      <c r="AL48" s="49">
        <f>IF(AL$4=EOMONTH(CloseDate,'Rent Roll'!$O$8+'Rent Roll'!$S$8),-'Rent Roll'!$U$8*'Rent Roll'!$F$8*'Rent Roll'!$X$8,0)</f>
        <v>-13569.187499999998</v>
      </c>
      <c r="AM48" s="49">
        <f>IF(AM$4=EOMONTH(CloseDate,'Rent Roll'!$O$8+'Rent Roll'!$S$8),-'Rent Roll'!$U$8*'Rent Roll'!$F$8*'Rent Roll'!$X$8,0)</f>
        <v>0</v>
      </c>
      <c r="AN48" s="49">
        <f>IF(AN$4=EOMONTH(CloseDate,'Rent Roll'!$O$8+'Rent Roll'!$S$8),-'Rent Roll'!$U$8*'Rent Roll'!$F$8*'Rent Roll'!$X$8,0)</f>
        <v>0</v>
      </c>
      <c r="AO48" s="49">
        <f>IF(AO$4=EOMONTH(CloseDate,'Rent Roll'!$O$8+'Rent Roll'!$S$8),-'Rent Roll'!$U$8*'Rent Roll'!$F$8*'Rent Roll'!$X$8,0)</f>
        <v>0</v>
      </c>
      <c r="AP48" s="49">
        <f>IF(AP$4=EOMONTH(CloseDate,'Rent Roll'!$O$8+'Rent Roll'!$S$8),-'Rent Roll'!$U$8*'Rent Roll'!$F$8*'Rent Roll'!$X$8,0)</f>
        <v>0</v>
      </c>
      <c r="AQ48" s="49">
        <f>IF(AQ$4=EOMONTH(CloseDate,'Rent Roll'!$O$8+'Rent Roll'!$S$8),-'Rent Roll'!$U$8*'Rent Roll'!$F$8*'Rent Roll'!$X$8,0)</f>
        <v>0</v>
      </c>
      <c r="AR48" s="49">
        <f>IF(AR$4=EOMONTH(CloseDate,'Rent Roll'!$O$8+'Rent Roll'!$S$8),-'Rent Roll'!$U$8*'Rent Roll'!$F$8*'Rent Roll'!$X$8,0)</f>
        <v>0</v>
      </c>
      <c r="AS48" s="49">
        <f>IF(AS$4=EOMONTH(CloseDate,'Rent Roll'!$O$8+'Rent Roll'!$S$8),-'Rent Roll'!$U$8*'Rent Roll'!$F$8*'Rent Roll'!$X$8,0)</f>
        <v>0</v>
      </c>
      <c r="AT48" s="49">
        <f>IF(AT$4=EOMONTH(CloseDate,'Rent Roll'!$O$8+'Rent Roll'!$S$8),-'Rent Roll'!$U$8*'Rent Roll'!$F$8*'Rent Roll'!$X$8,0)</f>
        <v>0</v>
      </c>
      <c r="AU48" s="49">
        <f>IF(AU$4=EOMONTH(CloseDate,'Rent Roll'!$O$8+'Rent Roll'!$S$8),-'Rent Roll'!$U$8*'Rent Roll'!$F$8*'Rent Roll'!$X$8,0)</f>
        <v>0</v>
      </c>
      <c r="AV48" s="49">
        <f>IF(AV$4=EOMONTH(CloseDate,'Rent Roll'!$O$8+'Rent Roll'!$S$8),-'Rent Roll'!$U$8*'Rent Roll'!$F$8*'Rent Roll'!$X$8,0)</f>
        <v>0</v>
      </c>
      <c r="AW48" s="49">
        <f>IF(AW$4=EOMONTH(CloseDate,'Rent Roll'!$O$8+'Rent Roll'!$S$8),-'Rent Roll'!$U$8*'Rent Roll'!$F$8*'Rent Roll'!$X$8,0)</f>
        <v>0</v>
      </c>
      <c r="AX48" s="49">
        <f>IF(AX$4=EOMONTH(CloseDate,'Rent Roll'!$O$8+'Rent Roll'!$S$8),-'Rent Roll'!$U$8*'Rent Roll'!$F$8*'Rent Roll'!$X$8,0)</f>
        <v>0</v>
      </c>
      <c r="AY48" s="49">
        <f>IF(AY$4=EOMONTH(CloseDate,'Rent Roll'!$O$8+'Rent Roll'!$S$8),-'Rent Roll'!$U$8*'Rent Roll'!$F$8*'Rent Roll'!$X$8,0)</f>
        <v>0</v>
      </c>
      <c r="AZ48" s="49">
        <f>IF(AZ$4=EOMONTH(CloseDate,'Rent Roll'!$O$8+'Rent Roll'!$S$8),-'Rent Roll'!$U$8*'Rent Roll'!$F$8*'Rent Roll'!$X$8,0)</f>
        <v>0</v>
      </c>
      <c r="BA48" s="49">
        <f>IF(BA$4=EOMONTH(CloseDate,'Rent Roll'!$O$8+'Rent Roll'!$S$8),-'Rent Roll'!$U$8*'Rent Roll'!$F$8*'Rent Roll'!$X$8,0)</f>
        <v>0</v>
      </c>
      <c r="BB48" s="49">
        <f>IF(BB$4=EOMONTH(CloseDate,'Rent Roll'!$O$8+'Rent Roll'!$S$8),-'Rent Roll'!$U$8*'Rent Roll'!$F$8*'Rent Roll'!$X$8,0)</f>
        <v>0</v>
      </c>
      <c r="BC48" s="49">
        <f>IF(BC$4=EOMONTH(CloseDate,'Rent Roll'!$O$8+'Rent Roll'!$S$8),-'Rent Roll'!$U$8*'Rent Roll'!$F$8*'Rent Roll'!$X$8,0)</f>
        <v>0</v>
      </c>
      <c r="BD48" s="49">
        <f>IF(BD$4=EOMONTH(CloseDate,'Rent Roll'!$O$8+'Rent Roll'!$S$8),-'Rent Roll'!$U$8*'Rent Roll'!$F$8*'Rent Roll'!$X$8,0)</f>
        <v>0</v>
      </c>
      <c r="BE48" s="49">
        <f>IF(BE$4=EOMONTH(CloseDate,'Rent Roll'!$O$8+'Rent Roll'!$S$8),-'Rent Roll'!$U$8*'Rent Roll'!$F$8*'Rent Roll'!$X$8,0)</f>
        <v>0</v>
      </c>
      <c r="BF48" s="49">
        <f>IF(BF$4=EOMONTH(CloseDate,'Rent Roll'!$O$8+'Rent Roll'!$S$8),-'Rent Roll'!$U$8*'Rent Roll'!$F$8*'Rent Roll'!$X$8,0)</f>
        <v>0</v>
      </c>
      <c r="BG48" s="49">
        <f>IF(BG$4=EOMONTH(CloseDate,'Rent Roll'!$O$8+'Rent Roll'!$S$8),-'Rent Roll'!$U$8*'Rent Roll'!$F$8*'Rent Roll'!$X$8,0)</f>
        <v>0</v>
      </c>
      <c r="BH48" s="49">
        <f>IF(BH$4=EOMONTH(CloseDate,'Rent Roll'!$O$8+'Rent Roll'!$S$8),-'Rent Roll'!$U$8*'Rent Roll'!$F$8*'Rent Roll'!$X$8,0)</f>
        <v>0</v>
      </c>
      <c r="BI48" s="49">
        <f>IF(BI$4=EOMONTH(CloseDate,'Rent Roll'!$O$8+'Rent Roll'!$S$8),-'Rent Roll'!$U$8*'Rent Roll'!$F$8*'Rent Roll'!$X$8,0)</f>
        <v>0</v>
      </c>
      <c r="BJ48" s="49">
        <f>IF(BJ$4=EOMONTH(CloseDate,'Rent Roll'!$O$8+'Rent Roll'!$S$8),-'Rent Roll'!$U$8*'Rent Roll'!$F$8*'Rent Roll'!$X$8,0)</f>
        <v>0</v>
      </c>
      <c r="BK48" s="49">
        <f>IF(BK$4=EOMONTH(CloseDate,'Rent Roll'!$O$8+'Rent Roll'!$S$8),-'Rent Roll'!$U$8*'Rent Roll'!$F$8*'Rent Roll'!$X$8,0)</f>
        <v>0</v>
      </c>
      <c r="BL48" s="49">
        <f>IF(BL$4=EOMONTH(CloseDate,'Rent Roll'!$O$8+'Rent Roll'!$S$8),-'Rent Roll'!$U$8*'Rent Roll'!$F$8*'Rent Roll'!$X$8,0)</f>
        <v>0</v>
      </c>
      <c r="BM48" s="49">
        <f>IF(BM$4=EOMONTH(CloseDate,'Rent Roll'!$O$8+'Rent Roll'!$S$8),-'Rent Roll'!$U$8*'Rent Roll'!$F$8*'Rent Roll'!$X$8,0)</f>
        <v>0</v>
      </c>
      <c r="BN48" s="49">
        <f>IF(BN$4=EOMONTH(CloseDate,'Rent Roll'!$O$8+'Rent Roll'!$S$8),-'Rent Roll'!$U$8*'Rent Roll'!$F$8*'Rent Roll'!$X$8,0)</f>
        <v>0</v>
      </c>
      <c r="BO48" s="49">
        <f>IF(BO$4=EOMONTH(CloseDate,'Rent Roll'!$O$8+'Rent Roll'!$S$8),-'Rent Roll'!$U$8*'Rent Roll'!$F$8*'Rent Roll'!$X$8,0)</f>
        <v>0</v>
      </c>
      <c r="BP48" s="49">
        <f>IF(BP$4=EOMONTH(CloseDate,'Rent Roll'!$O$8+'Rent Roll'!$S$8),-'Rent Roll'!$U$8*'Rent Roll'!$F$8*'Rent Roll'!$X$8,0)</f>
        <v>0</v>
      </c>
      <c r="BQ48" s="49">
        <f>IF(BQ$4=EOMONTH(CloseDate,'Rent Roll'!$O$8+'Rent Roll'!$S$8),-'Rent Roll'!$U$8*'Rent Roll'!$F$8*'Rent Roll'!$X$8,0)</f>
        <v>0</v>
      </c>
      <c r="BR48" s="49">
        <f>IF(BR$4=EOMONTH(CloseDate,'Rent Roll'!$O$8+'Rent Roll'!$S$8),-'Rent Roll'!$U$8*'Rent Roll'!$F$8*'Rent Roll'!$X$8,0)</f>
        <v>0</v>
      </c>
      <c r="BS48" s="49">
        <f>IF(BS$4=EOMONTH(CloseDate,'Rent Roll'!$O$8+'Rent Roll'!$S$8),-'Rent Roll'!$U$8*'Rent Roll'!$F$8*'Rent Roll'!$X$8,0)</f>
        <v>0</v>
      </c>
      <c r="BT48" s="49">
        <f>IF(BT$4=EOMONTH(CloseDate,'Rent Roll'!$O$8+'Rent Roll'!$S$8),-'Rent Roll'!$U$8*'Rent Roll'!$F$8*'Rent Roll'!$X$8,0)</f>
        <v>0</v>
      </c>
      <c r="BU48" s="49">
        <f>IF(BU$4=EOMONTH(CloseDate,'Rent Roll'!$O$8+'Rent Roll'!$S$8),-'Rent Roll'!$U$8*'Rent Roll'!$F$8*'Rent Roll'!$X$8,0)</f>
        <v>0</v>
      </c>
      <c r="BV48" s="49">
        <f>IF(BV$4=EOMONTH(CloseDate,'Rent Roll'!$O$8+'Rent Roll'!$S$8),-'Rent Roll'!$U$8*'Rent Roll'!$F$8*'Rent Roll'!$X$8,0)</f>
        <v>0</v>
      </c>
      <c r="BW48" s="49">
        <f>IF(BW$4=EOMONTH(CloseDate,'Rent Roll'!$O$8+'Rent Roll'!$S$8),-'Rent Roll'!$U$8*'Rent Roll'!$F$8*'Rent Roll'!$X$8,0)</f>
        <v>0</v>
      </c>
      <c r="BX48" s="49">
        <f>IF(BX$4=EOMONTH(CloseDate,'Rent Roll'!$O$8+'Rent Roll'!$S$8),-'Rent Roll'!$U$8*'Rent Roll'!$F$8*'Rent Roll'!$X$8,0)</f>
        <v>0</v>
      </c>
    </row>
    <row r="49" spans="1:76" hidden="1" outlineLevel="1">
      <c r="A49" s="17" t="str">
        <f>'Rent Roll'!C9</f>
        <v>TechBridge Solutions</v>
      </c>
      <c r="B49" s="57">
        <f>INDEX('Rent Roll'!$F$5:$F$46,MATCH('Rent Roll Calc'!A49,'Rent Roll'!$C$5:$C$46,0))</f>
        <v>10500</v>
      </c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9"/>
      <c r="AM49" s="49"/>
      <c r="AN49" s="49"/>
      <c r="AO49" s="49"/>
      <c r="AP49" s="49"/>
      <c r="AQ49" s="49"/>
      <c r="AR49" s="49"/>
      <c r="AS49" s="49"/>
      <c r="AT49" s="49"/>
      <c r="AU49" s="49"/>
      <c r="AV49" s="49"/>
      <c r="AW49" s="49"/>
      <c r="AX49" s="49"/>
      <c r="AY49" s="49"/>
      <c r="AZ49" s="49"/>
      <c r="BA49" s="49"/>
      <c r="BB49" s="49"/>
      <c r="BC49" s="49"/>
      <c r="BD49" s="49"/>
      <c r="BE49" s="49"/>
      <c r="BF49" s="49"/>
      <c r="BG49" s="49"/>
      <c r="BH49" s="49"/>
      <c r="BI49" s="49"/>
      <c r="BJ49" s="49"/>
      <c r="BK49" s="49"/>
      <c r="BL49" s="49"/>
      <c r="BM49" s="49"/>
      <c r="BN49" s="49"/>
      <c r="BO49" s="49"/>
      <c r="BP49" s="49"/>
      <c r="BQ49" s="49"/>
      <c r="BR49" s="49"/>
      <c r="BS49" s="49"/>
      <c r="BT49" s="49"/>
      <c r="BU49" s="49"/>
      <c r="BV49" s="49"/>
      <c r="BW49" s="49"/>
      <c r="BX49" s="49"/>
    </row>
    <row r="50" spans="1:76" hidden="1" outlineLevel="1">
      <c r="B50" t="s">
        <v>83</v>
      </c>
      <c r="D50" s="49">
        <f>IF(AND('Rent Roll'!$N$9&lt;&gt;"Ghost",D$4&lt;='Rent Roll'!$L$9),1,0)</f>
        <v>1</v>
      </c>
      <c r="E50" s="49">
        <f>IF(AND('Rent Roll'!$N$9&lt;&gt;"Ghost",E$4&lt;='Rent Roll'!$L$9),1,0)</f>
        <v>1</v>
      </c>
      <c r="F50" s="49">
        <f>IF(AND('Rent Roll'!$N$9&lt;&gt;"Ghost",F$4&lt;='Rent Roll'!$L$9),1,0)</f>
        <v>1</v>
      </c>
      <c r="G50" s="49">
        <f>IF(AND('Rent Roll'!$N$9&lt;&gt;"Ghost",G$4&lt;='Rent Roll'!$L$9),1,0)</f>
        <v>1</v>
      </c>
      <c r="H50" s="49">
        <f>IF(AND('Rent Roll'!$N$9&lt;&gt;"Ghost",H$4&lt;='Rent Roll'!$L$9),1,0)</f>
        <v>1</v>
      </c>
      <c r="I50" s="49">
        <f>IF(AND('Rent Roll'!$N$9&lt;&gt;"Ghost",I$4&lt;='Rent Roll'!$L$9),1,0)</f>
        <v>1</v>
      </c>
      <c r="J50" s="49">
        <f>IF(AND('Rent Roll'!$N$9&lt;&gt;"Ghost",J$4&lt;='Rent Roll'!$L$9),1,0)</f>
        <v>1</v>
      </c>
      <c r="K50" s="49">
        <f>IF(AND('Rent Roll'!$N$9&lt;&gt;"Ghost",K$4&lt;='Rent Roll'!$L$9),1,0)</f>
        <v>1</v>
      </c>
      <c r="L50" s="49">
        <f>IF(AND('Rent Roll'!$N$9&lt;&gt;"Ghost",L$4&lt;='Rent Roll'!$L$9),1,0)</f>
        <v>1</v>
      </c>
      <c r="M50" s="49">
        <f>IF(AND('Rent Roll'!$N$9&lt;&gt;"Ghost",M$4&lt;='Rent Roll'!$L$9),1,0)</f>
        <v>1</v>
      </c>
      <c r="N50" s="49">
        <f>IF(AND('Rent Roll'!$N$9&lt;&gt;"Ghost",N$4&lt;='Rent Roll'!$L$9),1,0)</f>
        <v>1</v>
      </c>
      <c r="O50" s="49">
        <f>IF(AND('Rent Roll'!$N$9&lt;&gt;"Ghost",O$4&lt;='Rent Roll'!$L$9),1,0)</f>
        <v>1</v>
      </c>
      <c r="P50" s="49">
        <f>IF(AND('Rent Roll'!$N$9&lt;&gt;"Ghost",P$4&lt;='Rent Roll'!$L$9),1,0)</f>
        <v>1</v>
      </c>
      <c r="Q50" s="49">
        <f>IF(AND('Rent Roll'!$N$9&lt;&gt;"Ghost",Q$4&lt;='Rent Roll'!$L$9),1,0)</f>
        <v>1</v>
      </c>
      <c r="R50" s="49">
        <f>IF(AND('Rent Roll'!$N$9&lt;&gt;"Ghost",R$4&lt;='Rent Roll'!$L$9),1,0)</f>
        <v>1</v>
      </c>
      <c r="S50" s="49">
        <f>IF(AND('Rent Roll'!$N$9&lt;&gt;"Ghost",S$4&lt;='Rent Roll'!$L$9),1,0)</f>
        <v>1</v>
      </c>
      <c r="T50" s="49">
        <f>IF(AND('Rent Roll'!$N$9&lt;&gt;"Ghost",T$4&lt;='Rent Roll'!$L$9),1,0)</f>
        <v>1</v>
      </c>
      <c r="U50" s="49">
        <f>IF(AND('Rent Roll'!$N$9&lt;&gt;"Ghost",U$4&lt;='Rent Roll'!$L$9),1,0)</f>
        <v>1</v>
      </c>
      <c r="V50" s="49">
        <f>IF(AND('Rent Roll'!$N$9&lt;&gt;"Ghost",V$4&lt;='Rent Roll'!$L$9),1,0)</f>
        <v>1</v>
      </c>
      <c r="W50" s="49">
        <f>IF(AND('Rent Roll'!$N$9&lt;&gt;"Ghost",W$4&lt;='Rent Roll'!$L$9),1,0)</f>
        <v>1</v>
      </c>
      <c r="X50" s="49">
        <f>IF(AND('Rent Roll'!$N$9&lt;&gt;"Ghost",X$4&lt;='Rent Roll'!$L$9),1,0)</f>
        <v>1</v>
      </c>
      <c r="Y50" s="49">
        <f>IF(AND('Rent Roll'!$N$9&lt;&gt;"Ghost",Y$4&lt;='Rent Roll'!$L$9),1,0)</f>
        <v>1</v>
      </c>
      <c r="Z50" s="49">
        <f>IF(AND('Rent Roll'!$N$9&lt;&gt;"Ghost",Z$4&lt;='Rent Roll'!$L$9),1,0)</f>
        <v>1</v>
      </c>
      <c r="AA50" s="49">
        <f>IF(AND('Rent Roll'!$N$9&lt;&gt;"Ghost",AA$4&lt;='Rent Roll'!$L$9),1,0)</f>
        <v>1</v>
      </c>
      <c r="AB50" s="49">
        <f>IF(AND('Rent Roll'!$N$9&lt;&gt;"Ghost",AB$4&lt;='Rent Roll'!$L$9),1,0)</f>
        <v>1</v>
      </c>
      <c r="AC50" s="49">
        <f>IF(AND('Rent Roll'!$N$9&lt;&gt;"Ghost",AC$4&lt;='Rent Roll'!$L$9),1,0)</f>
        <v>1</v>
      </c>
      <c r="AD50" s="49">
        <f>IF(AND('Rent Roll'!$N$9&lt;&gt;"Ghost",AD$4&lt;='Rent Roll'!$L$9),1,0)</f>
        <v>1</v>
      </c>
      <c r="AE50" s="49">
        <f>IF(AND('Rent Roll'!$N$9&lt;&gt;"Ghost",AE$4&lt;='Rent Roll'!$L$9),1,0)</f>
        <v>1</v>
      </c>
      <c r="AF50" s="49">
        <f>IF(AND('Rent Roll'!$N$9&lt;&gt;"Ghost",AF$4&lt;='Rent Roll'!$L$9),1,0)</f>
        <v>1</v>
      </c>
      <c r="AG50" s="49">
        <f>IF(AND('Rent Roll'!$N$9&lt;&gt;"Ghost",AG$4&lt;='Rent Roll'!$L$9),1,0)</f>
        <v>1</v>
      </c>
      <c r="AH50" s="49">
        <f>IF(AND('Rent Roll'!$N$9&lt;&gt;"Ghost",AH$4&lt;='Rent Roll'!$L$9),1,0)</f>
        <v>1</v>
      </c>
      <c r="AI50" s="49">
        <f>IF(AND('Rent Roll'!$N$9&lt;&gt;"Ghost",AI$4&lt;='Rent Roll'!$L$9),1,0)</f>
        <v>1</v>
      </c>
      <c r="AJ50" s="49">
        <f>IF(AND('Rent Roll'!$N$9&lt;&gt;"Ghost",AJ$4&lt;='Rent Roll'!$L$9),1,0)</f>
        <v>1</v>
      </c>
      <c r="AK50" s="49">
        <f>IF(AND('Rent Roll'!$N$9&lt;&gt;"Ghost",AK$4&lt;='Rent Roll'!$L$9),1,0)</f>
        <v>1</v>
      </c>
      <c r="AL50" s="49">
        <f>IF(AND('Rent Roll'!$N$9&lt;&gt;"Ghost",AL$4&lt;='Rent Roll'!$L$9),1,0)</f>
        <v>1</v>
      </c>
      <c r="AM50" s="49">
        <f>IF(AND('Rent Roll'!$N$9&lt;&gt;"Ghost",AM$4&lt;='Rent Roll'!$L$9),1,0)</f>
        <v>1</v>
      </c>
      <c r="AN50" s="49">
        <f>IF(AND('Rent Roll'!$N$9&lt;&gt;"Ghost",AN$4&lt;='Rent Roll'!$L$9),1,0)</f>
        <v>1</v>
      </c>
      <c r="AO50" s="49">
        <f>IF(AND('Rent Roll'!$N$9&lt;&gt;"Ghost",AO$4&lt;='Rent Roll'!$L$9),1,0)</f>
        <v>1</v>
      </c>
      <c r="AP50" s="49">
        <f>IF(AND('Rent Roll'!$N$9&lt;&gt;"Ghost",AP$4&lt;='Rent Roll'!$L$9),1,0)</f>
        <v>1</v>
      </c>
      <c r="AQ50" s="49">
        <f>IF(AND('Rent Roll'!$N$9&lt;&gt;"Ghost",AQ$4&lt;='Rent Roll'!$L$9),1,0)</f>
        <v>1</v>
      </c>
      <c r="AR50" s="49">
        <f>IF(AND('Rent Roll'!$N$9&lt;&gt;"Ghost",AR$4&lt;='Rent Roll'!$L$9),1,0)</f>
        <v>1</v>
      </c>
      <c r="AS50" s="49">
        <f>IF(AND('Rent Roll'!$N$9&lt;&gt;"Ghost",AS$4&lt;='Rent Roll'!$L$9),1,0)</f>
        <v>1</v>
      </c>
      <c r="AT50" s="49">
        <f>IF(AND('Rent Roll'!$N$9&lt;&gt;"Ghost",AT$4&lt;='Rent Roll'!$L$9),1,0)</f>
        <v>1</v>
      </c>
      <c r="AU50" s="49">
        <f>IF(AND('Rent Roll'!$N$9&lt;&gt;"Ghost",AU$4&lt;='Rent Roll'!$L$9),1,0)</f>
        <v>1</v>
      </c>
      <c r="AV50" s="49">
        <f>IF(AND('Rent Roll'!$N$9&lt;&gt;"Ghost",AV$4&lt;='Rent Roll'!$L$9),1,0)</f>
        <v>1</v>
      </c>
      <c r="AW50" s="49">
        <f>IF(AND('Rent Roll'!$N$9&lt;&gt;"Ghost",AW$4&lt;='Rent Roll'!$L$9),1,0)</f>
        <v>1</v>
      </c>
      <c r="AX50" s="49">
        <f>IF(AND('Rent Roll'!$N$9&lt;&gt;"Ghost",AX$4&lt;='Rent Roll'!$L$9),1,0)</f>
        <v>1</v>
      </c>
      <c r="AY50" s="49">
        <f>IF(AND('Rent Roll'!$N$9&lt;&gt;"Ghost",AY$4&lt;='Rent Roll'!$L$9),1,0)</f>
        <v>0</v>
      </c>
      <c r="AZ50" s="49">
        <f>IF(AND('Rent Roll'!$N$9&lt;&gt;"Ghost",AZ$4&lt;='Rent Roll'!$L$9),1,0)</f>
        <v>0</v>
      </c>
      <c r="BA50" s="49">
        <f>IF(AND('Rent Roll'!$N$9&lt;&gt;"Ghost",BA$4&lt;='Rent Roll'!$L$9),1,0)</f>
        <v>0</v>
      </c>
      <c r="BB50" s="49">
        <f>IF(AND('Rent Roll'!$N$9&lt;&gt;"Ghost",BB$4&lt;='Rent Roll'!$L$9),1,0)</f>
        <v>0</v>
      </c>
      <c r="BC50" s="49">
        <f>IF(AND('Rent Roll'!$N$9&lt;&gt;"Ghost",BC$4&lt;='Rent Roll'!$L$9),1,0)</f>
        <v>0</v>
      </c>
      <c r="BD50" s="49">
        <f>IF(AND('Rent Roll'!$N$9&lt;&gt;"Ghost",BD$4&lt;='Rent Roll'!$L$9),1,0)</f>
        <v>0</v>
      </c>
      <c r="BE50" s="49">
        <f>IF(AND('Rent Roll'!$N$9&lt;&gt;"Ghost",BE$4&lt;='Rent Roll'!$L$9),1,0)</f>
        <v>0</v>
      </c>
      <c r="BF50" s="49">
        <f>IF(AND('Rent Roll'!$N$9&lt;&gt;"Ghost",BF$4&lt;='Rent Roll'!$L$9),1,0)</f>
        <v>0</v>
      </c>
      <c r="BG50" s="49">
        <f>IF(AND('Rent Roll'!$N$9&lt;&gt;"Ghost",BG$4&lt;='Rent Roll'!$L$9),1,0)</f>
        <v>0</v>
      </c>
      <c r="BH50" s="49">
        <f>IF(AND('Rent Roll'!$N$9&lt;&gt;"Ghost",BH$4&lt;='Rent Roll'!$L$9),1,0)</f>
        <v>0</v>
      </c>
      <c r="BI50" s="49">
        <f>IF(AND('Rent Roll'!$N$9&lt;&gt;"Ghost",BI$4&lt;='Rent Roll'!$L$9),1,0)</f>
        <v>0</v>
      </c>
      <c r="BJ50" s="49">
        <f>IF(AND('Rent Roll'!$N$9&lt;&gt;"Ghost",BJ$4&lt;='Rent Roll'!$L$9),1,0)</f>
        <v>0</v>
      </c>
      <c r="BK50" s="49">
        <f>IF(AND('Rent Roll'!$N$9&lt;&gt;"Ghost",BK$4&lt;='Rent Roll'!$L$9),1,0)</f>
        <v>0</v>
      </c>
      <c r="BL50" s="49">
        <f>IF(AND('Rent Roll'!$N$9&lt;&gt;"Ghost",BL$4&lt;='Rent Roll'!$L$9),1,0)</f>
        <v>0</v>
      </c>
      <c r="BM50" s="49">
        <f>IF(AND('Rent Roll'!$N$9&lt;&gt;"Ghost",BM$4&lt;='Rent Roll'!$L$9),1,0)</f>
        <v>0</v>
      </c>
      <c r="BN50" s="49">
        <f>IF(AND('Rent Roll'!$N$9&lt;&gt;"Ghost",BN$4&lt;='Rent Roll'!$L$9),1,0)</f>
        <v>0</v>
      </c>
      <c r="BO50" s="49">
        <f>IF(AND('Rent Roll'!$N$9&lt;&gt;"Ghost",BO$4&lt;='Rent Roll'!$L$9),1,0)</f>
        <v>0</v>
      </c>
      <c r="BP50" s="49">
        <f>IF(AND('Rent Roll'!$N$9&lt;&gt;"Ghost",BP$4&lt;='Rent Roll'!$L$9),1,0)</f>
        <v>0</v>
      </c>
      <c r="BQ50" s="49">
        <f>IF(AND('Rent Roll'!$N$9&lt;&gt;"Ghost",BQ$4&lt;='Rent Roll'!$L$9),1,0)</f>
        <v>0</v>
      </c>
      <c r="BR50" s="49">
        <f>IF(AND('Rent Roll'!$N$9&lt;&gt;"Ghost",BR$4&lt;='Rent Roll'!$L$9),1,0)</f>
        <v>0</v>
      </c>
      <c r="BS50" s="49">
        <f>IF(AND('Rent Roll'!$N$9&lt;&gt;"Ghost",BS$4&lt;='Rent Roll'!$L$9),1,0)</f>
        <v>0</v>
      </c>
      <c r="BT50" s="49">
        <f>IF(AND('Rent Roll'!$N$9&lt;&gt;"Ghost",BT$4&lt;='Rent Roll'!$L$9),1,0)</f>
        <v>0</v>
      </c>
      <c r="BU50" s="49">
        <f>IF(AND('Rent Roll'!$N$9&lt;&gt;"Ghost",BU$4&lt;='Rent Roll'!$L$9),1,0)</f>
        <v>0</v>
      </c>
      <c r="BV50" s="49">
        <f>IF(AND('Rent Roll'!$N$9&lt;&gt;"Ghost",BV$4&lt;='Rent Roll'!$L$9),1,0)</f>
        <v>0</v>
      </c>
      <c r="BW50" s="49">
        <f>IF(AND('Rent Roll'!$N$9&lt;&gt;"Ghost",BW$4&lt;='Rent Roll'!$L$9),1,0)</f>
        <v>0</v>
      </c>
      <c r="BX50" s="49">
        <f>IF(AND('Rent Roll'!$N$9&lt;&gt;"Ghost",BX$4&lt;='Rent Roll'!$L$9),1,0)</f>
        <v>0</v>
      </c>
    </row>
    <row r="51" spans="1:76" hidden="1" outlineLevel="1">
      <c r="B51" t="s">
        <v>159</v>
      </c>
      <c r="D51" s="49">
        <f>IF(D50=1,'Rent Roll'!$H$9/12*(1+'Rent Roll'!$I$9)^IF(D$4&lt;'Rent Roll'!$Y$9,0,YEAR(D$4)-YEAR('Rent Roll'!$Y$9)+1),0)</f>
        <v>19031.25</v>
      </c>
      <c r="E51" s="49">
        <f>IF(E50=1,'Rent Roll'!$H$9/12*(1+'Rent Roll'!$I$9)^IF(E$4&lt;'Rent Roll'!$Y$9,0,YEAR(E$4)-YEAR('Rent Roll'!$Y$9)+1),0)</f>
        <v>19031.25</v>
      </c>
      <c r="F51" s="49">
        <f>IF(F50=1,'Rent Roll'!$H$9/12*(1+'Rent Roll'!$I$9)^IF(F$4&lt;'Rent Roll'!$Y$9,0,YEAR(F$4)-YEAR('Rent Roll'!$Y$9)+1),0)</f>
        <v>19031.25</v>
      </c>
      <c r="G51" s="49">
        <f>IF(G50=1,'Rent Roll'!$H$9/12*(1+'Rent Roll'!$I$9)^IF(G$4&lt;'Rent Roll'!$Y$9,0,YEAR(G$4)-YEAR('Rent Roll'!$Y$9)+1),0)</f>
        <v>19031.25</v>
      </c>
      <c r="H51" s="49">
        <f>IF(H50=1,'Rent Roll'!$H$9/12*(1+'Rent Roll'!$I$9)^IF(H$4&lt;'Rent Roll'!$Y$9,0,YEAR(H$4)-YEAR('Rent Roll'!$Y$9)+1),0)</f>
        <v>19031.25</v>
      </c>
      <c r="I51" s="49">
        <f>IF(I50=1,'Rent Roll'!$H$9/12*(1+'Rent Roll'!$I$9)^IF(I$4&lt;'Rent Roll'!$Y$9,0,YEAR(I$4)-YEAR('Rent Roll'!$Y$9)+1),0)</f>
        <v>19031.25</v>
      </c>
      <c r="J51" s="49">
        <f>IF(J50=1,'Rent Roll'!$H$9/12*(1+'Rent Roll'!$I$9)^IF(J$4&lt;'Rent Roll'!$Y$9,0,YEAR(J$4)-YEAR('Rent Roll'!$Y$9)+1),0)</f>
        <v>19031.25</v>
      </c>
      <c r="K51" s="49">
        <f>IF(K50=1,'Rent Roll'!$H$9/12*(1+'Rent Roll'!$I$9)^IF(K$4&lt;'Rent Roll'!$Y$9,0,YEAR(K$4)-YEAR('Rent Roll'!$Y$9)+1),0)</f>
        <v>19031.25</v>
      </c>
      <c r="L51" s="49">
        <f>IF(L50=1,'Rent Roll'!$H$9/12*(1+'Rent Roll'!$I$9)^IF(L$4&lt;'Rent Roll'!$Y$9,0,YEAR(L$4)-YEAR('Rent Roll'!$Y$9)+1),0)</f>
        <v>19031.25</v>
      </c>
      <c r="M51" s="49">
        <f>IF(M50=1,'Rent Roll'!$H$9/12*(1+'Rent Roll'!$I$9)^IF(M$4&lt;'Rent Roll'!$Y$9,0,YEAR(M$4)-YEAR('Rent Roll'!$Y$9)+1),0)</f>
        <v>19031.25</v>
      </c>
      <c r="N51" s="49">
        <f>IF(N50=1,'Rent Roll'!$H$9/12*(1+'Rent Roll'!$I$9)^IF(N$4&lt;'Rent Roll'!$Y$9,0,YEAR(N$4)-YEAR('Rent Roll'!$Y$9)+1),0)</f>
        <v>19031.25</v>
      </c>
      <c r="O51" s="49">
        <f>IF(O50=1,'Rent Roll'!$H$9/12*(1+'Rent Roll'!$I$9)^IF(O$4&lt;'Rent Roll'!$Y$9,0,YEAR(O$4)-YEAR('Rent Roll'!$Y$9)+1),0)</f>
        <v>19602.1875</v>
      </c>
      <c r="P51" s="49">
        <f>IF(P50=1,'Rent Roll'!$H$9/12*(1+'Rent Roll'!$I$9)^IF(P$4&lt;'Rent Roll'!$Y$9,0,YEAR(P$4)-YEAR('Rent Roll'!$Y$9)+1),0)</f>
        <v>19602.1875</v>
      </c>
      <c r="Q51" s="49">
        <f>IF(Q50=1,'Rent Roll'!$H$9/12*(1+'Rent Roll'!$I$9)^IF(Q$4&lt;'Rent Roll'!$Y$9,0,YEAR(Q$4)-YEAR('Rent Roll'!$Y$9)+1),0)</f>
        <v>19602.1875</v>
      </c>
      <c r="R51" s="49">
        <f>IF(R50=1,'Rent Roll'!$H$9/12*(1+'Rent Roll'!$I$9)^IF(R$4&lt;'Rent Roll'!$Y$9,0,YEAR(R$4)-YEAR('Rent Roll'!$Y$9)+1),0)</f>
        <v>19602.1875</v>
      </c>
      <c r="S51" s="49">
        <f>IF(S50=1,'Rent Roll'!$H$9/12*(1+'Rent Roll'!$I$9)^IF(S$4&lt;'Rent Roll'!$Y$9,0,YEAR(S$4)-YEAR('Rent Roll'!$Y$9)+1),0)</f>
        <v>19602.1875</v>
      </c>
      <c r="T51" s="49">
        <f>IF(T50=1,'Rent Roll'!$H$9/12*(1+'Rent Roll'!$I$9)^IF(T$4&lt;'Rent Roll'!$Y$9,0,YEAR(T$4)-YEAR('Rent Roll'!$Y$9)+1),0)</f>
        <v>19602.1875</v>
      </c>
      <c r="U51" s="49">
        <f>IF(U50=1,'Rent Roll'!$H$9/12*(1+'Rent Roll'!$I$9)^IF(U$4&lt;'Rent Roll'!$Y$9,0,YEAR(U$4)-YEAR('Rent Roll'!$Y$9)+1),0)</f>
        <v>20190.253124999999</v>
      </c>
      <c r="V51" s="49">
        <f>IF(V50=1,'Rent Roll'!$H$9/12*(1+'Rent Roll'!$I$9)^IF(V$4&lt;'Rent Roll'!$Y$9,0,YEAR(V$4)-YEAR('Rent Roll'!$Y$9)+1),0)</f>
        <v>20190.253124999999</v>
      </c>
      <c r="W51" s="49">
        <f>IF(W50=1,'Rent Roll'!$H$9/12*(1+'Rent Roll'!$I$9)^IF(W$4&lt;'Rent Roll'!$Y$9,0,YEAR(W$4)-YEAR('Rent Roll'!$Y$9)+1),0)</f>
        <v>20190.253124999999</v>
      </c>
      <c r="X51" s="49">
        <f>IF(X50=1,'Rent Roll'!$H$9/12*(1+'Rent Roll'!$I$9)^IF(X$4&lt;'Rent Roll'!$Y$9,0,YEAR(X$4)-YEAR('Rent Roll'!$Y$9)+1),0)</f>
        <v>20190.253124999999</v>
      </c>
      <c r="Y51" s="49">
        <f>IF(Y50=1,'Rent Roll'!$H$9/12*(1+'Rent Roll'!$I$9)^IF(Y$4&lt;'Rent Roll'!$Y$9,0,YEAR(Y$4)-YEAR('Rent Roll'!$Y$9)+1),0)</f>
        <v>20190.253124999999</v>
      </c>
      <c r="Z51" s="49">
        <f>IF(Z50=1,'Rent Roll'!$H$9/12*(1+'Rent Roll'!$I$9)^IF(Z$4&lt;'Rent Roll'!$Y$9,0,YEAR(Z$4)-YEAR('Rent Roll'!$Y$9)+1),0)</f>
        <v>20190.253124999999</v>
      </c>
      <c r="AA51" s="49">
        <f>IF(AA50=1,'Rent Roll'!$H$9/12*(1+'Rent Roll'!$I$9)^IF(AA$4&lt;'Rent Roll'!$Y$9,0,YEAR(AA$4)-YEAR('Rent Roll'!$Y$9)+1),0)</f>
        <v>20190.253124999999</v>
      </c>
      <c r="AB51" s="49">
        <f>IF(AB50=1,'Rent Roll'!$H$9/12*(1+'Rent Roll'!$I$9)^IF(AB$4&lt;'Rent Roll'!$Y$9,0,YEAR(AB$4)-YEAR('Rent Roll'!$Y$9)+1),0)</f>
        <v>20190.253124999999</v>
      </c>
      <c r="AC51" s="49">
        <f>IF(AC50=1,'Rent Roll'!$H$9/12*(1+'Rent Roll'!$I$9)^IF(AC$4&lt;'Rent Roll'!$Y$9,0,YEAR(AC$4)-YEAR('Rent Roll'!$Y$9)+1),0)</f>
        <v>20190.253124999999</v>
      </c>
      <c r="AD51" s="49">
        <f>IF(AD50=1,'Rent Roll'!$H$9/12*(1+'Rent Roll'!$I$9)^IF(AD$4&lt;'Rent Roll'!$Y$9,0,YEAR(AD$4)-YEAR('Rent Roll'!$Y$9)+1),0)</f>
        <v>20190.253124999999</v>
      </c>
      <c r="AE51" s="49">
        <f>IF(AE50=1,'Rent Roll'!$H$9/12*(1+'Rent Roll'!$I$9)^IF(AE$4&lt;'Rent Roll'!$Y$9,0,YEAR(AE$4)-YEAR('Rent Roll'!$Y$9)+1),0)</f>
        <v>20190.253124999999</v>
      </c>
      <c r="AF51" s="49">
        <f>IF(AF50=1,'Rent Roll'!$H$9/12*(1+'Rent Roll'!$I$9)^IF(AF$4&lt;'Rent Roll'!$Y$9,0,YEAR(AF$4)-YEAR('Rent Roll'!$Y$9)+1),0)</f>
        <v>20190.253124999999</v>
      </c>
      <c r="AG51" s="49">
        <f>IF(AG50=1,'Rent Roll'!$H$9/12*(1+'Rent Roll'!$I$9)^IF(AG$4&lt;'Rent Roll'!$Y$9,0,YEAR(AG$4)-YEAR('Rent Roll'!$Y$9)+1),0)</f>
        <v>20795.960718750001</v>
      </c>
      <c r="AH51" s="49">
        <f>IF(AH50=1,'Rent Roll'!$H$9/12*(1+'Rent Roll'!$I$9)^IF(AH$4&lt;'Rent Roll'!$Y$9,0,YEAR(AH$4)-YEAR('Rent Roll'!$Y$9)+1),0)</f>
        <v>20795.960718750001</v>
      </c>
      <c r="AI51" s="49">
        <f>IF(AI50=1,'Rent Roll'!$H$9/12*(1+'Rent Roll'!$I$9)^IF(AI$4&lt;'Rent Roll'!$Y$9,0,YEAR(AI$4)-YEAR('Rent Roll'!$Y$9)+1),0)</f>
        <v>20795.960718750001</v>
      </c>
      <c r="AJ51" s="49">
        <f>IF(AJ50=1,'Rent Roll'!$H$9/12*(1+'Rent Roll'!$I$9)^IF(AJ$4&lt;'Rent Roll'!$Y$9,0,YEAR(AJ$4)-YEAR('Rent Roll'!$Y$9)+1),0)</f>
        <v>20795.960718750001</v>
      </c>
      <c r="AK51" s="49">
        <f>IF(AK50=1,'Rent Roll'!$H$9/12*(1+'Rent Roll'!$I$9)^IF(AK$4&lt;'Rent Roll'!$Y$9,0,YEAR(AK$4)-YEAR('Rent Roll'!$Y$9)+1),0)</f>
        <v>20795.960718750001</v>
      </c>
      <c r="AL51" s="49">
        <f>IF(AL50=1,'Rent Roll'!$H$9/12*(1+'Rent Roll'!$I$9)^IF(AL$4&lt;'Rent Roll'!$Y$9,0,YEAR(AL$4)-YEAR('Rent Roll'!$Y$9)+1),0)</f>
        <v>20795.960718750001</v>
      </c>
      <c r="AM51" s="49">
        <f>IF(AM50=1,'Rent Roll'!$H$9/12*(1+'Rent Roll'!$I$9)^IF(AM$4&lt;'Rent Roll'!$Y$9,0,YEAR(AM$4)-YEAR('Rent Roll'!$Y$9)+1),0)</f>
        <v>20795.960718750001</v>
      </c>
      <c r="AN51" s="49">
        <f>IF(AN50=1,'Rent Roll'!$H$9/12*(1+'Rent Roll'!$I$9)^IF(AN$4&lt;'Rent Roll'!$Y$9,0,YEAR(AN$4)-YEAR('Rent Roll'!$Y$9)+1),0)</f>
        <v>20795.960718750001</v>
      </c>
      <c r="AO51" s="49">
        <f>IF(AO50=1,'Rent Roll'!$H$9/12*(1+'Rent Roll'!$I$9)^IF(AO$4&lt;'Rent Roll'!$Y$9,0,YEAR(AO$4)-YEAR('Rent Roll'!$Y$9)+1),0)</f>
        <v>20795.960718750001</v>
      </c>
      <c r="AP51" s="49">
        <f>IF(AP50=1,'Rent Roll'!$H$9/12*(1+'Rent Roll'!$I$9)^IF(AP$4&lt;'Rent Roll'!$Y$9,0,YEAR(AP$4)-YEAR('Rent Roll'!$Y$9)+1),0)</f>
        <v>20795.960718750001</v>
      </c>
      <c r="AQ51" s="49">
        <f>IF(AQ50=1,'Rent Roll'!$H$9/12*(1+'Rent Roll'!$I$9)^IF(AQ$4&lt;'Rent Roll'!$Y$9,0,YEAR(AQ$4)-YEAR('Rent Roll'!$Y$9)+1),0)</f>
        <v>20795.960718750001</v>
      </c>
      <c r="AR51" s="49">
        <f>IF(AR50=1,'Rent Roll'!$H$9/12*(1+'Rent Roll'!$I$9)^IF(AR$4&lt;'Rent Roll'!$Y$9,0,YEAR(AR$4)-YEAR('Rent Roll'!$Y$9)+1),0)</f>
        <v>20795.960718750001</v>
      </c>
      <c r="AS51" s="49">
        <f>IF(AS50=1,'Rent Roll'!$H$9/12*(1+'Rent Roll'!$I$9)^IF(AS$4&lt;'Rent Roll'!$Y$9,0,YEAR(AS$4)-YEAR('Rent Roll'!$Y$9)+1),0)</f>
        <v>21419.8395403125</v>
      </c>
      <c r="AT51" s="49">
        <f>IF(AT50=1,'Rent Roll'!$H$9/12*(1+'Rent Roll'!$I$9)^IF(AT$4&lt;'Rent Roll'!$Y$9,0,YEAR(AT$4)-YEAR('Rent Roll'!$Y$9)+1),0)</f>
        <v>21419.8395403125</v>
      </c>
      <c r="AU51" s="49">
        <f>IF(AU50=1,'Rent Roll'!$H$9/12*(1+'Rent Roll'!$I$9)^IF(AU$4&lt;'Rent Roll'!$Y$9,0,YEAR(AU$4)-YEAR('Rent Roll'!$Y$9)+1),0)</f>
        <v>21419.8395403125</v>
      </c>
      <c r="AV51" s="49">
        <f>IF(AV50=1,'Rent Roll'!$H$9/12*(1+'Rent Roll'!$I$9)^IF(AV$4&lt;'Rent Roll'!$Y$9,0,YEAR(AV$4)-YEAR('Rent Roll'!$Y$9)+1),0)</f>
        <v>21419.8395403125</v>
      </c>
      <c r="AW51" s="49">
        <f>IF(AW50=1,'Rent Roll'!$H$9/12*(1+'Rent Roll'!$I$9)^IF(AW$4&lt;'Rent Roll'!$Y$9,0,YEAR(AW$4)-YEAR('Rent Roll'!$Y$9)+1),0)</f>
        <v>21419.8395403125</v>
      </c>
      <c r="AX51" s="49">
        <f>IF(AX50=1,'Rent Roll'!$H$9/12*(1+'Rent Roll'!$I$9)^IF(AX$4&lt;'Rent Roll'!$Y$9,0,YEAR(AX$4)-YEAR('Rent Roll'!$Y$9)+1),0)</f>
        <v>21419.8395403125</v>
      </c>
      <c r="AY51" s="49">
        <f>IF(AY50=1,'Rent Roll'!$H$9/12*(1+'Rent Roll'!$I$9)^IF(AY$4&lt;'Rent Roll'!$Y$9,0,YEAR(AY$4)-YEAR('Rent Roll'!$Y$9)+1),0)</f>
        <v>0</v>
      </c>
      <c r="AZ51" s="49">
        <f>IF(AZ50=1,'Rent Roll'!$H$9/12*(1+'Rent Roll'!$I$9)^IF(AZ$4&lt;'Rent Roll'!$Y$9,0,YEAR(AZ$4)-YEAR('Rent Roll'!$Y$9)+1),0)</f>
        <v>0</v>
      </c>
      <c r="BA51" s="49">
        <f>IF(BA50=1,'Rent Roll'!$H$9/12*(1+'Rent Roll'!$I$9)^IF(BA$4&lt;'Rent Roll'!$Y$9,0,YEAR(BA$4)-YEAR('Rent Roll'!$Y$9)+1),0)</f>
        <v>0</v>
      </c>
      <c r="BB51" s="49">
        <f>IF(BB50=1,'Rent Roll'!$H$9/12*(1+'Rent Roll'!$I$9)^IF(BB$4&lt;'Rent Roll'!$Y$9,0,YEAR(BB$4)-YEAR('Rent Roll'!$Y$9)+1),0)</f>
        <v>0</v>
      </c>
      <c r="BC51" s="49">
        <f>IF(BC50=1,'Rent Roll'!$H$9/12*(1+'Rent Roll'!$I$9)^IF(BC$4&lt;'Rent Roll'!$Y$9,0,YEAR(BC$4)-YEAR('Rent Roll'!$Y$9)+1),0)</f>
        <v>0</v>
      </c>
      <c r="BD51" s="49">
        <f>IF(BD50=1,'Rent Roll'!$H$9/12*(1+'Rent Roll'!$I$9)^IF(BD$4&lt;'Rent Roll'!$Y$9,0,YEAR(BD$4)-YEAR('Rent Roll'!$Y$9)+1),0)</f>
        <v>0</v>
      </c>
      <c r="BE51" s="49">
        <f>IF(BE50=1,'Rent Roll'!$H$9/12*(1+'Rent Roll'!$I$9)^IF(BE$4&lt;'Rent Roll'!$Y$9,0,YEAR(BE$4)-YEAR('Rent Roll'!$Y$9)+1),0)</f>
        <v>0</v>
      </c>
      <c r="BF51" s="49">
        <f>IF(BF50=1,'Rent Roll'!$H$9/12*(1+'Rent Roll'!$I$9)^IF(BF$4&lt;'Rent Roll'!$Y$9,0,YEAR(BF$4)-YEAR('Rent Roll'!$Y$9)+1),0)</f>
        <v>0</v>
      </c>
      <c r="BG51" s="49">
        <f>IF(BG50=1,'Rent Roll'!$H$9/12*(1+'Rent Roll'!$I$9)^IF(BG$4&lt;'Rent Roll'!$Y$9,0,YEAR(BG$4)-YEAR('Rent Roll'!$Y$9)+1),0)</f>
        <v>0</v>
      </c>
      <c r="BH51" s="49">
        <f>IF(BH50=1,'Rent Roll'!$H$9/12*(1+'Rent Roll'!$I$9)^IF(BH$4&lt;'Rent Roll'!$Y$9,0,YEAR(BH$4)-YEAR('Rent Roll'!$Y$9)+1),0)</f>
        <v>0</v>
      </c>
      <c r="BI51" s="49">
        <f>IF(BI50=1,'Rent Roll'!$H$9/12*(1+'Rent Roll'!$I$9)^IF(BI$4&lt;'Rent Roll'!$Y$9,0,YEAR(BI$4)-YEAR('Rent Roll'!$Y$9)+1),0)</f>
        <v>0</v>
      </c>
      <c r="BJ51" s="49">
        <f>IF(BJ50=1,'Rent Roll'!$H$9/12*(1+'Rent Roll'!$I$9)^IF(BJ$4&lt;'Rent Roll'!$Y$9,0,YEAR(BJ$4)-YEAR('Rent Roll'!$Y$9)+1),0)</f>
        <v>0</v>
      </c>
      <c r="BK51" s="49">
        <f>IF(BK50=1,'Rent Roll'!$H$9/12*(1+'Rent Roll'!$I$9)^IF(BK$4&lt;'Rent Roll'!$Y$9,0,YEAR(BK$4)-YEAR('Rent Roll'!$Y$9)+1),0)</f>
        <v>0</v>
      </c>
      <c r="BL51" s="49">
        <f>IF(BL50=1,'Rent Roll'!$H$9/12*(1+'Rent Roll'!$I$9)^IF(BL$4&lt;'Rent Roll'!$Y$9,0,YEAR(BL$4)-YEAR('Rent Roll'!$Y$9)+1),0)</f>
        <v>0</v>
      </c>
      <c r="BM51" s="49">
        <f>IF(BM50=1,'Rent Roll'!$H$9/12*(1+'Rent Roll'!$I$9)^IF(BM$4&lt;'Rent Roll'!$Y$9,0,YEAR(BM$4)-YEAR('Rent Roll'!$Y$9)+1),0)</f>
        <v>0</v>
      </c>
      <c r="BN51" s="49">
        <f>IF(BN50=1,'Rent Roll'!$H$9/12*(1+'Rent Roll'!$I$9)^IF(BN$4&lt;'Rent Roll'!$Y$9,0,YEAR(BN$4)-YEAR('Rent Roll'!$Y$9)+1),0)</f>
        <v>0</v>
      </c>
      <c r="BO51" s="49">
        <f>IF(BO50=1,'Rent Roll'!$H$9/12*(1+'Rent Roll'!$I$9)^IF(BO$4&lt;'Rent Roll'!$Y$9,0,YEAR(BO$4)-YEAR('Rent Roll'!$Y$9)+1),0)</f>
        <v>0</v>
      </c>
      <c r="BP51" s="49">
        <f>IF(BP50=1,'Rent Roll'!$H$9/12*(1+'Rent Roll'!$I$9)^IF(BP$4&lt;'Rent Roll'!$Y$9,0,YEAR(BP$4)-YEAR('Rent Roll'!$Y$9)+1),0)</f>
        <v>0</v>
      </c>
      <c r="BQ51" s="49">
        <f>IF(BQ50=1,'Rent Roll'!$H$9/12*(1+'Rent Roll'!$I$9)^IF(BQ$4&lt;'Rent Roll'!$Y$9,0,YEAR(BQ$4)-YEAR('Rent Roll'!$Y$9)+1),0)</f>
        <v>0</v>
      </c>
      <c r="BR51" s="49">
        <f>IF(BR50=1,'Rent Roll'!$H$9/12*(1+'Rent Roll'!$I$9)^IF(BR$4&lt;'Rent Roll'!$Y$9,0,YEAR(BR$4)-YEAR('Rent Roll'!$Y$9)+1),0)</f>
        <v>0</v>
      </c>
      <c r="BS51" s="49">
        <f>IF(BS50=1,'Rent Roll'!$H$9/12*(1+'Rent Roll'!$I$9)^IF(BS$4&lt;'Rent Roll'!$Y$9,0,YEAR(BS$4)-YEAR('Rent Roll'!$Y$9)+1),0)</f>
        <v>0</v>
      </c>
      <c r="BT51" s="49">
        <f>IF(BT50=1,'Rent Roll'!$H$9/12*(1+'Rent Roll'!$I$9)^IF(BT$4&lt;'Rent Roll'!$Y$9,0,YEAR(BT$4)-YEAR('Rent Roll'!$Y$9)+1),0)</f>
        <v>0</v>
      </c>
      <c r="BU51" s="49">
        <f>IF(BU50=1,'Rent Roll'!$H$9/12*(1+'Rent Roll'!$I$9)^IF(BU$4&lt;'Rent Roll'!$Y$9,0,YEAR(BU$4)-YEAR('Rent Roll'!$Y$9)+1),0)</f>
        <v>0</v>
      </c>
      <c r="BV51" s="49">
        <f>IF(BV50=1,'Rent Roll'!$H$9/12*(1+'Rent Roll'!$I$9)^IF(BV$4&lt;'Rent Roll'!$Y$9,0,YEAR(BV$4)-YEAR('Rent Roll'!$Y$9)+1),0)</f>
        <v>0</v>
      </c>
      <c r="BW51" s="49">
        <f>IF(BW50=1,'Rent Roll'!$H$9/12*(1+'Rent Roll'!$I$9)^IF(BW$4&lt;'Rent Roll'!$Y$9,0,YEAR(BW$4)-YEAR('Rent Roll'!$Y$9)+1),0)</f>
        <v>0</v>
      </c>
      <c r="BX51" s="49">
        <f>IF(BX50=1,'Rent Roll'!$H$9/12*(1+'Rent Roll'!$I$9)^IF(BX$4&lt;'Rent Roll'!$Y$9,0,YEAR(BX$4)-YEAR('Rent Roll'!$Y$9)+1),0)</f>
        <v>0</v>
      </c>
    </row>
    <row r="52" spans="1:76" hidden="1" outlineLevel="1">
      <c r="B52" t="s">
        <v>160</v>
      </c>
      <c r="D52" s="49">
        <f>IF(D$4&gt;EOMONTH(CloseDate,'Rent Roll'!$O$9+'Rent Roll'!$S$9-1),1,0)</f>
        <v>0</v>
      </c>
      <c r="E52" s="49">
        <f>IF(E$4&gt;EOMONTH(CloseDate,'Rent Roll'!$O$9+'Rent Roll'!$S$9-1),1,0)</f>
        <v>0</v>
      </c>
      <c r="F52" s="49">
        <f>IF(F$4&gt;EOMONTH(CloseDate,'Rent Roll'!$O$9+'Rent Roll'!$S$9-1),1,0)</f>
        <v>0</v>
      </c>
      <c r="G52" s="49">
        <f>IF(G$4&gt;EOMONTH(CloseDate,'Rent Roll'!$O$9+'Rent Roll'!$S$9-1),1,0)</f>
        <v>0</v>
      </c>
      <c r="H52" s="49">
        <f>IF(H$4&gt;EOMONTH(CloseDate,'Rent Roll'!$O$9+'Rent Roll'!$S$9-1),1,0)</f>
        <v>0</v>
      </c>
      <c r="I52" s="49">
        <f>IF(I$4&gt;EOMONTH(CloseDate,'Rent Roll'!$O$9+'Rent Roll'!$S$9-1),1,0)</f>
        <v>0</v>
      </c>
      <c r="J52" s="49">
        <f>IF(J$4&gt;EOMONTH(CloseDate,'Rent Roll'!$O$9+'Rent Roll'!$S$9-1),1,0)</f>
        <v>0</v>
      </c>
      <c r="K52" s="49">
        <f>IF(K$4&gt;EOMONTH(CloseDate,'Rent Roll'!$O$9+'Rent Roll'!$S$9-1),1,0)</f>
        <v>0</v>
      </c>
      <c r="L52" s="49">
        <f>IF(L$4&gt;EOMONTH(CloseDate,'Rent Roll'!$O$9+'Rent Roll'!$S$9-1),1,0)</f>
        <v>0</v>
      </c>
      <c r="M52" s="49">
        <f>IF(M$4&gt;EOMONTH(CloseDate,'Rent Roll'!$O$9+'Rent Roll'!$S$9-1),1,0)</f>
        <v>0</v>
      </c>
      <c r="N52" s="49">
        <f>IF(N$4&gt;EOMONTH(CloseDate,'Rent Roll'!$O$9+'Rent Roll'!$S$9-1),1,0)</f>
        <v>0</v>
      </c>
      <c r="O52" s="49">
        <f>IF(O$4&gt;EOMONTH(CloseDate,'Rent Roll'!$O$9+'Rent Roll'!$S$9-1),1,0)</f>
        <v>0</v>
      </c>
      <c r="P52" s="49">
        <f>IF(P$4&gt;EOMONTH(CloseDate,'Rent Roll'!$O$9+'Rent Roll'!$S$9-1),1,0)</f>
        <v>0</v>
      </c>
      <c r="Q52" s="49">
        <f>IF(Q$4&gt;EOMONTH(CloseDate,'Rent Roll'!$O$9+'Rent Roll'!$S$9-1),1,0)</f>
        <v>0</v>
      </c>
      <c r="R52" s="49">
        <f>IF(R$4&gt;EOMONTH(CloseDate,'Rent Roll'!$O$9+'Rent Roll'!$S$9-1),1,0)</f>
        <v>0</v>
      </c>
      <c r="S52" s="49">
        <f>IF(S$4&gt;EOMONTH(CloseDate,'Rent Roll'!$O$9+'Rent Roll'!$S$9-1),1,0)</f>
        <v>0</v>
      </c>
      <c r="T52" s="49">
        <f>IF(T$4&gt;EOMONTH(CloseDate,'Rent Roll'!$O$9+'Rent Roll'!$S$9-1),1,0)</f>
        <v>0</v>
      </c>
      <c r="U52" s="49">
        <f>IF(U$4&gt;EOMONTH(CloseDate,'Rent Roll'!$O$9+'Rent Roll'!$S$9-1),1,0)</f>
        <v>0</v>
      </c>
      <c r="V52" s="49">
        <f>IF(V$4&gt;EOMONTH(CloseDate,'Rent Roll'!$O$9+'Rent Roll'!$S$9-1),1,0)</f>
        <v>0</v>
      </c>
      <c r="W52" s="49">
        <f>IF(W$4&gt;EOMONTH(CloseDate,'Rent Roll'!$O$9+'Rent Roll'!$S$9-1),1,0)</f>
        <v>0</v>
      </c>
      <c r="X52" s="49">
        <f>IF(X$4&gt;EOMONTH(CloseDate,'Rent Roll'!$O$9+'Rent Roll'!$S$9-1),1,0)</f>
        <v>0</v>
      </c>
      <c r="Y52" s="49">
        <f>IF(Y$4&gt;EOMONTH(CloseDate,'Rent Roll'!$O$9+'Rent Roll'!$S$9-1),1,0)</f>
        <v>0</v>
      </c>
      <c r="Z52" s="49">
        <f>IF(Z$4&gt;EOMONTH(CloseDate,'Rent Roll'!$O$9+'Rent Roll'!$S$9-1),1,0)</f>
        <v>0</v>
      </c>
      <c r="AA52" s="49">
        <f>IF(AA$4&gt;EOMONTH(CloseDate,'Rent Roll'!$O$9+'Rent Roll'!$S$9-1),1,0)</f>
        <v>0</v>
      </c>
      <c r="AB52" s="49">
        <f>IF(AB$4&gt;EOMONTH(CloseDate,'Rent Roll'!$O$9+'Rent Roll'!$S$9-1),1,0)</f>
        <v>0</v>
      </c>
      <c r="AC52" s="49">
        <f>IF(AC$4&gt;EOMONTH(CloseDate,'Rent Roll'!$O$9+'Rent Roll'!$S$9-1),1,0)</f>
        <v>0</v>
      </c>
      <c r="AD52" s="49">
        <f>IF(AD$4&gt;EOMONTH(CloseDate,'Rent Roll'!$O$9+'Rent Roll'!$S$9-1),1,0)</f>
        <v>0</v>
      </c>
      <c r="AE52" s="49">
        <f>IF(AE$4&gt;EOMONTH(CloseDate,'Rent Roll'!$O$9+'Rent Roll'!$S$9-1),1,0)</f>
        <v>0</v>
      </c>
      <c r="AF52" s="49">
        <f>IF(AF$4&gt;EOMONTH(CloseDate,'Rent Roll'!$O$9+'Rent Roll'!$S$9-1),1,0)</f>
        <v>0</v>
      </c>
      <c r="AG52" s="49">
        <f>IF(AG$4&gt;EOMONTH(CloseDate,'Rent Roll'!$O$9+'Rent Roll'!$S$9-1),1,0)</f>
        <v>0</v>
      </c>
      <c r="AH52" s="49">
        <f>IF(AH$4&gt;EOMONTH(CloseDate,'Rent Roll'!$O$9+'Rent Roll'!$S$9-1),1,0)</f>
        <v>0</v>
      </c>
      <c r="AI52" s="49">
        <f>IF(AI$4&gt;EOMONTH(CloseDate,'Rent Roll'!$O$9+'Rent Roll'!$S$9-1),1,0)</f>
        <v>0</v>
      </c>
      <c r="AJ52" s="49">
        <f>IF(AJ$4&gt;EOMONTH(CloseDate,'Rent Roll'!$O$9+'Rent Roll'!$S$9-1),1,0)</f>
        <v>0</v>
      </c>
      <c r="AK52" s="49">
        <f>IF(AK$4&gt;EOMONTH(CloseDate,'Rent Roll'!$O$9+'Rent Roll'!$S$9-1),1,0)</f>
        <v>0</v>
      </c>
      <c r="AL52" s="49">
        <f>IF(AL$4&gt;EOMONTH(CloseDate,'Rent Roll'!$O$9+'Rent Roll'!$S$9-1),1,0)</f>
        <v>0</v>
      </c>
      <c r="AM52" s="49">
        <f>IF(AM$4&gt;EOMONTH(CloseDate,'Rent Roll'!$O$9+'Rent Roll'!$S$9-1),1,0)</f>
        <v>0</v>
      </c>
      <c r="AN52" s="49">
        <f>IF(AN$4&gt;EOMONTH(CloseDate,'Rent Roll'!$O$9+'Rent Roll'!$S$9-1),1,0)</f>
        <v>0</v>
      </c>
      <c r="AO52" s="49">
        <f>IF(AO$4&gt;EOMONTH(CloseDate,'Rent Roll'!$O$9+'Rent Roll'!$S$9-1),1,0)</f>
        <v>0</v>
      </c>
      <c r="AP52" s="49">
        <f>IF(AP$4&gt;EOMONTH(CloseDate,'Rent Roll'!$O$9+'Rent Roll'!$S$9-1),1,0)</f>
        <v>0</v>
      </c>
      <c r="AQ52" s="49">
        <f>IF(AQ$4&gt;EOMONTH(CloseDate,'Rent Roll'!$O$9+'Rent Roll'!$S$9-1),1,0)</f>
        <v>0</v>
      </c>
      <c r="AR52" s="49">
        <f>IF(AR$4&gt;EOMONTH(CloseDate,'Rent Roll'!$O$9+'Rent Roll'!$S$9-1),1,0)</f>
        <v>0</v>
      </c>
      <c r="AS52" s="49">
        <f>IF(AS$4&gt;EOMONTH(CloseDate,'Rent Roll'!$O$9+'Rent Roll'!$S$9-1),1,0)</f>
        <v>0</v>
      </c>
      <c r="AT52" s="49">
        <f>IF(AT$4&gt;EOMONTH(CloseDate,'Rent Roll'!$O$9+'Rent Roll'!$S$9-1),1,0)</f>
        <v>0</v>
      </c>
      <c r="AU52" s="49">
        <f>IF(AU$4&gt;EOMONTH(CloseDate,'Rent Roll'!$O$9+'Rent Roll'!$S$9-1),1,0)</f>
        <v>0</v>
      </c>
      <c r="AV52" s="49">
        <f>IF(AV$4&gt;EOMONTH(CloseDate,'Rent Roll'!$O$9+'Rent Roll'!$S$9-1),1,0)</f>
        <v>0</v>
      </c>
      <c r="AW52" s="49">
        <f>IF(AW$4&gt;EOMONTH(CloseDate,'Rent Roll'!$O$9+'Rent Roll'!$S$9-1),1,0)</f>
        <v>0</v>
      </c>
      <c r="AX52" s="49">
        <f>IF(AX$4&gt;EOMONTH(CloseDate,'Rent Roll'!$O$9+'Rent Roll'!$S$9-1),1,0)</f>
        <v>0</v>
      </c>
      <c r="AY52" s="49">
        <f>IF(AY$4&gt;EOMONTH(CloseDate,'Rent Roll'!$O$9+'Rent Roll'!$S$9-1),1,0)</f>
        <v>0</v>
      </c>
      <c r="AZ52" s="49">
        <f>IF(AZ$4&gt;EOMONTH(CloseDate,'Rent Roll'!$O$9+'Rent Roll'!$S$9-1),1,0)</f>
        <v>0</v>
      </c>
      <c r="BA52" s="49">
        <f>IF(BA$4&gt;EOMONTH(CloseDate,'Rent Roll'!$O$9+'Rent Roll'!$S$9-1),1,0)</f>
        <v>0</v>
      </c>
      <c r="BB52" s="49">
        <f>IF(BB$4&gt;EOMONTH(CloseDate,'Rent Roll'!$O$9+'Rent Roll'!$S$9-1),1,0)</f>
        <v>0</v>
      </c>
      <c r="BC52" s="49">
        <f>IF(BC$4&gt;EOMONTH(CloseDate,'Rent Roll'!$O$9+'Rent Roll'!$S$9-1),1,0)</f>
        <v>1</v>
      </c>
      <c r="BD52" s="49">
        <f>IF(BD$4&gt;EOMONTH(CloseDate,'Rent Roll'!$O$9+'Rent Roll'!$S$9-1),1,0)</f>
        <v>1</v>
      </c>
      <c r="BE52" s="49">
        <f>IF(BE$4&gt;EOMONTH(CloseDate,'Rent Roll'!$O$9+'Rent Roll'!$S$9-1),1,0)</f>
        <v>1</v>
      </c>
      <c r="BF52" s="49">
        <f>IF(BF$4&gt;EOMONTH(CloseDate,'Rent Roll'!$O$9+'Rent Roll'!$S$9-1),1,0)</f>
        <v>1</v>
      </c>
      <c r="BG52" s="49">
        <f>IF(BG$4&gt;EOMONTH(CloseDate,'Rent Roll'!$O$9+'Rent Roll'!$S$9-1),1,0)</f>
        <v>1</v>
      </c>
      <c r="BH52" s="49">
        <f>IF(BH$4&gt;EOMONTH(CloseDate,'Rent Roll'!$O$9+'Rent Roll'!$S$9-1),1,0)</f>
        <v>1</v>
      </c>
      <c r="BI52" s="49">
        <f>IF(BI$4&gt;EOMONTH(CloseDate,'Rent Roll'!$O$9+'Rent Roll'!$S$9-1),1,0)</f>
        <v>1</v>
      </c>
      <c r="BJ52" s="49">
        <f>IF(BJ$4&gt;EOMONTH(CloseDate,'Rent Roll'!$O$9+'Rent Roll'!$S$9-1),1,0)</f>
        <v>1</v>
      </c>
      <c r="BK52" s="49">
        <f>IF(BK$4&gt;EOMONTH(CloseDate,'Rent Roll'!$O$9+'Rent Roll'!$S$9-1),1,0)</f>
        <v>1</v>
      </c>
      <c r="BL52" s="49">
        <f>IF(BL$4&gt;EOMONTH(CloseDate,'Rent Roll'!$O$9+'Rent Roll'!$S$9-1),1,0)</f>
        <v>1</v>
      </c>
      <c r="BM52" s="49">
        <f>IF(BM$4&gt;EOMONTH(CloseDate,'Rent Roll'!$O$9+'Rent Roll'!$S$9-1),1,0)</f>
        <v>1</v>
      </c>
      <c r="BN52" s="49">
        <f>IF(BN$4&gt;EOMONTH(CloseDate,'Rent Roll'!$O$9+'Rent Roll'!$S$9-1),1,0)</f>
        <v>1</v>
      </c>
      <c r="BO52" s="49">
        <f>IF(BO$4&gt;EOMONTH(CloseDate,'Rent Roll'!$O$9+'Rent Roll'!$S$9-1),1,0)</f>
        <v>1</v>
      </c>
      <c r="BP52" s="49">
        <f>IF(BP$4&gt;EOMONTH(CloseDate,'Rent Roll'!$O$9+'Rent Roll'!$S$9-1),1,0)</f>
        <v>1</v>
      </c>
      <c r="BQ52" s="49">
        <f>IF(BQ$4&gt;EOMONTH(CloseDate,'Rent Roll'!$O$9+'Rent Roll'!$S$9-1),1,0)</f>
        <v>1</v>
      </c>
      <c r="BR52" s="49">
        <f>IF(BR$4&gt;EOMONTH(CloseDate,'Rent Roll'!$O$9+'Rent Roll'!$S$9-1),1,0)</f>
        <v>1</v>
      </c>
      <c r="BS52" s="49">
        <f>IF(BS$4&gt;EOMONTH(CloseDate,'Rent Roll'!$O$9+'Rent Roll'!$S$9-1),1,0)</f>
        <v>1</v>
      </c>
      <c r="BT52" s="49">
        <f>IF(BT$4&gt;EOMONTH(CloseDate,'Rent Roll'!$O$9+'Rent Roll'!$S$9-1),1,0)</f>
        <v>1</v>
      </c>
      <c r="BU52" s="49">
        <f>IF(BU$4&gt;EOMONTH(CloseDate,'Rent Roll'!$O$9+'Rent Roll'!$S$9-1),1,0)</f>
        <v>1</v>
      </c>
      <c r="BV52" s="49">
        <f>IF(BV$4&gt;EOMONTH(CloseDate,'Rent Roll'!$O$9+'Rent Roll'!$S$9-1),1,0)</f>
        <v>1</v>
      </c>
      <c r="BW52" s="49">
        <f>IF(BW$4&gt;EOMONTH(CloseDate,'Rent Roll'!$O$9+'Rent Roll'!$S$9-1),1,0)</f>
        <v>1</v>
      </c>
      <c r="BX52" s="49">
        <f>IF(BX$4&gt;EOMONTH(CloseDate,'Rent Roll'!$O$9+'Rent Roll'!$S$9-1),1,0)</f>
        <v>1</v>
      </c>
    </row>
    <row r="53" spans="1:76" hidden="1" outlineLevel="1">
      <c r="B53" t="s">
        <v>162</v>
      </c>
      <c r="D53" s="49">
        <f>IF(D52=1,'Rent Roll'!$F$9*'Rent Roll'!$X$9/12*D$6,0)</f>
        <v>0</v>
      </c>
      <c r="E53" s="49">
        <f>IF(E52=1,'Rent Roll'!$F$9*'Rent Roll'!$X$9/12*E$6,0)</f>
        <v>0</v>
      </c>
      <c r="F53" s="49">
        <f>IF(F52=1,'Rent Roll'!$F$9*'Rent Roll'!$X$9/12*F$6,0)</f>
        <v>0</v>
      </c>
      <c r="G53" s="49">
        <f>IF(G52=1,'Rent Roll'!$F$9*'Rent Roll'!$X$9/12*G$6,0)</f>
        <v>0</v>
      </c>
      <c r="H53" s="49">
        <f>IF(H52=1,'Rent Roll'!$F$9*'Rent Roll'!$X$9/12*H$6,0)</f>
        <v>0</v>
      </c>
      <c r="I53" s="49">
        <f>IF(I52=1,'Rent Roll'!$F$9*'Rent Roll'!$X$9/12*I$6,0)</f>
        <v>0</v>
      </c>
      <c r="J53" s="49">
        <f>IF(J52=1,'Rent Roll'!$F$9*'Rent Roll'!$X$9/12*J$6,0)</f>
        <v>0</v>
      </c>
      <c r="K53" s="49">
        <f>IF(K52=1,'Rent Roll'!$F$9*'Rent Roll'!$X$9/12*K$6,0)</f>
        <v>0</v>
      </c>
      <c r="L53" s="49">
        <f>IF(L52=1,'Rent Roll'!$F$9*'Rent Roll'!$X$9/12*L$6,0)</f>
        <v>0</v>
      </c>
      <c r="M53" s="49">
        <f>IF(M52=1,'Rent Roll'!$F$9*'Rent Roll'!$X$9/12*M$6,0)</f>
        <v>0</v>
      </c>
      <c r="N53" s="49">
        <f>IF(N52=1,'Rent Roll'!$F$9*'Rent Roll'!$X$9/12*N$6,0)</f>
        <v>0</v>
      </c>
      <c r="O53" s="49">
        <f>IF(O52=1,'Rent Roll'!$F$9*'Rent Roll'!$X$9/12*O$6,0)</f>
        <v>0</v>
      </c>
      <c r="P53" s="49">
        <f>IF(P52=1,'Rent Roll'!$F$9*'Rent Roll'!$X$9/12*P$6,0)</f>
        <v>0</v>
      </c>
      <c r="Q53" s="49">
        <f>IF(Q52=1,'Rent Roll'!$F$9*'Rent Roll'!$X$9/12*Q$6,0)</f>
        <v>0</v>
      </c>
      <c r="R53" s="49">
        <f>IF(R52=1,'Rent Roll'!$F$9*'Rent Roll'!$X$9/12*R$6,0)</f>
        <v>0</v>
      </c>
      <c r="S53" s="49">
        <f>IF(S52=1,'Rent Roll'!$F$9*'Rent Roll'!$X$9/12*S$6,0)</f>
        <v>0</v>
      </c>
      <c r="T53" s="49">
        <f>IF(T52=1,'Rent Roll'!$F$9*'Rent Roll'!$X$9/12*T$6,0)</f>
        <v>0</v>
      </c>
      <c r="U53" s="49">
        <f>IF(U52=1,'Rent Roll'!$F$9*'Rent Roll'!$X$9/12*U$6,0)</f>
        <v>0</v>
      </c>
      <c r="V53" s="49">
        <f>IF(V52=1,'Rent Roll'!$F$9*'Rent Roll'!$X$9/12*V$6,0)</f>
        <v>0</v>
      </c>
      <c r="W53" s="49">
        <f>IF(W52=1,'Rent Roll'!$F$9*'Rent Roll'!$X$9/12*W$6,0)</f>
        <v>0</v>
      </c>
      <c r="X53" s="49">
        <f>IF(X52=1,'Rent Roll'!$F$9*'Rent Roll'!$X$9/12*X$6,0)</f>
        <v>0</v>
      </c>
      <c r="Y53" s="49">
        <f>IF(Y52=1,'Rent Roll'!$F$9*'Rent Roll'!$X$9/12*Y$6,0)</f>
        <v>0</v>
      </c>
      <c r="Z53" s="49">
        <f>IF(Z52=1,'Rent Roll'!$F$9*'Rent Roll'!$X$9/12*Z$6,0)</f>
        <v>0</v>
      </c>
      <c r="AA53" s="49">
        <f>IF(AA52=1,'Rent Roll'!$F$9*'Rent Roll'!$X$9/12*AA$6,0)</f>
        <v>0</v>
      </c>
      <c r="AB53" s="49">
        <f>IF(AB52=1,'Rent Roll'!$F$9*'Rent Roll'!$X$9/12*AB$6,0)</f>
        <v>0</v>
      </c>
      <c r="AC53" s="49">
        <f>IF(AC52=1,'Rent Roll'!$F$9*'Rent Roll'!$X$9/12*AC$6,0)</f>
        <v>0</v>
      </c>
      <c r="AD53" s="49">
        <f>IF(AD52=1,'Rent Roll'!$F$9*'Rent Roll'!$X$9/12*AD$6,0)</f>
        <v>0</v>
      </c>
      <c r="AE53" s="49">
        <f>IF(AE52=1,'Rent Roll'!$F$9*'Rent Roll'!$X$9/12*AE$6,0)</f>
        <v>0</v>
      </c>
      <c r="AF53" s="49">
        <f>IF(AF52=1,'Rent Roll'!$F$9*'Rent Roll'!$X$9/12*AF$6,0)</f>
        <v>0</v>
      </c>
      <c r="AG53" s="49">
        <f>IF(AG52=1,'Rent Roll'!$F$9*'Rent Roll'!$X$9/12*AG$6,0)</f>
        <v>0</v>
      </c>
      <c r="AH53" s="49">
        <f>IF(AH52=1,'Rent Roll'!$F$9*'Rent Roll'!$X$9/12*AH$6,0)</f>
        <v>0</v>
      </c>
      <c r="AI53" s="49">
        <f>IF(AI52=1,'Rent Roll'!$F$9*'Rent Roll'!$X$9/12*AI$6,0)</f>
        <v>0</v>
      </c>
      <c r="AJ53" s="49">
        <f>IF(AJ52=1,'Rent Roll'!$F$9*'Rent Roll'!$X$9/12*AJ$6,0)</f>
        <v>0</v>
      </c>
      <c r="AK53" s="49">
        <f>IF(AK52=1,'Rent Roll'!$F$9*'Rent Roll'!$X$9/12*AK$6,0)</f>
        <v>0</v>
      </c>
      <c r="AL53" s="49">
        <f>IF(AL52=1,'Rent Roll'!$F$9*'Rent Roll'!$X$9/12*AL$6,0)</f>
        <v>0</v>
      </c>
      <c r="AM53" s="49">
        <f>IF(AM52=1,'Rent Roll'!$F$9*'Rent Roll'!$X$9/12*AM$6,0)</f>
        <v>0</v>
      </c>
      <c r="AN53" s="49">
        <f>IF(AN52=1,'Rent Roll'!$F$9*'Rent Roll'!$X$9/12*AN$6,0)</f>
        <v>0</v>
      </c>
      <c r="AO53" s="49">
        <f>IF(AO52=1,'Rent Roll'!$F$9*'Rent Roll'!$X$9/12*AO$6,0)</f>
        <v>0</v>
      </c>
      <c r="AP53" s="49">
        <f>IF(AP52=1,'Rent Roll'!$F$9*'Rent Roll'!$X$9/12*AP$6,0)</f>
        <v>0</v>
      </c>
      <c r="AQ53" s="49">
        <f>IF(AQ52=1,'Rent Roll'!$F$9*'Rent Roll'!$X$9/12*AQ$6,0)</f>
        <v>0</v>
      </c>
      <c r="AR53" s="49">
        <f>IF(AR52=1,'Rent Roll'!$F$9*'Rent Roll'!$X$9/12*AR$6,0)</f>
        <v>0</v>
      </c>
      <c r="AS53" s="49">
        <f>IF(AS52=1,'Rent Roll'!$F$9*'Rent Roll'!$X$9/12*AS$6,0)</f>
        <v>0</v>
      </c>
      <c r="AT53" s="49">
        <f>IF(AT52=1,'Rent Roll'!$F$9*'Rent Roll'!$X$9/12*AT$6,0)</f>
        <v>0</v>
      </c>
      <c r="AU53" s="49">
        <f>IF(AU52=1,'Rent Roll'!$F$9*'Rent Roll'!$X$9/12*AU$6,0)</f>
        <v>0</v>
      </c>
      <c r="AV53" s="49">
        <f>IF(AV52=1,'Rent Roll'!$F$9*'Rent Roll'!$X$9/12*AV$6,0)</f>
        <v>0</v>
      </c>
      <c r="AW53" s="49">
        <f>IF(AW52=1,'Rent Roll'!$F$9*'Rent Roll'!$X$9/12*AW$6,0)</f>
        <v>0</v>
      </c>
      <c r="AX53" s="49">
        <f>IF(AX52=1,'Rent Roll'!$F$9*'Rent Roll'!$X$9/12*AX$6,0)</f>
        <v>0</v>
      </c>
      <c r="AY53" s="49">
        <f>IF(AY52=1,'Rent Roll'!$F$9*'Rent Roll'!$X$9/12*AY$6,0)</f>
        <v>0</v>
      </c>
      <c r="AZ53" s="49">
        <f>IF(AZ52=1,'Rent Roll'!$F$9*'Rent Roll'!$X$9/12*AZ$6,0)</f>
        <v>0</v>
      </c>
      <c r="BA53" s="49">
        <f>IF(BA52=1,'Rent Roll'!$F$9*'Rent Roll'!$X$9/12*BA$6,0)</f>
        <v>0</v>
      </c>
      <c r="BB53" s="49">
        <f>IF(BB52=1,'Rent Roll'!$F$9*'Rent Roll'!$X$9/12*BB$6,0)</f>
        <v>0</v>
      </c>
      <c r="BC53" s="49">
        <f>IF(BC52=1,'Rent Roll'!$F$9*'Rent Roll'!$X$9/12*BC$6,0)</f>
        <v>24014.911003710164</v>
      </c>
      <c r="BD53" s="49">
        <f>IF(BD52=1,'Rent Roll'!$F$9*'Rent Roll'!$X$9/12*BD$6,0)</f>
        <v>24014.911003710164</v>
      </c>
      <c r="BE53" s="49">
        <f>IF(BE52=1,'Rent Roll'!$F$9*'Rent Roll'!$X$9/12*BE$6,0)</f>
        <v>24663.313600810336</v>
      </c>
      <c r="BF53" s="49">
        <f>IF(BF52=1,'Rent Roll'!$F$9*'Rent Roll'!$X$9/12*BF$6,0)</f>
        <v>24663.313600810336</v>
      </c>
      <c r="BG53" s="49">
        <f>IF(BG52=1,'Rent Roll'!$F$9*'Rent Roll'!$X$9/12*BG$6,0)</f>
        <v>24663.313600810336</v>
      </c>
      <c r="BH53" s="49">
        <f>IF(BH52=1,'Rent Roll'!$F$9*'Rent Roll'!$X$9/12*BH$6,0)</f>
        <v>24663.313600810336</v>
      </c>
      <c r="BI53" s="49">
        <f>IF(BI52=1,'Rent Roll'!$F$9*'Rent Roll'!$X$9/12*BI$6,0)</f>
        <v>24663.313600810336</v>
      </c>
      <c r="BJ53" s="49">
        <f>IF(BJ52=1,'Rent Roll'!$F$9*'Rent Roll'!$X$9/12*BJ$6,0)</f>
        <v>24663.313600810336</v>
      </c>
      <c r="BK53" s="49">
        <f>IF(BK52=1,'Rent Roll'!$F$9*'Rent Roll'!$X$9/12*BK$6,0)</f>
        <v>24663.313600810336</v>
      </c>
      <c r="BL53" s="49">
        <f>IF(BL52=1,'Rent Roll'!$F$9*'Rent Roll'!$X$9/12*BL$6,0)</f>
        <v>24663.313600810336</v>
      </c>
      <c r="BM53" s="49">
        <f>IF(BM52=1,'Rent Roll'!$F$9*'Rent Roll'!$X$9/12*BM$6,0)</f>
        <v>24663.313600810336</v>
      </c>
      <c r="BN53" s="49">
        <f>IF(BN52=1,'Rent Roll'!$F$9*'Rent Roll'!$X$9/12*BN$6,0)</f>
        <v>24663.313600810336</v>
      </c>
      <c r="BO53" s="49">
        <f>IF(BO52=1,'Rent Roll'!$F$9*'Rent Roll'!$X$9/12*BO$6,0)</f>
        <v>24663.313600810336</v>
      </c>
      <c r="BP53" s="49">
        <f>IF(BP52=1,'Rent Roll'!$F$9*'Rent Roll'!$X$9/12*BP$6,0)</f>
        <v>24663.313600810336</v>
      </c>
      <c r="BQ53" s="49">
        <f>IF(BQ52=1,'Rent Roll'!$F$9*'Rent Roll'!$X$9/12*BQ$6,0)</f>
        <v>25329.22306803221</v>
      </c>
      <c r="BR53" s="49">
        <f>IF(BR52=1,'Rent Roll'!$F$9*'Rent Roll'!$X$9/12*BR$6,0)</f>
        <v>25329.22306803221</v>
      </c>
      <c r="BS53" s="49">
        <f>IF(BS52=1,'Rent Roll'!$F$9*'Rent Roll'!$X$9/12*BS$6,0)</f>
        <v>25329.22306803221</v>
      </c>
      <c r="BT53" s="49">
        <f>IF(BT52=1,'Rent Roll'!$F$9*'Rent Roll'!$X$9/12*BT$6,0)</f>
        <v>25329.22306803221</v>
      </c>
      <c r="BU53" s="49">
        <f>IF(BU52=1,'Rent Roll'!$F$9*'Rent Roll'!$X$9/12*BU$6,0)</f>
        <v>25329.22306803221</v>
      </c>
      <c r="BV53" s="49">
        <f>IF(BV52=1,'Rent Roll'!$F$9*'Rent Roll'!$X$9/12*BV$6,0)</f>
        <v>25329.22306803221</v>
      </c>
      <c r="BW53" s="49">
        <f>IF(BW52=1,'Rent Roll'!$F$9*'Rent Roll'!$X$9/12*BW$6,0)</f>
        <v>25329.22306803221</v>
      </c>
      <c r="BX53" s="49">
        <f>IF(BX52=1,'Rent Roll'!$F$9*'Rent Roll'!$X$9/12*BX$6,0)</f>
        <v>25329.22306803221</v>
      </c>
    </row>
    <row r="54" spans="1:76" hidden="1" outlineLevel="1">
      <c r="B54" t="s">
        <v>163</v>
      </c>
      <c r="D54" s="49">
        <f>IF(AND(D$4&gt;EOMONTH(CloseDate,'Rent Roll'!$O$9+'Rent Roll'!$S$9-1),D$4&lt;=EOMONTH(CloseDate,'Rent Roll'!$O$9+'Rent Roll'!$S$9-1+'Rent Roll'!$V$9)),-D53,0)</f>
        <v>0</v>
      </c>
      <c r="E54" s="49">
        <f>IF(AND(E$4&gt;EOMONTH(CloseDate,'Rent Roll'!$O$9+'Rent Roll'!$S$9-1),E$4&lt;=EOMONTH(CloseDate,'Rent Roll'!$O$9+'Rent Roll'!$S$9-1+'Rent Roll'!$V$9)),-E53,0)</f>
        <v>0</v>
      </c>
      <c r="F54" s="49">
        <f>IF(AND(F$4&gt;EOMONTH(CloseDate,'Rent Roll'!$O$9+'Rent Roll'!$S$9-1),F$4&lt;=EOMONTH(CloseDate,'Rent Roll'!$O$9+'Rent Roll'!$S$9-1+'Rent Roll'!$V$9)),-F53,0)</f>
        <v>0</v>
      </c>
      <c r="G54" s="49">
        <f>IF(AND(G$4&gt;EOMONTH(CloseDate,'Rent Roll'!$O$9+'Rent Roll'!$S$9-1),G$4&lt;=EOMONTH(CloseDate,'Rent Roll'!$O$9+'Rent Roll'!$S$9-1+'Rent Roll'!$V$9)),-G53,0)</f>
        <v>0</v>
      </c>
      <c r="H54" s="49">
        <f>IF(AND(H$4&gt;EOMONTH(CloseDate,'Rent Roll'!$O$9+'Rent Roll'!$S$9-1),H$4&lt;=EOMONTH(CloseDate,'Rent Roll'!$O$9+'Rent Roll'!$S$9-1+'Rent Roll'!$V$9)),-H53,0)</f>
        <v>0</v>
      </c>
      <c r="I54" s="49">
        <f>IF(AND(I$4&gt;EOMONTH(CloseDate,'Rent Roll'!$O$9+'Rent Roll'!$S$9-1),I$4&lt;=EOMONTH(CloseDate,'Rent Roll'!$O$9+'Rent Roll'!$S$9-1+'Rent Roll'!$V$9)),-I53,0)</f>
        <v>0</v>
      </c>
      <c r="J54" s="49">
        <f>IF(AND(J$4&gt;EOMONTH(CloseDate,'Rent Roll'!$O$9+'Rent Roll'!$S$9-1),J$4&lt;=EOMONTH(CloseDate,'Rent Roll'!$O$9+'Rent Roll'!$S$9-1+'Rent Roll'!$V$9)),-J53,0)</f>
        <v>0</v>
      </c>
      <c r="K54" s="49">
        <f>IF(AND(K$4&gt;EOMONTH(CloseDate,'Rent Roll'!$O$9+'Rent Roll'!$S$9-1),K$4&lt;=EOMONTH(CloseDate,'Rent Roll'!$O$9+'Rent Roll'!$S$9-1+'Rent Roll'!$V$9)),-K53,0)</f>
        <v>0</v>
      </c>
      <c r="L54" s="49">
        <f>IF(AND(L$4&gt;EOMONTH(CloseDate,'Rent Roll'!$O$9+'Rent Roll'!$S$9-1),L$4&lt;=EOMONTH(CloseDate,'Rent Roll'!$O$9+'Rent Roll'!$S$9-1+'Rent Roll'!$V$9)),-L53,0)</f>
        <v>0</v>
      </c>
      <c r="M54" s="49">
        <f>IF(AND(M$4&gt;EOMONTH(CloseDate,'Rent Roll'!$O$9+'Rent Roll'!$S$9-1),M$4&lt;=EOMONTH(CloseDate,'Rent Roll'!$O$9+'Rent Roll'!$S$9-1+'Rent Roll'!$V$9)),-M53,0)</f>
        <v>0</v>
      </c>
      <c r="N54" s="49">
        <f>IF(AND(N$4&gt;EOMONTH(CloseDate,'Rent Roll'!$O$9+'Rent Roll'!$S$9-1),N$4&lt;=EOMONTH(CloseDate,'Rent Roll'!$O$9+'Rent Roll'!$S$9-1+'Rent Roll'!$V$9)),-N53,0)</f>
        <v>0</v>
      </c>
      <c r="O54" s="49">
        <f>IF(AND(O$4&gt;EOMONTH(CloseDate,'Rent Roll'!$O$9+'Rent Roll'!$S$9-1),O$4&lt;=EOMONTH(CloseDate,'Rent Roll'!$O$9+'Rent Roll'!$S$9-1+'Rent Roll'!$V$9)),-O53,0)</f>
        <v>0</v>
      </c>
      <c r="P54" s="49">
        <f>IF(AND(P$4&gt;EOMONTH(CloseDate,'Rent Roll'!$O$9+'Rent Roll'!$S$9-1),P$4&lt;=EOMONTH(CloseDate,'Rent Roll'!$O$9+'Rent Roll'!$S$9-1+'Rent Roll'!$V$9)),-P53,0)</f>
        <v>0</v>
      </c>
      <c r="Q54" s="49">
        <f>IF(AND(Q$4&gt;EOMONTH(CloseDate,'Rent Roll'!$O$9+'Rent Roll'!$S$9-1),Q$4&lt;=EOMONTH(CloseDate,'Rent Roll'!$O$9+'Rent Roll'!$S$9-1+'Rent Roll'!$V$9)),-Q53,0)</f>
        <v>0</v>
      </c>
      <c r="R54" s="49">
        <f>IF(AND(R$4&gt;EOMONTH(CloseDate,'Rent Roll'!$O$9+'Rent Roll'!$S$9-1),R$4&lt;=EOMONTH(CloseDate,'Rent Roll'!$O$9+'Rent Roll'!$S$9-1+'Rent Roll'!$V$9)),-R53,0)</f>
        <v>0</v>
      </c>
      <c r="S54" s="49">
        <f>IF(AND(S$4&gt;EOMONTH(CloseDate,'Rent Roll'!$O$9+'Rent Roll'!$S$9-1),S$4&lt;=EOMONTH(CloseDate,'Rent Roll'!$O$9+'Rent Roll'!$S$9-1+'Rent Roll'!$V$9)),-S53,0)</f>
        <v>0</v>
      </c>
      <c r="T54" s="49">
        <f>IF(AND(T$4&gt;EOMONTH(CloseDate,'Rent Roll'!$O$9+'Rent Roll'!$S$9-1),T$4&lt;=EOMONTH(CloseDate,'Rent Roll'!$O$9+'Rent Roll'!$S$9-1+'Rent Roll'!$V$9)),-T53,0)</f>
        <v>0</v>
      </c>
      <c r="U54" s="49">
        <f>IF(AND(U$4&gt;EOMONTH(CloseDate,'Rent Roll'!$O$9+'Rent Roll'!$S$9-1),U$4&lt;=EOMONTH(CloseDate,'Rent Roll'!$O$9+'Rent Roll'!$S$9-1+'Rent Roll'!$V$9)),-U53,0)</f>
        <v>0</v>
      </c>
      <c r="V54" s="49">
        <f>IF(AND(V$4&gt;EOMONTH(CloseDate,'Rent Roll'!$O$9+'Rent Roll'!$S$9-1),V$4&lt;=EOMONTH(CloseDate,'Rent Roll'!$O$9+'Rent Roll'!$S$9-1+'Rent Roll'!$V$9)),-V53,0)</f>
        <v>0</v>
      </c>
      <c r="W54" s="49">
        <f>IF(AND(W$4&gt;EOMONTH(CloseDate,'Rent Roll'!$O$9+'Rent Roll'!$S$9-1),W$4&lt;=EOMONTH(CloseDate,'Rent Roll'!$O$9+'Rent Roll'!$S$9-1+'Rent Roll'!$V$9)),-W53,0)</f>
        <v>0</v>
      </c>
      <c r="X54" s="49">
        <f>IF(AND(X$4&gt;EOMONTH(CloseDate,'Rent Roll'!$O$9+'Rent Roll'!$S$9-1),X$4&lt;=EOMONTH(CloseDate,'Rent Roll'!$O$9+'Rent Roll'!$S$9-1+'Rent Roll'!$V$9)),-X53,0)</f>
        <v>0</v>
      </c>
      <c r="Y54" s="49">
        <f>IF(AND(Y$4&gt;EOMONTH(CloseDate,'Rent Roll'!$O$9+'Rent Roll'!$S$9-1),Y$4&lt;=EOMONTH(CloseDate,'Rent Roll'!$O$9+'Rent Roll'!$S$9-1+'Rent Roll'!$V$9)),-Y53,0)</f>
        <v>0</v>
      </c>
      <c r="Z54" s="49">
        <f>IF(AND(Z$4&gt;EOMONTH(CloseDate,'Rent Roll'!$O$9+'Rent Roll'!$S$9-1),Z$4&lt;=EOMONTH(CloseDate,'Rent Roll'!$O$9+'Rent Roll'!$S$9-1+'Rent Roll'!$V$9)),-Z53,0)</f>
        <v>0</v>
      </c>
      <c r="AA54" s="49">
        <f>IF(AND(AA$4&gt;EOMONTH(CloseDate,'Rent Roll'!$O$9+'Rent Roll'!$S$9-1),AA$4&lt;=EOMONTH(CloseDate,'Rent Roll'!$O$9+'Rent Roll'!$S$9-1+'Rent Roll'!$V$9)),-AA53,0)</f>
        <v>0</v>
      </c>
      <c r="AB54" s="49">
        <f>IF(AND(AB$4&gt;EOMONTH(CloseDate,'Rent Roll'!$O$9+'Rent Roll'!$S$9-1),AB$4&lt;=EOMONTH(CloseDate,'Rent Roll'!$O$9+'Rent Roll'!$S$9-1+'Rent Roll'!$V$9)),-AB53,0)</f>
        <v>0</v>
      </c>
      <c r="AC54" s="49">
        <f>IF(AND(AC$4&gt;EOMONTH(CloseDate,'Rent Roll'!$O$9+'Rent Roll'!$S$9-1),AC$4&lt;=EOMONTH(CloseDate,'Rent Roll'!$O$9+'Rent Roll'!$S$9-1+'Rent Roll'!$V$9)),-AC53,0)</f>
        <v>0</v>
      </c>
      <c r="AD54" s="49">
        <f>IF(AND(AD$4&gt;EOMONTH(CloseDate,'Rent Roll'!$O$9+'Rent Roll'!$S$9-1),AD$4&lt;=EOMONTH(CloseDate,'Rent Roll'!$O$9+'Rent Roll'!$S$9-1+'Rent Roll'!$V$9)),-AD53,0)</f>
        <v>0</v>
      </c>
      <c r="AE54" s="49">
        <f>IF(AND(AE$4&gt;EOMONTH(CloseDate,'Rent Roll'!$O$9+'Rent Roll'!$S$9-1),AE$4&lt;=EOMONTH(CloseDate,'Rent Roll'!$O$9+'Rent Roll'!$S$9-1+'Rent Roll'!$V$9)),-AE53,0)</f>
        <v>0</v>
      </c>
      <c r="AF54" s="49">
        <f>IF(AND(AF$4&gt;EOMONTH(CloseDate,'Rent Roll'!$O$9+'Rent Roll'!$S$9-1),AF$4&lt;=EOMONTH(CloseDate,'Rent Roll'!$O$9+'Rent Roll'!$S$9-1+'Rent Roll'!$V$9)),-AF53,0)</f>
        <v>0</v>
      </c>
      <c r="AG54" s="49">
        <f>IF(AND(AG$4&gt;EOMONTH(CloseDate,'Rent Roll'!$O$9+'Rent Roll'!$S$9-1),AG$4&lt;=EOMONTH(CloseDate,'Rent Roll'!$O$9+'Rent Roll'!$S$9-1+'Rent Roll'!$V$9)),-AG53,0)</f>
        <v>0</v>
      </c>
      <c r="AH54" s="49">
        <f>IF(AND(AH$4&gt;EOMONTH(CloseDate,'Rent Roll'!$O$9+'Rent Roll'!$S$9-1),AH$4&lt;=EOMONTH(CloseDate,'Rent Roll'!$O$9+'Rent Roll'!$S$9-1+'Rent Roll'!$V$9)),-AH53,0)</f>
        <v>0</v>
      </c>
      <c r="AI54" s="49">
        <f>IF(AND(AI$4&gt;EOMONTH(CloseDate,'Rent Roll'!$O$9+'Rent Roll'!$S$9-1),AI$4&lt;=EOMONTH(CloseDate,'Rent Roll'!$O$9+'Rent Roll'!$S$9-1+'Rent Roll'!$V$9)),-AI53,0)</f>
        <v>0</v>
      </c>
      <c r="AJ54" s="49">
        <f>IF(AND(AJ$4&gt;EOMONTH(CloseDate,'Rent Roll'!$O$9+'Rent Roll'!$S$9-1),AJ$4&lt;=EOMONTH(CloseDate,'Rent Roll'!$O$9+'Rent Roll'!$S$9-1+'Rent Roll'!$V$9)),-AJ53,0)</f>
        <v>0</v>
      </c>
      <c r="AK54" s="49">
        <f>IF(AND(AK$4&gt;EOMONTH(CloseDate,'Rent Roll'!$O$9+'Rent Roll'!$S$9-1),AK$4&lt;=EOMONTH(CloseDate,'Rent Roll'!$O$9+'Rent Roll'!$S$9-1+'Rent Roll'!$V$9)),-AK53,0)</f>
        <v>0</v>
      </c>
      <c r="AL54" s="49">
        <f>IF(AND(AL$4&gt;EOMONTH(CloseDate,'Rent Roll'!$O$9+'Rent Roll'!$S$9-1),AL$4&lt;=EOMONTH(CloseDate,'Rent Roll'!$O$9+'Rent Roll'!$S$9-1+'Rent Roll'!$V$9)),-AL53,0)</f>
        <v>0</v>
      </c>
      <c r="AM54" s="49">
        <f>IF(AND(AM$4&gt;EOMONTH(CloseDate,'Rent Roll'!$O$9+'Rent Roll'!$S$9-1),AM$4&lt;=EOMONTH(CloseDate,'Rent Roll'!$O$9+'Rent Roll'!$S$9-1+'Rent Roll'!$V$9)),-AM53,0)</f>
        <v>0</v>
      </c>
      <c r="AN54" s="49">
        <f>IF(AND(AN$4&gt;EOMONTH(CloseDate,'Rent Roll'!$O$9+'Rent Roll'!$S$9-1),AN$4&lt;=EOMONTH(CloseDate,'Rent Roll'!$O$9+'Rent Roll'!$S$9-1+'Rent Roll'!$V$9)),-AN53,0)</f>
        <v>0</v>
      </c>
      <c r="AO54" s="49">
        <f>IF(AND(AO$4&gt;EOMONTH(CloseDate,'Rent Roll'!$O$9+'Rent Roll'!$S$9-1),AO$4&lt;=EOMONTH(CloseDate,'Rent Roll'!$O$9+'Rent Roll'!$S$9-1+'Rent Roll'!$V$9)),-AO53,0)</f>
        <v>0</v>
      </c>
      <c r="AP54" s="49">
        <f>IF(AND(AP$4&gt;EOMONTH(CloseDate,'Rent Roll'!$O$9+'Rent Roll'!$S$9-1),AP$4&lt;=EOMONTH(CloseDate,'Rent Roll'!$O$9+'Rent Roll'!$S$9-1+'Rent Roll'!$V$9)),-AP53,0)</f>
        <v>0</v>
      </c>
      <c r="AQ54" s="49">
        <f>IF(AND(AQ$4&gt;EOMONTH(CloseDate,'Rent Roll'!$O$9+'Rent Roll'!$S$9-1),AQ$4&lt;=EOMONTH(CloseDate,'Rent Roll'!$O$9+'Rent Roll'!$S$9-1+'Rent Roll'!$V$9)),-AQ53,0)</f>
        <v>0</v>
      </c>
      <c r="AR54" s="49">
        <f>IF(AND(AR$4&gt;EOMONTH(CloseDate,'Rent Roll'!$O$9+'Rent Roll'!$S$9-1),AR$4&lt;=EOMONTH(CloseDate,'Rent Roll'!$O$9+'Rent Roll'!$S$9-1+'Rent Roll'!$V$9)),-AR53,0)</f>
        <v>0</v>
      </c>
      <c r="AS54" s="49">
        <f>IF(AND(AS$4&gt;EOMONTH(CloseDate,'Rent Roll'!$O$9+'Rent Roll'!$S$9-1),AS$4&lt;=EOMONTH(CloseDate,'Rent Roll'!$O$9+'Rent Roll'!$S$9-1+'Rent Roll'!$V$9)),-AS53,0)</f>
        <v>0</v>
      </c>
      <c r="AT54" s="49">
        <f>IF(AND(AT$4&gt;EOMONTH(CloseDate,'Rent Roll'!$O$9+'Rent Roll'!$S$9-1),AT$4&lt;=EOMONTH(CloseDate,'Rent Roll'!$O$9+'Rent Roll'!$S$9-1+'Rent Roll'!$V$9)),-AT53,0)</f>
        <v>0</v>
      </c>
      <c r="AU54" s="49">
        <f>IF(AND(AU$4&gt;EOMONTH(CloseDate,'Rent Roll'!$O$9+'Rent Roll'!$S$9-1),AU$4&lt;=EOMONTH(CloseDate,'Rent Roll'!$O$9+'Rent Roll'!$S$9-1+'Rent Roll'!$V$9)),-AU53,0)</f>
        <v>0</v>
      </c>
      <c r="AV54" s="49">
        <f>IF(AND(AV$4&gt;EOMONTH(CloseDate,'Rent Roll'!$O$9+'Rent Roll'!$S$9-1),AV$4&lt;=EOMONTH(CloseDate,'Rent Roll'!$O$9+'Rent Roll'!$S$9-1+'Rent Roll'!$V$9)),-AV53,0)</f>
        <v>0</v>
      </c>
      <c r="AW54" s="49">
        <f>IF(AND(AW$4&gt;EOMONTH(CloseDate,'Rent Roll'!$O$9+'Rent Roll'!$S$9-1),AW$4&lt;=EOMONTH(CloseDate,'Rent Roll'!$O$9+'Rent Roll'!$S$9-1+'Rent Roll'!$V$9)),-AW53,0)</f>
        <v>0</v>
      </c>
      <c r="AX54" s="49">
        <f>IF(AND(AX$4&gt;EOMONTH(CloseDate,'Rent Roll'!$O$9+'Rent Roll'!$S$9-1),AX$4&lt;=EOMONTH(CloseDate,'Rent Roll'!$O$9+'Rent Roll'!$S$9-1+'Rent Roll'!$V$9)),-AX53,0)</f>
        <v>0</v>
      </c>
      <c r="AY54" s="49">
        <f>IF(AND(AY$4&gt;EOMONTH(CloseDate,'Rent Roll'!$O$9+'Rent Roll'!$S$9-1),AY$4&lt;=EOMONTH(CloseDate,'Rent Roll'!$O$9+'Rent Roll'!$S$9-1+'Rent Roll'!$V$9)),-AY53,0)</f>
        <v>0</v>
      </c>
      <c r="AZ54" s="49">
        <f>IF(AND(AZ$4&gt;EOMONTH(CloseDate,'Rent Roll'!$O$9+'Rent Roll'!$S$9-1),AZ$4&lt;=EOMONTH(CloseDate,'Rent Roll'!$O$9+'Rent Roll'!$S$9-1+'Rent Roll'!$V$9)),-AZ53,0)</f>
        <v>0</v>
      </c>
      <c r="BA54" s="49">
        <f>IF(AND(BA$4&gt;EOMONTH(CloseDate,'Rent Roll'!$O$9+'Rent Roll'!$S$9-1),BA$4&lt;=EOMONTH(CloseDate,'Rent Roll'!$O$9+'Rent Roll'!$S$9-1+'Rent Roll'!$V$9)),-BA53,0)</f>
        <v>0</v>
      </c>
      <c r="BB54" s="49">
        <f>IF(AND(BB$4&gt;EOMONTH(CloseDate,'Rent Roll'!$O$9+'Rent Roll'!$S$9-1),BB$4&lt;=EOMONTH(CloseDate,'Rent Roll'!$O$9+'Rent Roll'!$S$9-1+'Rent Roll'!$V$9)),-BB53,0)</f>
        <v>0</v>
      </c>
      <c r="BC54" s="49">
        <f>IF(AND(BC$4&gt;EOMONTH(CloseDate,'Rent Roll'!$O$9+'Rent Roll'!$S$9-1),BC$4&lt;=EOMONTH(CloseDate,'Rent Roll'!$O$9+'Rent Roll'!$S$9-1+'Rent Roll'!$V$9)),-BC53,0)</f>
        <v>-24014.911003710164</v>
      </c>
      <c r="BD54" s="49">
        <f>IF(AND(BD$4&gt;EOMONTH(CloseDate,'Rent Roll'!$O$9+'Rent Roll'!$S$9-1),BD$4&lt;=EOMONTH(CloseDate,'Rent Roll'!$O$9+'Rent Roll'!$S$9-1+'Rent Roll'!$V$9)),-BD53,0)</f>
        <v>-24014.911003710164</v>
      </c>
      <c r="BE54" s="49">
        <f>IF(AND(BE$4&gt;EOMONTH(CloseDate,'Rent Roll'!$O$9+'Rent Roll'!$S$9-1),BE$4&lt;=EOMONTH(CloseDate,'Rent Roll'!$O$9+'Rent Roll'!$S$9-1+'Rent Roll'!$V$9)),-BE53,0)</f>
        <v>0</v>
      </c>
      <c r="BF54" s="49">
        <f>IF(AND(BF$4&gt;EOMONTH(CloseDate,'Rent Roll'!$O$9+'Rent Roll'!$S$9-1),BF$4&lt;=EOMONTH(CloseDate,'Rent Roll'!$O$9+'Rent Roll'!$S$9-1+'Rent Roll'!$V$9)),-BF53,0)</f>
        <v>0</v>
      </c>
      <c r="BG54" s="49">
        <f>IF(AND(BG$4&gt;EOMONTH(CloseDate,'Rent Roll'!$O$9+'Rent Roll'!$S$9-1),BG$4&lt;=EOMONTH(CloseDate,'Rent Roll'!$O$9+'Rent Roll'!$S$9-1+'Rent Roll'!$V$9)),-BG53,0)</f>
        <v>0</v>
      </c>
      <c r="BH54" s="49">
        <f>IF(AND(BH$4&gt;EOMONTH(CloseDate,'Rent Roll'!$O$9+'Rent Roll'!$S$9-1),BH$4&lt;=EOMONTH(CloseDate,'Rent Roll'!$O$9+'Rent Roll'!$S$9-1+'Rent Roll'!$V$9)),-BH53,0)</f>
        <v>0</v>
      </c>
      <c r="BI54" s="49">
        <f>IF(AND(BI$4&gt;EOMONTH(CloseDate,'Rent Roll'!$O$9+'Rent Roll'!$S$9-1),BI$4&lt;=EOMONTH(CloseDate,'Rent Roll'!$O$9+'Rent Roll'!$S$9-1+'Rent Roll'!$V$9)),-BI53,0)</f>
        <v>0</v>
      </c>
      <c r="BJ54" s="49">
        <f>IF(AND(BJ$4&gt;EOMONTH(CloseDate,'Rent Roll'!$O$9+'Rent Roll'!$S$9-1),BJ$4&lt;=EOMONTH(CloseDate,'Rent Roll'!$O$9+'Rent Roll'!$S$9-1+'Rent Roll'!$V$9)),-BJ53,0)</f>
        <v>0</v>
      </c>
      <c r="BK54" s="49">
        <f>IF(AND(BK$4&gt;EOMONTH(CloseDate,'Rent Roll'!$O$9+'Rent Roll'!$S$9-1),BK$4&lt;=EOMONTH(CloseDate,'Rent Roll'!$O$9+'Rent Roll'!$S$9-1+'Rent Roll'!$V$9)),-BK53,0)</f>
        <v>0</v>
      </c>
      <c r="BL54" s="49">
        <f>IF(AND(BL$4&gt;EOMONTH(CloseDate,'Rent Roll'!$O$9+'Rent Roll'!$S$9-1),BL$4&lt;=EOMONTH(CloseDate,'Rent Roll'!$O$9+'Rent Roll'!$S$9-1+'Rent Roll'!$V$9)),-BL53,0)</f>
        <v>0</v>
      </c>
      <c r="BM54" s="49">
        <f>IF(AND(BM$4&gt;EOMONTH(CloseDate,'Rent Roll'!$O$9+'Rent Roll'!$S$9-1),BM$4&lt;=EOMONTH(CloseDate,'Rent Roll'!$O$9+'Rent Roll'!$S$9-1+'Rent Roll'!$V$9)),-BM53,0)</f>
        <v>0</v>
      </c>
      <c r="BN54" s="49">
        <f>IF(AND(BN$4&gt;EOMONTH(CloseDate,'Rent Roll'!$O$9+'Rent Roll'!$S$9-1),BN$4&lt;=EOMONTH(CloseDate,'Rent Roll'!$O$9+'Rent Roll'!$S$9-1+'Rent Roll'!$V$9)),-BN53,0)</f>
        <v>0</v>
      </c>
      <c r="BO54" s="49">
        <f>IF(AND(BO$4&gt;EOMONTH(CloseDate,'Rent Roll'!$O$9+'Rent Roll'!$S$9-1),BO$4&lt;=EOMONTH(CloseDate,'Rent Roll'!$O$9+'Rent Roll'!$S$9-1+'Rent Roll'!$V$9)),-BO53,0)</f>
        <v>0</v>
      </c>
      <c r="BP54" s="49">
        <f>IF(AND(BP$4&gt;EOMONTH(CloseDate,'Rent Roll'!$O$9+'Rent Roll'!$S$9-1),BP$4&lt;=EOMONTH(CloseDate,'Rent Roll'!$O$9+'Rent Roll'!$S$9-1+'Rent Roll'!$V$9)),-BP53,0)</f>
        <v>0</v>
      </c>
      <c r="BQ54" s="49">
        <f>IF(AND(BQ$4&gt;EOMONTH(CloseDate,'Rent Roll'!$O$9+'Rent Roll'!$S$9-1),BQ$4&lt;=EOMONTH(CloseDate,'Rent Roll'!$O$9+'Rent Roll'!$S$9-1+'Rent Roll'!$V$9)),-BQ53,0)</f>
        <v>0</v>
      </c>
      <c r="BR54" s="49">
        <f>IF(AND(BR$4&gt;EOMONTH(CloseDate,'Rent Roll'!$O$9+'Rent Roll'!$S$9-1),BR$4&lt;=EOMONTH(CloseDate,'Rent Roll'!$O$9+'Rent Roll'!$S$9-1+'Rent Roll'!$V$9)),-BR53,0)</f>
        <v>0</v>
      </c>
      <c r="BS54" s="49">
        <f>IF(AND(BS$4&gt;EOMONTH(CloseDate,'Rent Roll'!$O$9+'Rent Roll'!$S$9-1),BS$4&lt;=EOMONTH(CloseDate,'Rent Roll'!$O$9+'Rent Roll'!$S$9-1+'Rent Roll'!$V$9)),-BS53,0)</f>
        <v>0</v>
      </c>
      <c r="BT54" s="49">
        <f>IF(AND(BT$4&gt;EOMONTH(CloseDate,'Rent Roll'!$O$9+'Rent Roll'!$S$9-1),BT$4&lt;=EOMONTH(CloseDate,'Rent Roll'!$O$9+'Rent Roll'!$S$9-1+'Rent Roll'!$V$9)),-BT53,0)</f>
        <v>0</v>
      </c>
      <c r="BU54" s="49">
        <f>IF(AND(BU$4&gt;EOMONTH(CloseDate,'Rent Roll'!$O$9+'Rent Roll'!$S$9-1),BU$4&lt;=EOMONTH(CloseDate,'Rent Roll'!$O$9+'Rent Roll'!$S$9-1+'Rent Roll'!$V$9)),-BU53,0)</f>
        <v>0</v>
      </c>
      <c r="BV54" s="49">
        <f>IF(AND(BV$4&gt;EOMONTH(CloseDate,'Rent Roll'!$O$9+'Rent Roll'!$S$9-1),BV$4&lt;=EOMONTH(CloseDate,'Rent Roll'!$O$9+'Rent Roll'!$S$9-1+'Rent Roll'!$V$9)),-BV53,0)</f>
        <v>0</v>
      </c>
      <c r="BW54" s="49">
        <f>IF(AND(BW$4&gt;EOMONTH(CloseDate,'Rent Roll'!$O$9+'Rent Roll'!$S$9-1),BW$4&lt;=EOMONTH(CloseDate,'Rent Roll'!$O$9+'Rent Roll'!$S$9-1+'Rent Roll'!$V$9)),-BW53,0)</f>
        <v>0</v>
      </c>
      <c r="BX54" s="49">
        <f>IF(AND(BX$4&gt;EOMONTH(CloseDate,'Rent Roll'!$O$9+'Rent Roll'!$S$9-1),BX$4&lt;=EOMONTH(CloseDate,'Rent Roll'!$O$9+'Rent Roll'!$S$9-1+'Rent Roll'!$V$9)),-BX53,0)</f>
        <v>0</v>
      </c>
    </row>
    <row r="55" spans="1:76" hidden="1" outlineLevel="1">
      <c r="B55" t="s">
        <v>84</v>
      </c>
      <c r="D55" s="49">
        <f>D51+D53+D54</f>
        <v>19031.25</v>
      </c>
      <c r="E55" s="49">
        <f t="shared" ref="E55:BJ55" si="26">E51+E53+E54</f>
        <v>19031.25</v>
      </c>
      <c r="F55" s="49">
        <f t="shared" si="26"/>
        <v>19031.25</v>
      </c>
      <c r="G55" s="49">
        <f t="shared" si="26"/>
        <v>19031.25</v>
      </c>
      <c r="H55" s="49">
        <f t="shared" si="26"/>
        <v>19031.25</v>
      </c>
      <c r="I55" s="49">
        <f t="shared" si="26"/>
        <v>19031.25</v>
      </c>
      <c r="J55" s="49">
        <f t="shared" si="26"/>
        <v>19031.25</v>
      </c>
      <c r="K55" s="49">
        <f t="shared" si="26"/>
        <v>19031.25</v>
      </c>
      <c r="L55" s="49">
        <f t="shared" si="26"/>
        <v>19031.25</v>
      </c>
      <c r="M55" s="49">
        <f t="shared" si="26"/>
        <v>19031.25</v>
      </c>
      <c r="N55" s="49">
        <f t="shared" si="26"/>
        <v>19031.25</v>
      </c>
      <c r="O55" s="49">
        <f t="shared" si="26"/>
        <v>19602.1875</v>
      </c>
      <c r="P55" s="49">
        <f t="shared" si="26"/>
        <v>19602.1875</v>
      </c>
      <c r="Q55" s="49">
        <f t="shared" si="26"/>
        <v>19602.1875</v>
      </c>
      <c r="R55" s="49">
        <f t="shared" si="26"/>
        <v>19602.1875</v>
      </c>
      <c r="S55" s="49">
        <f t="shared" si="26"/>
        <v>19602.1875</v>
      </c>
      <c r="T55" s="49">
        <f t="shared" si="26"/>
        <v>19602.1875</v>
      </c>
      <c r="U55" s="49">
        <f t="shared" si="26"/>
        <v>20190.253124999999</v>
      </c>
      <c r="V55" s="49">
        <f t="shared" si="26"/>
        <v>20190.253124999999</v>
      </c>
      <c r="W55" s="49">
        <f t="shared" si="26"/>
        <v>20190.253124999999</v>
      </c>
      <c r="X55" s="49">
        <f t="shared" si="26"/>
        <v>20190.253124999999</v>
      </c>
      <c r="Y55" s="49">
        <f t="shared" si="26"/>
        <v>20190.253124999999</v>
      </c>
      <c r="Z55" s="49">
        <f t="shared" si="26"/>
        <v>20190.253124999999</v>
      </c>
      <c r="AA55" s="49">
        <f t="shared" si="26"/>
        <v>20190.253124999999</v>
      </c>
      <c r="AB55" s="49">
        <f t="shared" si="26"/>
        <v>20190.253124999999</v>
      </c>
      <c r="AC55" s="49">
        <f t="shared" si="26"/>
        <v>20190.253124999999</v>
      </c>
      <c r="AD55" s="49">
        <f t="shared" si="26"/>
        <v>20190.253124999999</v>
      </c>
      <c r="AE55" s="49">
        <f t="shared" si="26"/>
        <v>20190.253124999999</v>
      </c>
      <c r="AF55" s="49">
        <f t="shared" si="26"/>
        <v>20190.253124999999</v>
      </c>
      <c r="AG55" s="49">
        <f t="shared" si="26"/>
        <v>20795.960718750001</v>
      </c>
      <c r="AH55" s="49">
        <f t="shared" si="26"/>
        <v>20795.960718750001</v>
      </c>
      <c r="AI55" s="49">
        <f t="shared" si="26"/>
        <v>20795.960718750001</v>
      </c>
      <c r="AJ55" s="49">
        <f t="shared" si="26"/>
        <v>20795.960718750001</v>
      </c>
      <c r="AK55" s="49">
        <f t="shared" si="26"/>
        <v>20795.960718750001</v>
      </c>
      <c r="AL55" s="49">
        <f t="shared" si="26"/>
        <v>20795.960718750001</v>
      </c>
      <c r="AM55" s="49">
        <f t="shared" si="26"/>
        <v>20795.960718750001</v>
      </c>
      <c r="AN55" s="49">
        <f t="shared" si="26"/>
        <v>20795.960718750001</v>
      </c>
      <c r="AO55" s="49">
        <f t="shared" si="26"/>
        <v>20795.960718750001</v>
      </c>
      <c r="AP55" s="49">
        <f t="shared" si="26"/>
        <v>20795.960718750001</v>
      </c>
      <c r="AQ55" s="49">
        <f t="shared" si="26"/>
        <v>20795.960718750001</v>
      </c>
      <c r="AR55" s="49">
        <f t="shared" si="26"/>
        <v>20795.960718750001</v>
      </c>
      <c r="AS55" s="49">
        <f t="shared" si="26"/>
        <v>21419.8395403125</v>
      </c>
      <c r="AT55" s="49">
        <f t="shared" si="26"/>
        <v>21419.8395403125</v>
      </c>
      <c r="AU55" s="49">
        <f t="shared" si="26"/>
        <v>21419.8395403125</v>
      </c>
      <c r="AV55" s="49">
        <f t="shared" si="26"/>
        <v>21419.8395403125</v>
      </c>
      <c r="AW55" s="49">
        <f t="shared" si="26"/>
        <v>21419.8395403125</v>
      </c>
      <c r="AX55" s="49">
        <f t="shared" si="26"/>
        <v>21419.8395403125</v>
      </c>
      <c r="AY55" s="49">
        <f t="shared" si="26"/>
        <v>0</v>
      </c>
      <c r="AZ55" s="49">
        <f t="shared" si="26"/>
        <v>0</v>
      </c>
      <c r="BA55" s="49">
        <f t="shared" si="26"/>
        <v>0</v>
      </c>
      <c r="BB55" s="49">
        <f t="shared" si="26"/>
        <v>0</v>
      </c>
      <c r="BC55" s="49">
        <f t="shared" si="26"/>
        <v>0</v>
      </c>
      <c r="BD55" s="49">
        <f t="shared" si="26"/>
        <v>0</v>
      </c>
      <c r="BE55" s="49">
        <f t="shared" si="26"/>
        <v>24663.313600810336</v>
      </c>
      <c r="BF55" s="49">
        <f t="shared" si="26"/>
        <v>24663.313600810336</v>
      </c>
      <c r="BG55" s="49">
        <f t="shared" si="26"/>
        <v>24663.313600810336</v>
      </c>
      <c r="BH55" s="49">
        <f t="shared" si="26"/>
        <v>24663.313600810336</v>
      </c>
      <c r="BI55" s="49">
        <f t="shared" si="26"/>
        <v>24663.313600810336</v>
      </c>
      <c r="BJ55" s="49">
        <f t="shared" si="26"/>
        <v>24663.313600810336</v>
      </c>
      <c r="BK55" s="49">
        <f t="shared" ref="BK55" si="27">BK51+BK53+BK54</f>
        <v>24663.313600810336</v>
      </c>
      <c r="BL55" s="49">
        <f t="shared" ref="BL55:BX55" si="28">BL51+BL53+BL54</f>
        <v>24663.313600810336</v>
      </c>
      <c r="BM55" s="49">
        <f t="shared" si="28"/>
        <v>24663.313600810336</v>
      </c>
      <c r="BN55" s="49">
        <f t="shared" si="28"/>
        <v>24663.313600810336</v>
      </c>
      <c r="BO55" s="49">
        <f t="shared" si="28"/>
        <v>24663.313600810336</v>
      </c>
      <c r="BP55" s="49">
        <f t="shared" si="28"/>
        <v>24663.313600810336</v>
      </c>
      <c r="BQ55" s="49">
        <f t="shared" si="28"/>
        <v>25329.22306803221</v>
      </c>
      <c r="BR55" s="49">
        <f t="shared" si="28"/>
        <v>25329.22306803221</v>
      </c>
      <c r="BS55" s="49">
        <f t="shared" si="28"/>
        <v>25329.22306803221</v>
      </c>
      <c r="BT55" s="49">
        <f t="shared" si="28"/>
        <v>25329.22306803221</v>
      </c>
      <c r="BU55" s="49">
        <f t="shared" si="28"/>
        <v>25329.22306803221</v>
      </c>
      <c r="BV55" s="49">
        <f t="shared" si="28"/>
        <v>25329.22306803221</v>
      </c>
      <c r="BW55" s="49">
        <f t="shared" si="28"/>
        <v>25329.22306803221</v>
      </c>
      <c r="BX55" s="49">
        <f t="shared" si="28"/>
        <v>25329.22306803221</v>
      </c>
    </row>
    <row r="56" spans="1:76" hidden="1" outlineLevel="1">
      <c r="B56" t="s">
        <v>85</v>
      </c>
      <c r="D56" s="49">
        <f>IF(OR(D50=1,D52=1),'Rent Roll'!$F$9/BldgSF*ReimbPool/12*D$7,0)</f>
        <v>9161.25</v>
      </c>
      <c r="E56" s="49">
        <f>IF(OR(E50=1,E52=1),'Rent Roll'!$F$9/BldgSF*ReimbPool/12*E$7,0)</f>
        <v>9161.25</v>
      </c>
      <c r="F56" s="49">
        <f>IF(OR(F50=1,F52=1),'Rent Roll'!$F$9/BldgSF*ReimbPool/12*F$7,0)</f>
        <v>9161.25</v>
      </c>
      <c r="G56" s="49">
        <f>IF(OR(G50=1,G52=1),'Rent Roll'!$F$9/BldgSF*ReimbPool/12*G$7,0)</f>
        <v>9161.25</v>
      </c>
      <c r="H56" s="49">
        <f>IF(OR(H50=1,H52=1),'Rent Roll'!$F$9/BldgSF*ReimbPool/12*H$7,0)</f>
        <v>9161.25</v>
      </c>
      <c r="I56" s="49">
        <f>IF(OR(I50=1,I52=1),'Rent Roll'!$F$9/BldgSF*ReimbPool/12*I$7,0)</f>
        <v>9408.6037499999984</v>
      </c>
      <c r="J56" s="49">
        <f>IF(OR(J50=1,J52=1),'Rent Roll'!$F$9/BldgSF*ReimbPool/12*J$7,0)</f>
        <v>9408.6037499999984</v>
      </c>
      <c r="K56" s="49">
        <f>IF(OR(K50=1,K52=1),'Rent Roll'!$F$9/BldgSF*ReimbPool/12*K$7,0)</f>
        <v>9408.6037499999984</v>
      </c>
      <c r="L56" s="49">
        <f>IF(OR(L50=1,L52=1),'Rent Roll'!$F$9/BldgSF*ReimbPool/12*L$7,0)</f>
        <v>9408.6037499999984</v>
      </c>
      <c r="M56" s="49">
        <f>IF(OR(M50=1,M52=1),'Rent Roll'!$F$9/BldgSF*ReimbPool/12*M$7,0)</f>
        <v>9408.6037499999984</v>
      </c>
      <c r="N56" s="49">
        <f>IF(OR(N50=1,N52=1),'Rent Roll'!$F$9/BldgSF*ReimbPool/12*N$7,0)</f>
        <v>9408.6037499999984</v>
      </c>
      <c r="O56" s="49">
        <f>IF(OR(O50=1,O52=1),'Rent Roll'!$F$9/BldgSF*ReimbPool/12*O$7,0)</f>
        <v>9408.6037499999984</v>
      </c>
      <c r="P56" s="49">
        <f>IF(OR(P50=1,P52=1),'Rent Roll'!$F$9/BldgSF*ReimbPool/12*P$7,0)</f>
        <v>9408.6037499999984</v>
      </c>
      <c r="Q56" s="49">
        <f>IF(OR(Q50=1,Q52=1),'Rent Roll'!$F$9/BldgSF*ReimbPool/12*Q$7,0)</f>
        <v>9408.6037499999984</v>
      </c>
      <c r="R56" s="49">
        <f>IF(OR(R50=1,R52=1),'Rent Roll'!$F$9/BldgSF*ReimbPool/12*R$7,0)</f>
        <v>9408.6037499999984</v>
      </c>
      <c r="S56" s="49">
        <f>IF(OR(S50=1,S52=1),'Rent Roll'!$F$9/BldgSF*ReimbPool/12*S$7,0)</f>
        <v>9408.6037499999984</v>
      </c>
      <c r="T56" s="49">
        <f>IF(OR(T50=1,T52=1),'Rent Roll'!$F$9/BldgSF*ReimbPool/12*T$7,0)</f>
        <v>9408.6037499999984</v>
      </c>
      <c r="U56" s="49">
        <f>IF(OR(U50=1,U52=1),'Rent Roll'!$F$9/BldgSF*ReimbPool/12*U$7,0)</f>
        <v>9662.6360512499978</v>
      </c>
      <c r="V56" s="49">
        <f>IF(OR(V50=1,V52=1),'Rent Roll'!$F$9/BldgSF*ReimbPool/12*V$7,0)</f>
        <v>9662.6360512499978</v>
      </c>
      <c r="W56" s="49">
        <f>IF(OR(W50=1,W52=1),'Rent Roll'!$F$9/BldgSF*ReimbPool/12*W$7,0)</f>
        <v>9662.6360512499978</v>
      </c>
      <c r="X56" s="49">
        <f>IF(OR(X50=1,X52=1),'Rent Roll'!$F$9/BldgSF*ReimbPool/12*X$7,0)</f>
        <v>9662.6360512499978</v>
      </c>
      <c r="Y56" s="49">
        <f>IF(OR(Y50=1,Y52=1),'Rent Roll'!$F$9/BldgSF*ReimbPool/12*Y$7,0)</f>
        <v>9662.6360512499978</v>
      </c>
      <c r="Z56" s="49">
        <f>IF(OR(Z50=1,Z52=1),'Rent Roll'!$F$9/BldgSF*ReimbPool/12*Z$7,0)</f>
        <v>9662.6360512499978</v>
      </c>
      <c r="AA56" s="49">
        <f>IF(OR(AA50=1,AA52=1),'Rent Roll'!$F$9/BldgSF*ReimbPool/12*AA$7,0)</f>
        <v>9662.6360512499978</v>
      </c>
      <c r="AB56" s="49">
        <f>IF(OR(AB50=1,AB52=1),'Rent Roll'!$F$9/BldgSF*ReimbPool/12*AB$7,0)</f>
        <v>9662.6360512499978</v>
      </c>
      <c r="AC56" s="49">
        <f>IF(OR(AC50=1,AC52=1),'Rent Roll'!$F$9/BldgSF*ReimbPool/12*AC$7,0)</f>
        <v>9662.6360512499978</v>
      </c>
      <c r="AD56" s="49">
        <f>IF(OR(AD50=1,AD52=1),'Rent Roll'!$F$9/BldgSF*ReimbPool/12*AD$7,0)</f>
        <v>9662.6360512499978</v>
      </c>
      <c r="AE56" s="49">
        <f>IF(OR(AE50=1,AE52=1),'Rent Roll'!$F$9/BldgSF*ReimbPool/12*AE$7,0)</f>
        <v>9662.6360512499978</v>
      </c>
      <c r="AF56" s="49">
        <f>IF(OR(AF50=1,AF52=1),'Rent Roll'!$F$9/BldgSF*ReimbPool/12*AF$7,0)</f>
        <v>9662.6360512499978</v>
      </c>
      <c r="AG56" s="49">
        <f>IF(OR(AG50=1,AG52=1),'Rent Roll'!$F$9/BldgSF*ReimbPool/12*AG$7,0)</f>
        <v>9923.5272246337481</v>
      </c>
      <c r="AH56" s="49">
        <f>IF(OR(AH50=1,AH52=1),'Rent Roll'!$F$9/BldgSF*ReimbPool/12*AH$7,0)</f>
        <v>9923.5272246337481</v>
      </c>
      <c r="AI56" s="49">
        <f>IF(OR(AI50=1,AI52=1),'Rent Roll'!$F$9/BldgSF*ReimbPool/12*AI$7,0)</f>
        <v>9923.5272246337481</v>
      </c>
      <c r="AJ56" s="49">
        <f>IF(OR(AJ50=1,AJ52=1),'Rent Roll'!$F$9/BldgSF*ReimbPool/12*AJ$7,0)</f>
        <v>9923.5272246337481</v>
      </c>
      <c r="AK56" s="49">
        <f>IF(OR(AK50=1,AK52=1),'Rent Roll'!$F$9/BldgSF*ReimbPool/12*AK$7,0)</f>
        <v>9923.5272246337481</v>
      </c>
      <c r="AL56" s="49">
        <f>IF(OR(AL50=1,AL52=1),'Rent Roll'!$F$9/BldgSF*ReimbPool/12*AL$7,0)</f>
        <v>9923.5272246337481</v>
      </c>
      <c r="AM56" s="49">
        <f>IF(OR(AM50=1,AM52=1),'Rent Roll'!$F$9/BldgSF*ReimbPool/12*AM$7,0)</f>
        <v>9923.5272246337481</v>
      </c>
      <c r="AN56" s="49">
        <f>IF(OR(AN50=1,AN52=1),'Rent Roll'!$F$9/BldgSF*ReimbPool/12*AN$7,0)</f>
        <v>9923.5272246337481</v>
      </c>
      <c r="AO56" s="49">
        <f>IF(OR(AO50=1,AO52=1),'Rent Roll'!$F$9/BldgSF*ReimbPool/12*AO$7,0)</f>
        <v>9923.5272246337481</v>
      </c>
      <c r="AP56" s="49">
        <f>IF(OR(AP50=1,AP52=1),'Rent Roll'!$F$9/BldgSF*ReimbPool/12*AP$7,0)</f>
        <v>9923.5272246337481</v>
      </c>
      <c r="AQ56" s="49">
        <f>IF(OR(AQ50=1,AQ52=1),'Rent Roll'!$F$9/BldgSF*ReimbPool/12*AQ$7,0)</f>
        <v>9923.5272246337481</v>
      </c>
      <c r="AR56" s="49">
        <f>IF(OR(AR50=1,AR52=1),'Rent Roll'!$F$9/BldgSF*ReimbPool/12*AR$7,0)</f>
        <v>9923.5272246337481</v>
      </c>
      <c r="AS56" s="49">
        <f>IF(OR(AS50=1,AS52=1),'Rent Roll'!$F$9/BldgSF*ReimbPool/12*AS$7,0)</f>
        <v>10191.462459698858</v>
      </c>
      <c r="AT56" s="49">
        <f>IF(OR(AT50=1,AT52=1),'Rent Roll'!$F$9/BldgSF*ReimbPool/12*AT$7,0)</f>
        <v>10191.462459698858</v>
      </c>
      <c r="AU56" s="49">
        <f>IF(OR(AU50=1,AU52=1),'Rent Roll'!$F$9/BldgSF*ReimbPool/12*AU$7,0)</f>
        <v>10191.462459698858</v>
      </c>
      <c r="AV56" s="49">
        <f>IF(OR(AV50=1,AV52=1),'Rent Roll'!$F$9/BldgSF*ReimbPool/12*AV$7,0)</f>
        <v>10191.462459698858</v>
      </c>
      <c r="AW56" s="49">
        <f>IF(OR(AW50=1,AW52=1),'Rent Roll'!$F$9/BldgSF*ReimbPool/12*AW$7,0)</f>
        <v>10191.462459698858</v>
      </c>
      <c r="AX56" s="49">
        <f>IF(OR(AX50=1,AX52=1),'Rent Roll'!$F$9/BldgSF*ReimbPool/12*AX$7,0)</f>
        <v>10191.462459698858</v>
      </c>
      <c r="AY56" s="49">
        <f>IF(OR(AY50=1,AY52=1),'Rent Roll'!$F$9/BldgSF*ReimbPool/12*AY$7,0)</f>
        <v>0</v>
      </c>
      <c r="AZ56" s="49">
        <f>IF(OR(AZ50=1,AZ52=1),'Rent Roll'!$F$9/BldgSF*ReimbPool/12*AZ$7,0)</f>
        <v>0</v>
      </c>
      <c r="BA56" s="49">
        <f>IF(OR(BA50=1,BA52=1),'Rent Roll'!$F$9/BldgSF*ReimbPool/12*BA$7,0)</f>
        <v>0</v>
      </c>
      <c r="BB56" s="49">
        <f>IF(OR(BB50=1,BB52=1),'Rent Roll'!$F$9/BldgSF*ReimbPool/12*BB$7,0)</f>
        <v>0</v>
      </c>
      <c r="BC56" s="49">
        <f>IF(OR(BC50=1,BC52=1),'Rent Roll'!$F$9/BldgSF*ReimbPool/12*BC$7,0)</f>
        <v>10191.462459698858</v>
      </c>
      <c r="BD56" s="49">
        <f>IF(OR(BD50=1,BD52=1),'Rent Roll'!$F$9/BldgSF*ReimbPool/12*BD$7,0)</f>
        <v>10191.462459698858</v>
      </c>
      <c r="BE56" s="49">
        <f>IF(OR(BE50=1,BE52=1),'Rent Roll'!$F$9/BldgSF*ReimbPool/12*BE$7,0)</f>
        <v>10466.631946110725</v>
      </c>
      <c r="BF56" s="49">
        <f>IF(OR(BF50=1,BF52=1),'Rent Roll'!$F$9/BldgSF*ReimbPool/12*BF$7,0)</f>
        <v>10466.631946110725</v>
      </c>
      <c r="BG56" s="49">
        <f>IF(OR(BG50=1,BG52=1),'Rent Roll'!$F$9/BldgSF*ReimbPool/12*BG$7,0)</f>
        <v>10466.631946110725</v>
      </c>
      <c r="BH56" s="49">
        <f>IF(OR(BH50=1,BH52=1),'Rent Roll'!$F$9/BldgSF*ReimbPool/12*BH$7,0)</f>
        <v>10466.631946110725</v>
      </c>
      <c r="BI56" s="49">
        <f>IF(OR(BI50=1,BI52=1),'Rent Roll'!$F$9/BldgSF*ReimbPool/12*BI$7,0)</f>
        <v>10466.631946110725</v>
      </c>
      <c r="BJ56" s="49">
        <f>IF(OR(BJ50=1,BJ52=1),'Rent Roll'!$F$9/BldgSF*ReimbPool/12*BJ$7,0)</f>
        <v>10466.631946110725</v>
      </c>
      <c r="BK56" s="49">
        <f>IF(OR(BK50=1,BK52=1),'Rent Roll'!$F$9/BldgSF*ReimbPool/12*BK$7,0)</f>
        <v>10466.631946110725</v>
      </c>
      <c r="BL56" s="49">
        <f>IF(OR(BL50=1,BL52=1),'Rent Roll'!$F$9/BldgSF*ReimbPool/12*BL$7,0)</f>
        <v>10466.631946110725</v>
      </c>
      <c r="BM56" s="49">
        <f>IF(OR(BM50=1,BM52=1),'Rent Roll'!$F$9/BldgSF*ReimbPool/12*BM$7,0)</f>
        <v>10466.631946110725</v>
      </c>
      <c r="BN56" s="49">
        <f>IF(OR(BN50=1,BN52=1),'Rent Roll'!$F$9/BldgSF*ReimbPool/12*BN$7,0)</f>
        <v>10466.631946110725</v>
      </c>
      <c r="BO56" s="49">
        <f>IF(OR(BO50=1,BO52=1),'Rent Roll'!$F$9/BldgSF*ReimbPool/12*BO$7,0)</f>
        <v>10466.631946110725</v>
      </c>
      <c r="BP56" s="49">
        <f>IF(OR(BP50=1,BP52=1),'Rent Roll'!$F$9/BldgSF*ReimbPool/12*BP$7,0)</f>
        <v>10466.631946110725</v>
      </c>
      <c r="BQ56" s="49">
        <f>IF(OR(BQ50=1,BQ52=1),'Rent Roll'!$F$9/BldgSF*ReimbPool/12*BQ$7,0)</f>
        <v>10749.231008655714</v>
      </c>
      <c r="BR56" s="49">
        <f>IF(OR(BR50=1,BR52=1),'Rent Roll'!$F$9/BldgSF*ReimbPool/12*BR$7,0)</f>
        <v>10749.231008655714</v>
      </c>
      <c r="BS56" s="49">
        <f>IF(OR(BS50=1,BS52=1),'Rent Roll'!$F$9/BldgSF*ReimbPool/12*BS$7,0)</f>
        <v>10749.231008655714</v>
      </c>
      <c r="BT56" s="49">
        <f>IF(OR(BT50=1,BT52=1),'Rent Roll'!$F$9/BldgSF*ReimbPool/12*BT$7,0)</f>
        <v>10749.231008655714</v>
      </c>
      <c r="BU56" s="49">
        <f>IF(OR(BU50=1,BU52=1),'Rent Roll'!$F$9/BldgSF*ReimbPool/12*BU$7,0)</f>
        <v>10749.231008655714</v>
      </c>
      <c r="BV56" s="49">
        <f>IF(OR(BV50=1,BV52=1),'Rent Roll'!$F$9/BldgSF*ReimbPool/12*BV$7,0)</f>
        <v>10749.231008655714</v>
      </c>
      <c r="BW56" s="49">
        <f>IF(OR(BW50=1,BW52=1),'Rent Roll'!$F$9/BldgSF*ReimbPool/12*BW$7,0)</f>
        <v>10749.231008655714</v>
      </c>
      <c r="BX56" s="49">
        <f>IF(OR(BX50=1,BX52=1),'Rent Roll'!$F$9/BldgSF*ReimbPool/12*BX$7,0)</f>
        <v>10749.231008655714</v>
      </c>
    </row>
    <row r="57" spans="1:76" collapsed="1">
      <c r="B57" t="s">
        <v>86</v>
      </c>
      <c r="D57" s="49">
        <f>IF(D$4=EOMONTH(CloseDate,'Rent Roll'!$O$9+'Rent Roll'!$S$9),-'Rent Roll'!$F$9*'Rent Roll'!$T$9,0)</f>
        <v>0</v>
      </c>
      <c r="E57" s="49">
        <f>IF(E$4=EOMONTH(CloseDate,'Rent Roll'!$O$9+'Rent Roll'!$S$9),-'Rent Roll'!$F$9*'Rent Roll'!$T$9,0)</f>
        <v>0</v>
      </c>
      <c r="F57" s="49">
        <f>IF(F$4=EOMONTH(CloseDate,'Rent Roll'!$O$9+'Rent Roll'!$S$9),-'Rent Roll'!$F$9*'Rent Roll'!$T$9,0)</f>
        <v>0</v>
      </c>
      <c r="G57" s="49">
        <f>IF(G$4=EOMONTH(CloseDate,'Rent Roll'!$O$9+'Rent Roll'!$S$9),-'Rent Roll'!$F$9*'Rent Roll'!$T$9,0)</f>
        <v>0</v>
      </c>
      <c r="H57" s="49">
        <f>IF(H$4=EOMONTH(CloseDate,'Rent Roll'!$O$9+'Rent Roll'!$S$9),-'Rent Roll'!$F$9*'Rent Roll'!$T$9,0)</f>
        <v>0</v>
      </c>
      <c r="I57" s="49">
        <f>IF(I$4=EOMONTH(CloseDate,'Rent Roll'!$O$9+'Rent Roll'!$S$9),-'Rent Roll'!$F$9*'Rent Roll'!$T$9,0)</f>
        <v>0</v>
      </c>
      <c r="J57" s="49">
        <f>IF(J$4=EOMONTH(CloseDate,'Rent Roll'!$O$9+'Rent Roll'!$S$9),-'Rent Roll'!$F$9*'Rent Roll'!$T$9,0)</f>
        <v>0</v>
      </c>
      <c r="K57" s="49">
        <f>IF(K$4=EOMONTH(CloseDate,'Rent Roll'!$O$9+'Rent Roll'!$S$9),-'Rent Roll'!$F$9*'Rent Roll'!$T$9,0)</f>
        <v>0</v>
      </c>
      <c r="L57" s="49">
        <f>IF(L$4=EOMONTH(CloseDate,'Rent Roll'!$O$9+'Rent Roll'!$S$9),-'Rent Roll'!$F$9*'Rent Roll'!$T$9,0)</f>
        <v>0</v>
      </c>
      <c r="M57" s="49">
        <f>IF(M$4=EOMONTH(CloseDate,'Rent Roll'!$O$9+'Rent Roll'!$S$9),-'Rent Roll'!$F$9*'Rent Roll'!$T$9,0)</f>
        <v>0</v>
      </c>
      <c r="N57" s="49">
        <f>IF(N$4=EOMONTH(CloseDate,'Rent Roll'!$O$9+'Rent Roll'!$S$9),-'Rent Roll'!$F$9*'Rent Roll'!$T$9,0)</f>
        <v>0</v>
      </c>
      <c r="O57" s="49">
        <f>IF(O$4=EOMONTH(CloseDate,'Rent Roll'!$O$9+'Rent Roll'!$S$9),-'Rent Roll'!$F$9*'Rent Roll'!$T$9,0)</f>
        <v>0</v>
      </c>
      <c r="P57" s="49">
        <f>IF(P$4=EOMONTH(CloseDate,'Rent Roll'!$O$9+'Rent Roll'!$S$9),-'Rent Roll'!$F$9*'Rent Roll'!$T$9,0)</f>
        <v>0</v>
      </c>
      <c r="Q57" s="49">
        <f>IF(Q$4=EOMONTH(CloseDate,'Rent Roll'!$O$9+'Rent Roll'!$S$9),-'Rent Roll'!$F$9*'Rent Roll'!$T$9,0)</f>
        <v>0</v>
      </c>
      <c r="R57" s="49">
        <f>IF(R$4=EOMONTH(CloseDate,'Rent Roll'!$O$9+'Rent Roll'!$S$9),-'Rent Roll'!$F$9*'Rent Roll'!$T$9,0)</f>
        <v>0</v>
      </c>
      <c r="S57" s="49">
        <f>IF(S$4=EOMONTH(CloseDate,'Rent Roll'!$O$9+'Rent Roll'!$S$9),-'Rent Roll'!$F$9*'Rent Roll'!$T$9,0)</f>
        <v>0</v>
      </c>
      <c r="T57" s="49">
        <f>IF(T$4=EOMONTH(CloseDate,'Rent Roll'!$O$9+'Rent Roll'!$S$9),-'Rent Roll'!$F$9*'Rent Roll'!$T$9,0)</f>
        <v>0</v>
      </c>
      <c r="U57" s="49">
        <f>IF(U$4=EOMONTH(CloseDate,'Rent Roll'!$O$9+'Rent Roll'!$S$9),-'Rent Roll'!$F$9*'Rent Roll'!$T$9,0)</f>
        <v>0</v>
      </c>
      <c r="V57" s="49">
        <f>IF(V$4=EOMONTH(CloseDate,'Rent Roll'!$O$9+'Rent Roll'!$S$9),-'Rent Roll'!$F$9*'Rent Roll'!$T$9,0)</f>
        <v>0</v>
      </c>
      <c r="W57" s="49">
        <f>IF(W$4=EOMONTH(CloseDate,'Rent Roll'!$O$9+'Rent Roll'!$S$9),-'Rent Roll'!$F$9*'Rent Roll'!$T$9,0)</f>
        <v>0</v>
      </c>
      <c r="X57" s="49">
        <f>IF(X$4=EOMONTH(CloseDate,'Rent Roll'!$O$9+'Rent Roll'!$S$9),-'Rent Roll'!$F$9*'Rent Roll'!$T$9,0)</f>
        <v>0</v>
      </c>
      <c r="Y57" s="49">
        <f>IF(Y$4=EOMONTH(CloseDate,'Rent Roll'!$O$9+'Rent Roll'!$S$9),-'Rent Roll'!$F$9*'Rent Roll'!$T$9,0)</f>
        <v>0</v>
      </c>
      <c r="Z57" s="49">
        <f>IF(Z$4=EOMONTH(CloseDate,'Rent Roll'!$O$9+'Rent Roll'!$S$9),-'Rent Roll'!$F$9*'Rent Roll'!$T$9,0)</f>
        <v>0</v>
      </c>
      <c r="AA57" s="49">
        <f>IF(AA$4=EOMONTH(CloseDate,'Rent Roll'!$O$9+'Rent Roll'!$S$9),-'Rent Roll'!$F$9*'Rent Roll'!$T$9,0)</f>
        <v>0</v>
      </c>
      <c r="AB57" s="49">
        <f>IF(AB$4=EOMONTH(CloseDate,'Rent Roll'!$O$9+'Rent Roll'!$S$9),-'Rent Roll'!$F$9*'Rent Roll'!$T$9,0)</f>
        <v>0</v>
      </c>
      <c r="AC57" s="49">
        <f>IF(AC$4=EOMONTH(CloseDate,'Rent Roll'!$O$9+'Rent Roll'!$S$9),-'Rent Roll'!$F$9*'Rent Roll'!$T$9,0)</f>
        <v>0</v>
      </c>
      <c r="AD57" s="49">
        <f>IF(AD$4=EOMONTH(CloseDate,'Rent Roll'!$O$9+'Rent Roll'!$S$9),-'Rent Roll'!$F$9*'Rent Roll'!$T$9,0)</f>
        <v>0</v>
      </c>
      <c r="AE57" s="49">
        <f>IF(AE$4=EOMONTH(CloseDate,'Rent Roll'!$O$9+'Rent Roll'!$S$9),-'Rent Roll'!$F$9*'Rent Roll'!$T$9,0)</f>
        <v>0</v>
      </c>
      <c r="AF57" s="49">
        <f>IF(AF$4=EOMONTH(CloseDate,'Rent Roll'!$O$9+'Rent Roll'!$S$9),-'Rent Roll'!$F$9*'Rent Roll'!$T$9,0)</f>
        <v>0</v>
      </c>
      <c r="AG57" s="49">
        <f>IF(AG$4=EOMONTH(CloseDate,'Rent Roll'!$O$9+'Rent Roll'!$S$9),-'Rent Roll'!$F$9*'Rent Roll'!$T$9,0)</f>
        <v>0</v>
      </c>
      <c r="AH57" s="49">
        <f>IF(AH$4=EOMONTH(CloseDate,'Rent Roll'!$O$9+'Rent Roll'!$S$9),-'Rent Roll'!$F$9*'Rent Roll'!$T$9,0)</f>
        <v>0</v>
      </c>
      <c r="AI57" s="49">
        <f>IF(AI$4=EOMONTH(CloseDate,'Rent Roll'!$O$9+'Rent Roll'!$S$9),-'Rent Roll'!$F$9*'Rent Roll'!$T$9,0)</f>
        <v>0</v>
      </c>
      <c r="AJ57" s="49">
        <f>IF(AJ$4=EOMONTH(CloseDate,'Rent Roll'!$O$9+'Rent Roll'!$S$9),-'Rent Roll'!$F$9*'Rent Roll'!$T$9,0)</f>
        <v>0</v>
      </c>
      <c r="AK57" s="49">
        <f>IF(AK$4=EOMONTH(CloseDate,'Rent Roll'!$O$9+'Rent Roll'!$S$9),-'Rent Roll'!$F$9*'Rent Roll'!$T$9,0)</f>
        <v>0</v>
      </c>
      <c r="AL57" s="49">
        <f>IF(AL$4=EOMONTH(CloseDate,'Rent Roll'!$O$9+'Rent Roll'!$S$9),-'Rent Roll'!$F$9*'Rent Roll'!$T$9,0)</f>
        <v>0</v>
      </c>
      <c r="AM57" s="49">
        <f>IF(AM$4=EOMONTH(CloseDate,'Rent Roll'!$O$9+'Rent Roll'!$S$9),-'Rent Roll'!$F$9*'Rent Roll'!$T$9,0)</f>
        <v>0</v>
      </c>
      <c r="AN57" s="49">
        <f>IF(AN$4=EOMONTH(CloseDate,'Rent Roll'!$O$9+'Rent Roll'!$S$9),-'Rent Roll'!$F$9*'Rent Roll'!$T$9,0)</f>
        <v>0</v>
      </c>
      <c r="AO57" s="49">
        <f>IF(AO$4=EOMONTH(CloseDate,'Rent Roll'!$O$9+'Rent Roll'!$S$9),-'Rent Roll'!$F$9*'Rent Roll'!$T$9,0)</f>
        <v>0</v>
      </c>
      <c r="AP57" s="49">
        <f>IF(AP$4=EOMONTH(CloseDate,'Rent Roll'!$O$9+'Rent Roll'!$S$9),-'Rent Roll'!$F$9*'Rent Roll'!$T$9,0)</f>
        <v>0</v>
      </c>
      <c r="AQ57" s="49">
        <f>IF(AQ$4=EOMONTH(CloseDate,'Rent Roll'!$O$9+'Rent Roll'!$S$9),-'Rent Roll'!$F$9*'Rent Roll'!$T$9,0)</f>
        <v>0</v>
      </c>
      <c r="AR57" s="49">
        <f>IF(AR$4=EOMONTH(CloseDate,'Rent Roll'!$O$9+'Rent Roll'!$S$9),-'Rent Roll'!$F$9*'Rent Roll'!$T$9,0)</f>
        <v>0</v>
      </c>
      <c r="AS57" s="49">
        <f>IF(AS$4=EOMONTH(CloseDate,'Rent Roll'!$O$9+'Rent Roll'!$S$9),-'Rent Roll'!$F$9*'Rent Roll'!$T$9,0)</f>
        <v>0</v>
      </c>
      <c r="AT57" s="49">
        <f>IF(AT$4=EOMONTH(CloseDate,'Rent Roll'!$O$9+'Rent Roll'!$S$9),-'Rent Roll'!$F$9*'Rent Roll'!$T$9,0)</f>
        <v>0</v>
      </c>
      <c r="AU57" s="49">
        <f>IF(AU$4=EOMONTH(CloseDate,'Rent Roll'!$O$9+'Rent Roll'!$S$9),-'Rent Roll'!$F$9*'Rent Roll'!$T$9,0)</f>
        <v>0</v>
      </c>
      <c r="AV57" s="49">
        <f>IF(AV$4=EOMONTH(CloseDate,'Rent Roll'!$O$9+'Rent Roll'!$S$9),-'Rent Roll'!$F$9*'Rent Roll'!$T$9,0)</f>
        <v>0</v>
      </c>
      <c r="AW57" s="49">
        <f>IF(AW$4=EOMONTH(CloseDate,'Rent Roll'!$O$9+'Rent Roll'!$S$9),-'Rent Roll'!$F$9*'Rent Roll'!$T$9,0)</f>
        <v>0</v>
      </c>
      <c r="AX57" s="49">
        <f>IF(AX$4=EOMONTH(CloseDate,'Rent Roll'!$O$9+'Rent Roll'!$S$9),-'Rent Roll'!$F$9*'Rent Roll'!$T$9,0)</f>
        <v>0</v>
      </c>
      <c r="AY57" s="49">
        <f>IF(AY$4=EOMONTH(CloseDate,'Rent Roll'!$O$9+'Rent Roll'!$S$9),-'Rent Roll'!$F$9*'Rent Roll'!$T$9,0)</f>
        <v>0</v>
      </c>
      <c r="AZ57" s="49">
        <f>IF(AZ$4=EOMONTH(CloseDate,'Rent Roll'!$O$9+'Rent Roll'!$S$9),-'Rent Roll'!$F$9*'Rent Roll'!$T$9,0)</f>
        <v>0</v>
      </c>
      <c r="BA57" s="49">
        <f>IF(BA$4=EOMONTH(CloseDate,'Rent Roll'!$O$9+'Rent Roll'!$S$9),-'Rent Roll'!$F$9*'Rent Roll'!$T$9,0)</f>
        <v>0</v>
      </c>
      <c r="BB57" s="49">
        <f>IF(BB$4=EOMONTH(CloseDate,'Rent Roll'!$O$9+'Rent Roll'!$S$9),-'Rent Roll'!$F$9*'Rent Roll'!$T$9,0)</f>
        <v>0</v>
      </c>
      <c r="BC57" s="49">
        <f>IF(BC$4=EOMONTH(CloseDate,'Rent Roll'!$O$9+'Rent Roll'!$S$9),-'Rent Roll'!$F$9*'Rent Roll'!$T$9,0)</f>
        <v>-378000</v>
      </c>
      <c r="BD57" s="49">
        <f>IF(BD$4=EOMONTH(CloseDate,'Rent Roll'!$O$9+'Rent Roll'!$S$9),-'Rent Roll'!$F$9*'Rent Roll'!$T$9,0)</f>
        <v>0</v>
      </c>
      <c r="BE57" s="49">
        <f>IF(BE$4=EOMONTH(CloseDate,'Rent Roll'!$O$9+'Rent Roll'!$S$9),-'Rent Roll'!$F$9*'Rent Roll'!$T$9,0)</f>
        <v>0</v>
      </c>
      <c r="BF57" s="49">
        <f>IF(BF$4=EOMONTH(CloseDate,'Rent Roll'!$O$9+'Rent Roll'!$S$9),-'Rent Roll'!$F$9*'Rent Roll'!$T$9,0)</f>
        <v>0</v>
      </c>
      <c r="BG57" s="49">
        <f>IF(BG$4=EOMONTH(CloseDate,'Rent Roll'!$O$9+'Rent Roll'!$S$9),-'Rent Roll'!$F$9*'Rent Roll'!$T$9,0)</f>
        <v>0</v>
      </c>
      <c r="BH57" s="49">
        <f>IF(BH$4=EOMONTH(CloseDate,'Rent Roll'!$O$9+'Rent Roll'!$S$9),-'Rent Roll'!$F$9*'Rent Roll'!$T$9,0)</f>
        <v>0</v>
      </c>
      <c r="BI57" s="49">
        <f>IF(BI$4=EOMONTH(CloseDate,'Rent Roll'!$O$9+'Rent Roll'!$S$9),-'Rent Roll'!$F$9*'Rent Roll'!$T$9,0)</f>
        <v>0</v>
      </c>
      <c r="BJ57" s="49">
        <f>IF(BJ$4=EOMONTH(CloseDate,'Rent Roll'!$O$9+'Rent Roll'!$S$9),-'Rent Roll'!$F$9*'Rent Roll'!$T$9,0)</f>
        <v>0</v>
      </c>
      <c r="BK57" s="49">
        <f>IF(BK$4=EOMONTH(CloseDate,'Rent Roll'!$O$9+'Rent Roll'!$S$9),-'Rent Roll'!$F$9*'Rent Roll'!$T$9,0)</f>
        <v>0</v>
      </c>
      <c r="BL57" s="49">
        <f>IF(BL$4=EOMONTH(CloseDate,'Rent Roll'!$O$9+'Rent Roll'!$S$9),-'Rent Roll'!$F$9*'Rent Roll'!$T$9,0)</f>
        <v>0</v>
      </c>
      <c r="BM57" s="49">
        <f>IF(BM$4=EOMONTH(CloseDate,'Rent Roll'!$O$9+'Rent Roll'!$S$9),-'Rent Roll'!$F$9*'Rent Roll'!$T$9,0)</f>
        <v>0</v>
      </c>
      <c r="BN57" s="49">
        <f>IF(BN$4=EOMONTH(CloseDate,'Rent Roll'!$O$9+'Rent Roll'!$S$9),-'Rent Roll'!$F$9*'Rent Roll'!$T$9,0)</f>
        <v>0</v>
      </c>
      <c r="BO57" s="49">
        <f>IF(BO$4=EOMONTH(CloseDate,'Rent Roll'!$O$9+'Rent Roll'!$S$9),-'Rent Roll'!$F$9*'Rent Roll'!$T$9,0)</f>
        <v>0</v>
      </c>
      <c r="BP57" s="49">
        <f>IF(BP$4=EOMONTH(CloseDate,'Rent Roll'!$O$9+'Rent Roll'!$S$9),-'Rent Roll'!$F$9*'Rent Roll'!$T$9,0)</f>
        <v>0</v>
      </c>
      <c r="BQ57" s="49">
        <f>IF(BQ$4=EOMONTH(CloseDate,'Rent Roll'!$O$9+'Rent Roll'!$S$9),-'Rent Roll'!$F$9*'Rent Roll'!$T$9,0)</f>
        <v>0</v>
      </c>
      <c r="BR57" s="49">
        <f>IF(BR$4=EOMONTH(CloseDate,'Rent Roll'!$O$9+'Rent Roll'!$S$9),-'Rent Roll'!$F$9*'Rent Roll'!$T$9,0)</f>
        <v>0</v>
      </c>
      <c r="BS57" s="49">
        <f>IF(BS$4=EOMONTH(CloseDate,'Rent Roll'!$O$9+'Rent Roll'!$S$9),-'Rent Roll'!$F$9*'Rent Roll'!$T$9,0)</f>
        <v>0</v>
      </c>
      <c r="BT57" s="49">
        <f>IF(BT$4=EOMONTH(CloseDate,'Rent Roll'!$O$9+'Rent Roll'!$S$9),-'Rent Roll'!$F$9*'Rent Roll'!$T$9,0)</f>
        <v>0</v>
      </c>
      <c r="BU57" s="49">
        <f>IF(BU$4=EOMONTH(CloseDate,'Rent Roll'!$O$9+'Rent Roll'!$S$9),-'Rent Roll'!$F$9*'Rent Roll'!$T$9,0)</f>
        <v>0</v>
      </c>
      <c r="BV57" s="49">
        <f>IF(BV$4=EOMONTH(CloseDate,'Rent Roll'!$O$9+'Rent Roll'!$S$9),-'Rent Roll'!$F$9*'Rent Roll'!$T$9,0)</f>
        <v>0</v>
      </c>
      <c r="BW57" s="49">
        <f>IF(BW$4=EOMONTH(CloseDate,'Rent Roll'!$O$9+'Rent Roll'!$S$9),-'Rent Roll'!$F$9*'Rent Roll'!$T$9,0)</f>
        <v>0</v>
      </c>
      <c r="BX57" s="49">
        <f>IF(BX$4=EOMONTH(CloseDate,'Rent Roll'!$O$9+'Rent Roll'!$S$9),-'Rent Roll'!$F$9*'Rent Roll'!$T$9,0)</f>
        <v>0</v>
      </c>
    </row>
    <row r="58" spans="1:76">
      <c r="B58" t="s">
        <v>87</v>
      </c>
      <c r="D58" s="49">
        <f>IF(D$4=EOMONTH(CloseDate,'Rent Roll'!$O$9+'Rent Roll'!$S$9),-'Rent Roll'!$U$9*'Rent Roll'!$F$9*'Rent Roll'!$X$9,0)</f>
        <v>0</v>
      </c>
      <c r="E58" s="49">
        <f>IF(E$4=EOMONTH(CloseDate,'Rent Roll'!$O$9+'Rent Roll'!$S$9),-'Rent Roll'!$U$9*'Rent Roll'!$F$9*'Rent Roll'!$X$9,0)</f>
        <v>0</v>
      </c>
      <c r="F58" s="49">
        <f>IF(F$4=EOMONTH(CloseDate,'Rent Roll'!$O$9+'Rent Roll'!$S$9),-'Rent Roll'!$U$9*'Rent Roll'!$F$9*'Rent Roll'!$X$9,0)</f>
        <v>0</v>
      </c>
      <c r="G58" s="49">
        <f>IF(G$4=EOMONTH(CloseDate,'Rent Roll'!$O$9+'Rent Roll'!$S$9),-'Rent Roll'!$U$9*'Rent Roll'!$F$9*'Rent Roll'!$X$9,0)</f>
        <v>0</v>
      </c>
      <c r="H58" s="49">
        <f>IF(H$4=EOMONTH(CloseDate,'Rent Roll'!$O$9+'Rent Roll'!$S$9),-'Rent Roll'!$U$9*'Rent Roll'!$F$9*'Rent Roll'!$X$9,0)</f>
        <v>0</v>
      </c>
      <c r="I58" s="49">
        <f>IF(I$4=EOMONTH(CloseDate,'Rent Roll'!$O$9+'Rent Roll'!$S$9),-'Rent Roll'!$U$9*'Rent Roll'!$F$9*'Rent Roll'!$X$9,0)</f>
        <v>0</v>
      </c>
      <c r="J58" s="49">
        <f>IF(J$4=EOMONTH(CloseDate,'Rent Roll'!$O$9+'Rent Roll'!$S$9),-'Rent Roll'!$U$9*'Rent Roll'!$F$9*'Rent Roll'!$X$9,0)</f>
        <v>0</v>
      </c>
      <c r="K58" s="49">
        <f>IF(K$4=EOMONTH(CloseDate,'Rent Roll'!$O$9+'Rent Roll'!$S$9),-'Rent Roll'!$U$9*'Rent Roll'!$F$9*'Rent Roll'!$X$9,0)</f>
        <v>0</v>
      </c>
      <c r="L58" s="49">
        <f>IF(L$4=EOMONTH(CloseDate,'Rent Roll'!$O$9+'Rent Roll'!$S$9),-'Rent Roll'!$U$9*'Rent Roll'!$F$9*'Rent Roll'!$X$9,0)</f>
        <v>0</v>
      </c>
      <c r="M58" s="49">
        <f>IF(M$4=EOMONTH(CloseDate,'Rent Roll'!$O$9+'Rent Roll'!$S$9),-'Rent Roll'!$U$9*'Rent Roll'!$F$9*'Rent Roll'!$X$9,0)</f>
        <v>0</v>
      </c>
      <c r="N58" s="49">
        <f>IF(N$4=EOMONTH(CloseDate,'Rent Roll'!$O$9+'Rent Roll'!$S$9),-'Rent Roll'!$U$9*'Rent Roll'!$F$9*'Rent Roll'!$X$9,0)</f>
        <v>0</v>
      </c>
      <c r="O58" s="49">
        <f>IF(O$4=EOMONTH(CloseDate,'Rent Roll'!$O$9+'Rent Roll'!$S$9),-'Rent Roll'!$U$9*'Rent Roll'!$F$9*'Rent Roll'!$X$9,0)</f>
        <v>0</v>
      </c>
      <c r="P58" s="49">
        <f>IF(P$4=EOMONTH(CloseDate,'Rent Roll'!$O$9+'Rent Roll'!$S$9),-'Rent Roll'!$U$9*'Rent Roll'!$F$9*'Rent Roll'!$X$9,0)</f>
        <v>0</v>
      </c>
      <c r="Q58" s="49">
        <f>IF(Q$4=EOMONTH(CloseDate,'Rent Roll'!$O$9+'Rent Roll'!$S$9),-'Rent Roll'!$U$9*'Rent Roll'!$F$9*'Rent Roll'!$X$9,0)</f>
        <v>0</v>
      </c>
      <c r="R58" s="49">
        <f>IF(R$4=EOMONTH(CloseDate,'Rent Roll'!$O$9+'Rent Roll'!$S$9),-'Rent Roll'!$U$9*'Rent Roll'!$F$9*'Rent Roll'!$X$9,0)</f>
        <v>0</v>
      </c>
      <c r="S58" s="49">
        <f>IF(S$4=EOMONTH(CloseDate,'Rent Roll'!$O$9+'Rent Roll'!$S$9),-'Rent Roll'!$U$9*'Rent Roll'!$F$9*'Rent Roll'!$X$9,0)</f>
        <v>0</v>
      </c>
      <c r="T58" s="49">
        <f>IF(T$4=EOMONTH(CloseDate,'Rent Roll'!$O$9+'Rent Roll'!$S$9),-'Rent Roll'!$U$9*'Rent Roll'!$F$9*'Rent Roll'!$X$9,0)</f>
        <v>0</v>
      </c>
      <c r="U58" s="49">
        <f>IF(U$4=EOMONTH(CloseDate,'Rent Roll'!$O$9+'Rent Roll'!$S$9),-'Rent Roll'!$U$9*'Rent Roll'!$F$9*'Rent Roll'!$X$9,0)</f>
        <v>0</v>
      </c>
      <c r="V58" s="49">
        <f>IF(V$4=EOMONTH(CloseDate,'Rent Roll'!$O$9+'Rent Roll'!$S$9),-'Rent Roll'!$U$9*'Rent Roll'!$F$9*'Rent Roll'!$X$9,0)</f>
        <v>0</v>
      </c>
      <c r="W58" s="49">
        <f>IF(W$4=EOMONTH(CloseDate,'Rent Roll'!$O$9+'Rent Roll'!$S$9),-'Rent Roll'!$U$9*'Rent Roll'!$F$9*'Rent Roll'!$X$9,0)</f>
        <v>0</v>
      </c>
      <c r="X58" s="49">
        <f>IF(X$4=EOMONTH(CloseDate,'Rent Roll'!$O$9+'Rent Roll'!$S$9),-'Rent Roll'!$U$9*'Rent Roll'!$F$9*'Rent Roll'!$X$9,0)</f>
        <v>0</v>
      </c>
      <c r="Y58" s="49">
        <f>IF(Y$4=EOMONTH(CloseDate,'Rent Roll'!$O$9+'Rent Roll'!$S$9),-'Rent Roll'!$U$9*'Rent Roll'!$F$9*'Rent Roll'!$X$9,0)</f>
        <v>0</v>
      </c>
      <c r="Z58" s="49">
        <f>IF(Z$4=EOMONTH(CloseDate,'Rent Roll'!$O$9+'Rent Roll'!$S$9),-'Rent Roll'!$U$9*'Rent Roll'!$F$9*'Rent Roll'!$X$9,0)</f>
        <v>0</v>
      </c>
      <c r="AA58" s="49">
        <f>IF(AA$4=EOMONTH(CloseDate,'Rent Roll'!$O$9+'Rent Roll'!$S$9),-'Rent Roll'!$U$9*'Rent Roll'!$F$9*'Rent Roll'!$X$9,0)</f>
        <v>0</v>
      </c>
      <c r="AB58" s="49">
        <f>IF(AB$4=EOMONTH(CloseDate,'Rent Roll'!$O$9+'Rent Roll'!$S$9),-'Rent Roll'!$U$9*'Rent Roll'!$F$9*'Rent Roll'!$X$9,0)</f>
        <v>0</v>
      </c>
      <c r="AC58" s="49">
        <f>IF(AC$4=EOMONTH(CloseDate,'Rent Roll'!$O$9+'Rent Roll'!$S$9),-'Rent Roll'!$U$9*'Rent Roll'!$F$9*'Rent Roll'!$X$9,0)</f>
        <v>0</v>
      </c>
      <c r="AD58" s="49">
        <f>IF(AD$4=EOMONTH(CloseDate,'Rent Roll'!$O$9+'Rent Roll'!$S$9),-'Rent Roll'!$U$9*'Rent Roll'!$F$9*'Rent Roll'!$X$9,0)</f>
        <v>0</v>
      </c>
      <c r="AE58" s="49">
        <f>IF(AE$4=EOMONTH(CloseDate,'Rent Roll'!$O$9+'Rent Roll'!$S$9),-'Rent Roll'!$U$9*'Rent Roll'!$F$9*'Rent Roll'!$X$9,0)</f>
        <v>0</v>
      </c>
      <c r="AF58" s="49">
        <f>IF(AF$4=EOMONTH(CloseDate,'Rent Roll'!$O$9+'Rent Roll'!$S$9),-'Rent Roll'!$U$9*'Rent Roll'!$F$9*'Rent Roll'!$X$9,0)</f>
        <v>0</v>
      </c>
      <c r="AG58" s="49">
        <f>IF(AG$4=EOMONTH(CloseDate,'Rent Roll'!$O$9+'Rent Roll'!$S$9),-'Rent Roll'!$U$9*'Rent Roll'!$F$9*'Rent Roll'!$X$9,0)</f>
        <v>0</v>
      </c>
      <c r="AH58" s="49">
        <f>IF(AH$4=EOMONTH(CloseDate,'Rent Roll'!$O$9+'Rent Roll'!$S$9),-'Rent Roll'!$U$9*'Rent Roll'!$F$9*'Rent Roll'!$X$9,0)</f>
        <v>0</v>
      </c>
      <c r="AI58" s="49">
        <f>IF(AI$4=EOMONTH(CloseDate,'Rent Roll'!$O$9+'Rent Roll'!$S$9),-'Rent Roll'!$U$9*'Rent Roll'!$F$9*'Rent Roll'!$X$9,0)</f>
        <v>0</v>
      </c>
      <c r="AJ58" s="49">
        <f>IF(AJ$4=EOMONTH(CloseDate,'Rent Roll'!$O$9+'Rent Roll'!$S$9),-'Rent Roll'!$U$9*'Rent Roll'!$F$9*'Rent Roll'!$X$9,0)</f>
        <v>0</v>
      </c>
      <c r="AK58" s="49">
        <f>IF(AK$4=EOMONTH(CloseDate,'Rent Roll'!$O$9+'Rent Roll'!$S$9),-'Rent Roll'!$U$9*'Rent Roll'!$F$9*'Rent Roll'!$X$9,0)</f>
        <v>0</v>
      </c>
      <c r="AL58" s="49">
        <f>IF(AL$4=EOMONTH(CloseDate,'Rent Roll'!$O$9+'Rent Roll'!$S$9),-'Rent Roll'!$U$9*'Rent Roll'!$F$9*'Rent Roll'!$X$9,0)</f>
        <v>0</v>
      </c>
      <c r="AM58" s="49">
        <f>IF(AM$4=EOMONTH(CloseDate,'Rent Roll'!$O$9+'Rent Roll'!$S$9),-'Rent Roll'!$U$9*'Rent Roll'!$F$9*'Rent Roll'!$X$9,0)</f>
        <v>0</v>
      </c>
      <c r="AN58" s="49">
        <f>IF(AN$4=EOMONTH(CloseDate,'Rent Roll'!$O$9+'Rent Roll'!$S$9),-'Rent Roll'!$U$9*'Rent Roll'!$F$9*'Rent Roll'!$X$9,0)</f>
        <v>0</v>
      </c>
      <c r="AO58" s="49">
        <f>IF(AO$4=EOMONTH(CloseDate,'Rent Roll'!$O$9+'Rent Roll'!$S$9),-'Rent Roll'!$U$9*'Rent Roll'!$F$9*'Rent Roll'!$X$9,0)</f>
        <v>0</v>
      </c>
      <c r="AP58" s="49">
        <f>IF(AP$4=EOMONTH(CloseDate,'Rent Roll'!$O$9+'Rent Roll'!$S$9),-'Rent Roll'!$U$9*'Rent Roll'!$F$9*'Rent Roll'!$X$9,0)</f>
        <v>0</v>
      </c>
      <c r="AQ58" s="49">
        <f>IF(AQ$4=EOMONTH(CloseDate,'Rent Roll'!$O$9+'Rent Roll'!$S$9),-'Rent Roll'!$U$9*'Rent Roll'!$F$9*'Rent Roll'!$X$9,0)</f>
        <v>0</v>
      </c>
      <c r="AR58" s="49">
        <f>IF(AR$4=EOMONTH(CloseDate,'Rent Roll'!$O$9+'Rent Roll'!$S$9),-'Rent Roll'!$U$9*'Rent Roll'!$F$9*'Rent Roll'!$X$9,0)</f>
        <v>0</v>
      </c>
      <c r="AS58" s="49">
        <f>IF(AS$4=EOMONTH(CloseDate,'Rent Roll'!$O$9+'Rent Roll'!$S$9),-'Rent Roll'!$U$9*'Rent Roll'!$F$9*'Rent Roll'!$X$9,0)</f>
        <v>0</v>
      </c>
      <c r="AT58" s="49">
        <f>IF(AT$4=EOMONTH(CloseDate,'Rent Roll'!$O$9+'Rent Roll'!$S$9),-'Rent Roll'!$U$9*'Rent Roll'!$F$9*'Rent Roll'!$X$9,0)</f>
        <v>0</v>
      </c>
      <c r="AU58" s="49">
        <f>IF(AU$4=EOMONTH(CloseDate,'Rent Roll'!$O$9+'Rent Roll'!$S$9),-'Rent Roll'!$U$9*'Rent Roll'!$F$9*'Rent Roll'!$X$9,0)</f>
        <v>0</v>
      </c>
      <c r="AV58" s="49">
        <f>IF(AV$4=EOMONTH(CloseDate,'Rent Roll'!$O$9+'Rent Roll'!$S$9),-'Rent Roll'!$U$9*'Rent Roll'!$F$9*'Rent Roll'!$X$9,0)</f>
        <v>0</v>
      </c>
      <c r="AW58" s="49">
        <f>IF(AW$4=EOMONTH(CloseDate,'Rent Roll'!$O$9+'Rent Roll'!$S$9),-'Rent Roll'!$U$9*'Rent Roll'!$F$9*'Rent Roll'!$X$9,0)</f>
        <v>0</v>
      </c>
      <c r="AX58" s="49">
        <f>IF(AX$4=EOMONTH(CloseDate,'Rent Roll'!$O$9+'Rent Roll'!$S$9),-'Rent Roll'!$U$9*'Rent Roll'!$F$9*'Rent Roll'!$X$9,0)</f>
        <v>0</v>
      </c>
      <c r="AY58" s="49">
        <f>IF(AY$4=EOMONTH(CloseDate,'Rent Roll'!$O$9+'Rent Roll'!$S$9),-'Rent Roll'!$U$9*'Rent Roll'!$F$9*'Rent Roll'!$X$9,0)</f>
        <v>0</v>
      </c>
      <c r="AZ58" s="49">
        <f>IF(AZ$4=EOMONTH(CloseDate,'Rent Roll'!$O$9+'Rent Roll'!$S$9),-'Rent Roll'!$U$9*'Rent Roll'!$F$9*'Rent Roll'!$X$9,0)</f>
        <v>0</v>
      </c>
      <c r="BA58" s="49">
        <f>IF(BA$4=EOMONTH(CloseDate,'Rent Roll'!$O$9+'Rent Roll'!$S$9),-'Rent Roll'!$U$9*'Rent Roll'!$F$9*'Rent Roll'!$X$9,0)</f>
        <v>0</v>
      </c>
      <c r="BB58" s="49">
        <f>IF(BB$4=EOMONTH(CloseDate,'Rent Roll'!$O$9+'Rent Roll'!$S$9),-'Rent Roll'!$U$9*'Rent Roll'!$F$9*'Rent Roll'!$X$9,0)</f>
        <v>0</v>
      </c>
      <c r="BC58" s="49">
        <f>IF(BC$4=EOMONTH(CloseDate,'Rent Roll'!$O$9+'Rent Roll'!$S$9),-'Rent Roll'!$U$9*'Rent Roll'!$F$9*'Rent Roll'!$X$9,0)</f>
        <v>-12952.406249999998</v>
      </c>
      <c r="BD58" s="49">
        <f>IF(BD$4=EOMONTH(CloseDate,'Rent Roll'!$O$9+'Rent Roll'!$S$9),-'Rent Roll'!$U$9*'Rent Roll'!$F$9*'Rent Roll'!$X$9,0)</f>
        <v>0</v>
      </c>
      <c r="BE58" s="49">
        <f>IF(BE$4=EOMONTH(CloseDate,'Rent Roll'!$O$9+'Rent Roll'!$S$9),-'Rent Roll'!$U$9*'Rent Roll'!$F$9*'Rent Roll'!$X$9,0)</f>
        <v>0</v>
      </c>
      <c r="BF58" s="49">
        <f>IF(BF$4=EOMONTH(CloseDate,'Rent Roll'!$O$9+'Rent Roll'!$S$9),-'Rent Roll'!$U$9*'Rent Roll'!$F$9*'Rent Roll'!$X$9,0)</f>
        <v>0</v>
      </c>
      <c r="BG58" s="49">
        <f>IF(BG$4=EOMONTH(CloseDate,'Rent Roll'!$O$9+'Rent Roll'!$S$9),-'Rent Roll'!$U$9*'Rent Roll'!$F$9*'Rent Roll'!$X$9,0)</f>
        <v>0</v>
      </c>
      <c r="BH58" s="49">
        <f>IF(BH$4=EOMONTH(CloseDate,'Rent Roll'!$O$9+'Rent Roll'!$S$9),-'Rent Roll'!$U$9*'Rent Roll'!$F$9*'Rent Roll'!$X$9,0)</f>
        <v>0</v>
      </c>
      <c r="BI58" s="49">
        <f>IF(BI$4=EOMONTH(CloseDate,'Rent Roll'!$O$9+'Rent Roll'!$S$9),-'Rent Roll'!$U$9*'Rent Roll'!$F$9*'Rent Roll'!$X$9,0)</f>
        <v>0</v>
      </c>
      <c r="BJ58" s="49">
        <f>IF(BJ$4=EOMONTH(CloseDate,'Rent Roll'!$O$9+'Rent Roll'!$S$9),-'Rent Roll'!$U$9*'Rent Roll'!$F$9*'Rent Roll'!$X$9,0)</f>
        <v>0</v>
      </c>
      <c r="BK58" s="49">
        <f>IF(BK$4=EOMONTH(CloseDate,'Rent Roll'!$O$9+'Rent Roll'!$S$9),-'Rent Roll'!$U$9*'Rent Roll'!$F$9*'Rent Roll'!$X$9,0)</f>
        <v>0</v>
      </c>
      <c r="BL58" s="49">
        <f>IF(BL$4=EOMONTH(CloseDate,'Rent Roll'!$O$9+'Rent Roll'!$S$9),-'Rent Roll'!$U$9*'Rent Roll'!$F$9*'Rent Roll'!$X$9,0)</f>
        <v>0</v>
      </c>
      <c r="BM58" s="49">
        <f>IF(BM$4=EOMONTH(CloseDate,'Rent Roll'!$O$9+'Rent Roll'!$S$9),-'Rent Roll'!$U$9*'Rent Roll'!$F$9*'Rent Roll'!$X$9,0)</f>
        <v>0</v>
      </c>
      <c r="BN58" s="49">
        <f>IF(BN$4=EOMONTH(CloseDate,'Rent Roll'!$O$9+'Rent Roll'!$S$9),-'Rent Roll'!$U$9*'Rent Roll'!$F$9*'Rent Roll'!$X$9,0)</f>
        <v>0</v>
      </c>
      <c r="BO58" s="49">
        <f>IF(BO$4=EOMONTH(CloseDate,'Rent Roll'!$O$9+'Rent Roll'!$S$9),-'Rent Roll'!$U$9*'Rent Roll'!$F$9*'Rent Roll'!$X$9,0)</f>
        <v>0</v>
      </c>
      <c r="BP58" s="49">
        <f>IF(BP$4=EOMONTH(CloseDate,'Rent Roll'!$O$9+'Rent Roll'!$S$9),-'Rent Roll'!$U$9*'Rent Roll'!$F$9*'Rent Roll'!$X$9,0)</f>
        <v>0</v>
      </c>
      <c r="BQ58" s="49">
        <f>IF(BQ$4=EOMONTH(CloseDate,'Rent Roll'!$O$9+'Rent Roll'!$S$9),-'Rent Roll'!$U$9*'Rent Roll'!$F$9*'Rent Roll'!$X$9,0)</f>
        <v>0</v>
      </c>
      <c r="BR58" s="49">
        <f>IF(BR$4=EOMONTH(CloseDate,'Rent Roll'!$O$9+'Rent Roll'!$S$9),-'Rent Roll'!$U$9*'Rent Roll'!$F$9*'Rent Roll'!$X$9,0)</f>
        <v>0</v>
      </c>
      <c r="BS58" s="49">
        <f>IF(BS$4=EOMONTH(CloseDate,'Rent Roll'!$O$9+'Rent Roll'!$S$9),-'Rent Roll'!$U$9*'Rent Roll'!$F$9*'Rent Roll'!$X$9,0)</f>
        <v>0</v>
      </c>
      <c r="BT58" s="49">
        <f>IF(BT$4=EOMONTH(CloseDate,'Rent Roll'!$O$9+'Rent Roll'!$S$9),-'Rent Roll'!$U$9*'Rent Roll'!$F$9*'Rent Roll'!$X$9,0)</f>
        <v>0</v>
      </c>
      <c r="BU58" s="49">
        <f>IF(BU$4=EOMONTH(CloseDate,'Rent Roll'!$O$9+'Rent Roll'!$S$9),-'Rent Roll'!$U$9*'Rent Roll'!$F$9*'Rent Roll'!$X$9,0)</f>
        <v>0</v>
      </c>
      <c r="BV58" s="49">
        <f>IF(BV$4=EOMONTH(CloseDate,'Rent Roll'!$O$9+'Rent Roll'!$S$9),-'Rent Roll'!$U$9*'Rent Roll'!$F$9*'Rent Roll'!$X$9,0)</f>
        <v>0</v>
      </c>
      <c r="BW58" s="49">
        <f>IF(BW$4=EOMONTH(CloseDate,'Rent Roll'!$O$9+'Rent Roll'!$S$9),-'Rent Roll'!$U$9*'Rent Roll'!$F$9*'Rent Roll'!$X$9,0)</f>
        <v>0</v>
      </c>
      <c r="BX58" s="49">
        <f>IF(BX$4=EOMONTH(CloseDate,'Rent Roll'!$O$9+'Rent Roll'!$S$9),-'Rent Roll'!$U$9*'Rent Roll'!$F$9*'Rent Roll'!$X$9,0)</f>
        <v>0</v>
      </c>
    </row>
    <row r="59" spans="1:76" hidden="1" outlineLevel="1">
      <c r="A59" s="17" t="str">
        <f>'Rent Roll'!C10</f>
        <v>Brightpath Insurance</v>
      </c>
      <c r="B59" s="57">
        <f>INDEX('Rent Roll'!$F$5:$F$46,MATCH('Rent Roll Calc'!A59,'Rent Roll'!$C$5:$C$46,0))</f>
        <v>7900</v>
      </c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/>
      <c r="AD59" s="49"/>
      <c r="AE59" s="49"/>
      <c r="AF59" s="49"/>
      <c r="AG59" s="49"/>
      <c r="AH59" s="49"/>
      <c r="AI59" s="49"/>
      <c r="AJ59" s="49"/>
      <c r="AK59" s="49"/>
      <c r="AL59" s="49"/>
      <c r="AM59" s="49"/>
      <c r="AN59" s="49"/>
      <c r="AO59" s="49"/>
      <c r="AP59" s="49"/>
      <c r="AQ59" s="49"/>
      <c r="AR59" s="49"/>
      <c r="AS59" s="49"/>
      <c r="AT59" s="49"/>
      <c r="AU59" s="49"/>
      <c r="AV59" s="49"/>
      <c r="AW59" s="49"/>
      <c r="AX59" s="49"/>
      <c r="AY59" s="49"/>
      <c r="AZ59" s="49"/>
      <c r="BA59" s="49"/>
      <c r="BB59" s="49"/>
      <c r="BC59" s="49"/>
      <c r="BD59" s="49"/>
      <c r="BE59" s="49"/>
      <c r="BF59" s="49"/>
      <c r="BG59" s="49"/>
      <c r="BH59" s="49"/>
      <c r="BI59" s="49"/>
      <c r="BJ59" s="49"/>
      <c r="BK59" s="49"/>
      <c r="BL59" s="49"/>
      <c r="BM59" s="49"/>
      <c r="BN59" s="49"/>
      <c r="BO59" s="49"/>
      <c r="BP59" s="49"/>
      <c r="BQ59" s="49"/>
      <c r="BR59" s="49"/>
      <c r="BS59" s="49"/>
      <c r="BT59" s="49"/>
      <c r="BU59" s="49"/>
      <c r="BV59" s="49"/>
      <c r="BW59" s="49"/>
      <c r="BX59" s="49"/>
    </row>
    <row r="60" spans="1:76" hidden="1" outlineLevel="1">
      <c r="B60" t="s">
        <v>83</v>
      </c>
      <c r="D60" s="49">
        <f>IF(AND('Rent Roll'!$N$10&lt;&gt;"Ghost",D$4&lt;='Rent Roll'!$L$10),1,0)</f>
        <v>1</v>
      </c>
      <c r="E60" s="49">
        <f>IF(AND('Rent Roll'!$N$10&lt;&gt;"Ghost",E$4&lt;='Rent Roll'!$L$10),1,0)</f>
        <v>1</v>
      </c>
      <c r="F60" s="49">
        <f>IF(AND('Rent Roll'!$N$10&lt;&gt;"Ghost",F$4&lt;='Rent Roll'!$L$10),1,0)</f>
        <v>1</v>
      </c>
      <c r="G60" s="49">
        <f>IF(AND('Rent Roll'!$N$10&lt;&gt;"Ghost",G$4&lt;='Rent Roll'!$L$10),1,0)</f>
        <v>1</v>
      </c>
      <c r="H60" s="49">
        <f>IF(AND('Rent Roll'!$N$10&lt;&gt;"Ghost",H$4&lt;='Rent Roll'!$L$10),1,0)</f>
        <v>1</v>
      </c>
      <c r="I60" s="49">
        <f>IF(AND('Rent Roll'!$N$10&lt;&gt;"Ghost",I$4&lt;='Rent Roll'!$L$10),1,0)</f>
        <v>1</v>
      </c>
      <c r="J60" s="49">
        <f>IF(AND('Rent Roll'!$N$10&lt;&gt;"Ghost",J$4&lt;='Rent Roll'!$L$10),1,0)</f>
        <v>1</v>
      </c>
      <c r="K60" s="49">
        <f>IF(AND('Rent Roll'!$N$10&lt;&gt;"Ghost",K$4&lt;='Rent Roll'!$L$10),1,0)</f>
        <v>1</v>
      </c>
      <c r="L60" s="49">
        <f>IF(AND('Rent Roll'!$N$10&lt;&gt;"Ghost",L$4&lt;='Rent Roll'!$L$10),1,0)</f>
        <v>1</v>
      </c>
      <c r="M60" s="49">
        <f>IF(AND('Rent Roll'!$N$10&lt;&gt;"Ghost",M$4&lt;='Rent Roll'!$L$10),1,0)</f>
        <v>1</v>
      </c>
      <c r="N60" s="49">
        <f>IF(AND('Rent Roll'!$N$10&lt;&gt;"Ghost",N$4&lt;='Rent Roll'!$L$10),1,0)</f>
        <v>1</v>
      </c>
      <c r="O60" s="49">
        <f>IF(AND('Rent Roll'!$N$10&lt;&gt;"Ghost",O$4&lt;='Rent Roll'!$L$10),1,0)</f>
        <v>1</v>
      </c>
      <c r="P60" s="49">
        <f>IF(AND('Rent Roll'!$N$10&lt;&gt;"Ghost",P$4&lt;='Rent Roll'!$L$10),1,0)</f>
        <v>1</v>
      </c>
      <c r="Q60" s="49">
        <f>IF(AND('Rent Roll'!$N$10&lt;&gt;"Ghost",Q$4&lt;='Rent Roll'!$L$10),1,0)</f>
        <v>1</v>
      </c>
      <c r="R60" s="49">
        <f>IF(AND('Rent Roll'!$N$10&lt;&gt;"Ghost",R$4&lt;='Rent Roll'!$L$10),1,0)</f>
        <v>1</v>
      </c>
      <c r="S60" s="49">
        <f>IF(AND('Rent Roll'!$N$10&lt;&gt;"Ghost",S$4&lt;='Rent Roll'!$L$10),1,0)</f>
        <v>1</v>
      </c>
      <c r="T60" s="49">
        <f>IF(AND('Rent Roll'!$N$10&lt;&gt;"Ghost",T$4&lt;='Rent Roll'!$L$10),1,0)</f>
        <v>1</v>
      </c>
      <c r="U60" s="49">
        <f>IF(AND('Rent Roll'!$N$10&lt;&gt;"Ghost",U$4&lt;='Rent Roll'!$L$10),1,0)</f>
        <v>1</v>
      </c>
      <c r="V60" s="49">
        <f>IF(AND('Rent Roll'!$N$10&lt;&gt;"Ghost",V$4&lt;='Rent Roll'!$L$10),1,0)</f>
        <v>1</v>
      </c>
      <c r="W60" s="49">
        <f>IF(AND('Rent Roll'!$N$10&lt;&gt;"Ghost",W$4&lt;='Rent Roll'!$L$10),1,0)</f>
        <v>1</v>
      </c>
      <c r="X60" s="49">
        <f>IF(AND('Rent Roll'!$N$10&lt;&gt;"Ghost",X$4&lt;='Rent Roll'!$L$10),1,0)</f>
        <v>1</v>
      </c>
      <c r="Y60" s="49">
        <f>IF(AND('Rent Roll'!$N$10&lt;&gt;"Ghost",Y$4&lt;='Rent Roll'!$L$10),1,0)</f>
        <v>1</v>
      </c>
      <c r="Z60" s="49">
        <f>IF(AND('Rent Roll'!$N$10&lt;&gt;"Ghost",Z$4&lt;='Rent Roll'!$L$10),1,0)</f>
        <v>1</v>
      </c>
      <c r="AA60" s="49">
        <f>IF(AND('Rent Roll'!$N$10&lt;&gt;"Ghost",AA$4&lt;='Rent Roll'!$L$10),1,0)</f>
        <v>1</v>
      </c>
      <c r="AB60" s="49">
        <f>IF(AND('Rent Roll'!$N$10&lt;&gt;"Ghost",AB$4&lt;='Rent Roll'!$L$10),1,0)</f>
        <v>1</v>
      </c>
      <c r="AC60" s="49">
        <f>IF(AND('Rent Roll'!$N$10&lt;&gt;"Ghost",AC$4&lt;='Rent Roll'!$L$10),1,0)</f>
        <v>1</v>
      </c>
      <c r="AD60" s="49">
        <f>IF(AND('Rent Roll'!$N$10&lt;&gt;"Ghost",AD$4&lt;='Rent Roll'!$L$10),1,0)</f>
        <v>1</v>
      </c>
      <c r="AE60" s="49">
        <f>IF(AND('Rent Roll'!$N$10&lt;&gt;"Ghost",AE$4&lt;='Rent Roll'!$L$10),1,0)</f>
        <v>1</v>
      </c>
      <c r="AF60" s="49">
        <f>IF(AND('Rent Roll'!$N$10&lt;&gt;"Ghost",AF$4&lt;='Rent Roll'!$L$10),1,0)</f>
        <v>1</v>
      </c>
      <c r="AG60" s="49">
        <f>IF(AND('Rent Roll'!$N$10&lt;&gt;"Ghost",AG$4&lt;='Rent Roll'!$L$10),1,0)</f>
        <v>1</v>
      </c>
      <c r="AH60" s="49">
        <f>IF(AND('Rent Roll'!$N$10&lt;&gt;"Ghost",AH$4&lt;='Rent Roll'!$L$10),1,0)</f>
        <v>1</v>
      </c>
      <c r="AI60" s="49">
        <f>IF(AND('Rent Roll'!$N$10&lt;&gt;"Ghost",AI$4&lt;='Rent Roll'!$L$10),1,0)</f>
        <v>0</v>
      </c>
      <c r="AJ60" s="49">
        <f>IF(AND('Rent Roll'!$N$10&lt;&gt;"Ghost",AJ$4&lt;='Rent Roll'!$L$10),1,0)</f>
        <v>0</v>
      </c>
      <c r="AK60" s="49">
        <f>IF(AND('Rent Roll'!$N$10&lt;&gt;"Ghost",AK$4&lt;='Rent Roll'!$L$10),1,0)</f>
        <v>0</v>
      </c>
      <c r="AL60" s="49">
        <f>IF(AND('Rent Roll'!$N$10&lt;&gt;"Ghost",AL$4&lt;='Rent Roll'!$L$10),1,0)</f>
        <v>0</v>
      </c>
      <c r="AM60" s="49">
        <f>IF(AND('Rent Roll'!$N$10&lt;&gt;"Ghost",AM$4&lt;='Rent Roll'!$L$10),1,0)</f>
        <v>0</v>
      </c>
      <c r="AN60" s="49">
        <f>IF(AND('Rent Roll'!$N$10&lt;&gt;"Ghost",AN$4&lt;='Rent Roll'!$L$10),1,0)</f>
        <v>0</v>
      </c>
      <c r="AO60" s="49">
        <f>IF(AND('Rent Roll'!$N$10&lt;&gt;"Ghost",AO$4&lt;='Rent Roll'!$L$10),1,0)</f>
        <v>0</v>
      </c>
      <c r="AP60" s="49">
        <f>IF(AND('Rent Roll'!$N$10&lt;&gt;"Ghost",AP$4&lt;='Rent Roll'!$L$10),1,0)</f>
        <v>0</v>
      </c>
      <c r="AQ60" s="49">
        <f>IF(AND('Rent Roll'!$N$10&lt;&gt;"Ghost",AQ$4&lt;='Rent Roll'!$L$10),1,0)</f>
        <v>0</v>
      </c>
      <c r="AR60" s="49">
        <f>IF(AND('Rent Roll'!$N$10&lt;&gt;"Ghost",AR$4&lt;='Rent Roll'!$L$10),1,0)</f>
        <v>0</v>
      </c>
      <c r="AS60" s="49">
        <f>IF(AND('Rent Roll'!$N$10&lt;&gt;"Ghost",AS$4&lt;='Rent Roll'!$L$10),1,0)</f>
        <v>0</v>
      </c>
      <c r="AT60" s="49">
        <f>IF(AND('Rent Roll'!$N$10&lt;&gt;"Ghost",AT$4&lt;='Rent Roll'!$L$10),1,0)</f>
        <v>0</v>
      </c>
      <c r="AU60" s="49">
        <f>IF(AND('Rent Roll'!$N$10&lt;&gt;"Ghost",AU$4&lt;='Rent Roll'!$L$10),1,0)</f>
        <v>0</v>
      </c>
      <c r="AV60" s="49">
        <f>IF(AND('Rent Roll'!$N$10&lt;&gt;"Ghost",AV$4&lt;='Rent Roll'!$L$10),1,0)</f>
        <v>0</v>
      </c>
      <c r="AW60" s="49">
        <f>IF(AND('Rent Roll'!$N$10&lt;&gt;"Ghost",AW$4&lt;='Rent Roll'!$L$10),1,0)</f>
        <v>0</v>
      </c>
      <c r="AX60" s="49">
        <f>IF(AND('Rent Roll'!$N$10&lt;&gt;"Ghost",AX$4&lt;='Rent Roll'!$L$10),1,0)</f>
        <v>0</v>
      </c>
      <c r="AY60" s="49">
        <f>IF(AND('Rent Roll'!$N$10&lt;&gt;"Ghost",AY$4&lt;='Rent Roll'!$L$10),1,0)</f>
        <v>0</v>
      </c>
      <c r="AZ60" s="49">
        <f>IF(AND('Rent Roll'!$N$10&lt;&gt;"Ghost",AZ$4&lt;='Rent Roll'!$L$10),1,0)</f>
        <v>0</v>
      </c>
      <c r="BA60" s="49">
        <f>IF(AND('Rent Roll'!$N$10&lt;&gt;"Ghost",BA$4&lt;='Rent Roll'!$L$10),1,0)</f>
        <v>0</v>
      </c>
      <c r="BB60" s="49">
        <f>IF(AND('Rent Roll'!$N$10&lt;&gt;"Ghost",BB$4&lt;='Rent Roll'!$L$10),1,0)</f>
        <v>0</v>
      </c>
      <c r="BC60" s="49">
        <f>IF(AND('Rent Roll'!$N$10&lt;&gt;"Ghost",BC$4&lt;='Rent Roll'!$L$10),1,0)</f>
        <v>0</v>
      </c>
      <c r="BD60" s="49">
        <f>IF(AND('Rent Roll'!$N$10&lt;&gt;"Ghost",BD$4&lt;='Rent Roll'!$L$10),1,0)</f>
        <v>0</v>
      </c>
      <c r="BE60" s="49">
        <f>IF(AND('Rent Roll'!$N$10&lt;&gt;"Ghost",BE$4&lt;='Rent Roll'!$L$10),1,0)</f>
        <v>0</v>
      </c>
      <c r="BF60" s="49">
        <f>IF(AND('Rent Roll'!$N$10&lt;&gt;"Ghost",BF$4&lt;='Rent Roll'!$L$10),1,0)</f>
        <v>0</v>
      </c>
      <c r="BG60" s="49">
        <f>IF(AND('Rent Roll'!$N$10&lt;&gt;"Ghost",BG$4&lt;='Rent Roll'!$L$10),1,0)</f>
        <v>0</v>
      </c>
      <c r="BH60" s="49">
        <f>IF(AND('Rent Roll'!$N$10&lt;&gt;"Ghost",BH$4&lt;='Rent Roll'!$L$10),1,0)</f>
        <v>0</v>
      </c>
      <c r="BI60" s="49">
        <f>IF(AND('Rent Roll'!$N$10&lt;&gt;"Ghost",BI$4&lt;='Rent Roll'!$L$10),1,0)</f>
        <v>0</v>
      </c>
      <c r="BJ60" s="49">
        <f>IF(AND('Rent Roll'!$N$10&lt;&gt;"Ghost",BJ$4&lt;='Rent Roll'!$L$10),1,0)</f>
        <v>0</v>
      </c>
      <c r="BK60" s="49">
        <f>IF(AND('Rent Roll'!$N$10&lt;&gt;"Ghost",BK$4&lt;='Rent Roll'!$L$10),1,0)</f>
        <v>0</v>
      </c>
      <c r="BL60" s="49">
        <f>IF(AND('Rent Roll'!$N$10&lt;&gt;"Ghost",BL$4&lt;='Rent Roll'!$L$10),1,0)</f>
        <v>0</v>
      </c>
      <c r="BM60" s="49">
        <f>IF(AND('Rent Roll'!$N$10&lt;&gt;"Ghost",BM$4&lt;='Rent Roll'!$L$10),1,0)</f>
        <v>0</v>
      </c>
      <c r="BN60" s="49">
        <f>IF(AND('Rent Roll'!$N$10&lt;&gt;"Ghost",BN$4&lt;='Rent Roll'!$L$10),1,0)</f>
        <v>0</v>
      </c>
      <c r="BO60" s="49">
        <f>IF(AND('Rent Roll'!$N$10&lt;&gt;"Ghost",BO$4&lt;='Rent Roll'!$L$10),1,0)</f>
        <v>0</v>
      </c>
      <c r="BP60" s="49">
        <f>IF(AND('Rent Roll'!$N$10&lt;&gt;"Ghost",BP$4&lt;='Rent Roll'!$L$10),1,0)</f>
        <v>0</v>
      </c>
      <c r="BQ60" s="49">
        <f>IF(AND('Rent Roll'!$N$10&lt;&gt;"Ghost",BQ$4&lt;='Rent Roll'!$L$10),1,0)</f>
        <v>0</v>
      </c>
      <c r="BR60" s="49">
        <f>IF(AND('Rent Roll'!$N$10&lt;&gt;"Ghost",BR$4&lt;='Rent Roll'!$L$10),1,0)</f>
        <v>0</v>
      </c>
      <c r="BS60" s="49">
        <f>IF(AND('Rent Roll'!$N$10&lt;&gt;"Ghost",BS$4&lt;='Rent Roll'!$L$10),1,0)</f>
        <v>0</v>
      </c>
      <c r="BT60" s="49">
        <f>IF(AND('Rent Roll'!$N$10&lt;&gt;"Ghost",BT$4&lt;='Rent Roll'!$L$10),1,0)</f>
        <v>0</v>
      </c>
      <c r="BU60" s="49">
        <f>IF(AND('Rent Roll'!$N$10&lt;&gt;"Ghost",BU$4&lt;='Rent Roll'!$L$10),1,0)</f>
        <v>0</v>
      </c>
      <c r="BV60" s="49">
        <f>IF(AND('Rent Roll'!$N$10&lt;&gt;"Ghost",BV$4&lt;='Rent Roll'!$L$10),1,0)</f>
        <v>0</v>
      </c>
      <c r="BW60" s="49">
        <f>IF(AND('Rent Roll'!$N$10&lt;&gt;"Ghost",BW$4&lt;='Rent Roll'!$L$10),1,0)</f>
        <v>0</v>
      </c>
      <c r="BX60" s="49">
        <f>IF(AND('Rent Roll'!$N$10&lt;&gt;"Ghost",BX$4&lt;='Rent Roll'!$L$10),1,0)</f>
        <v>0</v>
      </c>
    </row>
    <row r="61" spans="1:76" hidden="1" outlineLevel="1">
      <c r="B61" t="s">
        <v>159</v>
      </c>
      <c r="D61" s="49">
        <f>IF(D60=1,'Rent Roll'!$H$10/12*(1+'Rent Roll'!$I$10)^IF(D$4&lt;'Rent Roll'!$Y$10,0,YEAR(D$4)-YEAR('Rent Roll'!$Y$10)+1),0)</f>
        <v>13660.416666666666</v>
      </c>
      <c r="E61" s="49">
        <f>IF(E60=1,'Rent Roll'!$H$10/12*(1+'Rent Roll'!$I$10)^IF(E$4&lt;'Rent Roll'!$Y$10,0,YEAR(E$4)-YEAR('Rent Roll'!$Y$10)+1),0)</f>
        <v>13660.416666666666</v>
      </c>
      <c r="F61" s="49">
        <f>IF(F60=1,'Rent Roll'!$H$10/12*(1+'Rent Roll'!$I$10)^IF(F$4&lt;'Rent Roll'!$Y$10,0,YEAR(F$4)-YEAR('Rent Roll'!$Y$10)+1),0)</f>
        <v>13660.416666666666</v>
      </c>
      <c r="G61" s="49">
        <f>IF(G60=1,'Rent Roll'!$H$10/12*(1+'Rent Roll'!$I$10)^IF(G$4&lt;'Rent Roll'!$Y$10,0,YEAR(G$4)-YEAR('Rent Roll'!$Y$10)+1),0)</f>
        <v>13660.416666666666</v>
      </c>
      <c r="H61" s="49">
        <f>IF(H60=1,'Rent Roll'!$H$10/12*(1+'Rent Roll'!$I$10)^IF(H$4&lt;'Rent Roll'!$Y$10,0,YEAR(H$4)-YEAR('Rent Roll'!$Y$10)+1),0)</f>
        <v>13660.416666666666</v>
      </c>
      <c r="I61" s="49">
        <f>IF(I60=1,'Rent Roll'!$H$10/12*(1+'Rent Roll'!$I$10)^IF(I$4&lt;'Rent Roll'!$Y$10,0,YEAR(I$4)-YEAR('Rent Roll'!$Y$10)+1),0)</f>
        <v>13660.416666666666</v>
      </c>
      <c r="J61" s="49">
        <f>IF(J60=1,'Rent Roll'!$H$10/12*(1+'Rent Roll'!$I$10)^IF(J$4&lt;'Rent Roll'!$Y$10,0,YEAR(J$4)-YEAR('Rent Roll'!$Y$10)+1),0)</f>
        <v>13660.416666666666</v>
      </c>
      <c r="K61" s="49">
        <f>IF(K60=1,'Rent Roll'!$H$10/12*(1+'Rent Roll'!$I$10)^IF(K$4&lt;'Rent Roll'!$Y$10,0,YEAR(K$4)-YEAR('Rent Roll'!$Y$10)+1),0)</f>
        <v>14001.927083333332</v>
      </c>
      <c r="L61" s="49">
        <f>IF(L60=1,'Rent Roll'!$H$10/12*(1+'Rent Roll'!$I$10)^IF(L$4&lt;'Rent Roll'!$Y$10,0,YEAR(L$4)-YEAR('Rent Roll'!$Y$10)+1),0)</f>
        <v>14001.927083333332</v>
      </c>
      <c r="M61" s="49">
        <f>IF(M60=1,'Rent Roll'!$H$10/12*(1+'Rent Roll'!$I$10)^IF(M$4&lt;'Rent Roll'!$Y$10,0,YEAR(M$4)-YEAR('Rent Roll'!$Y$10)+1),0)</f>
        <v>14001.927083333332</v>
      </c>
      <c r="N61" s="49">
        <f>IF(N60=1,'Rent Roll'!$H$10/12*(1+'Rent Roll'!$I$10)^IF(N$4&lt;'Rent Roll'!$Y$10,0,YEAR(N$4)-YEAR('Rent Roll'!$Y$10)+1),0)</f>
        <v>14001.927083333332</v>
      </c>
      <c r="O61" s="49">
        <f>IF(O60=1,'Rent Roll'!$H$10/12*(1+'Rent Roll'!$I$10)^IF(O$4&lt;'Rent Roll'!$Y$10,0,YEAR(O$4)-YEAR('Rent Roll'!$Y$10)+1),0)</f>
        <v>14001.927083333332</v>
      </c>
      <c r="P61" s="49">
        <f>IF(P60=1,'Rent Roll'!$H$10/12*(1+'Rent Roll'!$I$10)^IF(P$4&lt;'Rent Roll'!$Y$10,0,YEAR(P$4)-YEAR('Rent Roll'!$Y$10)+1),0)</f>
        <v>14001.927083333332</v>
      </c>
      <c r="Q61" s="49">
        <f>IF(Q60=1,'Rent Roll'!$H$10/12*(1+'Rent Roll'!$I$10)^IF(Q$4&lt;'Rent Roll'!$Y$10,0,YEAR(Q$4)-YEAR('Rent Roll'!$Y$10)+1),0)</f>
        <v>14001.927083333332</v>
      </c>
      <c r="R61" s="49">
        <f>IF(R60=1,'Rent Roll'!$H$10/12*(1+'Rent Roll'!$I$10)^IF(R$4&lt;'Rent Roll'!$Y$10,0,YEAR(R$4)-YEAR('Rent Roll'!$Y$10)+1),0)</f>
        <v>14001.927083333332</v>
      </c>
      <c r="S61" s="49">
        <f>IF(S60=1,'Rent Roll'!$H$10/12*(1+'Rent Roll'!$I$10)^IF(S$4&lt;'Rent Roll'!$Y$10,0,YEAR(S$4)-YEAR('Rent Roll'!$Y$10)+1),0)</f>
        <v>14001.927083333332</v>
      </c>
      <c r="T61" s="49">
        <f>IF(T60=1,'Rent Roll'!$H$10/12*(1+'Rent Roll'!$I$10)^IF(T$4&lt;'Rent Roll'!$Y$10,0,YEAR(T$4)-YEAR('Rent Roll'!$Y$10)+1),0)</f>
        <v>14001.927083333332</v>
      </c>
      <c r="U61" s="49">
        <f>IF(U60=1,'Rent Roll'!$H$10/12*(1+'Rent Roll'!$I$10)^IF(U$4&lt;'Rent Roll'!$Y$10,0,YEAR(U$4)-YEAR('Rent Roll'!$Y$10)+1),0)</f>
        <v>14351.975260416664</v>
      </c>
      <c r="V61" s="49">
        <f>IF(V60=1,'Rent Roll'!$H$10/12*(1+'Rent Roll'!$I$10)^IF(V$4&lt;'Rent Roll'!$Y$10,0,YEAR(V$4)-YEAR('Rent Roll'!$Y$10)+1),0)</f>
        <v>14351.975260416664</v>
      </c>
      <c r="W61" s="49">
        <f>IF(W60=1,'Rent Roll'!$H$10/12*(1+'Rent Roll'!$I$10)^IF(W$4&lt;'Rent Roll'!$Y$10,0,YEAR(W$4)-YEAR('Rent Roll'!$Y$10)+1),0)</f>
        <v>14351.975260416664</v>
      </c>
      <c r="X61" s="49">
        <f>IF(X60=1,'Rent Roll'!$H$10/12*(1+'Rent Roll'!$I$10)^IF(X$4&lt;'Rent Roll'!$Y$10,0,YEAR(X$4)-YEAR('Rent Roll'!$Y$10)+1),0)</f>
        <v>14351.975260416664</v>
      </c>
      <c r="Y61" s="49">
        <f>IF(Y60=1,'Rent Roll'!$H$10/12*(1+'Rent Roll'!$I$10)^IF(Y$4&lt;'Rent Roll'!$Y$10,0,YEAR(Y$4)-YEAR('Rent Roll'!$Y$10)+1),0)</f>
        <v>14351.975260416664</v>
      </c>
      <c r="Z61" s="49">
        <f>IF(Z60=1,'Rent Roll'!$H$10/12*(1+'Rent Roll'!$I$10)^IF(Z$4&lt;'Rent Roll'!$Y$10,0,YEAR(Z$4)-YEAR('Rent Roll'!$Y$10)+1),0)</f>
        <v>14351.975260416664</v>
      </c>
      <c r="AA61" s="49">
        <f>IF(AA60=1,'Rent Roll'!$H$10/12*(1+'Rent Roll'!$I$10)^IF(AA$4&lt;'Rent Roll'!$Y$10,0,YEAR(AA$4)-YEAR('Rent Roll'!$Y$10)+1),0)</f>
        <v>14351.975260416664</v>
      </c>
      <c r="AB61" s="49">
        <f>IF(AB60=1,'Rent Roll'!$H$10/12*(1+'Rent Roll'!$I$10)^IF(AB$4&lt;'Rent Roll'!$Y$10,0,YEAR(AB$4)-YEAR('Rent Roll'!$Y$10)+1),0)</f>
        <v>14351.975260416664</v>
      </c>
      <c r="AC61" s="49">
        <f>IF(AC60=1,'Rent Roll'!$H$10/12*(1+'Rent Roll'!$I$10)^IF(AC$4&lt;'Rent Roll'!$Y$10,0,YEAR(AC$4)-YEAR('Rent Roll'!$Y$10)+1),0)</f>
        <v>14351.975260416664</v>
      </c>
      <c r="AD61" s="49">
        <f>IF(AD60=1,'Rent Roll'!$H$10/12*(1+'Rent Roll'!$I$10)^IF(AD$4&lt;'Rent Roll'!$Y$10,0,YEAR(AD$4)-YEAR('Rent Roll'!$Y$10)+1),0)</f>
        <v>14351.975260416664</v>
      </c>
      <c r="AE61" s="49">
        <f>IF(AE60=1,'Rent Roll'!$H$10/12*(1+'Rent Roll'!$I$10)^IF(AE$4&lt;'Rent Roll'!$Y$10,0,YEAR(AE$4)-YEAR('Rent Roll'!$Y$10)+1),0)</f>
        <v>14351.975260416664</v>
      </c>
      <c r="AF61" s="49">
        <f>IF(AF60=1,'Rent Roll'!$H$10/12*(1+'Rent Roll'!$I$10)^IF(AF$4&lt;'Rent Roll'!$Y$10,0,YEAR(AF$4)-YEAR('Rent Roll'!$Y$10)+1),0)</f>
        <v>14351.975260416664</v>
      </c>
      <c r="AG61" s="49">
        <f>IF(AG60=1,'Rent Roll'!$H$10/12*(1+'Rent Roll'!$I$10)^IF(AG$4&lt;'Rent Roll'!$Y$10,0,YEAR(AG$4)-YEAR('Rent Roll'!$Y$10)+1),0)</f>
        <v>14710.774641927081</v>
      </c>
      <c r="AH61" s="49">
        <f>IF(AH60=1,'Rent Roll'!$H$10/12*(1+'Rent Roll'!$I$10)^IF(AH$4&lt;'Rent Roll'!$Y$10,0,YEAR(AH$4)-YEAR('Rent Roll'!$Y$10)+1),0)</f>
        <v>14710.774641927081</v>
      </c>
      <c r="AI61" s="49">
        <f>IF(AI60=1,'Rent Roll'!$H$10/12*(1+'Rent Roll'!$I$10)^IF(AI$4&lt;'Rent Roll'!$Y$10,0,YEAR(AI$4)-YEAR('Rent Roll'!$Y$10)+1),0)</f>
        <v>0</v>
      </c>
      <c r="AJ61" s="49">
        <f>IF(AJ60=1,'Rent Roll'!$H$10/12*(1+'Rent Roll'!$I$10)^IF(AJ$4&lt;'Rent Roll'!$Y$10,0,YEAR(AJ$4)-YEAR('Rent Roll'!$Y$10)+1),0)</f>
        <v>0</v>
      </c>
      <c r="AK61" s="49">
        <f>IF(AK60=1,'Rent Roll'!$H$10/12*(1+'Rent Roll'!$I$10)^IF(AK$4&lt;'Rent Roll'!$Y$10,0,YEAR(AK$4)-YEAR('Rent Roll'!$Y$10)+1),0)</f>
        <v>0</v>
      </c>
      <c r="AL61" s="49">
        <f>IF(AL60=1,'Rent Roll'!$H$10/12*(1+'Rent Roll'!$I$10)^IF(AL$4&lt;'Rent Roll'!$Y$10,0,YEAR(AL$4)-YEAR('Rent Roll'!$Y$10)+1),0)</f>
        <v>0</v>
      </c>
      <c r="AM61" s="49">
        <f>IF(AM60=1,'Rent Roll'!$H$10/12*(1+'Rent Roll'!$I$10)^IF(AM$4&lt;'Rent Roll'!$Y$10,0,YEAR(AM$4)-YEAR('Rent Roll'!$Y$10)+1),0)</f>
        <v>0</v>
      </c>
      <c r="AN61" s="49">
        <f>IF(AN60=1,'Rent Roll'!$H$10/12*(1+'Rent Roll'!$I$10)^IF(AN$4&lt;'Rent Roll'!$Y$10,0,YEAR(AN$4)-YEAR('Rent Roll'!$Y$10)+1),0)</f>
        <v>0</v>
      </c>
      <c r="AO61" s="49">
        <f>IF(AO60=1,'Rent Roll'!$H$10/12*(1+'Rent Roll'!$I$10)^IF(AO$4&lt;'Rent Roll'!$Y$10,0,YEAR(AO$4)-YEAR('Rent Roll'!$Y$10)+1),0)</f>
        <v>0</v>
      </c>
      <c r="AP61" s="49">
        <f>IF(AP60=1,'Rent Roll'!$H$10/12*(1+'Rent Roll'!$I$10)^IF(AP$4&lt;'Rent Roll'!$Y$10,0,YEAR(AP$4)-YEAR('Rent Roll'!$Y$10)+1),0)</f>
        <v>0</v>
      </c>
      <c r="AQ61" s="49">
        <f>IF(AQ60=1,'Rent Roll'!$H$10/12*(1+'Rent Roll'!$I$10)^IF(AQ$4&lt;'Rent Roll'!$Y$10,0,YEAR(AQ$4)-YEAR('Rent Roll'!$Y$10)+1),0)</f>
        <v>0</v>
      </c>
      <c r="AR61" s="49">
        <f>IF(AR60=1,'Rent Roll'!$H$10/12*(1+'Rent Roll'!$I$10)^IF(AR$4&lt;'Rent Roll'!$Y$10,0,YEAR(AR$4)-YEAR('Rent Roll'!$Y$10)+1),0)</f>
        <v>0</v>
      </c>
      <c r="AS61" s="49">
        <f>IF(AS60=1,'Rent Roll'!$H$10/12*(1+'Rent Roll'!$I$10)^IF(AS$4&lt;'Rent Roll'!$Y$10,0,YEAR(AS$4)-YEAR('Rent Roll'!$Y$10)+1),0)</f>
        <v>0</v>
      </c>
      <c r="AT61" s="49">
        <f>IF(AT60=1,'Rent Roll'!$H$10/12*(1+'Rent Roll'!$I$10)^IF(AT$4&lt;'Rent Roll'!$Y$10,0,YEAR(AT$4)-YEAR('Rent Roll'!$Y$10)+1),0)</f>
        <v>0</v>
      </c>
      <c r="AU61" s="49">
        <f>IF(AU60=1,'Rent Roll'!$H$10/12*(1+'Rent Roll'!$I$10)^IF(AU$4&lt;'Rent Roll'!$Y$10,0,YEAR(AU$4)-YEAR('Rent Roll'!$Y$10)+1),0)</f>
        <v>0</v>
      </c>
      <c r="AV61" s="49">
        <f>IF(AV60=1,'Rent Roll'!$H$10/12*(1+'Rent Roll'!$I$10)^IF(AV$4&lt;'Rent Roll'!$Y$10,0,YEAR(AV$4)-YEAR('Rent Roll'!$Y$10)+1),0)</f>
        <v>0</v>
      </c>
      <c r="AW61" s="49">
        <f>IF(AW60=1,'Rent Roll'!$H$10/12*(1+'Rent Roll'!$I$10)^IF(AW$4&lt;'Rent Roll'!$Y$10,0,YEAR(AW$4)-YEAR('Rent Roll'!$Y$10)+1),0)</f>
        <v>0</v>
      </c>
      <c r="AX61" s="49">
        <f>IF(AX60=1,'Rent Roll'!$H$10/12*(1+'Rent Roll'!$I$10)^IF(AX$4&lt;'Rent Roll'!$Y$10,0,YEAR(AX$4)-YEAR('Rent Roll'!$Y$10)+1),0)</f>
        <v>0</v>
      </c>
      <c r="AY61" s="49">
        <f>IF(AY60=1,'Rent Roll'!$H$10/12*(1+'Rent Roll'!$I$10)^IF(AY$4&lt;'Rent Roll'!$Y$10,0,YEAR(AY$4)-YEAR('Rent Roll'!$Y$10)+1),0)</f>
        <v>0</v>
      </c>
      <c r="AZ61" s="49">
        <f>IF(AZ60=1,'Rent Roll'!$H$10/12*(1+'Rent Roll'!$I$10)^IF(AZ$4&lt;'Rent Roll'!$Y$10,0,YEAR(AZ$4)-YEAR('Rent Roll'!$Y$10)+1),0)</f>
        <v>0</v>
      </c>
      <c r="BA61" s="49">
        <f>IF(BA60=1,'Rent Roll'!$H$10/12*(1+'Rent Roll'!$I$10)^IF(BA$4&lt;'Rent Roll'!$Y$10,0,YEAR(BA$4)-YEAR('Rent Roll'!$Y$10)+1),0)</f>
        <v>0</v>
      </c>
      <c r="BB61" s="49">
        <f>IF(BB60=1,'Rent Roll'!$H$10/12*(1+'Rent Roll'!$I$10)^IF(BB$4&lt;'Rent Roll'!$Y$10,0,YEAR(BB$4)-YEAR('Rent Roll'!$Y$10)+1),0)</f>
        <v>0</v>
      </c>
      <c r="BC61" s="49">
        <f>IF(BC60=1,'Rent Roll'!$H$10/12*(1+'Rent Roll'!$I$10)^IF(BC$4&lt;'Rent Roll'!$Y$10,0,YEAR(BC$4)-YEAR('Rent Roll'!$Y$10)+1),0)</f>
        <v>0</v>
      </c>
      <c r="BD61" s="49">
        <f>IF(BD60=1,'Rent Roll'!$H$10/12*(1+'Rent Roll'!$I$10)^IF(BD$4&lt;'Rent Roll'!$Y$10,0,YEAR(BD$4)-YEAR('Rent Roll'!$Y$10)+1),0)</f>
        <v>0</v>
      </c>
      <c r="BE61" s="49">
        <f>IF(BE60=1,'Rent Roll'!$H$10/12*(1+'Rent Roll'!$I$10)^IF(BE$4&lt;'Rent Roll'!$Y$10,0,YEAR(BE$4)-YEAR('Rent Roll'!$Y$10)+1),0)</f>
        <v>0</v>
      </c>
      <c r="BF61" s="49">
        <f>IF(BF60=1,'Rent Roll'!$H$10/12*(1+'Rent Roll'!$I$10)^IF(BF$4&lt;'Rent Roll'!$Y$10,0,YEAR(BF$4)-YEAR('Rent Roll'!$Y$10)+1),0)</f>
        <v>0</v>
      </c>
      <c r="BG61" s="49">
        <f>IF(BG60=1,'Rent Roll'!$H$10/12*(1+'Rent Roll'!$I$10)^IF(BG$4&lt;'Rent Roll'!$Y$10,0,YEAR(BG$4)-YEAR('Rent Roll'!$Y$10)+1),0)</f>
        <v>0</v>
      </c>
      <c r="BH61" s="49">
        <f>IF(BH60=1,'Rent Roll'!$H$10/12*(1+'Rent Roll'!$I$10)^IF(BH$4&lt;'Rent Roll'!$Y$10,0,YEAR(BH$4)-YEAR('Rent Roll'!$Y$10)+1),0)</f>
        <v>0</v>
      </c>
      <c r="BI61" s="49">
        <f>IF(BI60=1,'Rent Roll'!$H$10/12*(1+'Rent Roll'!$I$10)^IF(BI$4&lt;'Rent Roll'!$Y$10,0,YEAR(BI$4)-YEAR('Rent Roll'!$Y$10)+1),0)</f>
        <v>0</v>
      </c>
      <c r="BJ61" s="49">
        <f>IF(BJ60=1,'Rent Roll'!$H$10/12*(1+'Rent Roll'!$I$10)^IF(BJ$4&lt;'Rent Roll'!$Y$10,0,YEAR(BJ$4)-YEAR('Rent Roll'!$Y$10)+1),0)</f>
        <v>0</v>
      </c>
      <c r="BK61" s="49">
        <f>IF(BK60=1,'Rent Roll'!$H$10/12*(1+'Rent Roll'!$I$10)^IF(BK$4&lt;'Rent Roll'!$Y$10,0,YEAR(BK$4)-YEAR('Rent Roll'!$Y$10)+1),0)</f>
        <v>0</v>
      </c>
      <c r="BL61" s="49">
        <f>IF(BL60=1,'Rent Roll'!$H$10/12*(1+'Rent Roll'!$I$10)^IF(BL$4&lt;'Rent Roll'!$Y$10,0,YEAR(BL$4)-YEAR('Rent Roll'!$Y$10)+1),0)</f>
        <v>0</v>
      </c>
      <c r="BM61" s="49">
        <f>IF(BM60=1,'Rent Roll'!$H$10/12*(1+'Rent Roll'!$I$10)^IF(BM$4&lt;'Rent Roll'!$Y$10,0,YEAR(BM$4)-YEAR('Rent Roll'!$Y$10)+1),0)</f>
        <v>0</v>
      </c>
      <c r="BN61" s="49">
        <f>IF(BN60=1,'Rent Roll'!$H$10/12*(1+'Rent Roll'!$I$10)^IF(BN$4&lt;'Rent Roll'!$Y$10,0,YEAR(BN$4)-YEAR('Rent Roll'!$Y$10)+1),0)</f>
        <v>0</v>
      </c>
      <c r="BO61" s="49">
        <f>IF(BO60=1,'Rent Roll'!$H$10/12*(1+'Rent Roll'!$I$10)^IF(BO$4&lt;'Rent Roll'!$Y$10,0,YEAR(BO$4)-YEAR('Rent Roll'!$Y$10)+1),0)</f>
        <v>0</v>
      </c>
      <c r="BP61" s="49">
        <f>IF(BP60=1,'Rent Roll'!$H$10/12*(1+'Rent Roll'!$I$10)^IF(BP$4&lt;'Rent Roll'!$Y$10,0,YEAR(BP$4)-YEAR('Rent Roll'!$Y$10)+1),0)</f>
        <v>0</v>
      </c>
      <c r="BQ61" s="49">
        <f>IF(BQ60=1,'Rent Roll'!$H$10/12*(1+'Rent Roll'!$I$10)^IF(BQ$4&lt;'Rent Roll'!$Y$10,0,YEAR(BQ$4)-YEAR('Rent Roll'!$Y$10)+1),0)</f>
        <v>0</v>
      </c>
      <c r="BR61" s="49">
        <f>IF(BR60=1,'Rent Roll'!$H$10/12*(1+'Rent Roll'!$I$10)^IF(BR$4&lt;'Rent Roll'!$Y$10,0,YEAR(BR$4)-YEAR('Rent Roll'!$Y$10)+1),0)</f>
        <v>0</v>
      </c>
      <c r="BS61" s="49">
        <f>IF(BS60=1,'Rent Roll'!$H$10/12*(1+'Rent Roll'!$I$10)^IF(BS$4&lt;'Rent Roll'!$Y$10,0,YEAR(BS$4)-YEAR('Rent Roll'!$Y$10)+1),0)</f>
        <v>0</v>
      </c>
      <c r="BT61" s="49">
        <f>IF(BT60=1,'Rent Roll'!$H$10/12*(1+'Rent Roll'!$I$10)^IF(BT$4&lt;'Rent Roll'!$Y$10,0,YEAR(BT$4)-YEAR('Rent Roll'!$Y$10)+1),0)</f>
        <v>0</v>
      </c>
      <c r="BU61" s="49">
        <f>IF(BU60=1,'Rent Roll'!$H$10/12*(1+'Rent Roll'!$I$10)^IF(BU$4&lt;'Rent Roll'!$Y$10,0,YEAR(BU$4)-YEAR('Rent Roll'!$Y$10)+1),0)</f>
        <v>0</v>
      </c>
      <c r="BV61" s="49">
        <f>IF(BV60=1,'Rent Roll'!$H$10/12*(1+'Rent Roll'!$I$10)^IF(BV$4&lt;'Rent Roll'!$Y$10,0,YEAR(BV$4)-YEAR('Rent Roll'!$Y$10)+1),0)</f>
        <v>0</v>
      </c>
      <c r="BW61" s="49">
        <f>IF(BW60=1,'Rent Roll'!$H$10/12*(1+'Rent Roll'!$I$10)^IF(BW$4&lt;'Rent Roll'!$Y$10,0,YEAR(BW$4)-YEAR('Rent Roll'!$Y$10)+1),0)</f>
        <v>0</v>
      </c>
      <c r="BX61" s="49">
        <f>IF(BX60=1,'Rent Roll'!$H$10/12*(1+'Rent Roll'!$I$10)^IF(BX$4&lt;'Rent Roll'!$Y$10,0,YEAR(BX$4)-YEAR('Rent Roll'!$Y$10)+1),0)</f>
        <v>0</v>
      </c>
    </row>
    <row r="62" spans="1:76" hidden="1" outlineLevel="1">
      <c r="B62" t="s">
        <v>160</v>
      </c>
      <c r="D62" s="49">
        <f>IF(D$4&gt;EOMONTH(CloseDate,'Rent Roll'!$O$10+'Rent Roll'!$S$10-1),1,0)</f>
        <v>0</v>
      </c>
      <c r="E62" s="49">
        <f>IF(E$4&gt;EOMONTH(CloseDate,'Rent Roll'!$O$10+'Rent Roll'!$S$10-1),1,0)</f>
        <v>0</v>
      </c>
      <c r="F62" s="49">
        <f>IF(F$4&gt;EOMONTH(CloseDate,'Rent Roll'!$O$10+'Rent Roll'!$S$10-1),1,0)</f>
        <v>0</v>
      </c>
      <c r="G62" s="49">
        <f>IF(G$4&gt;EOMONTH(CloseDate,'Rent Roll'!$O$10+'Rent Roll'!$S$10-1),1,0)</f>
        <v>0</v>
      </c>
      <c r="H62" s="49">
        <f>IF(H$4&gt;EOMONTH(CloseDate,'Rent Roll'!$O$10+'Rent Roll'!$S$10-1),1,0)</f>
        <v>0</v>
      </c>
      <c r="I62" s="49">
        <f>IF(I$4&gt;EOMONTH(CloseDate,'Rent Roll'!$O$10+'Rent Roll'!$S$10-1),1,0)</f>
        <v>0</v>
      </c>
      <c r="J62" s="49">
        <f>IF(J$4&gt;EOMONTH(CloseDate,'Rent Roll'!$O$10+'Rent Roll'!$S$10-1),1,0)</f>
        <v>0</v>
      </c>
      <c r="K62" s="49">
        <f>IF(K$4&gt;EOMONTH(CloseDate,'Rent Roll'!$O$10+'Rent Roll'!$S$10-1),1,0)</f>
        <v>0</v>
      </c>
      <c r="L62" s="49">
        <f>IF(L$4&gt;EOMONTH(CloseDate,'Rent Roll'!$O$10+'Rent Roll'!$S$10-1),1,0)</f>
        <v>0</v>
      </c>
      <c r="M62" s="49">
        <f>IF(M$4&gt;EOMONTH(CloseDate,'Rent Roll'!$O$10+'Rent Roll'!$S$10-1),1,0)</f>
        <v>0</v>
      </c>
      <c r="N62" s="49">
        <f>IF(N$4&gt;EOMONTH(CloseDate,'Rent Roll'!$O$10+'Rent Roll'!$S$10-1),1,0)</f>
        <v>0</v>
      </c>
      <c r="O62" s="49">
        <f>IF(O$4&gt;EOMONTH(CloseDate,'Rent Roll'!$O$10+'Rent Roll'!$S$10-1),1,0)</f>
        <v>0</v>
      </c>
      <c r="P62" s="49">
        <f>IF(P$4&gt;EOMONTH(CloseDate,'Rent Roll'!$O$10+'Rent Roll'!$S$10-1),1,0)</f>
        <v>0</v>
      </c>
      <c r="Q62" s="49">
        <f>IF(Q$4&gt;EOMONTH(CloseDate,'Rent Roll'!$O$10+'Rent Roll'!$S$10-1),1,0)</f>
        <v>0</v>
      </c>
      <c r="R62" s="49">
        <f>IF(R$4&gt;EOMONTH(CloseDate,'Rent Roll'!$O$10+'Rent Roll'!$S$10-1),1,0)</f>
        <v>0</v>
      </c>
      <c r="S62" s="49">
        <f>IF(S$4&gt;EOMONTH(CloseDate,'Rent Roll'!$O$10+'Rent Roll'!$S$10-1),1,0)</f>
        <v>0</v>
      </c>
      <c r="T62" s="49">
        <f>IF(T$4&gt;EOMONTH(CloseDate,'Rent Roll'!$O$10+'Rent Roll'!$S$10-1),1,0)</f>
        <v>0</v>
      </c>
      <c r="U62" s="49">
        <f>IF(U$4&gt;EOMONTH(CloseDate,'Rent Roll'!$O$10+'Rent Roll'!$S$10-1),1,0)</f>
        <v>0</v>
      </c>
      <c r="V62" s="49">
        <f>IF(V$4&gt;EOMONTH(CloseDate,'Rent Roll'!$O$10+'Rent Roll'!$S$10-1),1,0)</f>
        <v>0</v>
      </c>
      <c r="W62" s="49">
        <f>IF(W$4&gt;EOMONTH(CloseDate,'Rent Roll'!$O$10+'Rent Roll'!$S$10-1),1,0)</f>
        <v>0</v>
      </c>
      <c r="X62" s="49">
        <f>IF(X$4&gt;EOMONTH(CloseDate,'Rent Roll'!$O$10+'Rent Roll'!$S$10-1),1,0)</f>
        <v>0</v>
      </c>
      <c r="Y62" s="49">
        <f>IF(Y$4&gt;EOMONTH(CloseDate,'Rent Roll'!$O$10+'Rent Roll'!$S$10-1),1,0)</f>
        <v>0</v>
      </c>
      <c r="Z62" s="49">
        <f>IF(Z$4&gt;EOMONTH(CloseDate,'Rent Roll'!$O$10+'Rent Roll'!$S$10-1),1,0)</f>
        <v>0</v>
      </c>
      <c r="AA62" s="49">
        <f>IF(AA$4&gt;EOMONTH(CloseDate,'Rent Roll'!$O$10+'Rent Roll'!$S$10-1),1,0)</f>
        <v>0</v>
      </c>
      <c r="AB62" s="49">
        <f>IF(AB$4&gt;EOMONTH(CloseDate,'Rent Roll'!$O$10+'Rent Roll'!$S$10-1),1,0)</f>
        <v>0</v>
      </c>
      <c r="AC62" s="49">
        <f>IF(AC$4&gt;EOMONTH(CloseDate,'Rent Roll'!$O$10+'Rent Roll'!$S$10-1),1,0)</f>
        <v>0</v>
      </c>
      <c r="AD62" s="49">
        <f>IF(AD$4&gt;EOMONTH(CloseDate,'Rent Roll'!$O$10+'Rent Roll'!$S$10-1),1,0)</f>
        <v>0</v>
      </c>
      <c r="AE62" s="49">
        <f>IF(AE$4&gt;EOMONTH(CloseDate,'Rent Roll'!$O$10+'Rent Roll'!$S$10-1),1,0)</f>
        <v>0</v>
      </c>
      <c r="AF62" s="49">
        <f>IF(AF$4&gt;EOMONTH(CloseDate,'Rent Roll'!$O$10+'Rent Roll'!$S$10-1),1,0)</f>
        <v>0</v>
      </c>
      <c r="AG62" s="49">
        <f>IF(AG$4&gt;EOMONTH(CloseDate,'Rent Roll'!$O$10+'Rent Roll'!$S$10-1),1,0)</f>
        <v>0</v>
      </c>
      <c r="AH62" s="49">
        <f>IF(AH$4&gt;EOMONTH(CloseDate,'Rent Roll'!$O$10+'Rent Roll'!$S$10-1),1,0)</f>
        <v>0</v>
      </c>
      <c r="AI62" s="49">
        <f>IF(AI$4&gt;EOMONTH(CloseDate,'Rent Roll'!$O$10+'Rent Roll'!$S$10-1),1,0)</f>
        <v>0</v>
      </c>
      <c r="AJ62" s="49">
        <f>IF(AJ$4&gt;EOMONTH(CloseDate,'Rent Roll'!$O$10+'Rent Roll'!$S$10-1),1,0)</f>
        <v>0</v>
      </c>
      <c r="AK62" s="49">
        <f>IF(AK$4&gt;EOMONTH(CloseDate,'Rent Roll'!$O$10+'Rent Roll'!$S$10-1),1,0)</f>
        <v>0</v>
      </c>
      <c r="AL62" s="49">
        <f>IF(AL$4&gt;EOMONTH(CloseDate,'Rent Roll'!$O$10+'Rent Roll'!$S$10-1),1,0)</f>
        <v>0</v>
      </c>
      <c r="AM62" s="49">
        <f>IF(AM$4&gt;EOMONTH(CloseDate,'Rent Roll'!$O$10+'Rent Roll'!$S$10-1),1,0)</f>
        <v>1</v>
      </c>
      <c r="AN62" s="49">
        <f>IF(AN$4&gt;EOMONTH(CloseDate,'Rent Roll'!$O$10+'Rent Roll'!$S$10-1),1,0)</f>
        <v>1</v>
      </c>
      <c r="AO62" s="49">
        <f>IF(AO$4&gt;EOMONTH(CloseDate,'Rent Roll'!$O$10+'Rent Roll'!$S$10-1),1,0)</f>
        <v>1</v>
      </c>
      <c r="AP62" s="49">
        <f>IF(AP$4&gt;EOMONTH(CloseDate,'Rent Roll'!$O$10+'Rent Roll'!$S$10-1),1,0)</f>
        <v>1</v>
      </c>
      <c r="AQ62" s="49">
        <f>IF(AQ$4&gt;EOMONTH(CloseDate,'Rent Roll'!$O$10+'Rent Roll'!$S$10-1),1,0)</f>
        <v>1</v>
      </c>
      <c r="AR62" s="49">
        <f>IF(AR$4&gt;EOMONTH(CloseDate,'Rent Roll'!$O$10+'Rent Roll'!$S$10-1),1,0)</f>
        <v>1</v>
      </c>
      <c r="AS62" s="49">
        <f>IF(AS$4&gt;EOMONTH(CloseDate,'Rent Roll'!$O$10+'Rent Roll'!$S$10-1),1,0)</f>
        <v>1</v>
      </c>
      <c r="AT62" s="49">
        <f>IF(AT$4&gt;EOMONTH(CloseDate,'Rent Roll'!$O$10+'Rent Roll'!$S$10-1),1,0)</f>
        <v>1</v>
      </c>
      <c r="AU62" s="49">
        <f>IF(AU$4&gt;EOMONTH(CloseDate,'Rent Roll'!$O$10+'Rent Roll'!$S$10-1),1,0)</f>
        <v>1</v>
      </c>
      <c r="AV62" s="49">
        <f>IF(AV$4&gt;EOMONTH(CloseDate,'Rent Roll'!$O$10+'Rent Roll'!$S$10-1),1,0)</f>
        <v>1</v>
      </c>
      <c r="AW62" s="49">
        <f>IF(AW$4&gt;EOMONTH(CloseDate,'Rent Roll'!$O$10+'Rent Roll'!$S$10-1),1,0)</f>
        <v>1</v>
      </c>
      <c r="AX62" s="49">
        <f>IF(AX$4&gt;EOMONTH(CloseDate,'Rent Roll'!$O$10+'Rent Roll'!$S$10-1),1,0)</f>
        <v>1</v>
      </c>
      <c r="AY62" s="49">
        <f>IF(AY$4&gt;EOMONTH(CloseDate,'Rent Roll'!$O$10+'Rent Roll'!$S$10-1),1,0)</f>
        <v>1</v>
      </c>
      <c r="AZ62" s="49">
        <f>IF(AZ$4&gt;EOMONTH(CloseDate,'Rent Roll'!$O$10+'Rent Roll'!$S$10-1),1,0)</f>
        <v>1</v>
      </c>
      <c r="BA62" s="49">
        <f>IF(BA$4&gt;EOMONTH(CloseDate,'Rent Roll'!$O$10+'Rent Roll'!$S$10-1),1,0)</f>
        <v>1</v>
      </c>
      <c r="BB62" s="49">
        <f>IF(BB$4&gt;EOMONTH(CloseDate,'Rent Roll'!$O$10+'Rent Roll'!$S$10-1),1,0)</f>
        <v>1</v>
      </c>
      <c r="BC62" s="49">
        <f>IF(BC$4&gt;EOMONTH(CloseDate,'Rent Roll'!$O$10+'Rent Roll'!$S$10-1),1,0)</f>
        <v>1</v>
      </c>
      <c r="BD62" s="49">
        <f>IF(BD$4&gt;EOMONTH(CloseDate,'Rent Roll'!$O$10+'Rent Roll'!$S$10-1),1,0)</f>
        <v>1</v>
      </c>
      <c r="BE62" s="49">
        <f>IF(BE$4&gt;EOMONTH(CloseDate,'Rent Roll'!$O$10+'Rent Roll'!$S$10-1),1,0)</f>
        <v>1</v>
      </c>
      <c r="BF62" s="49">
        <f>IF(BF$4&gt;EOMONTH(CloseDate,'Rent Roll'!$O$10+'Rent Roll'!$S$10-1),1,0)</f>
        <v>1</v>
      </c>
      <c r="BG62" s="49">
        <f>IF(BG$4&gt;EOMONTH(CloseDate,'Rent Roll'!$O$10+'Rent Roll'!$S$10-1),1,0)</f>
        <v>1</v>
      </c>
      <c r="BH62" s="49">
        <f>IF(BH$4&gt;EOMONTH(CloseDate,'Rent Roll'!$O$10+'Rent Roll'!$S$10-1),1,0)</f>
        <v>1</v>
      </c>
      <c r="BI62" s="49">
        <f>IF(BI$4&gt;EOMONTH(CloseDate,'Rent Roll'!$O$10+'Rent Roll'!$S$10-1),1,0)</f>
        <v>1</v>
      </c>
      <c r="BJ62" s="49">
        <f>IF(BJ$4&gt;EOMONTH(CloseDate,'Rent Roll'!$O$10+'Rent Roll'!$S$10-1),1,0)</f>
        <v>1</v>
      </c>
      <c r="BK62" s="49">
        <f>IF(BK$4&gt;EOMONTH(CloseDate,'Rent Roll'!$O$10+'Rent Roll'!$S$10-1),1,0)</f>
        <v>1</v>
      </c>
      <c r="BL62" s="49">
        <f>IF(BL$4&gt;EOMONTH(CloseDate,'Rent Roll'!$O$10+'Rent Roll'!$S$10-1),1,0)</f>
        <v>1</v>
      </c>
      <c r="BM62" s="49">
        <f>IF(BM$4&gt;EOMONTH(CloseDate,'Rent Roll'!$O$10+'Rent Roll'!$S$10-1),1,0)</f>
        <v>1</v>
      </c>
      <c r="BN62" s="49">
        <f>IF(BN$4&gt;EOMONTH(CloseDate,'Rent Roll'!$O$10+'Rent Roll'!$S$10-1),1,0)</f>
        <v>1</v>
      </c>
      <c r="BO62" s="49">
        <f>IF(BO$4&gt;EOMONTH(CloseDate,'Rent Roll'!$O$10+'Rent Roll'!$S$10-1),1,0)</f>
        <v>1</v>
      </c>
      <c r="BP62" s="49">
        <f>IF(BP$4&gt;EOMONTH(CloseDate,'Rent Roll'!$O$10+'Rent Roll'!$S$10-1),1,0)</f>
        <v>1</v>
      </c>
      <c r="BQ62" s="49">
        <f>IF(BQ$4&gt;EOMONTH(CloseDate,'Rent Roll'!$O$10+'Rent Roll'!$S$10-1),1,0)</f>
        <v>1</v>
      </c>
      <c r="BR62" s="49">
        <f>IF(BR$4&gt;EOMONTH(CloseDate,'Rent Roll'!$O$10+'Rent Roll'!$S$10-1),1,0)</f>
        <v>1</v>
      </c>
      <c r="BS62" s="49">
        <f>IF(BS$4&gt;EOMONTH(CloseDate,'Rent Roll'!$O$10+'Rent Roll'!$S$10-1),1,0)</f>
        <v>1</v>
      </c>
      <c r="BT62" s="49">
        <f>IF(BT$4&gt;EOMONTH(CloseDate,'Rent Roll'!$O$10+'Rent Roll'!$S$10-1),1,0)</f>
        <v>1</v>
      </c>
      <c r="BU62" s="49">
        <f>IF(BU$4&gt;EOMONTH(CloseDate,'Rent Roll'!$O$10+'Rent Roll'!$S$10-1),1,0)</f>
        <v>1</v>
      </c>
      <c r="BV62" s="49">
        <f>IF(BV$4&gt;EOMONTH(CloseDate,'Rent Roll'!$O$10+'Rent Roll'!$S$10-1),1,0)</f>
        <v>1</v>
      </c>
      <c r="BW62" s="49">
        <f>IF(BW$4&gt;EOMONTH(CloseDate,'Rent Roll'!$O$10+'Rent Roll'!$S$10-1),1,0)</f>
        <v>1</v>
      </c>
      <c r="BX62" s="49">
        <f>IF(BX$4&gt;EOMONTH(CloseDate,'Rent Roll'!$O$10+'Rent Roll'!$S$10-1),1,0)</f>
        <v>1</v>
      </c>
    </row>
    <row r="63" spans="1:76" hidden="1" outlineLevel="1">
      <c r="B63" t="s">
        <v>162</v>
      </c>
      <c r="D63" s="49">
        <f>IF(D62=1,'Rent Roll'!$F$10*'Rent Roll'!$X$10/12*D$6,0)</f>
        <v>0</v>
      </c>
      <c r="E63" s="49">
        <f>IF(E62=1,'Rent Roll'!$F$10*'Rent Roll'!$X$10/12*E$6,0)</f>
        <v>0</v>
      </c>
      <c r="F63" s="49">
        <f>IF(F62=1,'Rent Roll'!$F$10*'Rent Roll'!$X$10/12*F$6,0)</f>
        <v>0</v>
      </c>
      <c r="G63" s="49">
        <f>IF(G62=1,'Rent Roll'!$F$10*'Rent Roll'!$X$10/12*G$6,0)</f>
        <v>0</v>
      </c>
      <c r="H63" s="49">
        <f>IF(H62=1,'Rent Roll'!$F$10*'Rent Roll'!$X$10/12*H$6,0)</f>
        <v>0</v>
      </c>
      <c r="I63" s="49">
        <f>IF(I62=1,'Rent Roll'!$F$10*'Rent Roll'!$X$10/12*I$6,0)</f>
        <v>0</v>
      </c>
      <c r="J63" s="49">
        <f>IF(J62=1,'Rent Roll'!$F$10*'Rent Roll'!$X$10/12*J$6,0)</f>
        <v>0</v>
      </c>
      <c r="K63" s="49">
        <f>IF(K62=1,'Rent Roll'!$F$10*'Rent Roll'!$X$10/12*K$6,0)</f>
        <v>0</v>
      </c>
      <c r="L63" s="49">
        <f>IF(L62=1,'Rent Roll'!$F$10*'Rent Roll'!$X$10/12*L$6,0)</f>
        <v>0</v>
      </c>
      <c r="M63" s="49">
        <f>IF(M62=1,'Rent Roll'!$F$10*'Rent Roll'!$X$10/12*M$6,0)</f>
        <v>0</v>
      </c>
      <c r="N63" s="49">
        <f>IF(N62=1,'Rent Roll'!$F$10*'Rent Roll'!$X$10/12*N$6,0)</f>
        <v>0</v>
      </c>
      <c r="O63" s="49">
        <f>IF(O62=1,'Rent Roll'!$F$10*'Rent Roll'!$X$10/12*O$6,0)</f>
        <v>0</v>
      </c>
      <c r="P63" s="49">
        <f>IF(P62=1,'Rent Roll'!$F$10*'Rent Roll'!$X$10/12*P$6,0)</f>
        <v>0</v>
      </c>
      <c r="Q63" s="49">
        <f>IF(Q62=1,'Rent Roll'!$F$10*'Rent Roll'!$X$10/12*Q$6,0)</f>
        <v>0</v>
      </c>
      <c r="R63" s="49">
        <f>IF(R62=1,'Rent Roll'!$F$10*'Rent Roll'!$X$10/12*R$6,0)</f>
        <v>0</v>
      </c>
      <c r="S63" s="49">
        <f>IF(S62=1,'Rent Roll'!$F$10*'Rent Roll'!$X$10/12*S$6,0)</f>
        <v>0</v>
      </c>
      <c r="T63" s="49">
        <f>IF(T62=1,'Rent Roll'!$F$10*'Rent Roll'!$X$10/12*T$6,0)</f>
        <v>0</v>
      </c>
      <c r="U63" s="49">
        <f>IF(U62=1,'Rent Roll'!$F$10*'Rent Roll'!$X$10/12*U$6,0)</f>
        <v>0</v>
      </c>
      <c r="V63" s="49">
        <f>IF(V62=1,'Rent Roll'!$F$10*'Rent Roll'!$X$10/12*V$6,0)</f>
        <v>0</v>
      </c>
      <c r="W63" s="49">
        <f>IF(W62=1,'Rent Roll'!$F$10*'Rent Roll'!$X$10/12*W$6,0)</f>
        <v>0</v>
      </c>
      <c r="X63" s="49">
        <f>IF(X62=1,'Rent Roll'!$F$10*'Rent Roll'!$X$10/12*X$6,0)</f>
        <v>0</v>
      </c>
      <c r="Y63" s="49">
        <f>IF(Y62=1,'Rent Roll'!$F$10*'Rent Roll'!$X$10/12*Y$6,0)</f>
        <v>0</v>
      </c>
      <c r="Z63" s="49">
        <f>IF(Z62=1,'Rent Roll'!$F$10*'Rent Roll'!$X$10/12*Z$6,0)</f>
        <v>0</v>
      </c>
      <c r="AA63" s="49">
        <f>IF(AA62=1,'Rent Roll'!$F$10*'Rent Roll'!$X$10/12*AA$6,0)</f>
        <v>0</v>
      </c>
      <c r="AB63" s="49">
        <f>IF(AB62=1,'Rent Roll'!$F$10*'Rent Roll'!$X$10/12*AB$6,0)</f>
        <v>0</v>
      </c>
      <c r="AC63" s="49">
        <f>IF(AC62=1,'Rent Roll'!$F$10*'Rent Roll'!$X$10/12*AC$6,0)</f>
        <v>0</v>
      </c>
      <c r="AD63" s="49">
        <f>IF(AD62=1,'Rent Roll'!$F$10*'Rent Roll'!$X$10/12*AD$6,0)</f>
        <v>0</v>
      </c>
      <c r="AE63" s="49">
        <f>IF(AE62=1,'Rent Roll'!$F$10*'Rent Roll'!$X$10/12*AE$6,0)</f>
        <v>0</v>
      </c>
      <c r="AF63" s="49">
        <f>IF(AF62=1,'Rent Roll'!$F$10*'Rent Roll'!$X$10/12*AF$6,0)</f>
        <v>0</v>
      </c>
      <c r="AG63" s="49">
        <f>IF(AG62=1,'Rent Roll'!$F$10*'Rent Roll'!$X$10/12*AG$6,0)</f>
        <v>0</v>
      </c>
      <c r="AH63" s="49">
        <f>IF(AH62=1,'Rent Roll'!$F$10*'Rent Roll'!$X$10/12*AH$6,0)</f>
        <v>0</v>
      </c>
      <c r="AI63" s="49">
        <f>IF(AI62=1,'Rent Roll'!$F$10*'Rent Roll'!$X$10/12*AI$6,0)</f>
        <v>0</v>
      </c>
      <c r="AJ63" s="49">
        <f>IF(AJ62=1,'Rent Roll'!$F$10*'Rent Roll'!$X$10/12*AJ$6,0)</f>
        <v>0</v>
      </c>
      <c r="AK63" s="49">
        <f>IF(AK62=1,'Rent Roll'!$F$10*'Rent Roll'!$X$10/12*AK$6,0)</f>
        <v>0</v>
      </c>
      <c r="AL63" s="49">
        <f>IF(AL62=1,'Rent Roll'!$F$10*'Rent Roll'!$X$10/12*AL$6,0)</f>
        <v>0</v>
      </c>
      <c r="AM63" s="49">
        <f>IF(AM62=1,'Rent Roll'!$F$10*'Rent Roll'!$X$10/12*AM$6,0)</f>
        <v>17593.341394659463</v>
      </c>
      <c r="AN63" s="49">
        <f>IF(AN62=1,'Rent Roll'!$F$10*'Rent Roll'!$X$10/12*AN$6,0)</f>
        <v>17593.341394659463</v>
      </c>
      <c r="AO63" s="49">
        <f>IF(AO62=1,'Rent Roll'!$F$10*'Rent Roll'!$X$10/12*AO$6,0)</f>
        <v>17593.341394659463</v>
      </c>
      <c r="AP63" s="49">
        <f>IF(AP62=1,'Rent Roll'!$F$10*'Rent Roll'!$X$10/12*AP$6,0)</f>
        <v>17593.341394659463</v>
      </c>
      <c r="AQ63" s="49">
        <f>IF(AQ62=1,'Rent Roll'!$F$10*'Rent Roll'!$X$10/12*AQ$6,0)</f>
        <v>17593.341394659463</v>
      </c>
      <c r="AR63" s="49">
        <f>IF(AR62=1,'Rent Roll'!$F$10*'Rent Roll'!$X$10/12*AR$6,0)</f>
        <v>17593.341394659463</v>
      </c>
      <c r="AS63" s="49">
        <f>IF(AS62=1,'Rent Roll'!$F$10*'Rent Roll'!$X$10/12*AS$6,0)</f>
        <v>18068.361612315264</v>
      </c>
      <c r="AT63" s="49">
        <f>IF(AT62=1,'Rent Roll'!$F$10*'Rent Roll'!$X$10/12*AT$6,0)</f>
        <v>18068.361612315264</v>
      </c>
      <c r="AU63" s="49">
        <f>IF(AU62=1,'Rent Roll'!$F$10*'Rent Roll'!$X$10/12*AU$6,0)</f>
        <v>18068.361612315264</v>
      </c>
      <c r="AV63" s="49">
        <f>IF(AV62=1,'Rent Roll'!$F$10*'Rent Roll'!$X$10/12*AV$6,0)</f>
        <v>18068.361612315264</v>
      </c>
      <c r="AW63" s="49">
        <f>IF(AW62=1,'Rent Roll'!$F$10*'Rent Roll'!$X$10/12*AW$6,0)</f>
        <v>18068.361612315264</v>
      </c>
      <c r="AX63" s="49">
        <f>IF(AX62=1,'Rent Roll'!$F$10*'Rent Roll'!$X$10/12*AX$6,0)</f>
        <v>18068.361612315264</v>
      </c>
      <c r="AY63" s="49">
        <f>IF(AY62=1,'Rent Roll'!$F$10*'Rent Roll'!$X$10/12*AY$6,0)</f>
        <v>18068.361612315264</v>
      </c>
      <c r="AZ63" s="49">
        <f>IF(AZ62=1,'Rent Roll'!$F$10*'Rent Roll'!$X$10/12*AZ$6,0)</f>
        <v>18068.361612315264</v>
      </c>
      <c r="BA63" s="49">
        <f>IF(BA62=1,'Rent Roll'!$F$10*'Rent Roll'!$X$10/12*BA$6,0)</f>
        <v>18068.361612315264</v>
      </c>
      <c r="BB63" s="49">
        <f>IF(BB62=1,'Rent Roll'!$F$10*'Rent Roll'!$X$10/12*BB$6,0)</f>
        <v>18068.361612315264</v>
      </c>
      <c r="BC63" s="49">
        <f>IF(BC62=1,'Rent Roll'!$F$10*'Rent Roll'!$X$10/12*BC$6,0)</f>
        <v>18068.361612315264</v>
      </c>
      <c r="BD63" s="49">
        <f>IF(BD62=1,'Rent Roll'!$F$10*'Rent Roll'!$X$10/12*BD$6,0)</f>
        <v>18068.361612315264</v>
      </c>
      <c r="BE63" s="49">
        <f>IF(BE62=1,'Rent Roll'!$F$10*'Rent Roll'!$X$10/12*BE$6,0)</f>
        <v>18556.207375847778</v>
      </c>
      <c r="BF63" s="49">
        <f>IF(BF62=1,'Rent Roll'!$F$10*'Rent Roll'!$X$10/12*BF$6,0)</f>
        <v>18556.207375847778</v>
      </c>
      <c r="BG63" s="49">
        <f>IF(BG62=1,'Rent Roll'!$F$10*'Rent Roll'!$X$10/12*BG$6,0)</f>
        <v>18556.207375847778</v>
      </c>
      <c r="BH63" s="49">
        <f>IF(BH62=1,'Rent Roll'!$F$10*'Rent Roll'!$X$10/12*BH$6,0)</f>
        <v>18556.207375847778</v>
      </c>
      <c r="BI63" s="49">
        <f>IF(BI62=1,'Rent Roll'!$F$10*'Rent Roll'!$X$10/12*BI$6,0)</f>
        <v>18556.207375847778</v>
      </c>
      <c r="BJ63" s="49">
        <f>IF(BJ62=1,'Rent Roll'!$F$10*'Rent Roll'!$X$10/12*BJ$6,0)</f>
        <v>18556.207375847778</v>
      </c>
      <c r="BK63" s="49">
        <f>IF(BK62=1,'Rent Roll'!$F$10*'Rent Roll'!$X$10/12*BK$6,0)</f>
        <v>18556.207375847778</v>
      </c>
      <c r="BL63" s="49">
        <f>IF(BL62=1,'Rent Roll'!$F$10*'Rent Roll'!$X$10/12*BL$6,0)</f>
        <v>18556.207375847778</v>
      </c>
      <c r="BM63" s="49">
        <f>IF(BM62=1,'Rent Roll'!$F$10*'Rent Roll'!$X$10/12*BM$6,0)</f>
        <v>18556.207375847778</v>
      </c>
      <c r="BN63" s="49">
        <f>IF(BN62=1,'Rent Roll'!$F$10*'Rent Roll'!$X$10/12*BN$6,0)</f>
        <v>18556.207375847778</v>
      </c>
      <c r="BO63" s="49">
        <f>IF(BO62=1,'Rent Roll'!$F$10*'Rent Roll'!$X$10/12*BO$6,0)</f>
        <v>18556.207375847778</v>
      </c>
      <c r="BP63" s="49">
        <f>IF(BP62=1,'Rent Roll'!$F$10*'Rent Roll'!$X$10/12*BP$6,0)</f>
        <v>18556.207375847778</v>
      </c>
      <c r="BQ63" s="49">
        <f>IF(BQ62=1,'Rent Roll'!$F$10*'Rent Roll'!$X$10/12*BQ$6,0)</f>
        <v>19057.224974995665</v>
      </c>
      <c r="BR63" s="49">
        <f>IF(BR62=1,'Rent Roll'!$F$10*'Rent Roll'!$X$10/12*BR$6,0)</f>
        <v>19057.224974995665</v>
      </c>
      <c r="BS63" s="49">
        <f>IF(BS62=1,'Rent Roll'!$F$10*'Rent Roll'!$X$10/12*BS$6,0)</f>
        <v>19057.224974995665</v>
      </c>
      <c r="BT63" s="49">
        <f>IF(BT62=1,'Rent Roll'!$F$10*'Rent Roll'!$X$10/12*BT$6,0)</f>
        <v>19057.224974995665</v>
      </c>
      <c r="BU63" s="49">
        <f>IF(BU62=1,'Rent Roll'!$F$10*'Rent Roll'!$X$10/12*BU$6,0)</f>
        <v>19057.224974995665</v>
      </c>
      <c r="BV63" s="49">
        <f>IF(BV62=1,'Rent Roll'!$F$10*'Rent Roll'!$X$10/12*BV$6,0)</f>
        <v>19057.224974995665</v>
      </c>
      <c r="BW63" s="49">
        <f>IF(BW62=1,'Rent Roll'!$F$10*'Rent Roll'!$X$10/12*BW$6,0)</f>
        <v>19057.224974995665</v>
      </c>
      <c r="BX63" s="49">
        <f>IF(BX62=1,'Rent Roll'!$F$10*'Rent Roll'!$X$10/12*BX$6,0)</f>
        <v>19057.224974995665</v>
      </c>
    </row>
    <row r="64" spans="1:76" hidden="1" outlineLevel="1">
      <c r="B64" t="s">
        <v>163</v>
      </c>
      <c r="D64" s="49">
        <f>IF(AND(D$4&gt;EOMONTH(CloseDate,'Rent Roll'!$O$10+'Rent Roll'!$S$10-1),D$4&lt;=EOMONTH(CloseDate,'Rent Roll'!$O$10+'Rent Roll'!$S$10-1+'Rent Roll'!$V$10)),-D63,0)</f>
        <v>0</v>
      </c>
      <c r="E64" s="49">
        <f>IF(AND(E$4&gt;EOMONTH(CloseDate,'Rent Roll'!$O$10+'Rent Roll'!$S$10-1),E$4&lt;=EOMONTH(CloseDate,'Rent Roll'!$O$10+'Rent Roll'!$S$10-1+'Rent Roll'!$V$10)),-E63,0)</f>
        <v>0</v>
      </c>
      <c r="F64" s="49">
        <f>IF(AND(F$4&gt;EOMONTH(CloseDate,'Rent Roll'!$O$10+'Rent Roll'!$S$10-1),F$4&lt;=EOMONTH(CloseDate,'Rent Roll'!$O$10+'Rent Roll'!$S$10-1+'Rent Roll'!$V$10)),-F63,0)</f>
        <v>0</v>
      </c>
      <c r="G64" s="49">
        <f>IF(AND(G$4&gt;EOMONTH(CloseDate,'Rent Roll'!$O$10+'Rent Roll'!$S$10-1),G$4&lt;=EOMONTH(CloseDate,'Rent Roll'!$O$10+'Rent Roll'!$S$10-1+'Rent Roll'!$V$10)),-G63,0)</f>
        <v>0</v>
      </c>
      <c r="H64" s="49">
        <f>IF(AND(H$4&gt;EOMONTH(CloseDate,'Rent Roll'!$O$10+'Rent Roll'!$S$10-1),H$4&lt;=EOMONTH(CloseDate,'Rent Roll'!$O$10+'Rent Roll'!$S$10-1+'Rent Roll'!$V$10)),-H63,0)</f>
        <v>0</v>
      </c>
      <c r="I64" s="49">
        <f>IF(AND(I$4&gt;EOMONTH(CloseDate,'Rent Roll'!$O$10+'Rent Roll'!$S$10-1),I$4&lt;=EOMONTH(CloseDate,'Rent Roll'!$O$10+'Rent Roll'!$S$10-1+'Rent Roll'!$V$10)),-I63,0)</f>
        <v>0</v>
      </c>
      <c r="J64" s="49">
        <f>IF(AND(J$4&gt;EOMONTH(CloseDate,'Rent Roll'!$O$10+'Rent Roll'!$S$10-1),J$4&lt;=EOMONTH(CloseDate,'Rent Roll'!$O$10+'Rent Roll'!$S$10-1+'Rent Roll'!$V$10)),-J63,0)</f>
        <v>0</v>
      </c>
      <c r="K64" s="49">
        <f>IF(AND(K$4&gt;EOMONTH(CloseDate,'Rent Roll'!$O$10+'Rent Roll'!$S$10-1),K$4&lt;=EOMONTH(CloseDate,'Rent Roll'!$O$10+'Rent Roll'!$S$10-1+'Rent Roll'!$V$10)),-K63,0)</f>
        <v>0</v>
      </c>
      <c r="L64" s="49">
        <f>IF(AND(L$4&gt;EOMONTH(CloseDate,'Rent Roll'!$O$10+'Rent Roll'!$S$10-1),L$4&lt;=EOMONTH(CloseDate,'Rent Roll'!$O$10+'Rent Roll'!$S$10-1+'Rent Roll'!$V$10)),-L63,0)</f>
        <v>0</v>
      </c>
      <c r="M64" s="49">
        <f>IF(AND(M$4&gt;EOMONTH(CloseDate,'Rent Roll'!$O$10+'Rent Roll'!$S$10-1),M$4&lt;=EOMONTH(CloseDate,'Rent Roll'!$O$10+'Rent Roll'!$S$10-1+'Rent Roll'!$V$10)),-M63,0)</f>
        <v>0</v>
      </c>
      <c r="N64" s="49">
        <f>IF(AND(N$4&gt;EOMONTH(CloseDate,'Rent Roll'!$O$10+'Rent Roll'!$S$10-1),N$4&lt;=EOMONTH(CloseDate,'Rent Roll'!$O$10+'Rent Roll'!$S$10-1+'Rent Roll'!$V$10)),-N63,0)</f>
        <v>0</v>
      </c>
      <c r="O64" s="49">
        <f>IF(AND(O$4&gt;EOMONTH(CloseDate,'Rent Roll'!$O$10+'Rent Roll'!$S$10-1),O$4&lt;=EOMONTH(CloseDate,'Rent Roll'!$O$10+'Rent Roll'!$S$10-1+'Rent Roll'!$V$10)),-O63,0)</f>
        <v>0</v>
      </c>
      <c r="P64" s="49">
        <f>IF(AND(P$4&gt;EOMONTH(CloseDate,'Rent Roll'!$O$10+'Rent Roll'!$S$10-1),P$4&lt;=EOMONTH(CloseDate,'Rent Roll'!$O$10+'Rent Roll'!$S$10-1+'Rent Roll'!$V$10)),-P63,0)</f>
        <v>0</v>
      </c>
      <c r="Q64" s="49">
        <f>IF(AND(Q$4&gt;EOMONTH(CloseDate,'Rent Roll'!$O$10+'Rent Roll'!$S$10-1),Q$4&lt;=EOMONTH(CloseDate,'Rent Roll'!$O$10+'Rent Roll'!$S$10-1+'Rent Roll'!$V$10)),-Q63,0)</f>
        <v>0</v>
      </c>
      <c r="R64" s="49">
        <f>IF(AND(R$4&gt;EOMONTH(CloseDate,'Rent Roll'!$O$10+'Rent Roll'!$S$10-1),R$4&lt;=EOMONTH(CloseDate,'Rent Roll'!$O$10+'Rent Roll'!$S$10-1+'Rent Roll'!$V$10)),-R63,0)</f>
        <v>0</v>
      </c>
      <c r="S64" s="49">
        <f>IF(AND(S$4&gt;EOMONTH(CloseDate,'Rent Roll'!$O$10+'Rent Roll'!$S$10-1),S$4&lt;=EOMONTH(CloseDate,'Rent Roll'!$O$10+'Rent Roll'!$S$10-1+'Rent Roll'!$V$10)),-S63,0)</f>
        <v>0</v>
      </c>
      <c r="T64" s="49">
        <f>IF(AND(T$4&gt;EOMONTH(CloseDate,'Rent Roll'!$O$10+'Rent Roll'!$S$10-1),T$4&lt;=EOMONTH(CloseDate,'Rent Roll'!$O$10+'Rent Roll'!$S$10-1+'Rent Roll'!$V$10)),-T63,0)</f>
        <v>0</v>
      </c>
      <c r="U64" s="49">
        <f>IF(AND(U$4&gt;EOMONTH(CloseDate,'Rent Roll'!$O$10+'Rent Roll'!$S$10-1),U$4&lt;=EOMONTH(CloseDate,'Rent Roll'!$O$10+'Rent Roll'!$S$10-1+'Rent Roll'!$V$10)),-U63,0)</f>
        <v>0</v>
      </c>
      <c r="V64" s="49">
        <f>IF(AND(V$4&gt;EOMONTH(CloseDate,'Rent Roll'!$O$10+'Rent Roll'!$S$10-1),V$4&lt;=EOMONTH(CloseDate,'Rent Roll'!$O$10+'Rent Roll'!$S$10-1+'Rent Roll'!$V$10)),-V63,0)</f>
        <v>0</v>
      </c>
      <c r="W64" s="49">
        <f>IF(AND(W$4&gt;EOMONTH(CloseDate,'Rent Roll'!$O$10+'Rent Roll'!$S$10-1),W$4&lt;=EOMONTH(CloseDate,'Rent Roll'!$O$10+'Rent Roll'!$S$10-1+'Rent Roll'!$V$10)),-W63,0)</f>
        <v>0</v>
      </c>
      <c r="X64" s="49">
        <f>IF(AND(X$4&gt;EOMONTH(CloseDate,'Rent Roll'!$O$10+'Rent Roll'!$S$10-1),X$4&lt;=EOMONTH(CloseDate,'Rent Roll'!$O$10+'Rent Roll'!$S$10-1+'Rent Roll'!$V$10)),-X63,0)</f>
        <v>0</v>
      </c>
      <c r="Y64" s="49">
        <f>IF(AND(Y$4&gt;EOMONTH(CloseDate,'Rent Roll'!$O$10+'Rent Roll'!$S$10-1),Y$4&lt;=EOMONTH(CloseDate,'Rent Roll'!$O$10+'Rent Roll'!$S$10-1+'Rent Roll'!$V$10)),-Y63,0)</f>
        <v>0</v>
      </c>
      <c r="Z64" s="49">
        <f>IF(AND(Z$4&gt;EOMONTH(CloseDate,'Rent Roll'!$O$10+'Rent Roll'!$S$10-1),Z$4&lt;=EOMONTH(CloseDate,'Rent Roll'!$O$10+'Rent Roll'!$S$10-1+'Rent Roll'!$V$10)),-Z63,0)</f>
        <v>0</v>
      </c>
      <c r="AA64" s="49">
        <f>IF(AND(AA$4&gt;EOMONTH(CloseDate,'Rent Roll'!$O$10+'Rent Roll'!$S$10-1),AA$4&lt;=EOMONTH(CloseDate,'Rent Roll'!$O$10+'Rent Roll'!$S$10-1+'Rent Roll'!$V$10)),-AA63,0)</f>
        <v>0</v>
      </c>
      <c r="AB64" s="49">
        <f>IF(AND(AB$4&gt;EOMONTH(CloseDate,'Rent Roll'!$O$10+'Rent Roll'!$S$10-1),AB$4&lt;=EOMONTH(CloseDate,'Rent Roll'!$O$10+'Rent Roll'!$S$10-1+'Rent Roll'!$V$10)),-AB63,0)</f>
        <v>0</v>
      </c>
      <c r="AC64" s="49">
        <f>IF(AND(AC$4&gt;EOMONTH(CloseDate,'Rent Roll'!$O$10+'Rent Roll'!$S$10-1),AC$4&lt;=EOMONTH(CloseDate,'Rent Roll'!$O$10+'Rent Roll'!$S$10-1+'Rent Roll'!$V$10)),-AC63,0)</f>
        <v>0</v>
      </c>
      <c r="AD64" s="49">
        <f>IF(AND(AD$4&gt;EOMONTH(CloseDate,'Rent Roll'!$O$10+'Rent Roll'!$S$10-1),AD$4&lt;=EOMONTH(CloseDate,'Rent Roll'!$O$10+'Rent Roll'!$S$10-1+'Rent Roll'!$V$10)),-AD63,0)</f>
        <v>0</v>
      </c>
      <c r="AE64" s="49">
        <f>IF(AND(AE$4&gt;EOMONTH(CloseDate,'Rent Roll'!$O$10+'Rent Roll'!$S$10-1),AE$4&lt;=EOMONTH(CloseDate,'Rent Roll'!$O$10+'Rent Roll'!$S$10-1+'Rent Roll'!$V$10)),-AE63,0)</f>
        <v>0</v>
      </c>
      <c r="AF64" s="49">
        <f>IF(AND(AF$4&gt;EOMONTH(CloseDate,'Rent Roll'!$O$10+'Rent Roll'!$S$10-1),AF$4&lt;=EOMONTH(CloseDate,'Rent Roll'!$O$10+'Rent Roll'!$S$10-1+'Rent Roll'!$V$10)),-AF63,0)</f>
        <v>0</v>
      </c>
      <c r="AG64" s="49">
        <f>IF(AND(AG$4&gt;EOMONTH(CloseDate,'Rent Roll'!$O$10+'Rent Roll'!$S$10-1),AG$4&lt;=EOMONTH(CloseDate,'Rent Roll'!$O$10+'Rent Roll'!$S$10-1+'Rent Roll'!$V$10)),-AG63,0)</f>
        <v>0</v>
      </c>
      <c r="AH64" s="49">
        <f>IF(AND(AH$4&gt;EOMONTH(CloseDate,'Rent Roll'!$O$10+'Rent Roll'!$S$10-1),AH$4&lt;=EOMONTH(CloseDate,'Rent Roll'!$O$10+'Rent Roll'!$S$10-1+'Rent Roll'!$V$10)),-AH63,0)</f>
        <v>0</v>
      </c>
      <c r="AI64" s="49">
        <f>IF(AND(AI$4&gt;EOMONTH(CloseDate,'Rent Roll'!$O$10+'Rent Roll'!$S$10-1),AI$4&lt;=EOMONTH(CloseDate,'Rent Roll'!$O$10+'Rent Roll'!$S$10-1+'Rent Roll'!$V$10)),-AI63,0)</f>
        <v>0</v>
      </c>
      <c r="AJ64" s="49">
        <f>IF(AND(AJ$4&gt;EOMONTH(CloseDate,'Rent Roll'!$O$10+'Rent Roll'!$S$10-1),AJ$4&lt;=EOMONTH(CloseDate,'Rent Roll'!$O$10+'Rent Roll'!$S$10-1+'Rent Roll'!$V$10)),-AJ63,0)</f>
        <v>0</v>
      </c>
      <c r="AK64" s="49">
        <f>IF(AND(AK$4&gt;EOMONTH(CloseDate,'Rent Roll'!$O$10+'Rent Roll'!$S$10-1),AK$4&lt;=EOMONTH(CloseDate,'Rent Roll'!$O$10+'Rent Roll'!$S$10-1+'Rent Roll'!$V$10)),-AK63,0)</f>
        <v>0</v>
      </c>
      <c r="AL64" s="49">
        <f>IF(AND(AL$4&gt;EOMONTH(CloseDate,'Rent Roll'!$O$10+'Rent Roll'!$S$10-1),AL$4&lt;=EOMONTH(CloseDate,'Rent Roll'!$O$10+'Rent Roll'!$S$10-1+'Rent Roll'!$V$10)),-AL63,0)</f>
        <v>0</v>
      </c>
      <c r="AM64" s="49">
        <f>IF(AND(AM$4&gt;EOMONTH(CloseDate,'Rent Roll'!$O$10+'Rent Roll'!$S$10-1),AM$4&lt;=EOMONTH(CloseDate,'Rent Roll'!$O$10+'Rent Roll'!$S$10-1+'Rent Roll'!$V$10)),-AM63,0)</f>
        <v>-17593.341394659463</v>
      </c>
      <c r="AN64" s="49">
        <f>IF(AND(AN$4&gt;EOMONTH(CloseDate,'Rent Roll'!$O$10+'Rent Roll'!$S$10-1),AN$4&lt;=EOMONTH(CloseDate,'Rent Roll'!$O$10+'Rent Roll'!$S$10-1+'Rent Roll'!$V$10)),-AN63,0)</f>
        <v>-17593.341394659463</v>
      </c>
      <c r="AO64" s="49">
        <f>IF(AND(AO$4&gt;EOMONTH(CloseDate,'Rent Roll'!$O$10+'Rent Roll'!$S$10-1),AO$4&lt;=EOMONTH(CloseDate,'Rent Roll'!$O$10+'Rent Roll'!$S$10-1+'Rent Roll'!$V$10)),-AO63,0)</f>
        <v>0</v>
      </c>
      <c r="AP64" s="49">
        <f>IF(AND(AP$4&gt;EOMONTH(CloseDate,'Rent Roll'!$O$10+'Rent Roll'!$S$10-1),AP$4&lt;=EOMONTH(CloseDate,'Rent Roll'!$O$10+'Rent Roll'!$S$10-1+'Rent Roll'!$V$10)),-AP63,0)</f>
        <v>0</v>
      </c>
      <c r="AQ64" s="49">
        <f>IF(AND(AQ$4&gt;EOMONTH(CloseDate,'Rent Roll'!$O$10+'Rent Roll'!$S$10-1),AQ$4&lt;=EOMONTH(CloseDate,'Rent Roll'!$O$10+'Rent Roll'!$S$10-1+'Rent Roll'!$V$10)),-AQ63,0)</f>
        <v>0</v>
      </c>
      <c r="AR64" s="49">
        <f>IF(AND(AR$4&gt;EOMONTH(CloseDate,'Rent Roll'!$O$10+'Rent Roll'!$S$10-1),AR$4&lt;=EOMONTH(CloseDate,'Rent Roll'!$O$10+'Rent Roll'!$S$10-1+'Rent Roll'!$V$10)),-AR63,0)</f>
        <v>0</v>
      </c>
      <c r="AS64" s="49">
        <f>IF(AND(AS$4&gt;EOMONTH(CloseDate,'Rent Roll'!$O$10+'Rent Roll'!$S$10-1),AS$4&lt;=EOMONTH(CloseDate,'Rent Roll'!$O$10+'Rent Roll'!$S$10-1+'Rent Roll'!$V$10)),-AS63,0)</f>
        <v>0</v>
      </c>
      <c r="AT64" s="49">
        <f>IF(AND(AT$4&gt;EOMONTH(CloseDate,'Rent Roll'!$O$10+'Rent Roll'!$S$10-1),AT$4&lt;=EOMONTH(CloseDate,'Rent Roll'!$O$10+'Rent Roll'!$S$10-1+'Rent Roll'!$V$10)),-AT63,0)</f>
        <v>0</v>
      </c>
      <c r="AU64" s="49">
        <f>IF(AND(AU$4&gt;EOMONTH(CloseDate,'Rent Roll'!$O$10+'Rent Roll'!$S$10-1),AU$4&lt;=EOMONTH(CloseDate,'Rent Roll'!$O$10+'Rent Roll'!$S$10-1+'Rent Roll'!$V$10)),-AU63,0)</f>
        <v>0</v>
      </c>
      <c r="AV64" s="49">
        <f>IF(AND(AV$4&gt;EOMONTH(CloseDate,'Rent Roll'!$O$10+'Rent Roll'!$S$10-1),AV$4&lt;=EOMONTH(CloseDate,'Rent Roll'!$O$10+'Rent Roll'!$S$10-1+'Rent Roll'!$V$10)),-AV63,0)</f>
        <v>0</v>
      </c>
      <c r="AW64" s="49">
        <f>IF(AND(AW$4&gt;EOMONTH(CloseDate,'Rent Roll'!$O$10+'Rent Roll'!$S$10-1),AW$4&lt;=EOMONTH(CloseDate,'Rent Roll'!$O$10+'Rent Roll'!$S$10-1+'Rent Roll'!$V$10)),-AW63,0)</f>
        <v>0</v>
      </c>
      <c r="AX64" s="49">
        <f>IF(AND(AX$4&gt;EOMONTH(CloseDate,'Rent Roll'!$O$10+'Rent Roll'!$S$10-1),AX$4&lt;=EOMONTH(CloseDate,'Rent Roll'!$O$10+'Rent Roll'!$S$10-1+'Rent Roll'!$V$10)),-AX63,0)</f>
        <v>0</v>
      </c>
      <c r="AY64" s="49">
        <f>IF(AND(AY$4&gt;EOMONTH(CloseDate,'Rent Roll'!$O$10+'Rent Roll'!$S$10-1),AY$4&lt;=EOMONTH(CloseDate,'Rent Roll'!$O$10+'Rent Roll'!$S$10-1+'Rent Roll'!$V$10)),-AY63,0)</f>
        <v>0</v>
      </c>
      <c r="AZ64" s="49">
        <f>IF(AND(AZ$4&gt;EOMONTH(CloseDate,'Rent Roll'!$O$10+'Rent Roll'!$S$10-1),AZ$4&lt;=EOMONTH(CloseDate,'Rent Roll'!$O$10+'Rent Roll'!$S$10-1+'Rent Roll'!$V$10)),-AZ63,0)</f>
        <v>0</v>
      </c>
      <c r="BA64" s="49">
        <f>IF(AND(BA$4&gt;EOMONTH(CloseDate,'Rent Roll'!$O$10+'Rent Roll'!$S$10-1),BA$4&lt;=EOMONTH(CloseDate,'Rent Roll'!$O$10+'Rent Roll'!$S$10-1+'Rent Roll'!$V$10)),-BA63,0)</f>
        <v>0</v>
      </c>
      <c r="BB64" s="49">
        <f>IF(AND(BB$4&gt;EOMONTH(CloseDate,'Rent Roll'!$O$10+'Rent Roll'!$S$10-1),BB$4&lt;=EOMONTH(CloseDate,'Rent Roll'!$O$10+'Rent Roll'!$S$10-1+'Rent Roll'!$V$10)),-BB63,0)</f>
        <v>0</v>
      </c>
      <c r="BC64" s="49">
        <f>IF(AND(BC$4&gt;EOMONTH(CloseDate,'Rent Roll'!$O$10+'Rent Roll'!$S$10-1),BC$4&lt;=EOMONTH(CloseDate,'Rent Roll'!$O$10+'Rent Roll'!$S$10-1+'Rent Roll'!$V$10)),-BC63,0)</f>
        <v>0</v>
      </c>
      <c r="BD64" s="49">
        <f>IF(AND(BD$4&gt;EOMONTH(CloseDate,'Rent Roll'!$O$10+'Rent Roll'!$S$10-1),BD$4&lt;=EOMONTH(CloseDate,'Rent Roll'!$O$10+'Rent Roll'!$S$10-1+'Rent Roll'!$V$10)),-BD63,0)</f>
        <v>0</v>
      </c>
      <c r="BE64" s="49">
        <f>IF(AND(BE$4&gt;EOMONTH(CloseDate,'Rent Roll'!$O$10+'Rent Roll'!$S$10-1),BE$4&lt;=EOMONTH(CloseDate,'Rent Roll'!$O$10+'Rent Roll'!$S$10-1+'Rent Roll'!$V$10)),-BE63,0)</f>
        <v>0</v>
      </c>
      <c r="BF64" s="49">
        <f>IF(AND(BF$4&gt;EOMONTH(CloseDate,'Rent Roll'!$O$10+'Rent Roll'!$S$10-1),BF$4&lt;=EOMONTH(CloseDate,'Rent Roll'!$O$10+'Rent Roll'!$S$10-1+'Rent Roll'!$V$10)),-BF63,0)</f>
        <v>0</v>
      </c>
      <c r="BG64" s="49">
        <f>IF(AND(BG$4&gt;EOMONTH(CloseDate,'Rent Roll'!$O$10+'Rent Roll'!$S$10-1),BG$4&lt;=EOMONTH(CloseDate,'Rent Roll'!$O$10+'Rent Roll'!$S$10-1+'Rent Roll'!$V$10)),-BG63,0)</f>
        <v>0</v>
      </c>
      <c r="BH64" s="49">
        <f>IF(AND(BH$4&gt;EOMONTH(CloseDate,'Rent Roll'!$O$10+'Rent Roll'!$S$10-1),BH$4&lt;=EOMONTH(CloseDate,'Rent Roll'!$O$10+'Rent Roll'!$S$10-1+'Rent Roll'!$V$10)),-BH63,0)</f>
        <v>0</v>
      </c>
      <c r="BI64" s="49">
        <f>IF(AND(BI$4&gt;EOMONTH(CloseDate,'Rent Roll'!$O$10+'Rent Roll'!$S$10-1),BI$4&lt;=EOMONTH(CloseDate,'Rent Roll'!$O$10+'Rent Roll'!$S$10-1+'Rent Roll'!$V$10)),-BI63,0)</f>
        <v>0</v>
      </c>
      <c r="BJ64" s="49">
        <f>IF(AND(BJ$4&gt;EOMONTH(CloseDate,'Rent Roll'!$O$10+'Rent Roll'!$S$10-1),BJ$4&lt;=EOMONTH(CloseDate,'Rent Roll'!$O$10+'Rent Roll'!$S$10-1+'Rent Roll'!$V$10)),-BJ63,0)</f>
        <v>0</v>
      </c>
      <c r="BK64" s="49">
        <f>IF(AND(BK$4&gt;EOMONTH(CloseDate,'Rent Roll'!$O$10+'Rent Roll'!$S$10-1),BK$4&lt;=EOMONTH(CloseDate,'Rent Roll'!$O$10+'Rent Roll'!$S$10-1+'Rent Roll'!$V$10)),-BK63,0)</f>
        <v>0</v>
      </c>
      <c r="BL64" s="49">
        <f>IF(AND(BL$4&gt;EOMONTH(CloseDate,'Rent Roll'!$O$10+'Rent Roll'!$S$10-1),BL$4&lt;=EOMONTH(CloseDate,'Rent Roll'!$O$10+'Rent Roll'!$S$10-1+'Rent Roll'!$V$10)),-BL63,0)</f>
        <v>0</v>
      </c>
      <c r="BM64" s="49">
        <f>IF(AND(BM$4&gt;EOMONTH(CloseDate,'Rent Roll'!$O$10+'Rent Roll'!$S$10-1),BM$4&lt;=EOMONTH(CloseDate,'Rent Roll'!$O$10+'Rent Roll'!$S$10-1+'Rent Roll'!$V$10)),-BM63,0)</f>
        <v>0</v>
      </c>
      <c r="BN64" s="49">
        <f>IF(AND(BN$4&gt;EOMONTH(CloseDate,'Rent Roll'!$O$10+'Rent Roll'!$S$10-1),BN$4&lt;=EOMONTH(CloseDate,'Rent Roll'!$O$10+'Rent Roll'!$S$10-1+'Rent Roll'!$V$10)),-BN63,0)</f>
        <v>0</v>
      </c>
      <c r="BO64" s="49">
        <f>IF(AND(BO$4&gt;EOMONTH(CloseDate,'Rent Roll'!$O$10+'Rent Roll'!$S$10-1),BO$4&lt;=EOMONTH(CloseDate,'Rent Roll'!$O$10+'Rent Roll'!$S$10-1+'Rent Roll'!$V$10)),-BO63,0)</f>
        <v>0</v>
      </c>
      <c r="BP64" s="49">
        <f>IF(AND(BP$4&gt;EOMONTH(CloseDate,'Rent Roll'!$O$10+'Rent Roll'!$S$10-1),BP$4&lt;=EOMONTH(CloseDate,'Rent Roll'!$O$10+'Rent Roll'!$S$10-1+'Rent Roll'!$V$10)),-BP63,0)</f>
        <v>0</v>
      </c>
      <c r="BQ64" s="49">
        <f>IF(AND(BQ$4&gt;EOMONTH(CloseDate,'Rent Roll'!$O$10+'Rent Roll'!$S$10-1),BQ$4&lt;=EOMONTH(CloseDate,'Rent Roll'!$O$10+'Rent Roll'!$S$10-1+'Rent Roll'!$V$10)),-BQ63,0)</f>
        <v>0</v>
      </c>
      <c r="BR64" s="49">
        <f>IF(AND(BR$4&gt;EOMONTH(CloseDate,'Rent Roll'!$O$10+'Rent Roll'!$S$10-1),BR$4&lt;=EOMONTH(CloseDate,'Rent Roll'!$O$10+'Rent Roll'!$S$10-1+'Rent Roll'!$V$10)),-BR63,0)</f>
        <v>0</v>
      </c>
      <c r="BS64" s="49">
        <f>IF(AND(BS$4&gt;EOMONTH(CloseDate,'Rent Roll'!$O$10+'Rent Roll'!$S$10-1),BS$4&lt;=EOMONTH(CloseDate,'Rent Roll'!$O$10+'Rent Roll'!$S$10-1+'Rent Roll'!$V$10)),-BS63,0)</f>
        <v>0</v>
      </c>
      <c r="BT64" s="49">
        <f>IF(AND(BT$4&gt;EOMONTH(CloseDate,'Rent Roll'!$O$10+'Rent Roll'!$S$10-1),BT$4&lt;=EOMONTH(CloseDate,'Rent Roll'!$O$10+'Rent Roll'!$S$10-1+'Rent Roll'!$V$10)),-BT63,0)</f>
        <v>0</v>
      </c>
      <c r="BU64" s="49">
        <f>IF(AND(BU$4&gt;EOMONTH(CloseDate,'Rent Roll'!$O$10+'Rent Roll'!$S$10-1),BU$4&lt;=EOMONTH(CloseDate,'Rent Roll'!$O$10+'Rent Roll'!$S$10-1+'Rent Roll'!$V$10)),-BU63,0)</f>
        <v>0</v>
      </c>
      <c r="BV64" s="49">
        <f>IF(AND(BV$4&gt;EOMONTH(CloseDate,'Rent Roll'!$O$10+'Rent Roll'!$S$10-1),BV$4&lt;=EOMONTH(CloseDate,'Rent Roll'!$O$10+'Rent Roll'!$S$10-1+'Rent Roll'!$V$10)),-BV63,0)</f>
        <v>0</v>
      </c>
      <c r="BW64" s="49">
        <f>IF(AND(BW$4&gt;EOMONTH(CloseDate,'Rent Roll'!$O$10+'Rent Roll'!$S$10-1),BW$4&lt;=EOMONTH(CloseDate,'Rent Roll'!$O$10+'Rent Roll'!$S$10-1+'Rent Roll'!$V$10)),-BW63,0)</f>
        <v>0</v>
      </c>
      <c r="BX64" s="49">
        <f>IF(AND(BX$4&gt;EOMONTH(CloseDate,'Rent Roll'!$O$10+'Rent Roll'!$S$10-1),BX$4&lt;=EOMONTH(CloseDate,'Rent Roll'!$O$10+'Rent Roll'!$S$10-1+'Rent Roll'!$V$10)),-BX63,0)</f>
        <v>0</v>
      </c>
    </row>
    <row r="65" spans="1:76" hidden="1" outlineLevel="1">
      <c r="B65" t="s">
        <v>84</v>
      </c>
      <c r="D65" s="49">
        <f>D61+D63+D64</f>
        <v>13660.416666666666</v>
      </c>
      <c r="E65" s="49">
        <f t="shared" ref="E65:BJ65" si="29">E61+E63+E64</f>
        <v>13660.416666666666</v>
      </c>
      <c r="F65" s="49">
        <f t="shared" si="29"/>
        <v>13660.416666666666</v>
      </c>
      <c r="G65" s="49">
        <f t="shared" si="29"/>
        <v>13660.416666666666</v>
      </c>
      <c r="H65" s="49">
        <f t="shared" si="29"/>
        <v>13660.416666666666</v>
      </c>
      <c r="I65" s="49">
        <f t="shared" si="29"/>
        <v>13660.416666666666</v>
      </c>
      <c r="J65" s="49">
        <f t="shared" si="29"/>
        <v>13660.416666666666</v>
      </c>
      <c r="K65" s="49">
        <f t="shared" si="29"/>
        <v>14001.927083333332</v>
      </c>
      <c r="L65" s="49">
        <f t="shared" si="29"/>
        <v>14001.927083333332</v>
      </c>
      <c r="M65" s="49">
        <f t="shared" si="29"/>
        <v>14001.927083333332</v>
      </c>
      <c r="N65" s="49">
        <f t="shared" si="29"/>
        <v>14001.927083333332</v>
      </c>
      <c r="O65" s="49">
        <f t="shared" si="29"/>
        <v>14001.927083333332</v>
      </c>
      <c r="P65" s="49">
        <f t="shared" si="29"/>
        <v>14001.927083333332</v>
      </c>
      <c r="Q65" s="49">
        <f t="shared" si="29"/>
        <v>14001.927083333332</v>
      </c>
      <c r="R65" s="49">
        <f t="shared" si="29"/>
        <v>14001.927083333332</v>
      </c>
      <c r="S65" s="49">
        <f t="shared" si="29"/>
        <v>14001.927083333332</v>
      </c>
      <c r="T65" s="49">
        <f t="shared" si="29"/>
        <v>14001.927083333332</v>
      </c>
      <c r="U65" s="49">
        <f t="shared" si="29"/>
        <v>14351.975260416664</v>
      </c>
      <c r="V65" s="49">
        <f t="shared" si="29"/>
        <v>14351.975260416664</v>
      </c>
      <c r="W65" s="49">
        <f t="shared" si="29"/>
        <v>14351.975260416664</v>
      </c>
      <c r="X65" s="49">
        <f t="shared" si="29"/>
        <v>14351.975260416664</v>
      </c>
      <c r="Y65" s="49">
        <f t="shared" si="29"/>
        <v>14351.975260416664</v>
      </c>
      <c r="Z65" s="49">
        <f t="shared" si="29"/>
        <v>14351.975260416664</v>
      </c>
      <c r="AA65" s="49">
        <f t="shared" si="29"/>
        <v>14351.975260416664</v>
      </c>
      <c r="AB65" s="49">
        <f t="shared" si="29"/>
        <v>14351.975260416664</v>
      </c>
      <c r="AC65" s="49">
        <f t="shared" si="29"/>
        <v>14351.975260416664</v>
      </c>
      <c r="AD65" s="49">
        <f t="shared" si="29"/>
        <v>14351.975260416664</v>
      </c>
      <c r="AE65" s="49">
        <f t="shared" si="29"/>
        <v>14351.975260416664</v>
      </c>
      <c r="AF65" s="49">
        <f t="shared" si="29"/>
        <v>14351.975260416664</v>
      </c>
      <c r="AG65" s="49">
        <f t="shared" si="29"/>
        <v>14710.774641927081</v>
      </c>
      <c r="AH65" s="49">
        <f t="shared" si="29"/>
        <v>14710.774641927081</v>
      </c>
      <c r="AI65" s="49">
        <f t="shared" si="29"/>
        <v>0</v>
      </c>
      <c r="AJ65" s="49">
        <f t="shared" si="29"/>
        <v>0</v>
      </c>
      <c r="AK65" s="49">
        <f t="shared" si="29"/>
        <v>0</v>
      </c>
      <c r="AL65" s="49">
        <f t="shared" si="29"/>
        <v>0</v>
      </c>
      <c r="AM65" s="49">
        <f t="shared" si="29"/>
        <v>0</v>
      </c>
      <c r="AN65" s="49">
        <f t="shared" si="29"/>
        <v>0</v>
      </c>
      <c r="AO65" s="49">
        <f t="shared" si="29"/>
        <v>17593.341394659463</v>
      </c>
      <c r="AP65" s="49">
        <f t="shared" si="29"/>
        <v>17593.341394659463</v>
      </c>
      <c r="AQ65" s="49">
        <f t="shared" si="29"/>
        <v>17593.341394659463</v>
      </c>
      <c r="AR65" s="49">
        <f t="shared" si="29"/>
        <v>17593.341394659463</v>
      </c>
      <c r="AS65" s="49">
        <f t="shared" si="29"/>
        <v>18068.361612315264</v>
      </c>
      <c r="AT65" s="49">
        <f t="shared" si="29"/>
        <v>18068.361612315264</v>
      </c>
      <c r="AU65" s="49">
        <f t="shared" si="29"/>
        <v>18068.361612315264</v>
      </c>
      <c r="AV65" s="49">
        <f t="shared" si="29"/>
        <v>18068.361612315264</v>
      </c>
      <c r="AW65" s="49">
        <f t="shared" si="29"/>
        <v>18068.361612315264</v>
      </c>
      <c r="AX65" s="49">
        <f t="shared" si="29"/>
        <v>18068.361612315264</v>
      </c>
      <c r="AY65" s="49">
        <f t="shared" si="29"/>
        <v>18068.361612315264</v>
      </c>
      <c r="AZ65" s="49">
        <f t="shared" si="29"/>
        <v>18068.361612315264</v>
      </c>
      <c r="BA65" s="49">
        <f t="shared" si="29"/>
        <v>18068.361612315264</v>
      </c>
      <c r="BB65" s="49">
        <f t="shared" si="29"/>
        <v>18068.361612315264</v>
      </c>
      <c r="BC65" s="49">
        <f t="shared" si="29"/>
        <v>18068.361612315264</v>
      </c>
      <c r="BD65" s="49">
        <f t="shared" si="29"/>
        <v>18068.361612315264</v>
      </c>
      <c r="BE65" s="49">
        <f t="shared" si="29"/>
        <v>18556.207375847778</v>
      </c>
      <c r="BF65" s="49">
        <f t="shared" si="29"/>
        <v>18556.207375847778</v>
      </c>
      <c r="BG65" s="49">
        <f t="shared" si="29"/>
        <v>18556.207375847778</v>
      </c>
      <c r="BH65" s="49">
        <f t="shared" si="29"/>
        <v>18556.207375847778</v>
      </c>
      <c r="BI65" s="49">
        <f t="shared" si="29"/>
        <v>18556.207375847778</v>
      </c>
      <c r="BJ65" s="49">
        <f t="shared" si="29"/>
        <v>18556.207375847778</v>
      </c>
      <c r="BK65" s="49">
        <f t="shared" ref="BK65" si="30">BK61+BK63+BK64</f>
        <v>18556.207375847778</v>
      </c>
      <c r="BL65" s="49">
        <f t="shared" ref="BL65:BX65" si="31">BL61+BL63+BL64</f>
        <v>18556.207375847778</v>
      </c>
      <c r="BM65" s="49">
        <f t="shared" si="31"/>
        <v>18556.207375847778</v>
      </c>
      <c r="BN65" s="49">
        <f t="shared" si="31"/>
        <v>18556.207375847778</v>
      </c>
      <c r="BO65" s="49">
        <f t="shared" si="31"/>
        <v>18556.207375847778</v>
      </c>
      <c r="BP65" s="49">
        <f t="shared" si="31"/>
        <v>18556.207375847778</v>
      </c>
      <c r="BQ65" s="49">
        <f t="shared" si="31"/>
        <v>19057.224974995665</v>
      </c>
      <c r="BR65" s="49">
        <f t="shared" si="31"/>
        <v>19057.224974995665</v>
      </c>
      <c r="BS65" s="49">
        <f t="shared" si="31"/>
        <v>19057.224974995665</v>
      </c>
      <c r="BT65" s="49">
        <f t="shared" si="31"/>
        <v>19057.224974995665</v>
      </c>
      <c r="BU65" s="49">
        <f t="shared" si="31"/>
        <v>19057.224974995665</v>
      </c>
      <c r="BV65" s="49">
        <f t="shared" si="31"/>
        <v>19057.224974995665</v>
      </c>
      <c r="BW65" s="49">
        <f t="shared" si="31"/>
        <v>19057.224974995665</v>
      </c>
      <c r="BX65" s="49">
        <f t="shared" si="31"/>
        <v>19057.224974995665</v>
      </c>
    </row>
    <row r="66" spans="1:76" hidden="1" outlineLevel="1">
      <c r="B66" t="s">
        <v>85</v>
      </c>
      <c r="D66" s="49">
        <f>IF(OR(D60=1,D62=1),'Rent Roll'!$F$10/BldgSF*ReimbPool/12*D$7,0)</f>
        <v>6892.75</v>
      </c>
      <c r="E66" s="49">
        <f>IF(OR(E60=1,E62=1),'Rent Roll'!$F$10/BldgSF*ReimbPool/12*E$7,0)</f>
        <v>6892.75</v>
      </c>
      <c r="F66" s="49">
        <f>IF(OR(F60=1,F62=1),'Rent Roll'!$F$10/BldgSF*ReimbPool/12*F$7,0)</f>
        <v>6892.75</v>
      </c>
      <c r="G66" s="49">
        <f>IF(OR(G60=1,G62=1),'Rent Roll'!$F$10/BldgSF*ReimbPool/12*G$7,0)</f>
        <v>6892.75</v>
      </c>
      <c r="H66" s="49">
        <f>IF(OR(H60=1,H62=1),'Rent Roll'!$F$10/BldgSF*ReimbPool/12*H$7,0)</f>
        <v>6892.75</v>
      </c>
      <c r="I66" s="49">
        <f>IF(OR(I60=1,I62=1),'Rent Roll'!$F$10/BldgSF*ReimbPool/12*I$7,0)</f>
        <v>7078.8542499999994</v>
      </c>
      <c r="J66" s="49">
        <f>IF(OR(J60=1,J62=1),'Rent Roll'!$F$10/BldgSF*ReimbPool/12*J$7,0)</f>
        <v>7078.8542499999994</v>
      </c>
      <c r="K66" s="49">
        <f>IF(OR(K60=1,K62=1),'Rent Roll'!$F$10/BldgSF*ReimbPool/12*K$7,0)</f>
        <v>7078.8542499999994</v>
      </c>
      <c r="L66" s="49">
        <f>IF(OR(L60=1,L62=1),'Rent Roll'!$F$10/BldgSF*ReimbPool/12*L$7,0)</f>
        <v>7078.8542499999994</v>
      </c>
      <c r="M66" s="49">
        <f>IF(OR(M60=1,M62=1),'Rent Roll'!$F$10/BldgSF*ReimbPool/12*M$7,0)</f>
        <v>7078.8542499999994</v>
      </c>
      <c r="N66" s="49">
        <f>IF(OR(N60=1,N62=1),'Rent Roll'!$F$10/BldgSF*ReimbPool/12*N$7,0)</f>
        <v>7078.8542499999994</v>
      </c>
      <c r="O66" s="49">
        <f>IF(OR(O60=1,O62=1),'Rent Roll'!$F$10/BldgSF*ReimbPool/12*O$7,0)</f>
        <v>7078.8542499999994</v>
      </c>
      <c r="P66" s="49">
        <f>IF(OR(P60=1,P62=1),'Rent Roll'!$F$10/BldgSF*ReimbPool/12*P$7,0)</f>
        <v>7078.8542499999994</v>
      </c>
      <c r="Q66" s="49">
        <f>IF(OR(Q60=1,Q62=1),'Rent Roll'!$F$10/BldgSF*ReimbPool/12*Q$7,0)</f>
        <v>7078.8542499999994</v>
      </c>
      <c r="R66" s="49">
        <f>IF(OR(R60=1,R62=1),'Rent Roll'!$F$10/BldgSF*ReimbPool/12*R$7,0)</f>
        <v>7078.8542499999994</v>
      </c>
      <c r="S66" s="49">
        <f>IF(OR(S60=1,S62=1),'Rent Roll'!$F$10/BldgSF*ReimbPool/12*S$7,0)</f>
        <v>7078.8542499999994</v>
      </c>
      <c r="T66" s="49">
        <f>IF(OR(T60=1,T62=1),'Rent Roll'!$F$10/BldgSF*ReimbPool/12*T$7,0)</f>
        <v>7078.8542499999994</v>
      </c>
      <c r="U66" s="49">
        <f>IF(OR(U60=1,U62=1),'Rent Roll'!$F$10/BldgSF*ReimbPool/12*U$7,0)</f>
        <v>7269.9833147499985</v>
      </c>
      <c r="V66" s="49">
        <f>IF(OR(V60=1,V62=1),'Rent Roll'!$F$10/BldgSF*ReimbPool/12*V$7,0)</f>
        <v>7269.9833147499985</v>
      </c>
      <c r="W66" s="49">
        <f>IF(OR(W60=1,W62=1),'Rent Roll'!$F$10/BldgSF*ReimbPool/12*W$7,0)</f>
        <v>7269.9833147499985</v>
      </c>
      <c r="X66" s="49">
        <f>IF(OR(X60=1,X62=1),'Rent Roll'!$F$10/BldgSF*ReimbPool/12*X$7,0)</f>
        <v>7269.9833147499985</v>
      </c>
      <c r="Y66" s="49">
        <f>IF(OR(Y60=1,Y62=1),'Rent Roll'!$F$10/BldgSF*ReimbPool/12*Y$7,0)</f>
        <v>7269.9833147499985</v>
      </c>
      <c r="Z66" s="49">
        <f>IF(OR(Z60=1,Z62=1),'Rent Roll'!$F$10/BldgSF*ReimbPool/12*Z$7,0)</f>
        <v>7269.9833147499985</v>
      </c>
      <c r="AA66" s="49">
        <f>IF(OR(AA60=1,AA62=1),'Rent Roll'!$F$10/BldgSF*ReimbPool/12*AA$7,0)</f>
        <v>7269.9833147499985</v>
      </c>
      <c r="AB66" s="49">
        <f>IF(OR(AB60=1,AB62=1),'Rent Roll'!$F$10/BldgSF*ReimbPool/12*AB$7,0)</f>
        <v>7269.9833147499985</v>
      </c>
      <c r="AC66" s="49">
        <f>IF(OR(AC60=1,AC62=1),'Rent Roll'!$F$10/BldgSF*ReimbPool/12*AC$7,0)</f>
        <v>7269.9833147499985</v>
      </c>
      <c r="AD66" s="49">
        <f>IF(OR(AD60=1,AD62=1),'Rent Roll'!$F$10/BldgSF*ReimbPool/12*AD$7,0)</f>
        <v>7269.9833147499985</v>
      </c>
      <c r="AE66" s="49">
        <f>IF(OR(AE60=1,AE62=1),'Rent Roll'!$F$10/BldgSF*ReimbPool/12*AE$7,0)</f>
        <v>7269.9833147499985</v>
      </c>
      <c r="AF66" s="49">
        <f>IF(OR(AF60=1,AF62=1),'Rent Roll'!$F$10/BldgSF*ReimbPool/12*AF$7,0)</f>
        <v>7269.9833147499985</v>
      </c>
      <c r="AG66" s="49">
        <f>IF(OR(AG60=1,AG62=1),'Rent Roll'!$F$10/BldgSF*ReimbPool/12*AG$7,0)</f>
        <v>7466.2728642482489</v>
      </c>
      <c r="AH66" s="49">
        <f>IF(OR(AH60=1,AH62=1),'Rent Roll'!$F$10/BldgSF*ReimbPool/12*AH$7,0)</f>
        <v>7466.2728642482489</v>
      </c>
      <c r="AI66" s="49">
        <f>IF(OR(AI60=1,AI62=1),'Rent Roll'!$F$10/BldgSF*ReimbPool/12*AI$7,0)</f>
        <v>0</v>
      </c>
      <c r="AJ66" s="49">
        <f>IF(OR(AJ60=1,AJ62=1),'Rent Roll'!$F$10/BldgSF*ReimbPool/12*AJ$7,0)</f>
        <v>0</v>
      </c>
      <c r="AK66" s="49">
        <f>IF(OR(AK60=1,AK62=1),'Rent Roll'!$F$10/BldgSF*ReimbPool/12*AK$7,0)</f>
        <v>0</v>
      </c>
      <c r="AL66" s="49">
        <f>IF(OR(AL60=1,AL62=1),'Rent Roll'!$F$10/BldgSF*ReimbPool/12*AL$7,0)</f>
        <v>0</v>
      </c>
      <c r="AM66" s="49">
        <f>IF(OR(AM60=1,AM62=1),'Rent Roll'!$F$10/BldgSF*ReimbPool/12*AM$7,0)</f>
        <v>7466.2728642482489</v>
      </c>
      <c r="AN66" s="49">
        <f>IF(OR(AN60=1,AN62=1),'Rent Roll'!$F$10/BldgSF*ReimbPool/12*AN$7,0)</f>
        <v>7466.2728642482489</v>
      </c>
      <c r="AO66" s="49">
        <f>IF(OR(AO60=1,AO62=1),'Rent Roll'!$F$10/BldgSF*ReimbPool/12*AO$7,0)</f>
        <v>7466.2728642482489</v>
      </c>
      <c r="AP66" s="49">
        <f>IF(OR(AP60=1,AP62=1),'Rent Roll'!$F$10/BldgSF*ReimbPool/12*AP$7,0)</f>
        <v>7466.2728642482489</v>
      </c>
      <c r="AQ66" s="49">
        <f>IF(OR(AQ60=1,AQ62=1),'Rent Roll'!$F$10/BldgSF*ReimbPool/12*AQ$7,0)</f>
        <v>7466.2728642482489</v>
      </c>
      <c r="AR66" s="49">
        <f>IF(OR(AR60=1,AR62=1),'Rent Roll'!$F$10/BldgSF*ReimbPool/12*AR$7,0)</f>
        <v>7466.2728642482489</v>
      </c>
      <c r="AS66" s="49">
        <f>IF(OR(AS60=1,AS62=1),'Rent Roll'!$F$10/BldgSF*ReimbPool/12*AS$7,0)</f>
        <v>7667.8622315829498</v>
      </c>
      <c r="AT66" s="49">
        <f>IF(OR(AT60=1,AT62=1),'Rent Roll'!$F$10/BldgSF*ReimbPool/12*AT$7,0)</f>
        <v>7667.8622315829498</v>
      </c>
      <c r="AU66" s="49">
        <f>IF(OR(AU60=1,AU62=1),'Rent Roll'!$F$10/BldgSF*ReimbPool/12*AU$7,0)</f>
        <v>7667.8622315829498</v>
      </c>
      <c r="AV66" s="49">
        <f>IF(OR(AV60=1,AV62=1),'Rent Roll'!$F$10/BldgSF*ReimbPool/12*AV$7,0)</f>
        <v>7667.8622315829498</v>
      </c>
      <c r="AW66" s="49">
        <f>IF(OR(AW60=1,AW62=1),'Rent Roll'!$F$10/BldgSF*ReimbPool/12*AW$7,0)</f>
        <v>7667.8622315829498</v>
      </c>
      <c r="AX66" s="49">
        <f>IF(OR(AX60=1,AX62=1),'Rent Roll'!$F$10/BldgSF*ReimbPool/12*AX$7,0)</f>
        <v>7667.8622315829498</v>
      </c>
      <c r="AY66" s="49">
        <f>IF(OR(AY60=1,AY62=1),'Rent Roll'!$F$10/BldgSF*ReimbPool/12*AY$7,0)</f>
        <v>7667.8622315829498</v>
      </c>
      <c r="AZ66" s="49">
        <f>IF(OR(AZ60=1,AZ62=1),'Rent Roll'!$F$10/BldgSF*ReimbPool/12*AZ$7,0)</f>
        <v>7667.8622315829498</v>
      </c>
      <c r="BA66" s="49">
        <f>IF(OR(BA60=1,BA62=1),'Rent Roll'!$F$10/BldgSF*ReimbPool/12*BA$7,0)</f>
        <v>7667.8622315829498</v>
      </c>
      <c r="BB66" s="49">
        <f>IF(OR(BB60=1,BB62=1),'Rent Roll'!$F$10/BldgSF*ReimbPool/12*BB$7,0)</f>
        <v>7667.8622315829498</v>
      </c>
      <c r="BC66" s="49">
        <f>IF(OR(BC60=1,BC62=1),'Rent Roll'!$F$10/BldgSF*ReimbPool/12*BC$7,0)</f>
        <v>7667.8622315829498</v>
      </c>
      <c r="BD66" s="49">
        <f>IF(OR(BD60=1,BD62=1),'Rent Roll'!$F$10/BldgSF*ReimbPool/12*BD$7,0)</f>
        <v>7667.8622315829498</v>
      </c>
      <c r="BE66" s="49">
        <f>IF(OR(BE60=1,BE62=1),'Rent Roll'!$F$10/BldgSF*ReimbPool/12*BE$7,0)</f>
        <v>7874.8945118356887</v>
      </c>
      <c r="BF66" s="49">
        <f>IF(OR(BF60=1,BF62=1),'Rent Roll'!$F$10/BldgSF*ReimbPool/12*BF$7,0)</f>
        <v>7874.8945118356887</v>
      </c>
      <c r="BG66" s="49">
        <f>IF(OR(BG60=1,BG62=1),'Rent Roll'!$F$10/BldgSF*ReimbPool/12*BG$7,0)</f>
        <v>7874.8945118356887</v>
      </c>
      <c r="BH66" s="49">
        <f>IF(OR(BH60=1,BH62=1),'Rent Roll'!$F$10/BldgSF*ReimbPool/12*BH$7,0)</f>
        <v>7874.8945118356887</v>
      </c>
      <c r="BI66" s="49">
        <f>IF(OR(BI60=1,BI62=1),'Rent Roll'!$F$10/BldgSF*ReimbPool/12*BI$7,0)</f>
        <v>7874.8945118356887</v>
      </c>
      <c r="BJ66" s="49">
        <f>IF(OR(BJ60=1,BJ62=1),'Rent Roll'!$F$10/BldgSF*ReimbPool/12*BJ$7,0)</f>
        <v>7874.8945118356887</v>
      </c>
      <c r="BK66" s="49">
        <f>IF(OR(BK60=1,BK62=1),'Rent Roll'!$F$10/BldgSF*ReimbPool/12*BK$7,0)</f>
        <v>7874.8945118356887</v>
      </c>
      <c r="BL66" s="49">
        <f>IF(OR(BL60=1,BL62=1),'Rent Roll'!$F$10/BldgSF*ReimbPool/12*BL$7,0)</f>
        <v>7874.8945118356887</v>
      </c>
      <c r="BM66" s="49">
        <f>IF(OR(BM60=1,BM62=1),'Rent Roll'!$F$10/BldgSF*ReimbPool/12*BM$7,0)</f>
        <v>7874.8945118356887</v>
      </c>
      <c r="BN66" s="49">
        <f>IF(OR(BN60=1,BN62=1),'Rent Roll'!$F$10/BldgSF*ReimbPool/12*BN$7,0)</f>
        <v>7874.8945118356887</v>
      </c>
      <c r="BO66" s="49">
        <f>IF(OR(BO60=1,BO62=1),'Rent Roll'!$F$10/BldgSF*ReimbPool/12*BO$7,0)</f>
        <v>7874.8945118356887</v>
      </c>
      <c r="BP66" s="49">
        <f>IF(OR(BP60=1,BP62=1),'Rent Roll'!$F$10/BldgSF*ReimbPool/12*BP$7,0)</f>
        <v>7874.8945118356887</v>
      </c>
      <c r="BQ66" s="49">
        <f>IF(OR(BQ60=1,BQ62=1),'Rent Roll'!$F$10/BldgSF*ReimbPool/12*BQ$7,0)</f>
        <v>8087.5166636552513</v>
      </c>
      <c r="BR66" s="49">
        <f>IF(OR(BR60=1,BR62=1),'Rent Roll'!$F$10/BldgSF*ReimbPool/12*BR$7,0)</f>
        <v>8087.5166636552513</v>
      </c>
      <c r="BS66" s="49">
        <f>IF(OR(BS60=1,BS62=1),'Rent Roll'!$F$10/BldgSF*ReimbPool/12*BS$7,0)</f>
        <v>8087.5166636552513</v>
      </c>
      <c r="BT66" s="49">
        <f>IF(OR(BT60=1,BT62=1),'Rent Roll'!$F$10/BldgSF*ReimbPool/12*BT$7,0)</f>
        <v>8087.5166636552513</v>
      </c>
      <c r="BU66" s="49">
        <f>IF(OR(BU60=1,BU62=1),'Rent Roll'!$F$10/BldgSF*ReimbPool/12*BU$7,0)</f>
        <v>8087.5166636552513</v>
      </c>
      <c r="BV66" s="49">
        <f>IF(OR(BV60=1,BV62=1),'Rent Roll'!$F$10/BldgSF*ReimbPool/12*BV$7,0)</f>
        <v>8087.5166636552513</v>
      </c>
      <c r="BW66" s="49">
        <f>IF(OR(BW60=1,BW62=1),'Rent Roll'!$F$10/BldgSF*ReimbPool/12*BW$7,0)</f>
        <v>8087.5166636552513</v>
      </c>
      <c r="BX66" s="49">
        <f>IF(OR(BX60=1,BX62=1),'Rent Roll'!$F$10/BldgSF*ReimbPool/12*BX$7,0)</f>
        <v>8087.5166636552513</v>
      </c>
    </row>
    <row r="67" spans="1:76" hidden="1" outlineLevel="1">
      <c r="B67" t="s">
        <v>86</v>
      </c>
      <c r="D67" s="49">
        <f>IF(D$4=EOMONTH(CloseDate,'Rent Roll'!$O$10+'Rent Roll'!$S$10),-'Rent Roll'!$F$10*'Rent Roll'!$T$10,0)</f>
        <v>0</v>
      </c>
      <c r="E67" s="49">
        <f>IF(E$4=EOMONTH(CloseDate,'Rent Roll'!$O$10+'Rent Roll'!$S$10),-'Rent Roll'!$F$10*'Rent Roll'!$T$10,0)</f>
        <v>0</v>
      </c>
      <c r="F67" s="49">
        <f>IF(F$4=EOMONTH(CloseDate,'Rent Roll'!$O$10+'Rent Roll'!$S$10),-'Rent Roll'!$F$10*'Rent Roll'!$T$10,0)</f>
        <v>0</v>
      </c>
      <c r="G67" s="49">
        <f>IF(G$4=EOMONTH(CloseDate,'Rent Roll'!$O$10+'Rent Roll'!$S$10),-'Rent Roll'!$F$10*'Rent Roll'!$T$10,0)</f>
        <v>0</v>
      </c>
      <c r="H67" s="49">
        <f>IF(H$4=EOMONTH(CloseDate,'Rent Roll'!$O$10+'Rent Roll'!$S$10),-'Rent Roll'!$F$10*'Rent Roll'!$T$10,0)</f>
        <v>0</v>
      </c>
      <c r="I67" s="49">
        <f>IF(I$4=EOMONTH(CloseDate,'Rent Roll'!$O$10+'Rent Roll'!$S$10),-'Rent Roll'!$F$10*'Rent Roll'!$T$10,0)</f>
        <v>0</v>
      </c>
      <c r="J67" s="49">
        <f>IF(J$4=EOMONTH(CloseDate,'Rent Roll'!$O$10+'Rent Roll'!$S$10),-'Rent Roll'!$F$10*'Rent Roll'!$T$10,0)</f>
        <v>0</v>
      </c>
      <c r="K67" s="49">
        <f>IF(K$4=EOMONTH(CloseDate,'Rent Roll'!$O$10+'Rent Roll'!$S$10),-'Rent Roll'!$F$10*'Rent Roll'!$T$10,0)</f>
        <v>0</v>
      </c>
      <c r="L67" s="49">
        <f>IF(L$4=EOMONTH(CloseDate,'Rent Roll'!$O$10+'Rent Roll'!$S$10),-'Rent Roll'!$F$10*'Rent Roll'!$T$10,0)</f>
        <v>0</v>
      </c>
      <c r="M67" s="49">
        <f>IF(M$4=EOMONTH(CloseDate,'Rent Roll'!$O$10+'Rent Roll'!$S$10),-'Rent Roll'!$F$10*'Rent Roll'!$T$10,0)</f>
        <v>0</v>
      </c>
      <c r="N67" s="49">
        <f>IF(N$4=EOMONTH(CloseDate,'Rent Roll'!$O$10+'Rent Roll'!$S$10),-'Rent Roll'!$F$10*'Rent Roll'!$T$10,0)</f>
        <v>0</v>
      </c>
      <c r="O67" s="49">
        <f>IF(O$4=EOMONTH(CloseDate,'Rent Roll'!$O$10+'Rent Roll'!$S$10),-'Rent Roll'!$F$10*'Rent Roll'!$T$10,0)</f>
        <v>0</v>
      </c>
      <c r="P67" s="49">
        <f>IF(P$4=EOMONTH(CloseDate,'Rent Roll'!$O$10+'Rent Roll'!$S$10),-'Rent Roll'!$F$10*'Rent Roll'!$T$10,0)</f>
        <v>0</v>
      </c>
      <c r="Q67" s="49">
        <f>IF(Q$4=EOMONTH(CloseDate,'Rent Roll'!$O$10+'Rent Roll'!$S$10),-'Rent Roll'!$F$10*'Rent Roll'!$T$10,0)</f>
        <v>0</v>
      </c>
      <c r="R67" s="49">
        <f>IF(R$4=EOMONTH(CloseDate,'Rent Roll'!$O$10+'Rent Roll'!$S$10),-'Rent Roll'!$F$10*'Rent Roll'!$T$10,0)</f>
        <v>0</v>
      </c>
      <c r="S67" s="49">
        <f>IF(S$4=EOMONTH(CloseDate,'Rent Roll'!$O$10+'Rent Roll'!$S$10),-'Rent Roll'!$F$10*'Rent Roll'!$T$10,0)</f>
        <v>0</v>
      </c>
      <c r="T67" s="49">
        <f>IF(T$4=EOMONTH(CloseDate,'Rent Roll'!$O$10+'Rent Roll'!$S$10),-'Rent Roll'!$F$10*'Rent Roll'!$T$10,0)</f>
        <v>0</v>
      </c>
      <c r="U67" s="49">
        <f>IF(U$4=EOMONTH(CloseDate,'Rent Roll'!$O$10+'Rent Roll'!$S$10),-'Rent Roll'!$F$10*'Rent Roll'!$T$10,0)</f>
        <v>0</v>
      </c>
      <c r="V67" s="49">
        <f>IF(V$4=EOMONTH(CloseDate,'Rent Roll'!$O$10+'Rent Roll'!$S$10),-'Rent Roll'!$F$10*'Rent Roll'!$T$10,0)</f>
        <v>0</v>
      </c>
      <c r="W67" s="49">
        <f>IF(W$4=EOMONTH(CloseDate,'Rent Roll'!$O$10+'Rent Roll'!$S$10),-'Rent Roll'!$F$10*'Rent Roll'!$T$10,0)</f>
        <v>0</v>
      </c>
      <c r="X67" s="49">
        <f>IF(X$4=EOMONTH(CloseDate,'Rent Roll'!$O$10+'Rent Roll'!$S$10),-'Rent Roll'!$F$10*'Rent Roll'!$T$10,0)</f>
        <v>0</v>
      </c>
      <c r="Y67" s="49">
        <f>IF(Y$4=EOMONTH(CloseDate,'Rent Roll'!$O$10+'Rent Roll'!$S$10),-'Rent Roll'!$F$10*'Rent Roll'!$T$10,0)</f>
        <v>0</v>
      </c>
      <c r="Z67" s="49">
        <f>IF(Z$4=EOMONTH(CloseDate,'Rent Roll'!$O$10+'Rent Roll'!$S$10),-'Rent Roll'!$F$10*'Rent Roll'!$T$10,0)</f>
        <v>0</v>
      </c>
      <c r="AA67" s="49">
        <f>IF(AA$4=EOMONTH(CloseDate,'Rent Roll'!$O$10+'Rent Roll'!$S$10),-'Rent Roll'!$F$10*'Rent Roll'!$T$10,0)</f>
        <v>0</v>
      </c>
      <c r="AB67" s="49">
        <f>IF(AB$4=EOMONTH(CloseDate,'Rent Roll'!$O$10+'Rent Roll'!$S$10),-'Rent Roll'!$F$10*'Rent Roll'!$T$10,0)</f>
        <v>0</v>
      </c>
      <c r="AC67" s="49">
        <f>IF(AC$4=EOMONTH(CloseDate,'Rent Roll'!$O$10+'Rent Roll'!$S$10),-'Rent Roll'!$F$10*'Rent Roll'!$T$10,0)</f>
        <v>0</v>
      </c>
      <c r="AD67" s="49">
        <f>IF(AD$4=EOMONTH(CloseDate,'Rent Roll'!$O$10+'Rent Roll'!$S$10),-'Rent Roll'!$F$10*'Rent Roll'!$T$10,0)</f>
        <v>0</v>
      </c>
      <c r="AE67" s="49">
        <f>IF(AE$4=EOMONTH(CloseDate,'Rent Roll'!$O$10+'Rent Roll'!$S$10),-'Rent Roll'!$F$10*'Rent Roll'!$T$10,0)</f>
        <v>0</v>
      </c>
      <c r="AF67" s="49">
        <f>IF(AF$4=EOMONTH(CloseDate,'Rent Roll'!$O$10+'Rent Roll'!$S$10),-'Rent Roll'!$F$10*'Rent Roll'!$T$10,0)</f>
        <v>0</v>
      </c>
      <c r="AG67" s="49">
        <f>IF(AG$4=EOMONTH(CloseDate,'Rent Roll'!$O$10+'Rent Roll'!$S$10),-'Rent Roll'!$F$10*'Rent Roll'!$T$10,0)</f>
        <v>0</v>
      </c>
      <c r="AH67" s="49">
        <f>IF(AH$4=EOMONTH(CloseDate,'Rent Roll'!$O$10+'Rent Roll'!$S$10),-'Rent Roll'!$F$10*'Rent Roll'!$T$10,0)</f>
        <v>0</v>
      </c>
      <c r="AI67" s="49">
        <f>IF(AI$4=EOMONTH(CloseDate,'Rent Roll'!$O$10+'Rent Roll'!$S$10),-'Rent Roll'!$F$10*'Rent Roll'!$T$10,0)</f>
        <v>0</v>
      </c>
      <c r="AJ67" s="49">
        <f>IF(AJ$4=EOMONTH(CloseDate,'Rent Roll'!$O$10+'Rent Roll'!$S$10),-'Rent Roll'!$F$10*'Rent Roll'!$T$10,0)</f>
        <v>0</v>
      </c>
      <c r="AK67" s="49">
        <f>IF(AK$4=EOMONTH(CloseDate,'Rent Roll'!$O$10+'Rent Roll'!$S$10),-'Rent Roll'!$F$10*'Rent Roll'!$T$10,0)</f>
        <v>0</v>
      </c>
      <c r="AL67" s="49">
        <f>IF(AL$4=EOMONTH(CloseDate,'Rent Roll'!$O$10+'Rent Roll'!$S$10),-'Rent Roll'!$F$10*'Rent Roll'!$T$10,0)</f>
        <v>0</v>
      </c>
      <c r="AM67" s="49">
        <f>IF(AM$4=EOMONTH(CloseDate,'Rent Roll'!$O$10+'Rent Roll'!$S$10),-'Rent Roll'!$F$10*'Rent Roll'!$T$10,0)</f>
        <v>-284400</v>
      </c>
      <c r="AN67" s="49">
        <f>IF(AN$4=EOMONTH(CloseDate,'Rent Roll'!$O$10+'Rent Roll'!$S$10),-'Rent Roll'!$F$10*'Rent Roll'!$T$10,0)</f>
        <v>0</v>
      </c>
      <c r="AO67" s="49">
        <f>IF(AO$4=EOMONTH(CloseDate,'Rent Roll'!$O$10+'Rent Roll'!$S$10),-'Rent Roll'!$F$10*'Rent Roll'!$T$10,0)</f>
        <v>0</v>
      </c>
      <c r="AP67" s="49">
        <f>IF(AP$4=EOMONTH(CloseDate,'Rent Roll'!$O$10+'Rent Roll'!$S$10),-'Rent Roll'!$F$10*'Rent Roll'!$T$10,0)</f>
        <v>0</v>
      </c>
      <c r="AQ67" s="49">
        <f>IF(AQ$4=EOMONTH(CloseDate,'Rent Roll'!$O$10+'Rent Roll'!$S$10),-'Rent Roll'!$F$10*'Rent Roll'!$T$10,0)</f>
        <v>0</v>
      </c>
      <c r="AR67" s="49">
        <f>IF(AR$4=EOMONTH(CloseDate,'Rent Roll'!$O$10+'Rent Roll'!$S$10),-'Rent Roll'!$F$10*'Rent Roll'!$T$10,0)</f>
        <v>0</v>
      </c>
      <c r="AS67" s="49">
        <f>IF(AS$4=EOMONTH(CloseDate,'Rent Roll'!$O$10+'Rent Roll'!$S$10),-'Rent Roll'!$F$10*'Rent Roll'!$T$10,0)</f>
        <v>0</v>
      </c>
      <c r="AT67" s="49">
        <f>IF(AT$4=EOMONTH(CloseDate,'Rent Roll'!$O$10+'Rent Roll'!$S$10),-'Rent Roll'!$F$10*'Rent Roll'!$T$10,0)</f>
        <v>0</v>
      </c>
      <c r="AU67" s="49">
        <f>IF(AU$4=EOMONTH(CloseDate,'Rent Roll'!$O$10+'Rent Roll'!$S$10),-'Rent Roll'!$F$10*'Rent Roll'!$T$10,0)</f>
        <v>0</v>
      </c>
      <c r="AV67" s="49">
        <f>IF(AV$4=EOMONTH(CloseDate,'Rent Roll'!$O$10+'Rent Roll'!$S$10),-'Rent Roll'!$F$10*'Rent Roll'!$T$10,0)</f>
        <v>0</v>
      </c>
      <c r="AW67" s="49">
        <f>IF(AW$4=EOMONTH(CloseDate,'Rent Roll'!$O$10+'Rent Roll'!$S$10),-'Rent Roll'!$F$10*'Rent Roll'!$T$10,0)</f>
        <v>0</v>
      </c>
      <c r="AX67" s="49">
        <f>IF(AX$4=EOMONTH(CloseDate,'Rent Roll'!$O$10+'Rent Roll'!$S$10),-'Rent Roll'!$F$10*'Rent Roll'!$T$10,0)</f>
        <v>0</v>
      </c>
      <c r="AY67" s="49">
        <f>IF(AY$4=EOMONTH(CloseDate,'Rent Roll'!$O$10+'Rent Roll'!$S$10),-'Rent Roll'!$F$10*'Rent Roll'!$T$10,0)</f>
        <v>0</v>
      </c>
      <c r="AZ67" s="49">
        <f>IF(AZ$4=EOMONTH(CloseDate,'Rent Roll'!$O$10+'Rent Roll'!$S$10),-'Rent Roll'!$F$10*'Rent Roll'!$T$10,0)</f>
        <v>0</v>
      </c>
      <c r="BA67" s="49">
        <f>IF(BA$4=EOMONTH(CloseDate,'Rent Roll'!$O$10+'Rent Roll'!$S$10),-'Rent Roll'!$F$10*'Rent Roll'!$T$10,0)</f>
        <v>0</v>
      </c>
      <c r="BB67" s="49">
        <f>IF(BB$4=EOMONTH(CloseDate,'Rent Roll'!$O$10+'Rent Roll'!$S$10),-'Rent Roll'!$F$10*'Rent Roll'!$T$10,0)</f>
        <v>0</v>
      </c>
      <c r="BC67" s="49">
        <f>IF(BC$4=EOMONTH(CloseDate,'Rent Roll'!$O$10+'Rent Roll'!$S$10),-'Rent Roll'!$F$10*'Rent Roll'!$T$10,0)</f>
        <v>0</v>
      </c>
      <c r="BD67" s="49">
        <f>IF(BD$4=EOMONTH(CloseDate,'Rent Roll'!$O$10+'Rent Roll'!$S$10),-'Rent Roll'!$F$10*'Rent Roll'!$T$10,0)</f>
        <v>0</v>
      </c>
      <c r="BE67" s="49">
        <f>IF(BE$4=EOMONTH(CloseDate,'Rent Roll'!$O$10+'Rent Roll'!$S$10),-'Rent Roll'!$F$10*'Rent Roll'!$T$10,0)</f>
        <v>0</v>
      </c>
      <c r="BF67" s="49">
        <f>IF(BF$4=EOMONTH(CloseDate,'Rent Roll'!$O$10+'Rent Roll'!$S$10),-'Rent Roll'!$F$10*'Rent Roll'!$T$10,0)</f>
        <v>0</v>
      </c>
      <c r="BG67" s="49">
        <f>IF(BG$4=EOMONTH(CloseDate,'Rent Roll'!$O$10+'Rent Roll'!$S$10),-'Rent Roll'!$F$10*'Rent Roll'!$T$10,0)</f>
        <v>0</v>
      </c>
      <c r="BH67" s="49">
        <f>IF(BH$4=EOMONTH(CloseDate,'Rent Roll'!$O$10+'Rent Roll'!$S$10),-'Rent Roll'!$F$10*'Rent Roll'!$T$10,0)</f>
        <v>0</v>
      </c>
      <c r="BI67" s="49">
        <f>IF(BI$4=EOMONTH(CloseDate,'Rent Roll'!$O$10+'Rent Roll'!$S$10),-'Rent Roll'!$F$10*'Rent Roll'!$T$10,0)</f>
        <v>0</v>
      </c>
      <c r="BJ67" s="49">
        <f>IF(BJ$4=EOMONTH(CloseDate,'Rent Roll'!$O$10+'Rent Roll'!$S$10),-'Rent Roll'!$F$10*'Rent Roll'!$T$10,0)</f>
        <v>0</v>
      </c>
      <c r="BK67" s="49">
        <f>IF(BK$4=EOMONTH(CloseDate,'Rent Roll'!$O$10+'Rent Roll'!$S$10),-'Rent Roll'!$F$10*'Rent Roll'!$T$10,0)</f>
        <v>0</v>
      </c>
      <c r="BL67" s="49">
        <f>IF(BL$4=EOMONTH(CloseDate,'Rent Roll'!$O$10+'Rent Roll'!$S$10),-'Rent Roll'!$F$10*'Rent Roll'!$T$10,0)</f>
        <v>0</v>
      </c>
      <c r="BM67" s="49">
        <f>IF(BM$4=EOMONTH(CloseDate,'Rent Roll'!$O$10+'Rent Roll'!$S$10),-'Rent Roll'!$F$10*'Rent Roll'!$T$10,0)</f>
        <v>0</v>
      </c>
      <c r="BN67" s="49">
        <f>IF(BN$4=EOMONTH(CloseDate,'Rent Roll'!$O$10+'Rent Roll'!$S$10),-'Rent Roll'!$F$10*'Rent Roll'!$T$10,0)</f>
        <v>0</v>
      </c>
      <c r="BO67" s="49">
        <f>IF(BO$4=EOMONTH(CloseDate,'Rent Roll'!$O$10+'Rent Roll'!$S$10),-'Rent Roll'!$F$10*'Rent Roll'!$T$10,0)</f>
        <v>0</v>
      </c>
      <c r="BP67" s="49">
        <f>IF(BP$4=EOMONTH(CloseDate,'Rent Roll'!$O$10+'Rent Roll'!$S$10),-'Rent Roll'!$F$10*'Rent Roll'!$T$10,0)</f>
        <v>0</v>
      </c>
      <c r="BQ67" s="49">
        <f>IF(BQ$4=EOMONTH(CloseDate,'Rent Roll'!$O$10+'Rent Roll'!$S$10),-'Rent Roll'!$F$10*'Rent Roll'!$T$10,0)</f>
        <v>0</v>
      </c>
      <c r="BR67" s="49">
        <f>IF(BR$4=EOMONTH(CloseDate,'Rent Roll'!$O$10+'Rent Roll'!$S$10),-'Rent Roll'!$F$10*'Rent Roll'!$T$10,0)</f>
        <v>0</v>
      </c>
      <c r="BS67" s="49">
        <f>IF(BS$4=EOMONTH(CloseDate,'Rent Roll'!$O$10+'Rent Roll'!$S$10),-'Rent Roll'!$F$10*'Rent Roll'!$T$10,0)</f>
        <v>0</v>
      </c>
      <c r="BT67" s="49">
        <f>IF(BT$4=EOMONTH(CloseDate,'Rent Roll'!$O$10+'Rent Roll'!$S$10),-'Rent Roll'!$F$10*'Rent Roll'!$T$10,0)</f>
        <v>0</v>
      </c>
      <c r="BU67" s="49">
        <f>IF(BU$4=EOMONTH(CloseDate,'Rent Roll'!$O$10+'Rent Roll'!$S$10),-'Rent Roll'!$F$10*'Rent Roll'!$T$10,0)</f>
        <v>0</v>
      </c>
      <c r="BV67" s="49">
        <f>IF(BV$4=EOMONTH(CloseDate,'Rent Roll'!$O$10+'Rent Roll'!$S$10),-'Rent Roll'!$F$10*'Rent Roll'!$T$10,0)</f>
        <v>0</v>
      </c>
      <c r="BW67" s="49">
        <f>IF(BW$4=EOMONTH(CloseDate,'Rent Roll'!$O$10+'Rent Roll'!$S$10),-'Rent Roll'!$F$10*'Rent Roll'!$T$10,0)</f>
        <v>0</v>
      </c>
      <c r="BX67" s="49">
        <f>IF(BX$4=EOMONTH(CloseDate,'Rent Roll'!$O$10+'Rent Roll'!$S$10),-'Rent Roll'!$F$10*'Rent Roll'!$T$10,0)</f>
        <v>0</v>
      </c>
    </row>
    <row r="68" spans="1:76" hidden="1" outlineLevel="1">
      <c r="B68" t="s">
        <v>87</v>
      </c>
      <c r="D68" s="49">
        <f>IF(D$4=EOMONTH(CloseDate,'Rent Roll'!$O$10+'Rent Roll'!$S$10),-'Rent Roll'!$U$10*'Rent Roll'!$F$10*'Rent Roll'!$X$10,0)</f>
        <v>0</v>
      </c>
      <c r="E68" s="49">
        <f>IF(E$4=EOMONTH(CloseDate,'Rent Roll'!$O$10+'Rent Roll'!$S$10),-'Rent Roll'!$U$10*'Rent Roll'!$F$10*'Rent Roll'!$X$10,0)</f>
        <v>0</v>
      </c>
      <c r="F68" s="49">
        <f>IF(F$4=EOMONTH(CloseDate,'Rent Roll'!$O$10+'Rent Roll'!$S$10),-'Rent Roll'!$U$10*'Rent Roll'!$F$10*'Rent Roll'!$X$10,0)</f>
        <v>0</v>
      </c>
      <c r="G68" s="49">
        <f>IF(G$4=EOMONTH(CloseDate,'Rent Roll'!$O$10+'Rent Roll'!$S$10),-'Rent Roll'!$U$10*'Rent Roll'!$F$10*'Rent Roll'!$X$10,0)</f>
        <v>0</v>
      </c>
      <c r="H68" s="49">
        <f>IF(H$4=EOMONTH(CloseDate,'Rent Roll'!$O$10+'Rent Roll'!$S$10),-'Rent Roll'!$U$10*'Rent Roll'!$F$10*'Rent Roll'!$X$10,0)</f>
        <v>0</v>
      </c>
      <c r="I68" s="49">
        <f>IF(I$4=EOMONTH(CloseDate,'Rent Roll'!$O$10+'Rent Roll'!$S$10),-'Rent Roll'!$U$10*'Rent Roll'!$F$10*'Rent Roll'!$X$10,0)</f>
        <v>0</v>
      </c>
      <c r="J68" s="49">
        <f>IF(J$4=EOMONTH(CloseDate,'Rent Roll'!$O$10+'Rent Roll'!$S$10),-'Rent Roll'!$U$10*'Rent Roll'!$F$10*'Rent Roll'!$X$10,0)</f>
        <v>0</v>
      </c>
      <c r="K68" s="49">
        <f>IF(K$4=EOMONTH(CloseDate,'Rent Roll'!$O$10+'Rent Roll'!$S$10),-'Rent Roll'!$U$10*'Rent Roll'!$F$10*'Rent Roll'!$X$10,0)</f>
        <v>0</v>
      </c>
      <c r="L68" s="49">
        <f>IF(L$4=EOMONTH(CloseDate,'Rent Roll'!$O$10+'Rent Roll'!$S$10),-'Rent Roll'!$U$10*'Rent Roll'!$F$10*'Rent Roll'!$X$10,0)</f>
        <v>0</v>
      </c>
      <c r="M68" s="49">
        <f>IF(M$4=EOMONTH(CloseDate,'Rent Roll'!$O$10+'Rent Roll'!$S$10),-'Rent Roll'!$U$10*'Rent Roll'!$F$10*'Rent Roll'!$X$10,0)</f>
        <v>0</v>
      </c>
      <c r="N68" s="49">
        <f>IF(N$4=EOMONTH(CloseDate,'Rent Roll'!$O$10+'Rent Roll'!$S$10),-'Rent Roll'!$U$10*'Rent Roll'!$F$10*'Rent Roll'!$X$10,0)</f>
        <v>0</v>
      </c>
      <c r="O68" s="49">
        <f>IF(O$4=EOMONTH(CloseDate,'Rent Roll'!$O$10+'Rent Roll'!$S$10),-'Rent Roll'!$U$10*'Rent Roll'!$F$10*'Rent Roll'!$X$10,0)</f>
        <v>0</v>
      </c>
      <c r="P68" s="49">
        <f>IF(P$4=EOMONTH(CloseDate,'Rent Roll'!$O$10+'Rent Roll'!$S$10),-'Rent Roll'!$U$10*'Rent Roll'!$F$10*'Rent Roll'!$X$10,0)</f>
        <v>0</v>
      </c>
      <c r="Q68" s="49">
        <f>IF(Q$4=EOMONTH(CloseDate,'Rent Roll'!$O$10+'Rent Roll'!$S$10),-'Rent Roll'!$U$10*'Rent Roll'!$F$10*'Rent Roll'!$X$10,0)</f>
        <v>0</v>
      </c>
      <c r="R68" s="49">
        <f>IF(R$4=EOMONTH(CloseDate,'Rent Roll'!$O$10+'Rent Roll'!$S$10),-'Rent Roll'!$U$10*'Rent Roll'!$F$10*'Rent Roll'!$X$10,0)</f>
        <v>0</v>
      </c>
      <c r="S68" s="49">
        <f>IF(S$4=EOMONTH(CloseDate,'Rent Roll'!$O$10+'Rent Roll'!$S$10),-'Rent Roll'!$U$10*'Rent Roll'!$F$10*'Rent Roll'!$X$10,0)</f>
        <v>0</v>
      </c>
      <c r="T68" s="49">
        <f>IF(T$4=EOMONTH(CloseDate,'Rent Roll'!$O$10+'Rent Roll'!$S$10),-'Rent Roll'!$U$10*'Rent Roll'!$F$10*'Rent Roll'!$X$10,0)</f>
        <v>0</v>
      </c>
      <c r="U68" s="49">
        <f>IF(U$4=EOMONTH(CloseDate,'Rent Roll'!$O$10+'Rent Roll'!$S$10),-'Rent Roll'!$U$10*'Rent Roll'!$F$10*'Rent Roll'!$X$10,0)</f>
        <v>0</v>
      </c>
      <c r="V68" s="49">
        <f>IF(V$4=EOMONTH(CloseDate,'Rent Roll'!$O$10+'Rent Roll'!$S$10),-'Rent Roll'!$U$10*'Rent Roll'!$F$10*'Rent Roll'!$X$10,0)</f>
        <v>0</v>
      </c>
      <c r="W68" s="49">
        <f>IF(W$4=EOMONTH(CloseDate,'Rent Roll'!$O$10+'Rent Roll'!$S$10),-'Rent Roll'!$U$10*'Rent Roll'!$F$10*'Rent Roll'!$X$10,0)</f>
        <v>0</v>
      </c>
      <c r="X68" s="49">
        <f>IF(X$4=EOMONTH(CloseDate,'Rent Roll'!$O$10+'Rent Roll'!$S$10),-'Rent Roll'!$U$10*'Rent Roll'!$F$10*'Rent Roll'!$X$10,0)</f>
        <v>0</v>
      </c>
      <c r="Y68" s="49">
        <f>IF(Y$4=EOMONTH(CloseDate,'Rent Roll'!$O$10+'Rent Roll'!$S$10),-'Rent Roll'!$U$10*'Rent Roll'!$F$10*'Rent Roll'!$X$10,0)</f>
        <v>0</v>
      </c>
      <c r="Z68" s="49">
        <f>IF(Z$4=EOMONTH(CloseDate,'Rent Roll'!$O$10+'Rent Roll'!$S$10),-'Rent Roll'!$U$10*'Rent Roll'!$F$10*'Rent Roll'!$X$10,0)</f>
        <v>0</v>
      </c>
      <c r="AA68" s="49">
        <f>IF(AA$4=EOMONTH(CloseDate,'Rent Roll'!$O$10+'Rent Roll'!$S$10),-'Rent Roll'!$U$10*'Rent Roll'!$F$10*'Rent Roll'!$X$10,0)</f>
        <v>0</v>
      </c>
      <c r="AB68" s="49">
        <f>IF(AB$4=EOMONTH(CloseDate,'Rent Roll'!$O$10+'Rent Roll'!$S$10),-'Rent Roll'!$U$10*'Rent Roll'!$F$10*'Rent Roll'!$X$10,0)</f>
        <v>0</v>
      </c>
      <c r="AC68" s="49">
        <f>IF(AC$4=EOMONTH(CloseDate,'Rent Roll'!$O$10+'Rent Roll'!$S$10),-'Rent Roll'!$U$10*'Rent Roll'!$F$10*'Rent Roll'!$X$10,0)</f>
        <v>0</v>
      </c>
      <c r="AD68" s="49">
        <f>IF(AD$4=EOMONTH(CloseDate,'Rent Roll'!$O$10+'Rent Roll'!$S$10),-'Rent Roll'!$U$10*'Rent Roll'!$F$10*'Rent Roll'!$X$10,0)</f>
        <v>0</v>
      </c>
      <c r="AE68" s="49">
        <f>IF(AE$4=EOMONTH(CloseDate,'Rent Roll'!$O$10+'Rent Roll'!$S$10),-'Rent Roll'!$U$10*'Rent Roll'!$F$10*'Rent Roll'!$X$10,0)</f>
        <v>0</v>
      </c>
      <c r="AF68" s="49">
        <f>IF(AF$4=EOMONTH(CloseDate,'Rent Roll'!$O$10+'Rent Roll'!$S$10),-'Rent Roll'!$U$10*'Rent Roll'!$F$10*'Rent Roll'!$X$10,0)</f>
        <v>0</v>
      </c>
      <c r="AG68" s="49">
        <f>IF(AG$4=EOMONTH(CloseDate,'Rent Roll'!$O$10+'Rent Roll'!$S$10),-'Rent Roll'!$U$10*'Rent Roll'!$F$10*'Rent Roll'!$X$10,0)</f>
        <v>0</v>
      </c>
      <c r="AH68" s="49">
        <f>IF(AH$4=EOMONTH(CloseDate,'Rent Roll'!$O$10+'Rent Roll'!$S$10),-'Rent Roll'!$U$10*'Rent Roll'!$F$10*'Rent Roll'!$X$10,0)</f>
        <v>0</v>
      </c>
      <c r="AI68" s="49">
        <f>IF(AI$4=EOMONTH(CloseDate,'Rent Roll'!$O$10+'Rent Roll'!$S$10),-'Rent Roll'!$U$10*'Rent Roll'!$F$10*'Rent Roll'!$X$10,0)</f>
        <v>0</v>
      </c>
      <c r="AJ68" s="49">
        <f>IF(AJ$4=EOMONTH(CloseDate,'Rent Roll'!$O$10+'Rent Roll'!$S$10),-'Rent Roll'!$U$10*'Rent Roll'!$F$10*'Rent Roll'!$X$10,0)</f>
        <v>0</v>
      </c>
      <c r="AK68" s="49">
        <f>IF(AK$4=EOMONTH(CloseDate,'Rent Roll'!$O$10+'Rent Roll'!$S$10),-'Rent Roll'!$U$10*'Rent Roll'!$F$10*'Rent Roll'!$X$10,0)</f>
        <v>0</v>
      </c>
      <c r="AL68" s="49">
        <f>IF(AL$4=EOMONTH(CloseDate,'Rent Roll'!$O$10+'Rent Roll'!$S$10),-'Rent Roll'!$U$10*'Rent Roll'!$F$10*'Rent Roll'!$X$10,0)</f>
        <v>0</v>
      </c>
      <c r="AM68" s="49">
        <f>IF(AM$4=EOMONTH(CloseDate,'Rent Roll'!$O$10+'Rent Roll'!$S$10),-'Rent Roll'!$U$10*'Rent Roll'!$F$10*'Rent Roll'!$X$10,0)</f>
        <v>-9745.1437499999993</v>
      </c>
      <c r="AN68" s="49">
        <f>IF(AN$4=EOMONTH(CloseDate,'Rent Roll'!$O$10+'Rent Roll'!$S$10),-'Rent Roll'!$U$10*'Rent Roll'!$F$10*'Rent Roll'!$X$10,0)</f>
        <v>0</v>
      </c>
      <c r="AO68" s="49">
        <f>IF(AO$4=EOMONTH(CloseDate,'Rent Roll'!$O$10+'Rent Roll'!$S$10),-'Rent Roll'!$U$10*'Rent Roll'!$F$10*'Rent Roll'!$X$10,0)</f>
        <v>0</v>
      </c>
      <c r="AP68" s="49">
        <f>IF(AP$4=EOMONTH(CloseDate,'Rent Roll'!$O$10+'Rent Roll'!$S$10),-'Rent Roll'!$U$10*'Rent Roll'!$F$10*'Rent Roll'!$X$10,0)</f>
        <v>0</v>
      </c>
      <c r="AQ68" s="49">
        <f>IF(AQ$4=EOMONTH(CloseDate,'Rent Roll'!$O$10+'Rent Roll'!$S$10),-'Rent Roll'!$U$10*'Rent Roll'!$F$10*'Rent Roll'!$X$10,0)</f>
        <v>0</v>
      </c>
      <c r="AR68" s="49">
        <f>IF(AR$4=EOMONTH(CloseDate,'Rent Roll'!$O$10+'Rent Roll'!$S$10),-'Rent Roll'!$U$10*'Rent Roll'!$F$10*'Rent Roll'!$X$10,0)</f>
        <v>0</v>
      </c>
      <c r="AS68" s="49">
        <f>IF(AS$4=EOMONTH(CloseDate,'Rent Roll'!$O$10+'Rent Roll'!$S$10),-'Rent Roll'!$U$10*'Rent Roll'!$F$10*'Rent Roll'!$X$10,0)</f>
        <v>0</v>
      </c>
      <c r="AT68" s="49">
        <f>IF(AT$4=EOMONTH(CloseDate,'Rent Roll'!$O$10+'Rent Roll'!$S$10),-'Rent Roll'!$U$10*'Rent Roll'!$F$10*'Rent Roll'!$X$10,0)</f>
        <v>0</v>
      </c>
      <c r="AU68" s="49">
        <f>IF(AU$4=EOMONTH(CloseDate,'Rent Roll'!$O$10+'Rent Roll'!$S$10),-'Rent Roll'!$U$10*'Rent Roll'!$F$10*'Rent Roll'!$X$10,0)</f>
        <v>0</v>
      </c>
      <c r="AV68" s="49">
        <f>IF(AV$4=EOMONTH(CloseDate,'Rent Roll'!$O$10+'Rent Roll'!$S$10),-'Rent Roll'!$U$10*'Rent Roll'!$F$10*'Rent Roll'!$X$10,0)</f>
        <v>0</v>
      </c>
      <c r="AW68" s="49">
        <f>IF(AW$4=EOMONTH(CloseDate,'Rent Roll'!$O$10+'Rent Roll'!$S$10),-'Rent Roll'!$U$10*'Rent Roll'!$F$10*'Rent Roll'!$X$10,0)</f>
        <v>0</v>
      </c>
      <c r="AX68" s="49">
        <f>IF(AX$4=EOMONTH(CloseDate,'Rent Roll'!$O$10+'Rent Roll'!$S$10),-'Rent Roll'!$U$10*'Rent Roll'!$F$10*'Rent Roll'!$X$10,0)</f>
        <v>0</v>
      </c>
      <c r="AY68" s="49">
        <f>IF(AY$4=EOMONTH(CloseDate,'Rent Roll'!$O$10+'Rent Roll'!$S$10),-'Rent Roll'!$U$10*'Rent Roll'!$F$10*'Rent Roll'!$X$10,0)</f>
        <v>0</v>
      </c>
      <c r="AZ68" s="49">
        <f>IF(AZ$4=EOMONTH(CloseDate,'Rent Roll'!$O$10+'Rent Roll'!$S$10),-'Rent Roll'!$U$10*'Rent Roll'!$F$10*'Rent Roll'!$X$10,0)</f>
        <v>0</v>
      </c>
      <c r="BA68" s="49">
        <f>IF(BA$4=EOMONTH(CloseDate,'Rent Roll'!$O$10+'Rent Roll'!$S$10),-'Rent Roll'!$U$10*'Rent Roll'!$F$10*'Rent Roll'!$X$10,0)</f>
        <v>0</v>
      </c>
      <c r="BB68" s="49">
        <f>IF(BB$4=EOMONTH(CloseDate,'Rent Roll'!$O$10+'Rent Roll'!$S$10),-'Rent Roll'!$U$10*'Rent Roll'!$F$10*'Rent Roll'!$X$10,0)</f>
        <v>0</v>
      </c>
      <c r="BC68" s="49">
        <f>IF(BC$4=EOMONTH(CloseDate,'Rent Roll'!$O$10+'Rent Roll'!$S$10),-'Rent Roll'!$U$10*'Rent Roll'!$F$10*'Rent Roll'!$X$10,0)</f>
        <v>0</v>
      </c>
      <c r="BD68" s="49">
        <f>IF(BD$4=EOMONTH(CloseDate,'Rent Roll'!$O$10+'Rent Roll'!$S$10),-'Rent Roll'!$U$10*'Rent Roll'!$F$10*'Rent Roll'!$X$10,0)</f>
        <v>0</v>
      </c>
      <c r="BE68" s="49">
        <f>IF(BE$4=EOMONTH(CloseDate,'Rent Roll'!$O$10+'Rent Roll'!$S$10),-'Rent Roll'!$U$10*'Rent Roll'!$F$10*'Rent Roll'!$X$10,0)</f>
        <v>0</v>
      </c>
      <c r="BF68" s="49">
        <f>IF(BF$4=EOMONTH(CloseDate,'Rent Roll'!$O$10+'Rent Roll'!$S$10),-'Rent Roll'!$U$10*'Rent Roll'!$F$10*'Rent Roll'!$X$10,0)</f>
        <v>0</v>
      </c>
      <c r="BG68" s="49">
        <f>IF(BG$4=EOMONTH(CloseDate,'Rent Roll'!$O$10+'Rent Roll'!$S$10),-'Rent Roll'!$U$10*'Rent Roll'!$F$10*'Rent Roll'!$X$10,0)</f>
        <v>0</v>
      </c>
      <c r="BH68" s="49">
        <f>IF(BH$4=EOMONTH(CloseDate,'Rent Roll'!$O$10+'Rent Roll'!$S$10),-'Rent Roll'!$U$10*'Rent Roll'!$F$10*'Rent Roll'!$X$10,0)</f>
        <v>0</v>
      </c>
      <c r="BI68" s="49">
        <f>IF(BI$4=EOMONTH(CloseDate,'Rent Roll'!$O$10+'Rent Roll'!$S$10),-'Rent Roll'!$U$10*'Rent Roll'!$F$10*'Rent Roll'!$X$10,0)</f>
        <v>0</v>
      </c>
      <c r="BJ68" s="49">
        <f>IF(BJ$4=EOMONTH(CloseDate,'Rent Roll'!$O$10+'Rent Roll'!$S$10),-'Rent Roll'!$U$10*'Rent Roll'!$F$10*'Rent Roll'!$X$10,0)</f>
        <v>0</v>
      </c>
      <c r="BK68" s="49">
        <f>IF(BK$4=EOMONTH(CloseDate,'Rent Roll'!$O$10+'Rent Roll'!$S$10),-'Rent Roll'!$U$10*'Rent Roll'!$F$10*'Rent Roll'!$X$10,0)</f>
        <v>0</v>
      </c>
      <c r="BL68" s="49">
        <f>IF(BL$4=EOMONTH(CloseDate,'Rent Roll'!$O$10+'Rent Roll'!$S$10),-'Rent Roll'!$U$10*'Rent Roll'!$F$10*'Rent Roll'!$X$10,0)</f>
        <v>0</v>
      </c>
      <c r="BM68" s="49">
        <f>IF(BM$4=EOMONTH(CloseDate,'Rent Roll'!$O$10+'Rent Roll'!$S$10),-'Rent Roll'!$U$10*'Rent Roll'!$F$10*'Rent Roll'!$X$10,0)</f>
        <v>0</v>
      </c>
      <c r="BN68" s="49">
        <f>IF(BN$4=EOMONTH(CloseDate,'Rent Roll'!$O$10+'Rent Roll'!$S$10),-'Rent Roll'!$U$10*'Rent Roll'!$F$10*'Rent Roll'!$X$10,0)</f>
        <v>0</v>
      </c>
      <c r="BO68" s="49">
        <f>IF(BO$4=EOMONTH(CloseDate,'Rent Roll'!$O$10+'Rent Roll'!$S$10),-'Rent Roll'!$U$10*'Rent Roll'!$F$10*'Rent Roll'!$X$10,0)</f>
        <v>0</v>
      </c>
      <c r="BP68" s="49">
        <f>IF(BP$4=EOMONTH(CloseDate,'Rent Roll'!$O$10+'Rent Roll'!$S$10),-'Rent Roll'!$U$10*'Rent Roll'!$F$10*'Rent Roll'!$X$10,0)</f>
        <v>0</v>
      </c>
      <c r="BQ68" s="49">
        <f>IF(BQ$4=EOMONTH(CloseDate,'Rent Roll'!$O$10+'Rent Roll'!$S$10),-'Rent Roll'!$U$10*'Rent Roll'!$F$10*'Rent Roll'!$X$10,0)</f>
        <v>0</v>
      </c>
      <c r="BR68" s="49">
        <f>IF(BR$4=EOMONTH(CloseDate,'Rent Roll'!$O$10+'Rent Roll'!$S$10),-'Rent Roll'!$U$10*'Rent Roll'!$F$10*'Rent Roll'!$X$10,0)</f>
        <v>0</v>
      </c>
      <c r="BS68" s="49">
        <f>IF(BS$4=EOMONTH(CloseDate,'Rent Roll'!$O$10+'Rent Roll'!$S$10),-'Rent Roll'!$U$10*'Rent Roll'!$F$10*'Rent Roll'!$X$10,0)</f>
        <v>0</v>
      </c>
      <c r="BT68" s="49">
        <f>IF(BT$4=EOMONTH(CloseDate,'Rent Roll'!$O$10+'Rent Roll'!$S$10),-'Rent Roll'!$U$10*'Rent Roll'!$F$10*'Rent Roll'!$X$10,0)</f>
        <v>0</v>
      </c>
      <c r="BU68" s="49">
        <f>IF(BU$4=EOMONTH(CloseDate,'Rent Roll'!$O$10+'Rent Roll'!$S$10),-'Rent Roll'!$U$10*'Rent Roll'!$F$10*'Rent Roll'!$X$10,0)</f>
        <v>0</v>
      </c>
      <c r="BV68" s="49">
        <f>IF(BV$4=EOMONTH(CloseDate,'Rent Roll'!$O$10+'Rent Roll'!$S$10),-'Rent Roll'!$U$10*'Rent Roll'!$F$10*'Rent Roll'!$X$10,0)</f>
        <v>0</v>
      </c>
      <c r="BW68" s="49">
        <f>IF(BW$4=EOMONTH(CloseDate,'Rent Roll'!$O$10+'Rent Roll'!$S$10),-'Rent Roll'!$U$10*'Rent Roll'!$F$10*'Rent Roll'!$X$10,0)</f>
        <v>0</v>
      </c>
      <c r="BX68" s="49">
        <f>IF(BX$4=EOMONTH(CloseDate,'Rent Roll'!$O$10+'Rent Roll'!$S$10),-'Rent Roll'!$U$10*'Rent Roll'!$F$10*'Rent Roll'!$X$10,0)</f>
        <v>0</v>
      </c>
    </row>
    <row r="69" spans="1:76" hidden="1" outlineLevel="1">
      <c r="A69" s="17" t="str">
        <f>'Rent Roll'!C11</f>
        <v>Caldwell Consulting Group</v>
      </c>
      <c r="B69" s="57">
        <f>INDEX('Rent Roll'!$F$5:$F$46,MATCH('Rent Roll Calc'!A69,'Rent Roll'!$C$5:$C$46,0))</f>
        <v>9500</v>
      </c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  <c r="AC69" s="49"/>
      <c r="AD69" s="49"/>
      <c r="AE69" s="49"/>
      <c r="AF69" s="49"/>
      <c r="AG69" s="49"/>
      <c r="AH69" s="49"/>
      <c r="AI69" s="49"/>
      <c r="AJ69" s="49"/>
      <c r="AK69" s="49"/>
      <c r="AL69" s="49"/>
      <c r="AM69" s="49"/>
      <c r="AN69" s="49"/>
      <c r="AO69" s="49"/>
      <c r="AP69" s="49"/>
      <c r="AQ69" s="49"/>
      <c r="AR69" s="49"/>
      <c r="AS69" s="49"/>
      <c r="AT69" s="49"/>
      <c r="AU69" s="49"/>
      <c r="AV69" s="49"/>
      <c r="AW69" s="49"/>
      <c r="AX69" s="49"/>
      <c r="AY69" s="49"/>
      <c r="AZ69" s="49"/>
      <c r="BA69" s="49"/>
      <c r="BB69" s="49"/>
      <c r="BC69" s="49"/>
      <c r="BD69" s="49"/>
      <c r="BE69" s="49"/>
      <c r="BF69" s="49"/>
      <c r="BG69" s="49"/>
      <c r="BH69" s="49"/>
      <c r="BI69" s="49"/>
      <c r="BJ69" s="49"/>
      <c r="BK69" s="49"/>
      <c r="BL69" s="49"/>
      <c r="BM69" s="49"/>
      <c r="BN69" s="49"/>
      <c r="BO69" s="49"/>
      <c r="BP69" s="49"/>
      <c r="BQ69" s="49"/>
      <c r="BR69" s="49"/>
      <c r="BS69" s="49"/>
      <c r="BT69" s="49"/>
      <c r="BU69" s="49"/>
      <c r="BV69" s="49"/>
      <c r="BW69" s="49"/>
      <c r="BX69" s="49"/>
    </row>
    <row r="70" spans="1:76" collapsed="1">
      <c r="B70" t="s">
        <v>83</v>
      </c>
      <c r="D70" s="49">
        <f>IF(AND('Rent Roll'!$N$11&lt;&gt;"Ghost",D$4&lt;='Rent Roll'!$L$11),1,0)</f>
        <v>1</v>
      </c>
      <c r="E70" s="49">
        <f>IF(AND('Rent Roll'!$N$11&lt;&gt;"Ghost",E$4&lt;='Rent Roll'!$L$11),1,0)</f>
        <v>1</v>
      </c>
      <c r="F70" s="49">
        <f>IF(AND('Rent Roll'!$N$11&lt;&gt;"Ghost",F$4&lt;='Rent Roll'!$L$11),1,0)</f>
        <v>1</v>
      </c>
      <c r="G70" s="49">
        <f>IF(AND('Rent Roll'!$N$11&lt;&gt;"Ghost",G$4&lt;='Rent Roll'!$L$11),1,0)</f>
        <v>1</v>
      </c>
      <c r="H70" s="49">
        <f>IF(AND('Rent Roll'!$N$11&lt;&gt;"Ghost",H$4&lt;='Rent Roll'!$L$11),1,0)</f>
        <v>1</v>
      </c>
      <c r="I70" s="49">
        <f>IF(AND('Rent Roll'!$N$11&lt;&gt;"Ghost",I$4&lt;='Rent Roll'!$L$11),1,0)</f>
        <v>1</v>
      </c>
      <c r="J70" s="49">
        <f>IF(AND('Rent Roll'!$N$11&lt;&gt;"Ghost",J$4&lt;='Rent Roll'!$L$11),1,0)</f>
        <v>1</v>
      </c>
      <c r="K70" s="49">
        <f>IF(AND('Rent Roll'!$N$11&lt;&gt;"Ghost",K$4&lt;='Rent Roll'!$L$11),1,0)</f>
        <v>1</v>
      </c>
      <c r="L70" s="49">
        <f>IF(AND('Rent Roll'!$N$11&lt;&gt;"Ghost",L$4&lt;='Rent Roll'!$L$11),1,0)</f>
        <v>1</v>
      </c>
      <c r="M70" s="49">
        <f>IF(AND('Rent Roll'!$N$11&lt;&gt;"Ghost",M$4&lt;='Rent Roll'!$L$11),1,0)</f>
        <v>1</v>
      </c>
      <c r="N70" s="49">
        <f>IF(AND('Rent Roll'!$N$11&lt;&gt;"Ghost",N$4&lt;='Rent Roll'!$L$11),1,0)</f>
        <v>1</v>
      </c>
      <c r="O70" s="49">
        <f>IF(AND('Rent Roll'!$N$11&lt;&gt;"Ghost",O$4&lt;='Rent Roll'!$L$11),1,0)</f>
        <v>1</v>
      </c>
      <c r="P70" s="49">
        <f>IF(AND('Rent Roll'!$N$11&lt;&gt;"Ghost",P$4&lt;='Rent Roll'!$L$11),1,0)</f>
        <v>1</v>
      </c>
      <c r="Q70" s="49">
        <f>IF(AND('Rent Roll'!$N$11&lt;&gt;"Ghost",Q$4&lt;='Rent Roll'!$L$11),1,0)</f>
        <v>1</v>
      </c>
      <c r="R70" s="49">
        <f>IF(AND('Rent Roll'!$N$11&lt;&gt;"Ghost",R$4&lt;='Rent Roll'!$L$11),1,0)</f>
        <v>1</v>
      </c>
      <c r="S70" s="49">
        <f>IF(AND('Rent Roll'!$N$11&lt;&gt;"Ghost",S$4&lt;='Rent Roll'!$L$11),1,0)</f>
        <v>1</v>
      </c>
      <c r="T70" s="49">
        <f>IF(AND('Rent Roll'!$N$11&lt;&gt;"Ghost",T$4&lt;='Rent Roll'!$L$11),1,0)</f>
        <v>1</v>
      </c>
      <c r="U70" s="49">
        <f>IF(AND('Rent Roll'!$N$11&lt;&gt;"Ghost",U$4&lt;='Rent Roll'!$L$11),1,0)</f>
        <v>1</v>
      </c>
      <c r="V70" s="49">
        <f>IF(AND('Rent Roll'!$N$11&lt;&gt;"Ghost",V$4&lt;='Rent Roll'!$L$11),1,0)</f>
        <v>1</v>
      </c>
      <c r="W70" s="49">
        <f>IF(AND('Rent Roll'!$N$11&lt;&gt;"Ghost",W$4&lt;='Rent Roll'!$L$11),1,0)</f>
        <v>1</v>
      </c>
      <c r="X70" s="49">
        <f>IF(AND('Rent Roll'!$N$11&lt;&gt;"Ghost",X$4&lt;='Rent Roll'!$L$11),1,0)</f>
        <v>1</v>
      </c>
      <c r="Y70" s="49">
        <f>IF(AND('Rent Roll'!$N$11&lt;&gt;"Ghost",Y$4&lt;='Rent Roll'!$L$11),1,0)</f>
        <v>1</v>
      </c>
      <c r="Z70" s="49">
        <f>IF(AND('Rent Roll'!$N$11&lt;&gt;"Ghost",Z$4&lt;='Rent Roll'!$L$11),1,0)</f>
        <v>1</v>
      </c>
      <c r="AA70" s="49">
        <f>IF(AND('Rent Roll'!$N$11&lt;&gt;"Ghost",AA$4&lt;='Rent Roll'!$L$11),1,0)</f>
        <v>1</v>
      </c>
      <c r="AB70" s="49">
        <f>IF(AND('Rent Roll'!$N$11&lt;&gt;"Ghost",AB$4&lt;='Rent Roll'!$L$11),1,0)</f>
        <v>1</v>
      </c>
      <c r="AC70" s="49">
        <f>IF(AND('Rent Roll'!$N$11&lt;&gt;"Ghost",AC$4&lt;='Rent Roll'!$L$11),1,0)</f>
        <v>1</v>
      </c>
      <c r="AD70" s="49">
        <f>IF(AND('Rent Roll'!$N$11&lt;&gt;"Ghost",AD$4&lt;='Rent Roll'!$L$11),1,0)</f>
        <v>1</v>
      </c>
      <c r="AE70" s="49">
        <f>IF(AND('Rent Roll'!$N$11&lt;&gt;"Ghost",AE$4&lt;='Rent Roll'!$L$11),1,0)</f>
        <v>1</v>
      </c>
      <c r="AF70" s="49">
        <f>IF(AND('Rent Roll'!$N$11&lt;&gt;"Ghost",AF$4&lt;='Rent Roll'!$L$11),1,0)</f>
        <v>1</v>
      </c>
      <c r="AG70" s="49">
        <f>IF(AND('Rent Roll'!$N$11&lt;&gt;"Ghost",AG$4&lt;='Rent Roll'!$L$11),1,0)</f>
        <v>1</v>
      </c>
      <c r="AH70" s="49">
        <f>IF(AND('Rent Roll'!$N$11&lt;&gt;"Ghost",AH$4&lt;='Rent Roll'!$L$11),1,0)</f>
        <v>1</v>
      </c>
      <c r="AI70" s="49">
        <f>IF(AND('Rent Roll'!$N$11&lt;&gt;"Ghost",AI$4&lt;='Rent Roll'!$L$11),1,0)</f>
        <v>1</v>
      </c>
      <c r="AJ70" s="49">
        <f>IF(AND('Rent Roll'!$N$11&lt;&gt;"Ghost",AJ$4&lt;='Rent Roll'!$L$11),1,0)</f>
        <v>1</v>
      </c>
      <c r="AK70" s="49">
        <f>IF(AND('Rent Roll'!$N$11&lt;&gt;"Ghost",AK$4&lt;='Rent Roll'!$L$11),1,0)</f>
        <v>1</v>
      </c>
      <c r="AL70" s="49">
        <f>IF(AND('Rent Roll'!$N$11&lt;&gt;"Ghost",AL$4&lt;='Rent Roll'!$L$11),1,0)</f>
        <v>1</v>
      </c>
      <c r="AM70" s="49">
        <f>IF(AND('Rent Roll'!$N$11&lt;&gt;"Ghost",AM$4&lt;='Rent Roll'!$L$11),1,0)</f>
        <v>1</v>
      </c>
      <c r="AN70" s="49">
        <f>IF(AND('Rent Roll'!$N$11&lt;&gt;"Ghost",AN$4&lt;='Rent Roll'!$L$11),1,0)</f>
        <v>1</v>
      </c>
      <c r="AO70" s="49">
        <f>IF(AND('Rent Roll'!$N$11&lt;&gt;"Ghost",AO$4&lt;='Rent Roll'!$L$11),1,0)</f>
        <v>1</v>
      </c>
      <c r="AP70" s="49">
        <f>IF(AND('Rent Roll'!$N$11&lt;&gt;"Ghost",AP$4&lt;='Rent Roll'!$L$11),1,0)</f>
        <v>1</v>
      </c>
      <c r="AQ70" s="49">
        <f>IF(AND('Rent Roll'!$N$11&lt;&gt;"Ghost",AQ$4&lt;='Rent Roll'!$L$11),1,0)</f>
        <v>1</v>
      </c>
      <c r="AR70" s="49">
        <f>IF(AND('Rent Roll'!$N$11&lt;&gt;"Ghost",AR$4&lt;='Rent Roll'!$L$11),1,0)</f>
        <v>1</v>
      </c>
      <c r="AS70" s="49">
        <f>IF(AND('Rent Roll'!$N$11&lt;&gt;"Ghost",AS$4&lt;='Rent Roll'!$L$11),1,0)</f>
        <v>1</v>
      </c>
      <c r="AT70" s="49">
        <f>IF(AND('Rent Roll'!$N$11&lt;&gt;"Ghost",AT$4&lt;='Rent Roll'!$L$11),1,0)</f>
        <v>1</v>
      </c>
      <c r="AU70" s="49">
        <f>IF(AND('Rent Roll'!$N$11&lt;&gt;"Ghost",AU$4&lt;='Rent Roll'!$L$11),1,0)</f>
        <v>1</v>
      </c>
      <c r="AV70" s="49">
        <f>IF(AND('Rent Roll'!$N$11&lt;&gt;"Ghost",AV$4&lt;='Rent Roll'!$L$11),1,0)</f>
        <v>1</v>
      </c>
      <c r="AW70" s="49">
        <f>IF(AND('Rent Roll'!$N$11&lt;&gt;"Ghost",AW$4&lt;='Rent Roll'!$L$11),1,0)</f>
        <v>1</v>
      </c>
      <c r="AX70" s="49">
        <f>IF(AND('Rent Roll'!$N$11&lt;&gt;"Ghost",AX$4&lt;='Rent Roll'!$L$11),1,0)</f>
        <v>1</v>
      </c>
      <c r="AY70" s="49">
        <f>IF(AND('Rent Roll'!$N$11&lt;&gt;"Ghost",AY$4&lt;='Rent Roll'!$L$11),1,0)</f>
        <v>1</v>
      </c>
      <c r="AZ70" s="49">
        <f>IF(AND('Rent Roll'!$N$11&lt;&gt;"Ghost",AZ$4&lt;='Rent Roll'!$L$11),1,0)</f>
        <v>1</v>
      </c>
      <c r="BA70" s="49">
        <f>IF(AND('Rent Roll'!$N$11&lt;&gt;"Ghost",BA$4&lt;='Rent Roll'!$L$11),1,0)</f>
        <v>1</v>
      </c>
      <c r="BB70" s="49">
        <f>IF(AND('Rent Roll'!$N$11&lt;&gt;"Ghost",BB$4&lt;='Rent Roll'!$L$11),1,0)</f>
        <v>1</v>
      </c>
      <c r="BC70" s="49">
        <f>IF(AND('Rent Roll'!$N$11&lt;&gt;"Ghost",BC$4&lt;='Rent Roll'!$L$11),1,0)</f>
        <v>1</v>
      </c>
      <c r="BD70" s="49">
        <f>IF(AND('Rent Roll'!$N$11&lt;&gt;"Ghost",BD$4&lt;='Rent Roll'!$L$11),1,0)</f>
        <v>1</v>
      </c>
      <c r="BE70" s="49">
        <f>IF(AND('Rent Roll'!$N$11&lt;&gt;"Ghost",BE$4&lt;='Rent Roll'!$L$11),1,0)</f>
        <v>1</v>
      </c>
      <c r="BF70" s="49">
        <f>IF(AND('Rent Roll'!$N$11&lt;&gt;"Ghost",BF$4&lt;='Rent Roll'!$L$11),1,0)</f>
        <v>1</v>
      </c>
      <c r="BG70" s="49">
        <f>IF(AND('Rent Roll'!$N$11&lt;&gt;"Ghost",BG$4&lt;='Rent Roll'!$L$11),1,0)</f>
        <v>1</v>
      </c>
      <c r="BH70" s="49">
        <f>IF(AND('Rent Roll'!$N$11&lt;&gt;"Ghost",BH$4&lt;='Rent Roll'!$L$11),1,0)</f>
        <v>1</v>
      </c>
      <c r="BI70" s="49">
        <f>IF(AND('Rent Roll'!$N$11&lt;&gt;"Ghost",BI$4&lt;='Rent Roll'!$L$11),1,0)</f>
        <v>1</v>
      </c>
      <c r="BJ70" s="49">
        <f>IF(AND('Rent Roll'!$N$11&lt;&gt;"Ghost",BJ$4&lt;='Rent Roll'!$L$11),1,0)</f>
        <v>1</v>
      </c>
      <c r="BK70" s="49">
        <f>IF(AND('Rent Roll'!$N$11&lt;&gt;"Ghost",BK$4&lt;='Rent Roll'!$L$11),1,0)</f>
        <v>1</v>
      </c>
      <c r="BL70" s="49">
        <f>IF(AND('Rent Roll'!$N$11&lt;&gt;"Ghost",BL$4&lt;='Rent Roll'!$L$11),1,0)</f>
        <v>1</v>
      </c>
      <c r="BM70" s="49">
        <f>IF(AND('Rent Roll'!$N$11&lt;&gt;"Ghost",BM$4&lt;='Rent Roll'!$L$11),1,0)</f>
        <v>0</v>
      </c>
      <c r="BN70" s="49">
        <f>IF(AND('Rent Roll'!$N$11&lt;&gt;"Ghost",BN$4&lt;='Rent Roll'!$L$11),1,0)</f>
        <v>0</v>
      </c>
      <c r="BO70" s="49">
        <f>IF(AND('Rent Roll'!$N$11&lt;&gt;"Ghost",BO$4&lt;='Rent Roll'!$L$11),1,0)</f>
        <v>0</v>
      </c>
      <c r="BP70" s="49">
        <f>IF(AND('Rent Roll'!$N$11&lt;&gt;"Ghost",BP$4&lt;='Rent Roll'!$L$11),1,0)</f>
        <v>0</v>
      </c>
      <c r="BQ70" s="49">
        <f>IF(AND('Rent Roll'!$N$11&lt;&gt;"Ghost",BQ$4&lt;='Rent Roll'!$L$11),1,0)</f>
        <v>0</v>
      </c>
      <c r="BR70" s="49">
        <f>IF(AND('Rent Roll'!$N$11&lt;&gt;"Ghost",BR$4&lt;='Rent Roll'!$L$11),1,0)</f>
        <v>0</v>
      </c>
      <c r="BS70" s="49">
        <f>IF(AND('Rent Roll'!$N$11&lt;&gt;"Ghost",BS$4&lt;='Rent Roll'!$L$11),1,0)</f>
        <v>0</v>
      </c>
      <c r="BT70" s="49">
        <f>IF(AND('Rent Roll'!$N$11&lt;&gt;"Ghost",BT$4&lt;='Rent Roll'!$L$11),1,0)</f>
        <v>0</v>
      </c>
      <c r="BU70" s="49">
        <f>IF(AND('Rent Roll'!$N$11&lt;&gt;"Ghost",BU$4&lt;='Rent Roll'!$L$11),1,0)</f>
        <v>0</v>
      </c>
      <c r="BV70" s="49">
        <f>IF(AND('Rent Roll'!$N$11&lt;&gt;"Ghost",BV$4&lt;='Rent Roll'!$L$11),1,0)</f>
        <v>0</v>
      </c>
      <c r="BW70" s="49">
        <f>IF(AND('Rent Roll'!$N$11&lt;&gt;"Ghost",BW$4&lt;='Rent Roll'!$L$11),1,0)</f>
        <v>0</v>
      </c>
      <c r="BX70" s="49">
        <f>IF(AND('Rent Roll'!$N$11&lt;&gt;"Ghost",BX$4&lt;='Rent Roll'!$L$11),1,0)</f>
        <v>0</v>
      </c>
    </row>
    <row r="71" spans="1:76">
      <c r="B71" t="s">
        <v>159</v>
      </c>
      <c r="D71" s="49">
        <f>IF(D70=1,'Rent Roll'!$H$11/12*(1+'Rent Roll'!$I$11)^IF(D$4&lt;'Rent Roll'!$Y$11,0,YEAR(D$4)-YEAR('Rent Roll'!$Y$11)+1),0)</f>
        <v>16229.166666666666</v>
      </c>
      <c r="E71" s="49">
        <f>IF(E70=1,'Rent Roll'!$H$11/12*(1+'Rent Roll'!$I$11)^IF(E$4&lt;'Rent Roll'!$Y$11,0,YEAR(E$4)-YEAR('Rent Roll'!$Y$11)+1),0)</f>
        <v>16553.75</v>
      </c>
      <c r="F71" s="49">
        <f>IF(F70=1,'Rent Roll'!$H$11/12*(1+'Rent Roll'!$I$11)^IF(F$4&lt;'Rent Roll'!$Y$11,0,YEAR(F$4)-YEAR('Rent Roll'!$Y$11)+1),0)</f>
        <v>16553.75</v>
      </c>
      <c r="G71" s="49">
        <f>IF(G70=1,'Rent Roll'!$H$11/12*(1+'Rent Roll'!$I$11)^IF(G$4&lt;'Rent Roll'!$Y$11,0,YEAR(G$4)-YEAR('Rent Roll'!$Y$11)+1),0)</f>
        <v>16553.75</v>
      </c>
      <c r="H71" s="49">
        <f>IF(H70=1,'Rent Roll'!$H$11/12*(1+'Rent Roll'!$I$11)^IF(H$4&lt;'Rent Roll'!$Y$11,0,YEAR(H$4)-YEAR('Rent Roll'!$Y$11)+1),0)</f>
        <v>16553.75</v>
      </c>
      <c r="I71" s="49">
        <f>IF(I70=1,'Rent Roll'!$H$11/12*(1+'Rent Roll'!$I$11)^IF(I$4&lt;'Rent Roll'!$Y$11,0,YEAR(I$4)-YEAR('Rent Roll'!$Y$11)+1),0)</f>
        <v>16884.825000000001</v>
      </c>
      <c r="J71" s="49">
        <f>IF(J70=1,'Rent Roll'!$H$11/12*(1+'Rent Roll'!$I$11)^IF(J$4&lt;'Rent Roll'!$Y$11,0,YEAR(J$4)-YEAR('Rent Roll'!$Y$11)+1),0)</f>
        <v>16884.825000000001</v>
      </c>
      <c r="K71" s="49">
        <f>IF(K70=1,'Rent Roll'!$H$11/12*(1+'Rent Roll'!$I$11)^IF(K$4&lt;'Rent Roll'!$Y$11,0,YEAR(K$4)-YEAR('Rent Roll'!$Y$11)+1),0)</f>
        <v>16884.825000000001</v>
      </c>
      <c r="L71" s="49">
        <f>IF(L70=1,'Rent Roll'!$H$11/12*(1+'Rent Roll'!$I$11)^IF(L$4&lt;'Rent Roll'!$Y$11,0,YEAR(L$4)-YEAR('Rent Roll'!$Y$11)+1),0)</f>
        <v>16884.825000000001</v>
      </c>
      <c r="M71" s="49">
        <f>IF(M70=1,'Rent Roll'!$H$11/12*(1+'Rent Roll'!$I$11)^IF(M$4&lt;'Rent Roll'!$Y$11,0,YEAR(M$4)-YEAR('Rent Roll'!$Y$11)+1),0)</f>
        <v>16884.825000000001</v>
      </c>
      <c r="N71" s="49">
        <f>IF(N70=1,'Rent Roll'!$H$11/12*(1+'Rent Roll'!$I$11)^IF(N$4&lt;'Rent Roll'!$Y$11,0,YEAR(N$4)-YEAR('Rent Roll'!$Y$11)+1),0)</f>
        <v>16884.825000000001</v>
      </c>
      <c r="O71" s="49">
        <f>IF(O70=1,'Rent Roll'!$H$11/12*(1+'Rent Roll'!$I$11)^IF(O$4&lt;'Rent Roll'!$Y$11,0,YEAR(O$4)-YEAR('Rent Roll'!$Y$11)+1),0)</f>
        <v>16884.825000000001</v>
      </c>
      <c r="P71" s="49">
        <f>IF(P70=1,'Rent Roll'!$H$11/12*(1+'Rent Roll'!$I$11)^IF(P$4&lt;'Rent Roll'!$Y$11,0,YEAR(P$4)-YEAR('Rent Roll'!$Y$11)+1),0)</f>
        <v>16884.825000000001</v>
      </c>
      <c r="Q71" s="49">
        <f>IF(Q70=1,'Rent Roll'!$H$11/12*(1+'Rent Roll'!$I$11)^IF(Q$4&lt;'Rent Roll'!$Y$11,0,YEAR(Q$4)-YEAR('Rent Roll'!$Y$11)+1),0)</f>
        <v>16884.825000000001</v>
      </c>
      <c r="R71" s="49">
        <f>IF(R70=1,'Rent Roll'!$H$11/12*(1+'Rent Roll'!$I$11)^IF(R$4&lt;'Rent Roll'!$Y$11,0,YEAR(R$4)-YEAR('Rent Roll'!$Y$11)+1),0)</f>
        <v>16884.825000000001</v>
      </c>
      <c r="S71" s="49">
        <f>IF(S70=1,'Rent Roll'!$H$11/12*(1+'Rent Roll'!$I$11)^IF(S$4&lt;'Rent Roll'!$Y$11,0,YEAR(S$4)-YEAR('Rent Roll'!$Y$11)+1),0)</f>
        <v>16884.825000000001</v>
      </c>
      <c r="T71" s="49">
        <f>IF(T70=1,'Rent Roll'!$H$11/12*(1+'Rent Roll'!$I$11)^IF(T$4&lt;'Rent Roll'!$Y$11,0,YEAR(T$4)-YEAR('Rent Roll'!$Y$11)+1),0)</f>
        <v>16884.825000000001</v>
      </c>
      <c r="U71" s="49">
        <f>IF(U70=1,'Rent Roll'!$H$11/12*(1+'Rent Roll'!$I$11)^IF(U$4&lt;'Rent Roll'!$Y$11,0,YEAR(U$4)-YEAR('Rent Roll'!$Y$11)+1),0)</f>
        <v>17222.521499999999</v>
      </c>
      <c r="V71" s="49">
        <f>IF(V70=1,'Rent Roll'!$H$11/12*(1+'Rent Roll'!$I$11)^IF(V$4&lt;'Rent Roll'!$Y$11,0,YEAR(V$4)-YEAR('Rent Roll'!$Y$11)+1),0)</f>
        <v>17222.521499999999</v>
      </c>
      <c r="W71" s="49">
        <f>IF(W70=1,'Rent Roll'!$H$11/12*(1+'Rent Roll'!$I$11)^IF(W$4&lt;'Rent Roll'!$Y$11,0,YEAR(W$4)-YEAR('Rent Roll'!$Y$11)+1),0)</f>
        <v>17222.521499999999</v>
      </c>
      <c r="X71" s="49">
        <f>IF(X70=1,'Rent Roll'!$H$11/12*(1+'Rent Roll'!$I$11)^IF(X$4&lt;'Rent Roll'!$Y$11,0,YEAR(X$4)-YEAR('Rent Roll'!$Y$11)+1),0)</f>
        <v>17222.521499999999</v>
      </c>
      <c r="Y71" s="49">
        <f>IF(Y70=1,'Rent Roll'!$H$11/12*(1+'Rent Roll'!$I$11)^IF(Y$4&lt;'Rent Roll'!$Y$11,0,YEAR(Y$4)-YEAR('Rent Roll'!$Y$11)+1),0)</f>
        <v>17222.521499999999</v>
      </c>
      <c r="Z71" s="49">
        <f>IF(Z70=1,'Rent Roll'!$H$11/12*(1+'Rent Roll'!$I$11)^IF(Z$4&lt;'Rent Roll'!$Y$11,0,YEAR(Z$4)-YEAR('Rent Roll'!$Y$11)+1),0)</f>
        <v>17222.521499999999</v>
      </c>
      <c r="AA71" s="49">
        <f>IF(AA70=1,'Rent Roll'!$H$11/12*(1+'Rent Roll'!$I$11)^IF(AA$4&lt;'Rent Roll'!$Y$11,0,YEAR(AA$4)-YEAR('Rent Roll'!$Y$11)+1),0)</f>
        <v>17222.521499999999</v>
      </c>
      <c r="AB71" s="49">
        <f>IF(AB70=1,'Rent Roll'!$H$11/12*(1+'Rent Roll'!$I$11)^IF(AB$4&lt;'Rent Roll'!$Y$11,0,YEAR(AB$4)-YEAR('Rent Roll'!$Y$11)+1),0)</f>
        <v>17222.521499999999</v>
      </c>
      <c r="AC71" s="49">
        <f>IF(AC70=1,'Rent Roll'!$H$11/12*(1+'Rent Roll'!$I$11)^IF(AC$4&lt;'Rent Roll'!$Y$11,0,YEAR(AC$4)-YEAR('Rent Roll'!$Y$11)+1),0)</f>
        <v>17222.521499999999</v>
      </c>
      <c r="AD71" s="49">
        <f>IF(AD70=1,'Rent Roll'!$H$11/12*(1+'Rent Roll'!$I$11)^IF(AD$4&lt;'Rent Roll'!$Y$11,0,YEAR(AD$4)-YEAR('Rent Roll'!$Y$11)+1),0)</f>
        <v>17222.521499999999</v>
      </c>
      <c r="AE71" s="49">
        <f>IF(AE70=1,'Rent Roll'!$H$11/12*(1+'Rent Roll'!$I$11)^IF(AE$4&lt;'Rent Roll'!$Y$11,0,YEAR(AE$4)-YEAR('Rent Roll'!$Y$11)+1),0)</f>
        <v>17222.521499999999</v>
      </c>
      <c r="AF71" s="49">
        <f>IF(AF70=1,'Rent Roll'!$H$11/12*(1+'Rent Roll'!$I$11)^IF(AF$4&lt;'Rent Roll'!$Y$11,0,YEAR(AF$4)-YEAR('Rent Roll'!$Y$11)+1),0)</f>
        <v>17222.521499999999</v>
      </c>
      <c r="AG71" s="49">
        <f>IF(AG70=1,'Rent Roll'!$H$11/12*(1+'Rent Roll'!$I$11)^IF(AG$4&lt;'Rent Roll'!$Y$11,0,YEAR(AG$4)-YEAR('Rent Roll'!$Y$11)+1),0)</f>
        <v>17566.97193</v>
      </c>
      <c r="AH71" s="49">
        <f>IF(AH70=1,'Rent Roll'!$H$11/12*(1+'Rent Roll'!$I$11)^IF(AH$4&lt;'Rent Roll'!$Y$11,0,YEAR(AH$4)-YEAR('Rent Roll'!$Y$11)+1),0)</f>
        <v>17566.97193</v>
      </c>
      <c r="AI71" s="49">
        <f>IF(AI70=1,'Rent Roll'!$H$11/12*(1+'Rent Roll'!$I$11)^IF(AI$4&lt;'Rent Roll'!$Y$11,0,YEAR(AI$4)-YEAR('Rent Roll'!$Y$11)+1),0)</f>
        <v>17566.97193</v>
      </c>
      <c r="AJ71" s="49">
        <f>IF(AJ70=1,'Rent Roll'!$H$11/12*(1+'Rent Roll'!$I$11)^IF(AJ$4&lt;'Rent Roll'!$Y$11,0,YEAR(AJ$4)-YEAR('Rent Roll'!$Y$11)+1),0)</f>
        <v>17566.97193</v>
      </c>
      <c r="AK71" s="49">
        <f>IF(AK70=1,'Rent Roll'!$H$11/12*(1+'Rent Roll'!$I$11)^IF(AK$4&lt;'Rent Roll'!$Y$11,0,YEAR(AK$4)-YEAR('Rent Roll'!$Y$11)+1),0)</f>
        <v>17566.97193</v>
      </c>
      <c r="AL71" s="49">
        <f>IF(AL70=1,'Rent Roll'!$H$11/12*(1+'Rent Roll'!$I$11)^IF(AL$4&lt;'Rent Roll'!$Y$11,0,YEAR(AL$4)-YEAR('Rent Roll'!$Y$11)+1),0)</f>
        <v>17566.97193</v>
      </c>
      <c r="AM71" s="49">
        <f>IF(AM70=1,'Rent Roll'!$H$11/12*(1+'Rent Roll'!$I$11)^IF(AM$4&lt;'Rent Roll'!$Y$11,0,YEAR(AM$4)-YEAR('Rent Roll'!$Y$11)+1),0)</f>
        <v>17566.97193</v>
      </c>
      <c r="AN71" s="49">
        <f>IF(AN70=1,'Rent Roll'!$H$11/12*(1+'Rent Roll'!$I$11)^IF(AN$4&lt;'Rent Roll'!$Y$11,0,YEAR(AN$4)-YEAR('Rent Roll'!$Y$11)+1),0)</f>
        <v>17566.97193</v>
      </c>
      <c r="AO71" s="49">
        <f>IF(AO70=1,'Rent Roll'!$H$11/12*(1+'Rent Roll'!$I$11)^IF(AO$4&lt;'Rent Roll'!$Y$11,0,YEAR(AO$4)-YEAR('Rent Roll'!$Y$11)+1),0)</f>
        <v>17566.97193</v>
      </c>
      <c r="AP71" s="49">
        <f>IF(AP70=1,'Rent Roll'!$H$11/12*(1+'Rent Roll'!$I$11)^IF(AP$4&lt;'Rent Roll'!$Y$11,0,YEAR(AP$4)-YEAR('Rent Roll'!$Y$11)+1),0)</f>
        <v>17566.97193</v>
      </c>
      <c r="AQ71" s="49">
        <f>IF(AQ70=1,'Rent Roll'!$H$11/12*(1+'Rent Roll'!$I$11)^IF(AQ$4&lt;'Rent Roll'!$Y$11,0,YEAR(AQ$4)-YEAR('Rent Roll'!$Y$11)+1),0)</f>
        <v>17566.97193</v>
      </c>
      <c r="AR71" s="49">
        <f>IF(AR70=1,'Rent Roll'!$H$11/12*(1+'Rent Roll'!$I$11)^IF(AR$4&lt;'Rent Roll'!$Y$11,0,YEAR(AR$4)-YEAR('Rent Roll'!$Y$11)+1),0)</f>
        <v>17566.97193</v>
      </c>
      <c r="AS71" s="49">
        <f>IF(AS70=1,'Rent Roll'!$H$11/12*(1+'Rent Roll'!$I$11)^IF(AS$4&lt;'Rent Roll'!$Y$11,0,YEAR(AS$4)-YEAR('Rent Roll'!$Y$11)+1),0)</f>
        <v>17918.3113686</v>
      </c>
      <c r="AT71" s="49">
        <f>IF(AT70=1,'Rent Roll'!$H$11/12*(1+'Rent Roll'!$I$11)^IF(AT$4&lt;'Rent Roll'!$Y$11,0,YEAR(AT$4)-YEAR('Rent Roll'!$Y$11)+1),0)</f>
        <v>17918.3113686</v>
      </c>
      <c r="AU71" s="49">
        <f>IF(AU70=1,'Rent Roll'!$H$11/12*(1+'Rent Roll'!$I$11)^IF(AU$4&lt;'Rent Roll'!$Y$11,0,YEAR(AU$4)-YEAR('Rent Roll'!$Y$11)+1),0)</f>
        <v>17918.3113686</v>
      </c>
      <c r="AV71" s="49">
        <f>IF(AV70=1,'Rent Roll'!$H$11/12*(1+'Rent Roll'!$I$11)^IF(AV$4&lt;'Rent Roll'!$Y$11,0,YEAR(AV$4)-YEAR('Rent Roll'!$Y$11)+1),0)</f>
        <v>17918.3113686</v>
      </c>
      <c r="AW71" s="49">
        <f>IF(AW70=1,'Rent Roll'!$H$11/12*(1+'Rent Roll'!$I$11)^IF(AW$4&lt;'Rent Roll'!$Y$11,0,YEAR(AW$4)-YEAR('Rent Roll'!$Y$11)+1),0)</f>
        <v>17918.3113686</v>
      </c>
      <c r="AX71" s="49">
        <f>IF(AX70=1,'Rent Roll'!$H$11/12*(1+'Rent Roll'!$I$11)^IF(AX$4&lt;'Rent Roll'!$Y$11,0,YEAR(AX$4)-YEAR('Rent Roll'!$Y$11)+1),0)</f>
        <v>17918.3113686</v>
      </c>
      <c r="AY71" s="49">
        <f>IF(AY70=1,'Rent Roll'!$H$11/12*(1+'Rent Roll'!$I$11)^IF(AY$4&lt;'Rent Roll'!$Y$11,0,YEAR(AY$4)-YEAR('Rent Roll'!$Y$11)+1),0)</f>
        <v>17918.3113686</v>
      </c>
      <c r="AZ71" s="49">
        <f>IF(AZ70=1,'Rent Roll'!$H$11/12*(1+'Rent Roll'!$I$11)^IF(AZ$4&lt;'Rent Roll'!$Y$11,0,YEAR(AZ$4)-YEAR('Rent Roll'!$Y$11)+1),0)</f>
        <v>17918.3113686</v>
      </c>
      <c r="BA71" s="49">
        <f>IF(BA70=1,'Rent Roll'!$H$11/12*(1+'Rent Roll'!$I$11)^IF(BA$4&lt;'Rent Roll'!$Y$11,0,YEAR(BA$4)-YEAR('Rent Roll'!$Y$11)+1),0)</f>
        <v>17918.3113686</v>
      </c>
      <c r="BB71" s="49">
        <f>IF(BB70=1,'Rent Roll'!$H$11/12*(1+'Rent Roll'!$I$11)^IF(BB$4&lt;'Rent Roll'!$Y$11,0,YEAR(BB$4)-YEAR('Rent Roll'!$Y$11)+1),0)</f>
        <v>17918.3113686</v>
      </c>
      <c r="BC71" s="49">
        <f>IF(BC70=1,'Rent Roll'!$H$11/12*(1+'Rent Roll'!$I$11)^IF(BC$4&lt;'Rent Roll'!$Y$11,0,YEAR(BC$4)-YEAR('Rent Roll'!$Y$11)+1),0)</f>
        <v>17918.3113686</v>
      </c>
      <c r="BD71" s="49">
        <f>IF(BD70=1,'Rent Roll'!$H$11/12*(1+'Rent Roll'!$I$11)^IF(BD$4&lt;'Rent Roll'!$Y$11,0,YEAR(BD$4)-YEAR('Rent Roll'!$Y$11)+1),0)</f>
        <v>17918.3113686</v>
      </c>
      <c r="BE71" s="49">
        <f>IF(BE70=1,'Rent Roll'!$H$11/12*(1+'Rent Roll'!$I$11)^IF(BE$4&lt;'Rent Roll'!$Y$11,0,YEAR(BE$4)-YEAR('Rent Roll'!$Y$11)+1),0)</f>
        <v>18276.677595972</v>
      </c>
      <c r="BF71" s="49">
        <f>IF(BF70=1,'Rent Roll'!$H$11/12*(1+'Rent Roll'!$I$11)^IF(BF$4&lt;'Rent Roll'!$Y$11,0,YEAR(BF$4)-YEAR('Rent Roll'!$Y$11)+1),0)</f>
        <v>18276.677595972</v>
      </c>
      <c r="BG71" s="49">
        <f>IF(BG70=1,'Rent Roll'!$H$11/12*(1+'Rent Roll'!$I$11)^IF(BG$4&lt;'Rent Roll'!$Y$11,0,YEAR(BG$4)-YEAR('Rent Roll'!$Y$11)+1),0)</f>
        <v>18276.677595972</v>
      </c>
      <c r="BH71" s="49">
        <f>IF(BH70=1,'Rent Roll'!$H$11/12*(1+'Rent Roll'!$I$11)^IF(BH$4&lt;'Rent Roll'!$Y$11,0,YEAR(BH$4)-YEAR('Rent Roll'!$Y$11)+1),0)</f>
        <v>18276.677595972</v>
      </c>
      <c r="BI71" s="49">
        <f>IF(BI70=1,'Rent Roll'!$H$11/12*(1+'Rent Roll'!$I$11)^IF(BI$4&lt;'Rent Roll'!$Y$11,0,YEAR(BI$4)-YEAR('Rent Roll'!$Y$11)+1),0)</f>
        <v>18276.677595972</v>
      </c>
      <c r="BJ71" s="49">
        <f>IF(BJ70=1,'Rent Roll'!$H$11/12*(1+'Rent Roll'!$I$11)^IF(BJ$4&lt;'Rent Roll'!$Y$11,0,YEAR(BJ$4)-YEAR('Rent Roll'!$Y$11)+1),0)</f>
        <v>18276.677595972</v>
      </c>
      <c r="BK71" s="49">
        <f>IF(BK70=1,'Rent Roll'!$H$11/12*(1+'Rent Roll'!$I$11)^IF(BK$4&lt;'Rent Roll'!$Y$11,0,YEAR(BK$4)-YEAR('Rent Roll'!$Y$11)+1),0)</f>
        <v>18276.677595972</v>
      </c>
      <c r="BL71" s="49">
        <f>IF(BL70=1,'Rent Roll'!$H$11/12*(1+'Rent Roll'!$I$11)^IF(BL$4&lt;'Rent Roll'!$Y$11,0,YEAR(BL$4)-YEAR('Rent Roll'!$Y$11)+1),0)</f>
        <v>18276.677595972</v>
      </c>
      <c r="BM71" s="49">
        <f>IF(BM70=1,'Rent Roll'!$H$11/12*(1+'Rent Roll'!$I$11)^IF(BM$4&lt;'Rent Roll'!$Y$11,0,YEAR(BM$4)-YEAR('Rent Roll'!$Y$11)+1),0)</f>
        <v>0</v>
      </c>
      <c r="BN71" s="49">
        <f>IF(BN70=1,'Rent Roll'!$H$11/12*(1+'Rent Roll'!$I$11)^IF(BN$4&lt;'Rent Roll'!$Y$11,0,YEAR(BN$4)-YEAR('Rent Roll'!$Y$11)+1),0)</f>
        <v>0</v>
      </c>
      <c r="BO71" s="49">
        <f>IF(BO70=1,'Rent Roll'!$H$11/12*(1+'Rent Roll'!$I$11)^IF(BO$4&lt;'Rent Roll'!$Y$11,0,YEAR(BO$4)-YEAR('Rent Roll'!$Y$11)+1),0)</f>
        <v>0</v>
      </c>
      <c r="BP71" s="49">
        <f>IF(BP70=1,'Rent Roll'!$H$11/12*(1+'Rent Roll'!$I$11)^IF(BP$4&lt;'Rent Roll'!$Y$11,0,YEAR(BP$4)-YEAR('Rent Roll'!$Y$11)+1),0)</f>
        <v>0</v>
      </c>
      <c r="BQ71" s="49">
        <f>IF(BQ70=1,'Rent Roll'!$H$11/12*(1+'Rent Roll'!$I$11)^IF(BQ$4&lt;'Rent Roll'!$Y$11,0,YEAR(BQ$4)-YEAR('Rent Roll'!$Y$11)+1),0)</f>
        <v>0</v>
      </c>
      <c r="BR71" s="49">
        <f>IF(BR70=1,'Rent Roll'!$H$11/12*(1+'Rent Roll'!$I$11)^IF(BR$4&lt;'Rent Roll'!$Y$11,0,YEAR(BR$4)-YEAR('Rent Roll'!$Y$11)+1),0)</f>
        <v>0</v>
      </c>
      <c r="BS71" s="49">
        <f>IF(BS70=1,'Rent Roll'!$H$11/12*(1+'Rent Roll'!$I$11)^IF(BS$4&lt;'Rent Roll'!$Y$11,0,YEAR(BS$4)-YEAR('Rent Roll'!$Y$11)+1),0)</f>
        <v>0</v>
      </c>
      <c r="BT71" s="49">
        <f>IF(BT70=1,'Rent Roll'!$H$11/12*(1+'Rent Roll'!$I$11)^IF(BT$4&lt;'Rent Roll'!$Y$11,0,YEAR(BT$4)-YEAR('Rent Roll'!$Y$11)+1),0)</f>
        <v>0</v>
      </c>
      <c r="BU71" s="49">
        <f>IF(BU70=1,'Rent Roll'!$H$11/12*(1+'Rent Roll'!$I$11)^IF(BU$4&lt;'Rent Roll'!$Y$11,0,YEAR(BU$4)-YEAR('Rent Roll'!$Y$11)+1),0)</f>
        <v>0</v>
      </c>
      <c r="BV71" s="49">
        <f>IF(BV70=1,'Rent Roll'!$H$11/12*(1+'Rent Roll'!$I$11)^IF(BV$4&lt;'Rent Roll'!$Y$11,0,YEAR(BV$4)-YEAR('Rent Roll'!$Y$11)+1),0)</f>
        <v>0</v>
      </c>
      <c r="BW71" s="49">
        <f>IF(BW70=1,'Rent Roll'!$H$11/12*(1+'Rent Roll'!$I$11)^IF(BW$4&lt;'Rent Roll'!$Y$11,0,YEAR(BW$4)-YEAR('Rent Roll'!$Y$11)+1),0)</f>
        <v>0</v>
      </c>
      <c r="BX71" s="49">
        <f>IF(BX70=1,'Rent Roll'!$H$11/12*(1+'Rent Roll'!$I$11)^IF(BX$4&lt;'Rent Roll'!$Y$11,0,YEAR(BX$4)-YEAR('Rent Roll'!$Y$11)+1),0)</f>
        <v>0</v>
      </c>
    </row>
    <row r="72" spans="1:76" hidden="1" outlineLevel="1">
      <c r="B72" t="s">
        <v>160</v>
      </c>
      <c r="D72" s="49">
        <f>IF(D$4&gt;EOMONTH(CloseDate,'Rent Roll'!$O$11+'Rent Roll'!$S$11-1),1,0)</f>
        <v>0</v>
      </c>
      <c r="E72" s="49">
        <f>IF(E$4&gt;EOMONTH(CloseDate,'Rent Roll'!$O$11+'Rent Roll'!$S$11-1),1,0)</f>
        <v>0</v>
      </c>
      <c r="F72" s="49">
        <f>IF(F$4&gt;EOMONTH(CloseDate,'Rent Roll'!$O$11+'Rent Roll'!$S$11-1),1,0)</f>
        <v>0</v>
      </c>
      <c r="G72" s="49">
        <f>IF(G$4&gt;EOMONTH(CloseDate,'Rent Roll'!$O$11+'Rent Roll'!$S$11-1),1,0)</f>
        <v>0</v>
      </c>
      <c r="H72" s="49">
        <f>IF(H$4&gt;EOMONTH(CloseDate,'Rent Roll'!$O$11+'Rent Roll'!$S$11-1),1,0)</f>
        <v>0</v>
      </c>
      <c r="I72" s="49">
        <f>IF(I$4&gt;EOMONTH(CloseDate,'Rent Roll'!$O$11+'Rent Roll'!$S$11-1),1,0)</f>
        <v>0</v>
      </c>
      <c r="J72" s="49">
        <f>IF(J$4&gt;EOMONTH(CloseDate,'Rent Roll'!$O$11+'Rent Roll'!$S$11-1),1,0)</f>
        <v>0</v>
      </c>
      <c r="K72" s="49">
        <f>IF(K$4&gt;EOMONTH(CloseDate,'Rent Roll'!$O$11+'Rent Roll'!$S$11-1),1,0)</f>
        <v>0</v>
      </c>
      <c r="L72" s="49">
        <f>IF(L$4&gt;EOMONTH(CloseDate,'Rent Roll'!$O$11+'Rent Roll'!$S$11-1),1,0)</f>
        <v>0</v>
      </c>
      <c r="M72" s="49">
        <f>IF(M$4&gt;EOMONTH(CloseDate,'Rent Roll'!$O$11+'Rent Roll'!$S$11-1),1,0)</f>
        <v>0</v>
      </c>
      <c r="N72" s="49">
        <f>IF(N$4&gt;EOMONTH(CloseDate,'Rent Roll'!$O$11+'Rent Roll'!$S$11-1),1,0)</f>
        <v>0</v>
      </c>
      <c r="O72" s="49">
        <f>IF(O$4&gt;EOMONTH(CloseDate,'Rent Roll'!$O$11+'Rent Roll'!$S$11-1),1,0)</f>
        <v>0</v>
      </c>
      <c r="P72" s="49">
        <f>IF(P$4&gt;EOMONTH(CloseDate,'Rent Roll'!$O$11+'Rent Roll'!$S$11-1),1,0)</f>
        <v>0</v>
      </c>
      <c r="Q72" s="49">
        <f>IF(Q$4&gt;EOMONTH(CloseDate,'Rent Roll'!$O$11+'Rent Roll'!$S$11-1),1,0)</f>
        <v>0</v>
      </c>
      <c r="R72" s="49">
        <f>IF(R$4&gt;EOMONTH(CloseDate,'Rent Roll'!$O$11+'Rent Roll'!$S$11-1),1,0)</f>
        <v>0</v>
      </c>
      <c r="S72" s="49">
        <f>IF(S$4&gt;EOMONTH(CloseDate,'Rent Roll'!$O$11+'Rent Roll'!$S$11-1),1,0)</f>
        <v>0</v>
      </c>
      <c r="T72" s="49">
        <f>IF(T$4&gt;EOMONTH(CloseDate,'Rent Roll'!$O$11+'Rent Roll'!$S$11-1),1,0)</f>
        <v>0</v>
      </c>
      <c r="U72" s="49">
        <f>IF(U$4&gt;EOMONTH(CloseDate,'Rent Roll'!$O$11+'Rent Roll'!$S$11-1),1,0)</f>
        <v>0</v>
      </c>
      <c r="V72" s="49">
        <f>IF(V$4&gt;EOMONTH(CloseDate,'Rent Roll'!$O$11+'Rent Roll'!$S$11-1),1,0)</f>
        <v>0</v>
      </c>
      <c r="W72" s="49">
        <f>IF(W$4&gt;EOMONTH(CloseDate,'Rent Roll'!$O$11+'Rent Roll'!$S$11-1),1,0)</f>
        <v>0</v>
      </c>
      <c r="X72" s="49">
        <f>IF(X$4&gt;EOMONTH(CloseDate,'Rent Roll'!$O$11+'Rent Roll'!$S$11-1),1,0)</f>
        <v>0</v>
      </c>
      <c r="Y72" s="49">
        <f>IF(Y$4&gt;EOMONTH(CloseDate,'Rent Roll'!$O$11+'Rent Roll'!$S$11-1),1,0)</f>
        <v>0</v>
      </c>
      <c r="Z72" s="49">
        <f>IF(Z$4&gt;EOMONTH(CloseDate,'Rent Roll'!$O$11+'Rent Roll'!$S$11-1),1,0)</f>
        <v>0</v>
      </c>
      <c r="AA72" s="49">
        <f>IF(AA$4&gt;EOMONTH(CloseDate,'Rent Roll'!$O$11+'Rent Roll'!$S$11-1),1,0)</f>
        <v>0</v>
      </c>
      <c r="AB72" s="49">
        <f>IF(AB$4&gt;EOMONTH(CloseDate,'Rent Roll'!$O$11+'Rent Roll'!$S$11-1),1,0)</f>
        <v>0</v>
      </c>
      <c r="AC72" s="49">
        <f>IF(AC$4&gt;EOMONTH(CloseDate,'Rent Roll'!$O$11+'Rent Roll'!$S$11-1),1,0)</f>
        <v>0</v>
      </c>
      <c r="AD72" s="49">
        <f>IF(AD$4&gt;EOMONTH(CloseDate,'Rent Roll'!$O$11+'Rent Roll'!$S$11-1),1,0)</f>
        <v>0</v>
      </c>
      <c r="AE72" s="49">
        <f>IF(AE$4&gt;EOMONTH(CloseDate,'Rent Roll'!$O$11+'Rent Roll'!$S$11-1),1,0)</f>
        <v>0</v>
      </c>
      <c r="AF72" s="49">
        <f>IF(AF$4&gt;EOMONTH(CloseDate,'Rent Roll'!$O$11+'Rent Roll'!$S$11-1),1,0)</f>
        <v>0</v>
      </c>
      <c r="AG72" s="49">
        <f>IF(AG$4&gt;EOMONTH(CloseDate,'Rent Roll'!$O$11+'Rent Roll'!$S$11-1),1,0)</f>
        <v>0</v>
      </c>
      <c r="AH72" s="49">
        <f>IF(AH$4&gt;EOMONTH(CloseDate,'Rent Roll'!$O$11+'Rent Roll'!$S$11-1),1,0)</f>
        <v>0</v>
      </c>
      <c r="AI72" s="49">
        <f>IF(AI$4&gt;EOMONTH(CloseDate,'Rent Roll'!$O$11+'Rent Roll'!$S$11-1),1,0)</f>
        <v>0</v>
      </c>
      <c r="AJ72" s="49">
        <f>IF(AJ$4&gt;EOMONTH(CloseDate,'Rent Roll'!$O$11+'Rent Roll'!$S$11-1),1,0)</f>
        <v>0</v>
      </c>
      <c r="AK72" s="49">
        <f>IF(AK$4&gt;EOMONTH(CloseDate,'Rent Roll'!$O$11+'Rent Roll'!$S$11-1),1,0)</f>
        <v>0</v>
      </c>
      <c r="AL72" s="49">
        <f>IF(AL$4&gt;EOMONTH(CloseDate,'Rent Roll'!$O$11+'Rent Roll'!$S$11-1),1,0)</f>
        <v>0</v>
      </c>
      <c r="AM72" s="49">
        <f>IF(AM$4&gt;EOMONTH(CloseDate,'Rent Roll'!$O$11+'Rent Roll'!$S$11-1),1,0)</f>
        <v>0</v>
      </c>
      <c r="AN72" s="49">
        <f>IF(AN$4&gt;EOMONTH(CloseDate,'Rent Roll'!$O$11+'Rent Roll'!$S$11-1),1,0)</f>
        <v>0</v>
      </c>
      <c r="AO72" s="49">
        <f>IF(AO$4&gt;EOMONTH(CloseDate,'Rent Roll'!$O$11+'Rent Roll'!$S$11-1),1,0)</f>
        <v>0</v>
      </c>
      <c r="AP72" s="49">
        <f>IF(AP$4&gt;EOMONTH(CloseDate,'Rent Roll'!$O$11+'Rent Roll'!$S$11-1),1,0)</f>
        <v>0</v>
      </c>
      <c r="AQ72" s="49">
        <f>IF(AQ$4&gt;EOMONTH(CloseDate,'Rent Roll'!$O$11+'Rent Roll'!$S$11-1),1,0)</f>
        <v>0</v>
      </c>
      <c r="AR72" s="49">
        <f>IF(AR$4&gt;EOMONTH(CloseDate,'Rent Roll'!$O$11+'Rent Roll'!$S$11-1),1,0)</f>
        <v>0</v>
      </c>
      <c r="AS72" s="49">
        <f>IF(AS$4&gt;EOMONTH(CloseDate,'Rent Roll'!$O$11+'Rent Roll'!$S$11-1),1,0)</f>
        <v>0</v>
      </c>
      <c r="AT72" s="49">
        <f>IF(AT$4&gt;EOMONTH(CloseDate,'Rent Roll'!$O$11+'Rent Roll'!$S$11-1),1,0)</f>
        <v>0</v>
      </c>
      <c r="AU72" s="49">
        <f>IF(AU$4&gt;EOMONTH(CloseDate,'Rent Roll'!$O$11+'Rent Roll'!$S$11-1),1,0)</f>
        <v>0</v>
      </c>
      <c r="AV72" s="49">
        <f>IF(AV$4&gt;EOMONTH(CloseDate,'Rent Roll'!$O$11+'Rent Roll'!$S$11-1),1,0)</f>
        <v>0</v>
      </c>
      <c r="AW72" s="49">
        <f>IF(AW$4&gt;EOMONTH(CloseDate,'Rent Roll'!$O$11+'Rent Roll'!$S$11-1),1,0)</f>
        <v>0</v>
      </c>
      <c r="AX72" s="49">
        <f>IF(AX$4&gt;EOMONTH(CloseDate,'Rent Roll'!$O$11+'Rent Roll'!$S$11-1),1,0)</f>
        <v>0</v>
      </c>
      <c r="AY72" s="49">
        <f>IF(AY$4&gt;EOMONTH(CloseDate,'Rent Roll'!$O$11+'Rent Roll'!$S$11-1),1,0)</f>
        <v>0</v>
      </c>
      <c r="AZ72" s="49">
        <f>IF(AZ$4&gt;EOMONTH(CloseDate,'Rent Roll'!$O$11+'Rent Roll'!$S$11-1),1,0)</f>
        <v>0</v>
      </c>
      <c r="BA72" s="49">
        <f>IF(BA$4&gt;EOMONTH(CloseDate,'Rent Roll'!$O$11+'Rent Roll'!$S$11-1),1,0)</f>
        <v>0</v>
      </c>
      <c r="BB72" s="49">
        <f>IF(BB$4&gt;EOMONTH(CloseDate,'Rent Roll'!$O$11+'Rent Roll'!$S$11-1),1,0)</f>
        <v>0</v>
      </c>
      <c r="BC72" s="49">
        <f>IF(BC$4&gt;EOMONTH(CloseDate,'Rent Roll'!$O$11+'Rent Roll'!$S$11-1),1,0)</f>
        <v>0</v>
      </c>
      <c r="BD72" s="49">
        <f>IF(BD$4&gt;EOMONTH(CloseDate,'Rent Roll'!$O$11+'Rent Roll'!$S$11-1),1,0)</f>
        <v>0</v>
      </c>
      <c r="BE72" s="49">
        <f>IF(BE$4&gt;EOMONTH(CloseDate,'Rent Roll'!$O$11+'Rent Roll'!$S$11-1),1,0)</f>
        <v>0</v>
      </c>
      <c r="BF72" s="49">
        <f>IF(BF$4&gt;EOMONTH(CloseDate,'Rent Roll'!$O$11+'Rent Roll'!$S$11-1),1,0)</f>
        <v>0</v>
      </c>
      <c r="BG72" s="49">
        <f>IF(BG$4&gt;EOMONTH(CloseDate,'Rent Roll'!$O$11+'Rent Roll'!$S$11-1),1,0)</f>
        <v>0</v>
      </c>
      <c r="BH72" s="49">
        <f>IF(BH$4&gt;EOMONTH(CloseDate,'Rent Roll'!$O$11+'Rent Roll'!$S$11-1),1,0)</f>
        <v>0</v>
      </c>
      <c r="BI72" s="49">
        <f>IF(BI$4&gt;EOMONTH(CloseDate,'Rent Roll'!$O$11+'Rent Roll'!$S$11-1),1,0)</f>
        <v>0</v>
      </c>
      <c r="BJ72" s="49">
        <f>IF(BJ$4&gt;EOMONTH(CloseDate,'Rent Roll'!$O$11+'Rent Roll'!$S$11-1),1,0)</f>
        <v>0</v>
      </c>
      <c r="BK72" s="49">
        <f>IF(BK$4&gt;EOMONTH(CloseDate,'Rent Roll'!$O$11+'Rent Roll'!$S$11-1),1,0)</f>
        <v>0</v>
      </c>
      <c r="BL72" s="49">
        <f>IF(BL$4&gt;EOMONTH(CloseDate,'Rent Roll'!$O$11+'Rent Roll'!$S$11-1),1,0)</f>
        <v>0</v>
      </c>
      <c r="BM72" s="49">
        <f>IF(BM$4&gt;EOMONTH(CloseDate,'Rent Roll'!$O$11+'Rent Roll'!$S$11-1),1,0)</f>
        <v>0</v>
      </c>
      <c r="BN72" s="49">
        <f>IF(BN$4&gt;EOMONTH(CloseDate,'Rent Roll'!$O$11+'Rent Roll'!$S$11-1),1,0)</f>
        <v>0</v>
      </c>
      <c r="BO72" s="49">
        <f>IF(BO$4&gt;EOMONTH(CloseDate,'Rent Roll'!$O$11+'Rent Roll'!$S$11-1),1,0)</f>
        <v>0</v>
      </c>
      <c r="BP72" s="49">
        <f>IF(BP$4&gt;EOMONTH(CloseDate,'Rent Roll'!$O$11+'Rent Roll'!$S$11-1),1,0)</f>
        <v>0</v>
      </c>
      <c r="BQ72" s="49">
        <f>IF(BQ$4&gt;EOMONTH(CloseDate,'Rent Roll'!$O$11+'Rent Roll'!$S$11-1),1,0)</f>
        <v>0</v>
      </c>
      <c r="BR72" s="49">
        <f>IF(BR$4&gt;EOMONTH(CloseDate,'Rent Roll'!$O$11+'Rent Roll'!$S$11-1),1,0)</f>
        <v>1</v>
      </c>
      <c r="BS72" s="49">
        <f>IF(BS$4&gt;EOMONTH(CloseDate,'Rent Roll'!$O$11+'Rent Roll'!$S$11-1),1,0)</f>
        <v>1</v>
      </c>
      <c r="BT72" s="49">
        <f>IF(BT$4&gt;EOMONTH(CloseDate,'Rent Roll'!$O$11+'Rent Roll'!$S$11-1),1,0)</f>
        <v>1</v>
      </c>
      <c r="BU72" s="49">
        <f>IF(BU$4&gt;EOMONTH(CloseDate,'Rent Roll'!$O$11+'Rent Roll'!$S$11-1),1,0)</f>
        <v>1</v>
      </c>
      <c r="BV72" s="49">
        <f>IF(BV$4&gt;EOMONTH(CloseDate,'Rent Roll'!$O$11+'Rent Roll'!$S$11-1),1,0)</f>
        <v>1</v>
      </c>
      <c r="BW72" s="49">
        <f>IF(BW$4&gt;EOMONTH(CloseDate,'Rent Roll'!$O$11+'Rent Roll'!$S$11-1),1,0)</f>
        <v>1</v>
      </c>
      <c r="BX72" s="49">
        <f>IF(BX$4&gt;EOMONTH(CloseDate,'Rent Roll'!$O$11+'Rent Roll'!$S$11-1),1,0)</f>
        <v>1</v>
      </c>
    </row>
    <row r="73" spans="1:76" hidden="1" outlineLevel="1">
      <c r="B73" t="s">
        <v>162</v>
      </c>
      <c r="D73" s="49">
        <f>IF(D72=1,'Rent Roll'!$F$11*'Rent Roll'!$X$11/12*D$6,0)</f>
        <v>0</v>
      </c>
      <c r="E73" s="49">
        <f>IF(E72=1,'Rent Roll'!$F$11*'Rent Roll'!$X$11/12*E$6,0)</f>
        <v>0</v>
      </c>
      <c r="F73" s="49">
        <f>IF(F72=1,'Rent Roll'!$F$11*'Rent Roll'!$X$11/12*F$6,0)</f>
        <v>0</v>
      </c>
      <c r="G73" s="49">
        <f>IF(G72=1,'Rent Roll'!$F$11*'Rent Roll'!$X$11/12*G$6,0)</f>
        <v>0</v>
      </c>
      <c r="H73" s="49">
        <f>IF(H72=1,'Rent Roll'!$F$11*'Rent Roll'!$X$11/12*H$6,0)</f>
        <v>0</v>
      </c>
      <c r="I73" s="49">
        <f>IF(I72=1,'Rent Roll'!$F$11*'Rent Roll'!$X$11/12*I$6,0)</f>
        <v>0</v>
      </c>
      <c r="J73" s="49">
        <f>IF(J72=1,'Rent Roll'!$F$11*'Rent Roll'!$X$11/12*J$6,0)</f>
        <v>0</v>
      </c>
      <c r="K73" s="49">
        <f>IF(K72=1,'Rent Roll'!$F$11*'Rent Roll'!$X$11/12*K$6,0)</f>
        <v>0</v>
      </c>
      <c r="L73" s="49">
        <f>IF(L72=1,'Rent Roll'!$F$11*'Rent Roll'!$X$11/12*L$6,0)</f>
        <v>0</v>
      </c>
      <c r="M73" s="49">
        <f>IF(M72=1,'Rent Roll'!$F$11*'Rent Roll'!$X$11/12*M$6,0)</f>
        <v>0</v>
      </c>
      <c r="N73" s="49">
        <f>IF(N72=1,'Rent Roll'!$F$11*'Rent Roll'!$X$11/12*N$6,0)</f>
        <v>0</v>
      </c>
      <c r="O73" s="49">
        <f>IF(O72=1,'Rent Roll'!$F$11*'Rent Roll'!$X$11/12*O$6,0)</f>
        <v>0</v>
      </c>
      <c r="P73" s="49">
        <f>IF(P72=1,'Rent Roll'!$F$11*'Rent Roll'!$X$11/12*P$6,0)</f>
        <v>0</v>
      </c>
      <c r="Q73" s="49">
        <f>IF(Q72=1,'Rent Roll'!$F$11*'Rent Roll'!$X$11/12*Q$6,0)</f>
        <v>0</v>
      </c>
      <c r="R73" s="49">
        <f>IF(R72=1,'Rent Roll'!$F$11*'Rent Roll'!$X$11/12*R$6,0)</f>
        <v>0</v>
      </c>
      <c r="S73" s="49">
        <f>IF(S72=1,'Rent Roll'!$F$11*'Rent Roll'!$X$11/12*S$6,0)</f>
        <v>0</v>
      </c>
      <c r="T73" s="49">
        <f>IF(T72=1,'Rent Roll'!$F$11*'Rent Roll'!$X$11/12*T$6,0)</f>
        <v>0</v>
      </c>
      <c r="U73" s="49">
        <f>IF(U72=1,'Rent Roll'!$F$11*'Rent Roll'!$X$11/12*U$6,0)</f>
        <v>0</v>
      </c>
      <c r="V73" s="49">
        <f>IF(V72=1,'Rent Roll'!$F$11*'Rent Roll'!$X$11/12*V$6,0)</f>
        <v>0</v>
      </c>
      <c r="W73" s="49">
        <f>IF(W72=1,'Rent Roll'!$F$11*'Rent Roll'!$X$11/12*W$6,0)</f>
        <v>0</v>
      </c>
      <c r="X73" s="49">
        <f>IF(X72=1,'Rent Roll'!$F$11*'Rent Roll'!$X$11/12*X$6,0)</f>
        <v>0</v>
      </c>
      <c r="Y73" s="49">
        <f>IF(Y72=1,'Rent Roll'!$F$11*'Rent Roll'!$X$11/12*Y$6,0)</f>
        <v>0</v>
      </c>
      <c r="Z73" s="49">
        <f>IF(Z72=1,'Rent Roll'!$F$11*'Rent Roll'!$X$11/12*Z$6,0)</f>
        <v>0</v>
      </c>
      <c r="AA73" s="49">
        <f>IF(AA72=1,'Rent Roll'!$F$11*'Rent Roll'!$X$11/12*AA$6,0)</f>
        <v>0</v>
      </c>
      <c r="AB73" s="49">
        <f>IF(AB72=1,'Rent Roll'!$F$11*'Rent Roll'!$X$11/12*AB$6,0)</f>
        <v>0</v>
      </c>
      <c r="AC73" s="49">
        <f>IF(AC72=1,'Rent Roll'!$F$11*'Rent Roll'!$X$11/12*AC$6,0)</f>
        <v>0</v>
      </c>
      <c r="AD73" s="49">
        <f>IF(AD72=1,'Rent Roll'!$F$11*'Rent Roll'!$X$11/12*AD$6,0)</f>
        <v>0</v>
      </c>
      <c r="AE73" s="49">
        <f>IF(AE72=1,'Rent Roll'!$F$11*'Rent Roll'!$X$11/12*AE$6,0)</f>
        <v>0</v>
      </c>
      <c r="AF73" s="49">
        <f>IF(AF72=1,'Rent Roll'!$F$11*'Rent Roll'!$X$11/12*AF$6,0)</f>
        <v>0</v>
      </c>
      <c r="AG73" s="49">
        <f>IF(AG72=1,'Rent Roll'!$F$11*'Rent Roll'!$X$11/12*AG$6,0)</f>
        <v>0</v>
      </c>
      <c r="AH73" s="49">
        <f>IF(AH72=1,'Rent Roll'!$F$11*'Rent Roll'!$X$11/12*AH$6,0)</f>
        <v>0</v>
      </c>
      <c r="AI73" s="49">
        <f>IF(AI72=1,'Rent Roll'!$F$11*'Rent Roll'!$X$11/12*AI$6,0)</f>
        <v>0</v>
      </c>
      <c r="AJ73" s="49">
        <f>IF(AJ72=1,'Rent Roll'!$F$11*'Rent Roll'!$X$11/12*AJ$6,0)</f>
        <v>0</v>
      </c>
      <c r="AK73" s="49">
        <f>IF(AK72=1,'Rent Roll'!$F$11*'Rent Roll'!$X$11/12*AK$6,0)</f>
        <v>0</v>
      </c>
      <c r="AL73" s="49">
        <f>IF(AL72=1,'Rent Roll'!$F$11*'Rent Roll'!$X$11/12*AL$6,0)</f>
        <v>0</v>
      </c>
      <c r="AM73" s="49">
        <f>IF(AM72=1,'Rent Roll'!$F$11*'Rent Roll'!$X$11/12*AM$6,0)</f>
        <v>0</v>
      </c>
      <c r="AN73" s="49">
        <f>IF(AN72=1,'Rent Roll'!$F$11*'Rent Roll'!$X$11/12*AN$6,0)</f>
        <v>0</v>
      </c>
      <c r="AO73" s="49">
        <f>IF(AO72=1,'Rent Roll'!$F$11*'Rent Roll'!$X$11/12*AO$6,0)</f>
        <v>0</v>
      </c>
      <c r="AP73" s="49">
        <f>IF(AP72=1,'Rent Roll'!$F$11*'Rent Roll'!$X$11/12*AP$6,0)</f>
        <v>0</v>
      </c>
      <c r="AQ73" s="49">
        <f>IF(AQ72=1,'Rent Roll'!$F$11*'Rent Roll'!$X$11/12*AQ$6,0)</f>
        <v>0</v>
      </c>
      <c r="AR73" s="49">
        <f>IF(AR72=1,'Rent Roll'!$F$11*'Rent Roll'!$X$11/12*AR$6,0)</f>
        <v>0</v>
      </c>
      <c r="AS73" s="49">
        <f>IF(AS72=1,'Rent Roll'!$F$11*'Rent Roll'!$X$11/12*AS$6,0)</f>
        <v>0</v>
      </c>
      <c r="AT73" s="49">
        <f>IF(AT72=1,'Rent Roll'!$F$11*'Rent Roll'!$X$11/12*AT$6,0)</f>
        <v>0</v>
      </c>
      <c r="AU73" s="49">
        <f>IF(AU72=1,'Rent Roll'!$F$11*'Rent Roll'!$X$11/12*AU$6,0)</f>
        <v>0</v>
      </c>
      <c r="AV73" s="49">
        <f>IF(AV72=1,'Rent Roll'!$F$11*'Rent Roll'!$X$11/12*AV$6,0)</f>
        <v>0</v>
      </c>
      <c r="AW73" s="49">
        <f>IF(AW72=1,'Rent Roll'!$F$11*'Rent Roll'!$X$11/12*AW$6,0)</f>
        <v>0</v>
      </c>
      <c r="AX73" s="49">
        <f>IF(AX72=1,'Rent Roll'!$F$11*'Rent Roll'!$X$11/12*AX$6,0)</f>
        <v>0</v>
      </c>
      <c r="AY73" s="49">
        <f>IF(AY72=1,'Rent Roll'!$F$11*'Rent Roll'!$X$11/12*AY$6,0)</f>
        <v>0</v>
      </c>
      <c r="AZ73" s="49">
        <f>IF(AZ72=1,'Rent Roll'!$F$11*'Rent Roll'!$X$11/12*AZ$6,0)</f>
        <v>0</v>
      </c>
      <c r="BA73" s="49">
        <f>IF(BA72=1,'Rent Roll'!$F$11*'Rent Roll'!$X$11/12*BA$6,0)</f>
        <v>0</v>
      </c>
      <c r="BB73" s="49">
        <f>IF(BB72=1,'Rent Roll'!$F$11*'Rent Roll'!$X$11/12*BB$6,0)</f>
        <v>0</v>
      </c>
      <c r="BC73" s="49">
        <f>IF(BC72=1,'Rent Roll'!$F$11*'Rent Roll'!$X$11/12*BC$6,0)</f>
        <v>0</v>
      </c>
      <c r="BD73" s="49">
        <f>IF(BD72=1,'Rent Roll'!$F$11*'Rent Roll'!$X$11/12*BD$6,0)</f>
        <v>0</v>
      </c>
      <c r="BE73" s="49">
        <f>IF(BE72=1,'Rent Roll'!$F$11*'Rent Roll'!$X$11/12*BE$6,0)</f>
        <v>0</v>
      </c>
      <c r="BF73" s="49">
        <f>IF(BF72=1,'Rent Roll'!$F$11*'Rent Roll'!$X$11/12*BF$6,0)</f>
        <v>0</v>
      </c>
      <c r="BG73" s="49">
        <f>IF(BG72=1,'Rent Roll'!$F$11*'Rent Roll'!$X$11/12*BG$6,0)</f>
        <v>0</v>
      </c>
      <c r="BH73" s="49">
        <f>IF(BH72=1,'Rent Roll'!$F$11*'Rent Roll'!$X$11/12*BH$6,0)</f>
        <v>0</v>
      </c>
      <c r="BI73" s="49">
        <f>IF(BI72=1,'Rent Roll'!$F$11*'Rent Roll'!$X$11/12*BI$6,0)</f>
        <v>0</v>
      </c>
      <c r="BJ73" s="49">
        <f>IF(BJ72=1,'Rent Roll'!$F$11*'Rent Roll'!$X$11/12*BJ$6,0)</f>
        <v>0</v>
      </c>
      <c r="BK73" s="49">
        <f>IF(BK72=1,'Rent Roll'!$F$11*'Rent Roll'!$X$11/12*BK$6,0)</f>
        <v>0</v>
      </c>
      <c r="BL73" s="49">
        <f>IF(BL72=1,'Rent Roll'!$F$11*'Rent Roll'!$X$11/12*BL$6,0)</f>
        <v>0</v>
      </c>
      <c r="BM73" s="49">
        <f>IF(BM72=1,'Rent Roll'!$F$11*'Rent Roll'!$X$11/12*BM$6,0)</f>
        <v>0</v>
      </c>
      <c r="BN73" s="49">
        <f>IF(BN72=1,'Rent Roll'!$F$11*'Rent Roll'!$X$11/12*BN$6,0)</f>
        <v>0</v>
      </c>
      <c r="BO73" s="49">
        <f>IF(BO72=1,'Rent Roll'!$F$11*'Rent Roll'!$X$11/12*BO$6,0)</f>
        <v>0</v>
      </c>
      <c r="BP73" s="49">
        <f>IF(BP72=1,'Rent Roll'!$F$11*'Rent Roll'!$X$11/12*BP$6,0)</f>
        <v>0</v>
      </c>
      <c r="BQ73" s="49">
        <f>IF(BQ72=1,'Rent Roll'!$F$11*'Rent Roll'!$X$11/12*BQ$6,0)</f>
        <v>0</v>
      </c>
      <c r="BR73" s="49">
        <f>IF(BR72=1,'Rent Roll'!$F$11*'Rent Roll'!$X$11/12*BR$6,0)</f>
        <v>22916.916109171998</v>
      </c>
      <c r="BS73" s="49">
        <f>IF(BS72=1,'Rent Roll'!$F$11*'Rent Roll'!$X$11/12*BS$6,0)</f>
        <v>22916.916109171998</v>
      </c>
      <c r="BT73" s="49">
        <f>IF(BT72=1,'Rent Roll'!$F$11*'Rent Roll'!$X$11/12*BT$6,0)</f>
        <v>22916.916109171998</v>
      </c>
      <c r="BU73" s="49">
        <f>IF(BU72=1,'Rent Roll'!$F$11*'Rent Roll'!$X$11/12*BU$6,0)</f>
        <v>22916.916109171998</v>
      </c>
      <c r="BV73" s="49">
        <f>IF(BV72=1,'Rent Roll'!$F$11*'Rent Roll'!$X$11/12*BV$6,0)</f>
        <v>22916.916109171998</v>
      </c>
      <c r="BW73" s="49">
        <f>IF(BW72=1,'Rent Roll'!$F$11*'Rent Roll'!$X$11/12*BW$6,0)</f>
        <v>22916.916109171998</v>
      </c>
      <c r="BX73" s="49">
        <f>IF(BX72=1,'Rent Roll'!$F$11*'Rent Roll'!$X$11/12*BX$6,0)</f>
        <v>22916.916109171998</v>
      </c>
    </row>
    <row r="74" spans="1:76" hidden="1" outlineLevel="1">
      <c r="B74" t="s">
        <v>163</v>
      </c>
      <c r="D74" s="49">
        <f>IF(AND(D$4&gt;EOMONTH(CloseDate,'Rent Roll'!$O$11+'Rent Roll'!$S$11-1),D$4&lt;=EOMONTH(CloseDate,'Rent Roll'!$O$11+'Rent Roll'!$S$11-1+'Rent Roll'!$V$11)),-D73,0)</f>
        <v>0</v>
      </c>
      <c r="E74" s="49">
        <f>IF(AND(E$4&gt;EOMONTH(CloseDate,'Rent Roll'!$O$11+'Rent Roll'!$S$11-1),E$4&lt;=EOMONTH(CloseDate,'Rent Roll'!$O$11+'Rent Roll'!$S$11-1+'Rent Roll'!$V$11)),-E73,0)</f>
        <v>0</v>
      </c>
      <c r="F74" s="49">
        <f>IF(AND(F$4&gt;EOMONTH(CloseDate,'Rent Roll'!$O$11+'Rent Roll'!$S$11-1),F$4&lt;=EOMONTH(CloseDate,'Rent Roll'!$O$11+'Rent Roll'!$S$11-1+'Rent Roll'!$V$11)),-F73,0)</f>
        <v>0</v>
      </c>
      <c r="G74" s="49">
        <f>IF(AND(G$4&gt;EOMONTH(CloseDate,'Rent Roll'!$O$11+'Rent Roll'!$S$11-1),G$4&lt;=EOMONTH(CloseDate,'Rent Roll'!$O$11+'Rent Roll'!$S$11-1+'Rent Roll'!$V$11)),-G73,0)</f>
        <v>0</v>
      </c>
      <c r="H74" s="49">
        <f>IF(AND(H$4&gt;EOMONTH(CloseDate,'Rent Roll'!$O$11+'Rent Roll'!$S$11-1),H$4&lt;=EOMONTH(CloseDate,'Rent Roll'!$O$11+'Rent Roll'!$S$11-1+'Rent Roll'!$V$11)),-H73,0)</f>
        <v>0</v>
      </c>
      <c r="I74" s="49">
        <f>IF(AND(I$4&gt;EOMONTH(CloseDate,'Rent Roll'!$O$11+'Rent Roll'!$S$11-1),I$4&lt;=EOMONTH(CloseDate,'Rent Roll'!$O$11+'Rent Roll'!$S$11-1+'Rent Roll'!$V$11)),-I73,0)</f>
        <v>0</v>
      </c>
      <c r="J74" s="49">
        <f>IF(AND(J$4&gt;EOMONTH(CloseDate,'Rent Roll'!$O$11+'Rent Roll'!$S$11-1),J$4&lt;=EOMONTH(CloseDate,'Rent Roll'!$O$11+'Rent Roll'!$S$11-1+'Rent Roll'!$V$11)),-J73,0)</f>
        <v>0</v>
      </c>
      <c r="K74" s="49">
        <f>IF(AND(K$4&gt;EOMONTH(CloseDate,'Rent Roll'!$O$11+'Rent Roll'!$S$11-1),K$4&lt;=EOMONTH(CloseDate,'Rent Roll'!$O$11+'Rent Roll'!$S$11-1+'Rent Roll'!$V$11)),-K73,0)</f>
        <v>0</v>
      </c>
      <c r="L74" s="49">
        <f>IF(AND(L$4&gt;EOMONTH(CloseDate,'Rent Roll'!$O$11+'Rent Roll'!$S$11-1),L$4&lt;=EOMONTH(CloseDate,'Rent Roll'!$O$11+'Rent Roll'!$S$11-1+'Rent Roll'!$V$11)),-L73,0)</f>
        <v>0</v>
      </c>
      <c r="M74" s="49">
        <f>IF(AND(M$4&gt;EOMONTH(CloseDate,'Rent Roll'!$O$11+'Rent Roll'!$S$11-1),M$4&lt;=EOMONTH(CloseDate,'Rent Roll'!$O$11+'Rent Roll'!$S$11-1+'Rent Roll'!$V$11)),-M73,0)</f>
        <v>0</v>
      </c>
      <c r="N74" s="49">
        <f>IF(AND(N$4&gt;EOMONTH(CloseDate,'Rent Roll'!$O$11+'Rent Roll'!$S$11-1),N$4&lt;=EOMONTH(CloseDate,'Rent Roll'!$O$11+'Rent Roll'!$S$11-1+'Rent Roll'!$V$11)),-N73,0)</f>
        <v>0</v>
      </c>
      <c r="O74" s="49">
        <f>IF(AND(O$4&gt;EOMONTH(CloseDate,'Rent Roll'!$O$11+'Rent Roll'!$S$11-1),O$4&lt;=EOMONTH(CloseDate,'Rent Roll'!$O$11+'Rent Roll'!$S$11-1+'Rent Roll'!$V$11)),-O73,0)</f>
        <v>0</v>
      </c>
      <c r="P74" s="49">
        <f>IF(AND(P$4&gt;EOMONTH(CloseDate,'Rent Roll'!$O$11+'Rent Roll'!$S$11-1),P$4&lt;=EOMONTH(CloseDate,'Rent Roll'!$O$11+'Rent Roll'!$S$11-1+'Rent Roll'!$V$11)),-P73,0)</f>
        <v>0</v>
      </c>
      <c r="Q74" s="49">
        <f>IF(AND(Q$4&gt;EOMONTH(CloseDate,'Rent Roll'!$O$11+'Rent Roll'!$S$11-1),Q$4&lt;=EOMONTH(CloseDate,'Rent Roll'!$O$11+'Rent Roll'!$S$11-1+'Rent Roll'!$V$11)),-Q73,0)</f>
        <v>0</v>
      </c>
      <c r="R74" s="49">
        <f>IF(AND(R$4&gt;EOMONTH(CloseDate,'Rent Roll'!$O$11+'Rent Roll'!$S$11-1),R$4&lt;=EOMONTH(CloseDate,'Rent Roll'!$O$11+'Rent Roll'!$S$11-1+'Rent Roll'!$V$11)),-R73,0)</f>
        <v>0</v>
      </c>
      <c r="S74" s="49">
        <f>IF(AND(S$4&gt;EOMONTH(CloseDate,'Rent Roll'!$O$11+'Rent Roll'!$S$11-1),S$4&lt;=EOMONTH(CloseDate,'Rent Roll'!$O$11+'Rent Roll'!$S$11-1+'Rent Roll'!$V$11)),-S73,0)</f>
        <v>0</v>
      </c>
      <c r="T74" s="49">
        <f>IF(AND(T$4&gt;EOMONTH(CloseDate,'Rent Roll'!$O$11+'Rent Roll'!$S$11-1),T$4&lt;=EOMONTH(CloseDate,'Rent Roll'!$O$11+'Rent Roll'!$S$11-1+'Rent Roll'!$V$11)),-T73,0)</f>
        <v>0</v>
      </c>
      <c r="U74" s="49">
        <f>IF(AND(U$4&gt;EOMONTH(CloseDate,'Rent Roll'!$O$11+'Rent Roll'!$S$11-1),U$4&lt;=EOMONTH(CloseDate,'Rent Roll'!$O$11+'Rent Roll'!$S$11-1+'Rent Roll'!$V$11)),-U73,0)</f>
        <v>0</v>
      </c>
      <c r="V74" s="49">
        <f>IF(AND(V$4&gt;EOMONTH(CloseDate,'Rent Roll'!$O$11+'Rent Roll'!$S$11-1),V$4&lt;=EOMONTH(CloseDate,'Rent Roll'!$O$11+'Rent Roll'!$S$11-1+'Rent Roll'!$V$11)),-V73,0)</f>
        <v>0</v>
      </c>
      <c r="W74" s="49">
        <f>IF(AND(W$4&gt;EOMONTH(CloseDate,'Rent Roll'!$O$11+'Rent Roll'!$S$11-1),W$4&lt;=EOMONTH(CloseDate,'Rent Roll'!$O$11+'Rent Roll'!$S$11-1+'Rent Roll'!$V$11)),-W73,0)</f>
        <v>0</v>
      </c>
      <c r="X74" s="49">
        <f>IF(AND(X$4&gt;EOMONTH(CloseDate,'Rent Roll'!$O$11+'Rent Roll'!$S$11-1),X$4&lt;=EOMONTH(CloseDate,'Rent Roll'!$O$11+'Rent Roll'!$S$11-1+'Rent Roll'!$V$11)),-X73,0)</f>
        <v>0</v>
      </c>
      <c r="Y74" s="49">
        <f>IF(AND(Y$4&gt;EOMONTH(CloseDate,'Rent Roll'!$O$11+'Rent Roll'!$S$11-1),Y$4&lt;=EOMONTH(CloseDate,'Rent Roll'!$O$11+'Rent Roll'!$S$11-1+'Rent Roll'!$V$11)),-Y73,0)</f>
        <v>0</v>
      </c>
      <c r="Z74" s="49">
        <f>IF(AND(Z$4&gt;EOMONTH(CloseDate,'Rent Roll'!$O$11+'Rent Roll'!$S$11-1),Z$4&lt;=EOMONTH(CloseDate,'Rent Roll'!$O$11+'Rent Roll'!$S$11-1+'Rent Roll'!$V$11)),-Z73,0)</f>
        <v>0</v>
      </c>
      <c r="AA74" s="49">
        <f>IF(AND(AA$4&gt;EOMONTH(CloseDate,'Rent Roll'!$O$11+'Rent Roll'!$S$11-1),AA$4&lt;=EOMONTH(CloseDate,'Rent Roll'!$O$11+'Rent Roll'!$S$11-1+'Rent Roll'!$V$11)),-AA73,0)</f>
        <v>0</v>
      </c>
      <c r="AB74" s="49">
        <f>IF(AND(AB$4&gt;EOMONTH(CloseDate,'Rent Roll'!$O$11+'Rent Roll'!$S$11-1),AB$4&lt;=EOMONTH(CloseDate,'Rent Roll'!$O$11+'Rent Roll'!$S$11-1+'Rent Roll'!$V$11)),-AB73,0)</f>
        <v>0</v>
      </c>
      <c r="AC74" s="49">
        <f>IF(AND(AC$4&gt;EOMONTH(CloseDate,'Rent Roll'!$O$11+'Rent Roll'!$S$11-1),AC$4&lt;=EOMONTH(CloseDate,'Rent Roll'!$O$11+'Rent Roll'!$S$11-1+'Rent Roll'!$V$11)),-AC73,0)</f>
        <v>0</v>
      </c>
      <c r="AD74" s="49">
        <f>IF(AND(AD$4&gt;EOMONTH(CloseDate,'Rent Roll'!$O$11+'Rent Roll'!$S$11-1),AD$4&lt;=EOMONTH(CloseDate,'Rent Roll'!$O$11+'Rent Roll'!$S$11-1+'Rent Roll'!$V$11)),-AD73,0)</f>
        <v>0</v>
      </c>
      <c r="AE74" s="49">
        <f>IF(AND(AE$4&gt;EOMONTH(CloseDate,'Rent Roll'!$O$11+'Rent Roll'!$S$11-1),AE$4&lt;=EOMONTH(CloseDate,'Rent Roll'!$O$11+'Rent Roll'!$S$11-1+'Rent Roll'!$V$11)),-AE73,0)</f>
        <v>0</v>
      </c>
      <c r="AF74" s="49">
        <f>IF(AND(AF$4&gt;EOMONTH(CloseDate,'Rent Roll'!$O$11+'Rent Roll'!$S$11-1),AF$4&lt;=EOMONTH(CloseDate,'Rent Roll'!$O$11+'Rent Roll'!$S$11-1+'Rent Roll'!$V$11)),-AF73,0)</f>
        <v>0</v>
      </c>
      <c r="AG74" s="49">
        <f>IF(AND(AG$4&gt;EOMONTH(CloseDate,'Rent Roll'!$O$11+'Rent Roll'!$S$11-1),AG$4&lt;=EOMONTH(CloseDate,'Rent Roll'!$O$11+'Rent Roll'!$S$11-1+'Rent Roll'!$V$11)),-AG73,0)</f>
        <v>0</v>
      </c>
      <c r="AH74" s="49">
        <f>IF(AND(AH$4&gt;EOMONTH(CloseDate,'Rent Roll'!$O$11+'Rent Roll'!$S$11-1),AH$4&lt;=EOMONTH(CloseDate,'Rent Roll'!$O$11+'Rent Roll'!$S$11-1+'Rent Roll'!$V$11)),-AH73,0)</f>
        <v>0</v>
      </c>
      <c r="AI74" s="49">
        <f>IF(AND(AI$4&gt;EOMONTH(CloseDate,'Rent Roll'!$O$11+'Rent Roll'!$S$11-1),AI$4&lt;=EOMONTH(CloseDate,'Rent Roll'!$O$11+'Rent Roll'!$S$11-1+'Rent Roll'!$V$11)),-AI73,0)</f>
        <v>0</v>
      </c>
      <c r="AJ74" s="49">
        <f>IF(AND(AJ$4&gt;EOMONTH(CloseDate,'Rent Roll'!$O$11+'Rent Roll'!$S$11-1),AJ$4&lt;=EOMONTH(CloseDate,'Rent Roll'!$O$11+'Rent Roll'!$S$11-1+'Rent Roll'!$V$11)),-AJ73,0)</f>
        <v>0</v>
      </c>
      <c r="AK74" s="49">
        <f>IF(AND(AK$4&gt;EOMONTH(CloseDate,'Rent Roll'!$O$11+'Rent Roll'!$S$11-1),AK$4&lt;=EOMONTH(CloseDate,'Rent Roll'!$O$11+'Rent Roll'!$S$11-1+'Rent Roll'!$V$11)),-AK73,0)</f>
        <v>0</v>
      </c>
      <c r="AL74" s="49">
        <f>IF(AND(AL$4&gt;EOMONTH(CloseDate,'Rent Roll'!$O$11+'Rent Roll'!$S$11-1),AL$4&lt;=EOMONTH(CloseDate,'Rent Roll'!$O$11+'Rent Roll'!$S$11-1+'Rent Roll'!$V$11)),-AL73,0)</f>
        <v>0</v>
      </c>
      <c r="AM74" s="49">
        <f>IF(AND(AM$4&gt;EOMONTH(CloseDate,'Rent Roll'!$O$11+'Rent Roll'!$S$11-1),AM$4&lt;=EOMONTH(CloseDate,'Rent Roll'!$O$11+'Rent Roll'!$S$11-1+'Rent Roll'!$V$11)),-AM73,0)</f>
        <v>0</v>
      </c>
      <c r="AN74" s="49">
        <f>IF(AND(AN$4&gt;EOMONTH(CloseDate,'Rent Roll'!$O$11+'Rent Roll'!$S$11-1),AN$4&lt;=EOMONTH(CloseDate,'Rent Roll'!$O$11+'Rent Roll'!$S$11-1+'Rent Roll'!$V$11)),-AN73,0)</f>
        <v>0</v>
      </c>
      <c r="AO74" s="49">
        <f>IF(AND(AO$4&gt;EOMONTH(CloseDate,'Rent Roll'!$O$11+'Rent Roll'!$S$11-1),AO$4&lt;=EOMONTH(CloseDate,'Rent Roll'!$O$11+'Rent Roll'!$S$11-1+'Rent Roll'!$V$11)),-AO73,0)</f>
        <v>0</v>
      </c>
      <c r="AP74" s="49">
        <f>IF(AND(AP$4&gt;EOMONTH(CloseDate,'Rent Roll'!$O$11+'Rent Roll'!$S$11-1),AP$4&lt;=EOMONTH(CloseDate,'Rent Roll'!$O$11+'Rent Roll'!$S$11-1+'Rent Roll'!$V$11)),-AP73,0)</f>
        <v>0</v>
      </c>
      <c r="AQ74" s="49">
        <f>IF(AND(AQ$4&gt;EOMONTH(CloseDate,'Rent Roll'!$O$11+'Rent Roll'!$S$11-1),AQ$4&lt;=EOMONTH(CloseDate,'Rent Roll'!$O$11+'Rent Roll'!$S$11-1+'Rent Roll'!$V$11)),-AQ73,0)</f>
        <v>0</v>
      </c>
      <c r="AR74" s="49">
        <f>IF(AND(AR$4&gt;EOMONTH(CloseDate,'Rent Roll'!$O$11+'Rent Roll'!$S$11-1),AR$4&lt;=EOMONTH(CloseDate,'Rent Roll'!$O$11+'Rent Roll'!$S$11-1+'Rent Roll'!$V$11)),-AR73,0)</f>
        <v>0</v>
      </c>
      <c r="AS74" s="49">
        <f>IF(AND(AS$4&gt;EOMONTH(CloseDate,'Rent Roll'!$O$11+'Rent Roll'!$S$11-1),AS$4&lt;=EOMONTH(CloseDate,'Rent Roll'!$O$11+'Rent Roll'!$S$11-1+'Rent Roll'!$V$11)),-AS73,0)</f>
        <v>0</v>
      </c>
      <c r="AT74" s="49">
        <f>IF(AND(AT$4&gt;EOMONTH(CloseDate,'Rent Roll'!$O$11+'Rent Roll'!$S$11-1),AT$4&lt;=EOMONTH(CloseDate,'Rent Roll'!$O$11+'Rent Roll'!$S$11-1+'Rent Roll'!$V$11)),-AT73,0)</f>
        <v>0</v>
      </c>
      <c r="AU74" s="49">
        <f>IF(AND(AU$4&gt;EOMONTH(CloseDate,'Rent Roll'!$O$11+'Rent Roll'!$S$11-1),AU$4&lt;=EOMONTH(CloseDate,'Rent Roll'!$O$11+'Rent Roll'!$S$11-1+'Rent Roll'!$V$11)),-AU73,0)</f>
        <v>0</v>
      </c>
      <c r="AV74" s="49">
        <f>IF(AND(AV$4&gt;EOMONTH(CloseDate,'Rent Roll'!$O$11+'Rent Roll'!$S$11-1),AV$4&lt;=EOMONTH(CloseDate,'Rent Roll'!$O$11+'Rent Roll'!$S$11-1+'Rent Roll'!$V$11)),-AV73,0)</f>
        <v>0</v>
      </c>
      <c r="AW74" s="49">
        <f>IF(AND(AW$4&gt;EOMONTH(CloseDate,'Rent Roll'!$O$11+'Rent Roll'!$S$11-1),AW$4&lt;=EOMONTH(CloseDate,'Rent Roll'!$O$11+'Rent Roll'!$S$11-1+'Rent Roll'!$V$11)),-AW73,0)</f>
        <v>0</v>
      </c>
      <c r="AX74" s="49">
        <f>IF(AND(AX$4&gt;EOMONTH(CloseDate,'Rent Roll'!$O$11+'Rent Roll'!$S$11-1),AX$4&lt;=EOMONTH(CloseDate,'Rent Roll'!$O$11+'Rent Roll'!$S$11-1+'Rent Roll'!$V$11)),-AX73,0)</f>
        <v>0</v>
      </c>
      <c r="AY74" s="49">
        <f>IF(AND(AY$4&gt;EOMONTH(CloseDate,'Rent Roll'!$O$11+'Rent Roll'!$S$11-1),AY$4&lt;=EOMONTH(CloseDate,'Rent Roll'!$O$11+'Rent Roll'!$S$11-1+'Rent Roll'!$V$11)),-AY73,0)</f>
        <v>0</v>
      </c>
      <c r="AZ74" s="49">
        <f>IF(AND(AZ$4&gt;EOMONTH(CloseDate,'Rent Roll'!$O$11+'Rent Roll'!$S$11-1),AZ$4&lt;=EOMONTH(CloseDate,'Rent Roll'!$O$11+'Rent Roll'!$S$11-1+'Rent Roll'!$V$11)),-AZ73,0)</f>
        <v>0</v>
      </c>
      <c r="BA74" s="49">
        <f>IF(AND(BA$4&gt;EOMONTH(CloseDate,'Rent Roll'!$O$11+'Rent Roll'!$S$11-1),BA$4&lt;=EOMONTH(CloseDate,'Rent Roll'!$O$11+'Rent Roll'!$S$11-1+'Rent Roll'!$V$11)),-BA73,0)</f>
        <v>0</v>
      </c>
      <c r="BB74" s="49">
        <f>IF(AND(BB$4&gt;EOMONTH(CloseDate,'Rent Roll'!$O$11+'Rent Roll'!$S$11-1),BB$4&lt;=EOMONTH(CloseDate,'Rent Roll'!$O$11+'Rent Roll'!$S$11-1+'Rent Roll'!$V$11)),-BB73,0)</f>
        <v>0</v>
      </c>
      <c r="BC74" s="49">
        <f>IF(AND(BC$4&gt;EOMONTH(CloseDate,'Rent Roll'!$O$11+'Rent Roll'!$S$11-1),BC$4&lt;=EOMONTH(CloseDate,'Rent Roll'!$O$11+'Rent Roll'!$S$11-1+'Rent Roll'!$V$11)),-BC73,0)</f>
        <v>0</v>
      </c>
      <c r="BD74" s="49">
        <f>IF(AND(BD$4&gt;EOMONTH(CloseDate,'Rent Roll'!$O$11+'Rent Roll'!$S$11-1),BD$4&lt;=EOMONTH(CloseDate,'Rent Roll'!$O$11+'Rent Roll'!$S$11-1+'Rent Roll'!$V$11)),-BD73,0)</f>
        <v>0</v>
      </c>
      <c r="BE74" s="49">
        <f>IF(AND(BE$4&gt;EOMONTH(CloseDate,'Rent Roll'!$O$11+'Rent Roll'!$S$11-1),BE$4&lt;=EOMONTH(CloseDate,'Rent Roll'!$O$11+'Rent Roll'!$S$11-1+'Rent Roll'!$V$11)),-BE73,0)</f>
        <v>0</v>
      </c>
      <c r="BF74" s="49">
        <f>IF(AND(BF$4&gt;EOMONTH(CloseDate,'Rent Roll'!$O$11+'Rent Roll'!$S$11-1),BF$4&lt;=EOMONTH(CloseDate,'Rent Roll'!$O$11+'Rent Roll'!$S$11-1+'Rent Roll'!$V$11)),-BF73,0)</f>
        <v>0</v>
      </c>
      <c r="BG74" s="49">
        <f>IF(AND(BG$4&gt;EOMONTH(CloseDate,'Rent Roll'!$O$11+'Rent Roll'!$S$11-1),BG$4&lt;=EOMONTH(CloseDate,'Rent Roll'!$O$11+'Rent Roll'!$S$11-1+'Rent Roll'!$V$11)),-BG73,0)</f>
        <v>0</v>
      </c>
      <c r="BH74" s="49">
        <f>IF(AND(BH$4&gt;EOMONTH(CloseDate,'Rent Roll'!$O$11+'Rent Roll'!$S$11-1),BH$4&lt;=EOMONTH(CloseDate,'Rent Roll'!$O$11+'Rent Roll'!$S$11-1+'Rent Roll'!$V$11)),-BH73,0)</f>
        <v>0</v>
      </c>
      <c r="BI74" s="49">
        <f>IF(AND(BI$4&gt;EOMONTH(CloseDate,'Rent Roll'!$O$11+'Rent Roll'!$S$11-1),BI$4&lt;=EOMONTH(CloseDate,'Rent Roll'!$O$11+'Rent Roll'!$S$11-1+'Rent Roll'!$V$11)),-BI73,0)</f>
        <v>0</v>
      </c>
      <c r="BJ74" s="49">
        <f>IF(AND(BJ$4&gt;EOMONTH(CloseDate,'Rent Roll'!$O$11+'Rent Roll'!$S$11-1),BJ$4&lt;=EOMONTH(CloseDate,'Rent Roll'!$O$11+'Rent Roll'!$S$11-1+'Rent Roll'!$V$11)),-BJ73,0)</f>
        <v>0</v>
      </c>
      <c r="BK74" s="49">
        <f>IF(AND(BK$4&gt;EOMONTH(CloseDate,'Rent Roll'!$O$11+'Rent Roll'!$S$11-1),BK$4&lt;=EOMONTH(CloseDate,'Rent Roll'!$O$11+'Rent Roll'!$S$11-1+'Rent Roll'!$V$11)),-BK73,0)</f>
        <v>0</v>
      </c>
      <c r="BL74" s="49">
        <f>IF(AND(BL$4&gt;EOMONTH(CloseDate,'Rent Roll'!$O$11+'Rent Roll'!$S$11-1),BL$4&lt;=EOMONTH(CloseDate,'Rent Roll'!$O$11+'Rent Roll'!$S$11-1+'Rent Roll'!$V$11)),-BL73,0)</f>
        <v>0</v>
      </c>
      <c r="BM74" s="49">
        <f>IF(AND(BM$4&gt;EOMONTH(CloseDate,'Rent Roll'!$O$11+'Rent Roll'!$S$11-1),BM$4&lt;=EOMONTH(CloseDate,'Rent Roll'!$O$11+'Rent Roll'!$S$11-1+'Rent Roll'!$V$11)),-BM73,0)</f>
        <v>0</v>
      </c>
      <c r="BN74" s="49">
        <f>IF(AND(BN$4&gt;EOMONTH(CloseDate,'Rent Roll'!$O$11+'Rent Roll'!$S$11-1),BN$4&lt;=EOMONTH(CloseDate,'Rent Roll'!$O$11+'Rent Roll'!$S$11-1+'Rent Roll'!$V$11)),-BN73,0)</f>
        <v>0</v>
      </c>
      <c r="BO74" s="49">
        <f>IF(AND(BO$4&gt;EOMONTH(CloseDate,'Rent Roll'!$O$11+'Rent Roll'!$S$11-1),BO$4&lt;=EOMONTH(CloseDate,'Rent Roll'!$O$11+'Rent Roll'!$S$11-1+'Rent Roll'!$V$11)),-BO73,0)</f>
        <v>0</v>
      </c>
      <c r="BP74" s="49">
        <f>IF(AND(BP$4&gt;EOMONTH(CloseDate,'Rent Roll'!$O$11+'Rent Roll'!$S$11-1),BP$4&lt;=EOMONTH(CloseDate,'Rent Roll'!$O$11+'Rent Roll'!$S$11-1+'Rent Roll'!$V$11)),-BP73,0)</f>
        <v>0</v>
      </c>
      <c r="BQ74" s="49">
        <f>IF(AND(BQ$4&gt;EOMONTH(CloseDate,'Rent Roll'!$O$11+'Rent Roll'!$S$11-1),BQ$4&lt;=EOMONTH(CloseDate,'Rent Roll'!$O$11+'Rent Roll'!$S$11-1+'Rent Roll'!$V$11)),-BQ73,0)</f>
        <v>0</v>
      </c>
      <c r="BR74" s="49">
        <f>IF(AND(BR$4&gt;EOMONTH(CloseDate,'Rent Roll'!$O$11+'Rent Roll'!$S$11-1),BR$4&lt;=EOMONTH(CloseDate,'Rent Roll'!$O$11+'Rent Roll'!$S$11-1+'Rent Roll'!$V$11)),-BR73,0)</f>
        <v>-22916.916109171998</v>
      </c>
      <c r="BS74" s="49">
        <f>IF(AND(BS$4&gt;EOMONTH(CloseDate,'Rent Roll'!$O$11+'Rent Roll'!$S$11-1),BS$4&lt;=EOMONTH(CloseDate,'Rent Roll'!$O$11+'Rent Roll'!$S$11-1+'Rent Roll'!$V$11)),-BS73,0)</f>
        <v>-22916.916109171998</v>
      </c>
      <c r="BT74" s="49">
        <f>IF(AND(BT$4&gt;EOMONTH(CloseDate,'Rent Roll'!$O$11+'Rent Roll'!$S$11-1),BT$4&lt;=EOMONTH(CloseDate,'Rent Roll'!$O$11+'Rent Roll'!$S$11-1+'Rent Roll'!$V$11)),-BT73,0)</f>
        <v>0</v>
      </c>
      <c r="BU74" s="49">
        <f>IF(AND(BU$4&gt;EOMONTH(CloseDate,'Rent Roll'!$O$11+'Rent Roll'!$S$11-1),BU$4&lt;=EOMONTH(CloseDate,'Rent Roll'!$O$11+'Rent Roll'!$S$11-1+'Rent Roll'!$V$11)),-BU73,0)</f>
        <v>0</v>
      </c>
      <c r="BV74" s="49">
        <f>IF(AND(BV$4&gt;EOMONTH(CloseDate,'Rent Roll'!$O$11+'Rent Roll'!$S$11-1),BV$4&lt;=EOMONTH(CloseDate,'Rent Roll'!$O$11+'Rent Roll'!$S$11-1+'Rent Roll'!$V$11)),-BV73,0)</f>
        <v>0</v>
      </c>
      <c r="BW74" s="49">
        <f>IF(AND(BW$4&gt;EOMONTH(CloseDate,'Rent Roll'!$O$11+'Rent Roll'!$S$11-1),BW$4&lt;=EOMONTH(CloseDate,'Rent Roll'!$O$11+'Rent Roll'!$S$11-1+'Rent Roll'!$V$11)),-BW73,0)</f>
        <v>0</v>
      </c>
      <c r="BX74" s="49">
        <f>IF(AND(BX$4&gt;EOMONTH(CloseDate,'Rent Roll'!$O$11+'Rent Roll'!$S$11-1),BX$4&lt;=EOMONTH(CloseDate,'Rent Roll'!$O$11+'Rent Roll'!$S$11-1+'Rent Roll'!$V$11)),-BX73,0)</f>
        <v>0</v>
      </c>
    </row>
    <row r="75" spans="1:76" hidden="1" outlineLevel="1">
      <c r="B75" t="s">
        <v>84</v>
      </c>
      <c r="D75" s="49">
        <f>D71+D73+D74</f>
        <v>16229.166666666666</v>
      </c>
      <c r="E75" s="49">
        <f t="shared" ref="E75:BJ75" si="32">E71+E73+E74</f>
        <v>16553.75</v>
      </c>
      <c r="F75" s="49">
        <f t="shared" si="32"/>
        <v>16553.75</v>
      </c>
      <c r="G75" s="49">
        <f t="shared" si="32"/>
        <v>16553.75</v>
      </c>
      <c r="H75" s="49">
        <f t="shared" si="32"/>
        <v>16553.75</v>
      </c>
      <c r="I75" s="49">
        <f t="shared" si="32"/>
        <v>16884.825000000001</v>
      </c>
      <c r="J75" s="49">
        <f t="shared" si="32"/>
        <v>16884.825000000001</v>
      </c>
      <c r="K75" s="49">
        <f t="shared" si="32"/>
        <v>16884.825000000001</v>
      </c>
      <c r="L75" s="49">
        <f t="shared" si="32"/>
        <v>16884.825000000001</v>
      </c>
      <c r="M75" s="49">
        <f t="shared" si="32"/>
        <v>16884.825000000001</v>
      </c>
      <c r="N75" s="49">
        <f t="shared" si="32"/>
        <v>16884.825000000001</v>
      </c>
      <c r="O75" s="49">
        <f t="shared" si="32"/>
        <v>16884.825000000001</v>
      </c>
      <c r="P75" s="49">
        <f t="shared" si="32"/>
        <v>16884.825000000001</v>
      </c>
      <c r="Q75" s="49">
        <f t="shared" si="32"/>
        <v>16884.825000000001</v>
      </c>
      <c r="R75" s="49">
        <f t="shared" si="32"/>
        <v>16884.825000000001</v>
      </c>
      <c r="S75" s="49">
        <f t="shared" si="32"/>
        <v>16884.825000000001</v>
      </c>
      <c r="T75" s="49">
        <f t="shared" si="32"/>
        <v>16884.825000000001</v>
      </c>
      <c r="U75" s="49">
        <f t="shared" si="32"/>
        <v>17222.521499999999</v>
      </c>
      <c r="V75" s="49">
        <f t="shared" si="32"/>
        <v>17222.521499999999</v>
      </c>
      <c r="W75" s="49">
        <f t="shared" si="32"/>
        <v>17222.521499999999</v>
      </c>
      <c r="X75" s="49">
        <f t="shared" si="32"/>
        <v>17222.521499999999</v>
      </c>
      <c r="Y75" s="49">
        <f t="shared" si="32"/>
        <v>17222.521499999999</v>
      </c>
      <c r="Z75" s="49">
        <f t="shared" si="32"/>
        <v>17222.521499999999</v>
      </c>
      <c r="AA75" s="49">
        <f t="shared" si="32"/>
        <v>17222.521499999999</v>
      </c>
      <c r="AB75" s="49">
        <f t="shared" si="32"/>
        <v>17222.521499999999</v>
      </c>
      <c r="AC75" s="49">
        <f t="shared" si="32"/>
        <v>17222.521499999999</v>
      </c>
      <c r="AD75" s="49">
        <f t="shared" si="32"/>
        <v>17222.521499999999</v>
      </c>
      <c r="AE75" s="49">
        <f t="shared" si="32"/>
        <v>17222.521499999999</v>
      </c>
      <c r="AF75" s="49">
        <f t="shared" si="32"/>
        <v>17222.521499999999</v>
      </c>
      <c r="AG75" s="49">
        <f t="shared" si="32"/>
        <v>17566.97193</v>
      </c>
      <c r="AH75" s="49">
        <f t="shared" si="32"/>
        <v>17566.97193</v>
      </c>
      <c r="AI75" s="49">
        <f t="shared" si="32"/>
        <v>17566.97193</v>
      </c>
      <c r="AJ75" s="49">
        <f t="shared" si="32"/>
        <v>17566.97193</v>
      </c>
      <c r="AK75" s="49">
        <f t="shared" si="32"/>
        <v>17566.97193</v>
      </c>
      <c r="AL75" s="49">
        <f t="shared" si="32"/>
        <v>17566.97193</v>
      </c>
      <c r="AM75" s="49">
        <f t="shared" si="32"/>
        <v>17566.97193</v>
      </c>
      <c r="AN75" s="49">
        <f t="shared" si="32"/>
        <v>17566.97193</v>
      </c>
      <c r="AO75" s="49">
        <f t="shared" si="32"/>
        <v>17566.97193</v>
      </c>
      <c r="AP75" s="49">
        <f t="shared" si="32"/>
        <v>17566.97193</v>
      </c>
      <c r="AQ75" s="49">
        <f t="shared" si="32"/>
        <v>17566.97193</v>
      </c>
      <c r="AR75" s="49">
        <f t="shared" si="32"/>
        <v>17566.97193</v>
      </c>
      <c r="AS75" s="49">
        <f t="shared" si="32"/>
        <v>17918.3113686</v>
      </c>
      <c r="AT75" s="49">
        <f t="shared" si="32"/>
        <v>17918.3113686</v>
      </c>
      <c r="AU75" s="49">
        <f t="shared" si="32"/>
        <v>17918.3113686</v>
      </c>
      <c r="AV75" s="49">
        <f t="shared" si="32"/>
        <v>17918.3113686</v>
      </c>
      <c r="AW75" s="49">
        <f t="shared" si="32"/>
        <v>17918.3113686</v>
      </c>
      <c r="AX75" s="49">
        <f t="shared" si="32"/>
        <v>17918.3113686</v>
      </c>
      <c r="AY75" s="49">
        <f t="shared" si="32"/>
        <v>17918.3113686</v>
      </c>
      <c r="AZ75" s="49">
        <f t="shared" si="32"/>
        <v>17918.3113686</v>
      </c>
      <c r="BA75" s="49">
        <f t="shared" si="32"/>
        <v>17918.3113686</v>
      </c>
      <c r="BB75" s="49">
        <f t="shared" si="32"/>
        <v>17918.3113686</v>
      </c>
      <c r="BC75" s="49">
        <f t="shared" si="32"/>
        <v>17918.3113686</v>
      </c>
      <c r="BD75" s="49">
        <f t="shared" si="32"/>
        <v>17918.3113686</v>
      </c>
      <c r="BE75" s="49">
        <f t="shared" si="32"/>
        <v>18276.677595972</v>
      </c>
      <c r="BF75" s="49">
        <f t="shared" si="32"/>
        <v>18276.677595972</v>
      </c>
      <c r="BG75" s="49">
        <f t="shared" si="32"/>
        <v>18276.677595972</v>
      </c>
      <c r="BH75" s="49">
        <f t="shared" si="32"/>
        <v>18276.677595972</v>
      </c>
      <c r="BI75" s="49">
        <f t="shared" si="32"/>
        <v>18276.677595972</v>
      </c>
      <c r="BJ75" s="49">
        <f t="shared" si="32"/>
        <v>18276.677595972</v>
      </c>
      <c r="BK75" s="49">
        <f t="shared" ref="BK75" si="33">BK71+BK73+BK74</f>
        <v>18276.677595972</v>
      </c>
      <c r="BL75" s="49">
        <f t="shared" ref="BL75:BX75" si="34">BL71+BL73+BL74</f>
        <v>18276.677595972</v>
      </c>
      <c r="BM75" s="49">
        <f t="shared" si="34"/>
        <v>0</v>
      </c>
      <c r="BN75" s="49">
        <f t="shared" si="34"/>
        <v>0</v>
      </c>
      <c r="BO75" s="49">
        <f t="shared" si="34"/>
        <v>0</v>
      </c>
      <c r="BP75" s="49">
        <f t="shared" si="34"/>
        <v>0</v>
      </c>
      <c r="BQ75" s="49">
        <f t="shared" si="34"/>
        <v>0</v>
      </c>
      <c r="BR75" s="49">
        <f t="shared" si="34"/>
        <v>0</v>
      </c>
      <c r="BS75" s="49">
        <f t="shared" si="34"/>
        <v>0</v>
      </c>
      <c r="BT75" s="49">
        <f t="shared" si="34"/>
        <v>22916.916109171998</v>
      </c>
      <c r="BU75" s="49">
        <f t="shared" si="34"/>
        <v>22916.916109171998</v>
      </c>
      <c r="BV75" s="49">
        <f t="shared" si="34"/>
        <v>22916.916109171998</v>
      </c>
      <c r="BW75" s="49">
        <f t="shared" si="34"/>
        <v>22916.916109171998</v>
      </c>
      <c r="BX75" s="49">
        <f t="shared" si="34"/>
        <v>22916.916109171998</v>
      </c>
    </row>
    <row r="76" spans="1:76" hidden="1" outlineLevel="1">
      <c r="B76" t="s">
        <v>85</v>
      </c>
      <c r="D76" s="49">
        <f>IF(OR(D70=1,D72=1),'Rent Roll'!$F$11/BldgSF*ReimbPool/12*D$7,0)</f>
        <v>8288.7499999999982</v>
      </c>
      <c r="E76" s="49">
        <f>IF(OR(E70=1,E72=1),'Rent Roll'!$F$11/BldgSF*ReimbPool/12*E$7,0)</f>
        <v>8288.7499999999982</v>
      </c>
      <c r="F76" s="49">
        <f>IF(OR(F70=1,F72=1),'Rent Roll'!$F$11/BldgSF*ReimbPool/12*F$7,0)</f>
        <v>8288.7499999999982</v>
      </c>
      <c r="G76" s="49">
        <f>IF(OR(G70=1,G72=1),'Rent Roll'!$F$11/BldgSF*ReimbPool/12*G$7,0)</f>
        <v>8288.7499999999982</v>
      </c>
      <c r="H76" s="49">
        <f>IF(OR(H70=1,H72=1),'Rent Roll'!$F$11/BldgSF*ReimbPool/12*H$7,0)</f>
        <v>8288.7499999999982</v>
      </c>
      <c r="I76" s="49">
        <f>IF(OR(I70=1,I72=1),'Rent Roll'!$F$11/BldgSF*ReimbPool/12*I$7,0)</f>
        <v>8512.5462499999976</v>
      </c>
      <c r="J76" s="49">
        <f>IF(OR(J70=1,J72=1),'Rent Roll'!$F$11/BldgSF*ReimbPool/12*J$7,0)</f>
        <v>8512.5462499999976</v>
      </c>
      <c r="K76" s="49">
        <f>IF(OR(K70=1,K72=1),'Rent Roll'!$F$11/BldgSF*ReimbPool/12*K$7,0)</f>
        <v>8512.5462499999976</v>
      </c>
      <c r="L76" s="49">
        <f>IF(OR(L70=1,L72=1),'Rent Roll'!$F$11/BldgSF*ReimbPool/12*L$7,0)</f>
        <v>8512.5462499999976</v>
      </c>
      <c r="M76" s="49">
        <f>IF(OR(M70=1,M72=1),'Rent Roll'!$F$11/BldgSF*ReimbPool/12*M$7,0)</f>
        <v>8512.5462499999976</v>
      </c>
      <c r="N76" s="49">
        <f>IF(OR(N70=1,N72=1),'Rent Roll'!$F$11/BldgSF*ReimbPool/12*N$7,0)</f>
        <v>8512.5462499999976</v>
      </c>
      <c r="O76" s="49">
        <f>IF(OR(O70=1,O72=1),'Rent Roll'!$F$11/BldgSF*ReimbPool/12*O$7,0)</f>
        <v>8512.5462499999976</v>
      </c>
      <c r="P76" s="49">
        <f>IF(OR(P70=1,P72=1),'Rent Roll'!$F$11/BldgSF*ReimbPool/12*P$7,0)</f>
        <v>8512.5462499999976</v>
      </c>
      <c r="Q76" s="49">
        <f>IF(OR(Q70=1,Q72=1),'Rent Roll'!$F$11/BldgSF*ReimbPool/12*Q$7,0)</f>
        <v>8512.5462499999976</v>
      </c>
      <c r="R76" s="49">
        <f>IF(OR(R70=1,R72=1),'Rent Roll'!$F$11/BldgSF*ReimbPool/12*R$7,0)</f>
        <v>8512.5462499999976</v>
      </c>
      <c r="S76" s="49">
        <f>IF(OR(S70=1,S72=1),'Rent Roll'!$F$11/BldgSF*ReimbPool/12*S$7,0)</f>
        <v>8512.5462499999976</v>
      </c>
      <c r="T76" s="49">
        <f>IF(OR(T70=1,T72=1),'Rent Roll'!$F$11/BldgSF*ReimbPool/12*T$7,0)</f>
        <v>8512.5462499999976</v>
      </c>
      <c r="U76" s="49">
        <f>IF(OR(U70=1,U72=1),'Rent Roll'!$F$11/BldgSF*ReimbPool/12*U$7,0)</f>
        <v>8742.3849987499962</v>
      </c>
      <c r="V76" s="49">
        <f>IF(OR(V70=1,V72=1),'Rent Roll'!$F$11/BldgSF*ReimbPool/12*V$7,0)</f>
        <v>8742.3849987499962</v>
      </c>
      <c r="W76" s="49">
        <f>IF(OR(W70=1,W72=1),'Rent Roll'!$F$11/BldgSF*ReimbPool/12*W$7,0)</f>
        <v>8742.3849987499962</v>
      </c>
      <c r="X76" s="49">
        <f>IF(OR(X70=1,X72=1),'Rent Roll'!$F$11/BldgSF*ReimbPool/12*X$7,0)</f>
        <v>8742.3849987499962</v>
      </c>
      <c r="Y76" s="49">
        <f>IF(OR(Y70=1,Y72=1),'Rent Roll'!$F$11/BldgSF*ReimbPool/12*Y$7,0)</f>
        <v>8742.3849987499962</v>
      </c>
      <c r="Z76" s="49">
        <f>IF(OR(Z70=1,Z72=1),'Rent Roll'!$F$11/BldgSF*ReimbPool/12*Z$7,0)</f>
        <v>8742.3849987499962</v>
      </c>
      <c r="AA76" s="49">
        <f>IF(OR(AA70=1,AA72=1),'Rent Roll'!$F$11/BldgSF*ReimbPool/12*AA$7,0)</f>
        <v>8742.3849987499962</v>
      </c>
      <c r="AB76" s="49">
        <f>IF(OR(AB70=1,AB72=1),'Rent Roll'!$F$11/BldgSF*ReimbPool/12*AB$7,0)</f>
        <v>8742.3849987499962</v>
      </c>
      <c r="AC76" s="49">
        <f>IF(OR(AC70=1,AC72=1),'Rent Roll'!$F$11/BldgSF*ReimbPool/12*AC$7,0)</f>
        <v>8742.3849987499962</v>
      </c>
      <c r="AD76" s="49">
        <f>IF(OR(AD70=1,AD72=1),'Rent Roll'!$F$11/BldgSF*ReimbPool/12*AD$7,0)</f>
        <v>8742.3849987499962</v>
      </c>
      <c r="AE76" s="49">
        <f>IF(OR(AE70=1,AE72=1),'Rent Roll'!$F$11/BldgSF*ReimbPool/12*AE$7,0)</f>
        <v>8742.3849987499962</v>
      </c>
      <c r="AF76" s="49">
        <f>IF(OR(AF70=1,AF72=1),'Rent Roll'!$F$11/BldgSF*ReimbPool/12*AF$7,0)</f>
        <v>8742.3849987499962</v>
      </c>
      <c r="AG76" s="49">
        <f>IF(OR(AG70=1,AG72=1),'Rent Roll'!$F$11/BldgSF*ReimbPool/12*AG$7,0)</f>
        <v>8978.4293937162456</v>
      </c>
      <c r="AH76" s="49">
        <f>IF(OR(AH70=1,AH72=1),'Rent Roll'!$F$11/BldgSF*ReimbPool/12*AH$7,0)</f>
        <v>8978.4293937162456</v>
      </c>
      <c r="AI76" s="49">
        <f>IF(OR(AI70=1,AI72=1),'Rent Roll'!$F$11/BldgSF*ReimbPool/12*AI$7,0)</f>
        <v>8978.4293937162456</v>
      </c>
      <c r="AJ76" s="49">
        <f>IF(OR(AJ70=1,AJ72=1),'Rent Roll'!$F$11/BldgSF*ReimbPool/12*AJ$7,0)</f>
        <v>8978.4293937162456</v>
      </c>
      <c r="AK76" s="49">
        <f>IF(OR(AK70=1,AK72=1),'Rent Roll'!$F$11/BldgSF*ReimbPool/12*AK$7,0)</f>
        <v>8978.4293937162456</v>
      </c>
      <c r="AL76" s="49">
        <f>IF(OR(AL70=1,AL72=1),'Rent Roll'!$F$11/BldgSF*ReimbPool/12*AL$7,0)</f>
        <v>8978.4293937162456</v>
      </c>
      <c r="AM76" s="49">
        <f>IF(OR(AM70=1,AM72=1),'Rent Roll'!$F$11/BldgSF*ReimbPool/12*AM$7,0)</f>
        <v>8978.4293937162456</v>
      </c>
      <c r="AN76" s="49">
        <f>IF(OR(AN70=1,AN72=1),'Rent Roll'!$F$11/BldgSF*ReimbPool/12*AN$7,0)</f>
        <v>8978.4293937162456</v>
      </c>
      <c r="AO76" s="49">
        <f>IF(OR(AO70=1,AO72=1),'Rent Roll'!$F$11/BldgSF*ReimbPool/12*AO$7,0)</f>
        <v>8978.4293937162456</v>
      </c>
      <c r="AP76" s="49">
        <f>IF(OR(AP70=1,AP72=1),'Rent Roll'!$F$11/BldgSF*ReimbPool/12*AP$7,0)</f>
        <v>8978.4293937162456</v>
      </c>
      <c r="AQ76" s="49">
        <f>IF(OR(AQ70=1,AQ72=1),'Rent Roll'!$F$11/BldgSF*ReimbPool/12*AQ$7,0)</f>
        <v>8978.4293937162456</v>
      </c>
      <c r="AR76" s="49">
        <f>IF(OR(AR70=1,AR72=1),'Rent Roll'!$F$11/BldgSF*ReimbPool/12*AR$7,0)</f>
        <v>8978.4293937162456</v>
      </c>
      <c r="AS76" s="49">
        <f>IF(OR(AS70=1,AS72=1),'Rent Roll'!$F$11/BldgSF*ReimbPool/12*AS$7,0)</f>
        <v>9220.8469873465838</v>
      </c>
      <c r="AT76" s="49">
        <f>IF(OR(AT70=1,AT72=1),'Rent Roll'!$F$11/BldgSF*ReimbPool/12*AT$7,0)</f>
        <v>9220.8469873465838</v>
      </c>
      <c r="AU76" s="49">
        <f>IF(OR(AU70=1,AU72=1),'Rent Roll'!$F$11/BldgSF*ReimbPool/12*AU$7,0)</f>
        <v>9220.8469873465838</v>
      </c>
      <c r="AV76" s="49">
        <f>IF(OR(AV70=1,AV72=1),'Rent Roll'!$F$11/BldgSF*ReimbPool/12*AV$7,0)</f>
        <v>9220.8469873465838</v>
      </c>
      <c r="AW76" s="49">
        <f>IF(OR(AW70=1,AW72=1),'Rent Roll'!$F$11/BldgSF*ReimbPool/12*AW$7,0)</f>
        <v>9220.8469873465838</v>
      </c>
      <c r="AX76" s="49">
        <f>IF(OR(AX70=1,AX72=1),'Rent Roll'!$F$11/BldgSF*ReimbPool/12*AX$7,0)</f>
        <v>9220.8469873465838</v>
      </c>
      <c r="AY76" s="49">
        <f>IF(OR(AY70=1,AY72=1),'Rent Roll'!$F$11/BldgSF*ReimbPool/12*AY$7,0)</f>
        <v>9220.8469873465838</v>
      </c>
      <c r="AZ76" s="49">
        <f>IF(OR(AZ70=1,AZ72=1),'Rent Roll'!$F$11/BldgSF*ReimbPool/12*AZ$7,0)</f>
        <v>9220.8469873465838</v>
      </c>
      <c r="BA76" s="49">
        <f>IF(OR(BA70=1,BA72=1),'Rent Roll'!$F$11/BldgSF*ReimbPool/12*BA$7,0)</f>
        <v>9220.8469873465838</v>
      </c>
      <c r="BB76" s="49">
        <f>IF(OR(BB70=1,BB72=1),'Rent Roll'!$F$11/BldgSF*ReimbPool/12*BB$7,0)</f>
        <v>9220.8469873465838</v>
      </c>
      <c r="BC76" s="49">
        <f>IF(OR(BC70=1,BC72=1),'Rent Roll'!$F$11/BldgSF*ReimbPool/12*BC$7,0)</f>
        <v>9220.8469873465838</v>
      </c>
      <c r="BD76" s="49">
        <f>IF(OR(BD70=1,BD72=1),'Rent Roll'!$F$11/BldgSF*ReimbPool/12*BD$7,0)</f>
        <v>9220.8469873465838</v>
      </c>
      <c r="BE76" s="49">
        <f>IF(OR(BE70=1,BE72=1),'Rent Roll'!$F$11/BldgSF*ReimbPool/12*BE$7,0)</f>
        <v>9469.8098560049402</v>
      </c>
      <c r="BF76" s="49">
        <f>IF(OR(BF70=1,BF72=1),'Rent Roll'!$F$11/BldgSF*ReimbPool/12*BF$7,0)</f>
        <v>9469.8098560049402</v>
      </c>
      <c r="BG76" s="49">
        <f>IF(OR(BG70=1,BG72=1),'Rent Roll'!$F$11/BldgSF*ReimbPool/12*BG$7,0)</f>
        <v>9469.8098560049402</v>
      </c>
      <c r="BH76" s="49">
        <f>IF(OR(BH70=1,BH72=1),'Rent Roll'!$F$11/BldgSF*ReimbPool/12*BH$7,0)</f>
        <v>9469.8098560049402</v>
      </c>
      <c r="BI76" s="49">
        <f>IF(OR(BI70=1,BI72=1),'Rent Roll'!$F$11/BldgSF*ReimbPool/12*BI$7,0)</f>
        <v>9469.8098560049402</v>
      </c>
      <c r="BJ76" s="49">
        <f>IF(OR(BJ70=1,BJ72=1),'Rent Roll'!$F$11/BldgSF*ReimbPool/12*BJ$7,0)</f>
        <v>9469.8098560049402</v>
      </c>
      <c r="BK76" s="49">
        <f>IF(OR(BK70=1,BK72=1),'Rent Roll'!$F$11/BldgSF*ReimbPool/12*BK$7,0)</f>
        <v>9469.8098560049402</v>
      </c>
      <c r="BL76" s="49">
        <f>IF(OR(BL70=1,BL72=1),'Rent Roll'!$F$11/BldgSF*ReimbPool/12*BL$7,0)</f>
        <v>9469.8098560049402</v>
      </c>
      <c r="BM76" s="49">
        <f>IF(OR(BM70=1,BM72=1),'Rent Roll'!$F$11/BldgSF*ReimbPool/12*BM$7,0)</f>
        <v>0</v>
      </c>
      <c r="BN76" s="49">
        <f>IF(OR(BN70=1,BN72=1),'Rent Roll'!$F$11/BldgSF*ReimbPool/12*BN$7,0)</f>
        <v>0</v>
      </c>
      <c r="BO76" s="49">
        <f>IF(OR(BO70=1,BO72=1),'Rent Roll'!$F$11/BldgSF*ReimbPool/12*BO$7,0)</f>
        <v>0</v>
      </c>
      <c r="BP76" s="49">
        <f>IF(OR(BP70=1,BP72=1),'Rent Roll'!$F$11/BldgSF*ReimbPool/12*BP$7,0)</f>
        <v>0</v>
      </c>
      <c r="BQ76" s="49">
        <f>IF(OR(BQ70=1,BQ72=1),'Rent Roll'!$F$11/BldgSF*ReimbPool/12*BQ$7,0)</f>
        <v>0</v>
      </c>
      <c r="BR76" s="49">
        <f>IF(OR(BR70=1,BR72=1),'Rent Roll'!$F$11/BldgSF*ReimbPool/12*BR$7,0)</f>
        <v>9725.4947221170733</v>
      </c>
      <c r="BS76" s="49">
        <f>IF(OR(BS70=1,BS72=1),'Rent Roll'!$F$11/BldgSF*ReimbPool/12*BS$7,0)</f>
        <v>9725.4947221170733</v>
      </c>
      <c r="BT76" s="49">
        <f>IF(OR(BT70=1,BT72=1),'Rent Roll'!$F$11/BldgSF*ReimbPool/12*BT$7,0)</f>
        <v>9725.4947221170733</v>
      </c>
      <c r="BU76" s="49">
        <f>IF(OR(BU70=1,BU72=1),'Rent Roll'!$F$11/BldgSF*ReimbPool/12*BU$7,0)</f>
        <v>9725.4947221170733</v>
      </c>
      <c r="BV76" s="49">
        <f>IF(OR(BV70=1,BV72=1),'Rent Roll'!$F$11/BldgSF*ReimbPool/12*BV$7,0)</f>
        <v>9725.4947221170733</v>
      </c>
      <c r="BW76" s="49">
        <f>IF(OR(BW70=1,BW72=1),'Rent Roll'!$F$11/BldgSF*ReimbPool/12*BW$7,0)</f>
        <v>9725.4947221170733</v>
      </c>
      <c r="BX76" s="49">
        <f>IF(OR(BX70=1,BX72=1),'Rent Roll'!$F$11/BldgSF*ReimbPool/12*BX$7,0)</f>
        <v>9725.4947221170733</v>
      </c>
    </row>
    <row r="77" spans="1:76" hidden="1" outlineLevel="1">
      <c r="B77" t="s">
        <v>86</v>
      </c>
      <c r="D77" s="49">
        <f>IF(D$4=EOMONTH(CloseDate,'Rent Roll'!$O$11+'Rent Roll'!$S$11),-'Rent Roll'!$F$11*'Rent Roll'!$T$11,0)</f>
        <v>0</v>
      </c>
      <c r="E77" s="49">
        <f>IF(E$4=EOMONTH(CloseDate,'Rent Roll'!$O$11+'Rent Roll'!$S$11),-'Rent Roll'!$F$11*'Rent Roll'!$T$11,0)</f>
        <v>0</v>
      </c>
      <c r="F77" s="49">
        <f>IF(F$4=EOMONTH(CloseDate,'Rent Roll'!$O$11+'Rent Roll'!$S$11),-'Rent Roll'!$F$11*'Rent Roll'!$T$11,0)</f>
        <v>0</v>
      </c>
      <c r="G77" s="49">
        <f>IF(G$4=EOMONTH(CloseDate,'Rent Roll'!$O$11+'Rent Roll'!$S$11),-'Rent Roll'!$F$11*'Rent Roll'!$T$11,0)</f>
        <v>0</v>
      </c>
      <c r="H77" s="49">
        <f>IF(H$4=EOMONTH(CloseDate,'Rent Roll'!$O$11+'Rent Roll'!$S$11),-'Rent Roll'!$F$11*'Rent Roll'!$T$11,0)</f>
        <v>0</v>
      </c>
      <c r="I77" s="49">
        <f>IF(I$4=EOMONTH(CloseDate,'Rent Roll'!$O$11+'Rent Roll'!$S$11),-'Rent Roll'!$F$11*'Rent Roll'!$T$11,0)</f>
        <v>0</v>
      </c>
      <c r="J77" s="49">
        <f>IF(J$4=EOMONTH(CloseDate,'Rent Roll'!$O$11+'Rent Roll'!$S$11),-'Rent Roll'!$F$11*'Rent Roll'!$T$11,0)</f>
        <v>0</v>
      </c>
      <c r="K77" s="49">
        <f>IF(K$4=EOMONTH(CloseDate,'Rent Roll'!$O$11+'Rent Roll'!$S$11),-'Rent Roll'!$F$11*'Rent Roll'!$T$11,0)</f>
        <v>0</v>
      </c>
      <c r="L77" s="49">
        <f>IF(L$4=EOMONTH(CloseDate,'Rent Roll'!$O$11+'Rent Roll'!$S$11),-'Rent Roll'!$F$11*'Rent Roll'!$T$11,0)</f>
        <v>0</v>
      </c>
      <c r="M77" s="49">
        <f>IF(M$4=EOMONTH(CloseDate,'Rent Roll'!$O$11+'Rent Roll'!$S$11),-'Rent Roll'!$F$11*'Rent Roll'!$T$11,0)</f>
        <v>0</v>
      </c>
      <c r="N77" s="49">
        <f>IF(N$4=EOMONTH(CloseDate,'Rent Roll'!$O$11+'Rent Roll'!$S$11),-'Rent Roll'!$F$11*'Rent Roll'!$T$11,0)</f>
        <v>0</v>
      </c>
      <c r="O77" s="49">
        <f>IF(O$4=EOMONTH(CloseDate,'Rent Roll'!$O$11+'Rent Roll'!$S$11),-'Rent Roll'!$F$11*'Rent Roll'!$T$11,0)</f>
        <v>0</v>
      </c>
      <c r="P77" s="49">
        <f>IF(P$4=EOMONTH(CloseDate,'Rent Roll'!$O$11+'Rent Roll'!$S$11),-'Rent Roll'!$F$11*'Rent Roll'!$T$11,0)</f>
        <v>0</v>
      </c>
      <c r="Q77" s="49">
        <f>IF(Q$4=EOMONTH(CloseDate,'Rent Roll'!$O$11+'Rent Roll'!$S$11),-'Rent Roll'!$F$11*'Rent Roll'!$T$11,0)</f>
        <v>0</v>
      </c>
      <c r="R77" s="49">
        <f>IF(R$4=EOMONTH(CloseDate,'Rent Roll'!$O$11+'Rent Roll'!$S$11),-'Rent Roll'!$F$11*'Rent Roll'!$T$11,0)</f>
        <v>0</v>
      </c>
      <c r="S77" s="49">
        <f>IF(S$4=EOMONTH(CloseDate,'Rent Roll'!$O$11+'Rent Roll'!$S$11),-'Rent Roll'!$F$11*'Rent Roll'!$T$11,0)</f>
        <v>0</v>
      </c>
      <c r="T77" s="49">
        <f>IF(T$4=EOMONTH(CloseDate,'Rent Roll'!$O$11+'Rent Roll'!$S$11),-'Rent Roll'!$F$11*'Rent Roll'!$T$11,0)</f>
        <v>0</v>
      </c>
      <c r="U77" s="49">
        <f>IF(U$4=EOMONTH(CloseDate,'Rent Roll'!$O$11+'Rent Roll'!$S$11),-'Rent Roll'!$F$11*'Rent Roll'!$T$11,0)</f>
        <v>0</v>
      </c>
      <c r="V77" s="49">
        <f>IF(V$4=EOMONTH(CloseDate,'Rent Roll'!$O$11+'Rent Roll'!$S$11),-'Rent Roll'!$F$11*'Rent Roll'!$T$11,0)</f>
        <v>0</v>
      </c>
      <c r="W77" s="49">
        <f>IF(W$4=EOMONTH(CloseDate,'Rent Roll'!$O$11+'Rent Roll'!$S$11),-'Rent Roll'!$F$11*'Rent Roll'!$T$11,0)</f>
        <v>0</v>
      </c>
      <c r="X77" s="49">
        <f>IF(X$4=EOMONTH(CloseDate,'Rent Roll'!$O$11+'Rent Roll'!$S$11),-'Rent Roll'!$F$11*'Rent Roll'!$T$11,0)</f>
        <v>0</v>
      </c>
      <c r="Y77" s="49">
        <f>IF(Y$4=EOMONTH(CloseDate,'Rent Roll'!$O$11+'Rent Roll'!$S$11),-'Rent Roll'!$F$11*'Rent Roll'!$T$11,0)</f>
        <v>0</v>
      </c>
      <c r="Z77" s="49">
        <f>IF(Z$4=EOMONTH(CloseDate,'Rent Roll'!$O$11+'Rent Roll'!$S$11),-'Rent Roll'!$F$11*'Rent Roll'!$T$11,0)</f>
        <v>0</v>
      </c>
      <c r="AA77" s="49">
        <f>IF(AA$4=EOMONTH(CloseDate,'Rent Roll'!$O$11+'Rent Roll'!$S$11),-'Rent Roll'!$F$11*'Rent Roll'!$T$11,0)</f>
        <v>0</v>
      </c>
      <c r="AB77" s="49">
        <f>IF(AB$4=EOMONTH(CloseDate,'Rent Roll'!$O$11+'Rent Roll'!$S$11),-'Rent Roll'!$F$11*'Rent Roll'!$T$11,0)</f>
        <v>0</v>
      </c>
      <c r="AC77" s="49">
        <f>IF(AC$4=EOMONTH(CloseDate,'Rent Roll'!$O$11+'Rent Roll'!$S$11),-'Rent Roll'!$F$11*'Rent Roll'!$T$11,0)</f>
        <v>0</v>
      </c>
      <c r="AD77" s="49">
        <f>IF(AD$4=EOMONTH(CloseDate,'Rent Roll'!$O$11+'Rent Roll'!$S$11),-'Rent Roll'!$F$11*'Rent Roll'!$T$11,0)</f>
        <v>0</v>
      </c>
      <c r="AE77" s="49">
        <f>IF(AE$4=EOMONTH(CloseDate,'Rent Roll'!$O$11+'Rent Roll'!$S$11),-'Rent Roll'!$F$11*'Rent Roll'!$T$11,0)</f>
        <v>0</v>
      </c>
      <c r="AF77" s="49">
        <f>IF(AF$4=EOMONTH(CloseDate,'Rent Roll'!$O$11+'Rent Roll'!$S$11),-'Rent Roll'!$F$11*'Rent Roll'!$T$11,0)</f>
        <v>0</v>
      </c>
      <c r="AG77" s="49">
        <f>IF(AG$4=EOMONTH(CloseDate,'Rent Roll'!$O$11+'Rent Roll'!$S$11),-'Rent Roll'!$F$11*'Rent Roll'!$T$11,0)</f>
        <v>0</v>
      </c>
      <c r="AH77" s="49">
        <f>IF(AH$4=EOMONTH(CloseDate,'Rent Roll'!$O$11+'Rent Roll'!$S$11),-'Rent Roll'!$F$11*'Rent Roll'!$T$11,0)</f>
        <v>0</v>
      </c>
      <c r="AI77" s="49">
        <f>IF(AI$4=EOMONTH(CloseDate,'Rent Roll'!$O$11+'Rent Roll'!$S$11),-'Rent Roll'!$F$11*'Rent Roll'!$T$11,0)</f>
        <v>0</v>
      </c>
      <c r="AJ77" s="49">
        <f>IF(AJ$4=EOMONTH(CloseDate,'Rent Roll'!$O$11+'Rent Roll'!$S$11),-'Rent Roll'!$F$11*'Rent Roll'!$T$11,0)</f>
        <v>0</v>
      </c>
      <c r="AK77" s="49">
        <f>IF(AK$4=EOMONTH(CloseDate,'Rent Roll'!$O$11+'Rent Roll'!$S$11),-'Rent Roll'!$F$11*'Rent Roll'!$T$11,0)</f>
        <v>0</v>
      </c>
      <c r="AL77" s="49">
        <f>IF(AL$4=EOMONTH(CloseDate,'Rent Roll'!$O$11+'Rent Roll'!$S$11),-'Rent Roll'!$F$11*'Rent Roll'!$T$11,0)</f>
        <v>0</v>
      </c>
      <c r="AM77" s="49">
        <f>IF(AM$4=EOMONTH(CloseDate,'Rent Roll'!$O$11+'Rent Roll'!$S$11),-'Rent Roll'!$F$11*'Rent Roll'!$T$11,0)</f>
        <v>0</v>
      </c>
      <c r="AN77" s="49">
        <f>IF(AN$4=EOMONTH(CloseDate,'Rent Roll'!$O$11+'Rent Roll'!$S$11),-'Rent Roll'!$F$11*'Rent Roll'!$T$11,0)</f>
        <v>0</v>
      </c>
      <c r="AO77" s="49">
        <f>IF(AO$4=EOMONTH(CloseDate,'Rent Roll'!$O$11+'Rent Roll'!$S$11),-'Rent Roll'!$F$11*'Rent Roll'!$T$11,0)</f>
        <v>0</v>
      </c>
      <c r="AP77" s="49">
        <f>IF(AP$4=EOMONTH(CloseDate,'Rent Roll'!$O$11+'Rent Roll'!$S$11),-'Rent Roll'!$F$11*'Rent Roll'!$T$11,0)</f>
        <v>0</v>
      </c>
      <c r="AQ77" s="49">
        <f>IF(AQ$4=EOMONTH(CloseDate,'Rent Roll'!$O$11+'Rent Roll'!$S$11),-'Rent Roll'!$F$11*'Rent Roll'!$T$11,0)</f>
        <v>0</v>
      </c>
      <c r="AR77" s="49">
        <f>IF(AR$4=EOMONTH(CloseDate,'Rent Roll'!$O$11+'Rent Roll'!$S$11),-'Rent Roll'!$F$11*'Rent Roll'!$T$11,0)</f>
        <v>0</v>
      </c>
      <c r="AS77" s="49">
        <f>IF(AS$4=EOMONTH(CloseDate,'Rent Roll'!$O$11+'Rent Roll'!$S$11),-'Rent Roll'!$F$11*'Rent Roll'!$T$11,0)</f>
        <v>0</v>
      </c>
      <c r="AT77" s="49">
        <f>IF(AT$4=EOMONTH(CloseDate,'Rent Roll'!$O$11+'Rent Roll'!$S$11),-'Rent Roll'!$F$11*'Rent Roll'!$T$11,0)</f>
        <v>0</v>
      </c>
      <c r="AU77" s="49">
        <f>IF(AU$4=EOMONTH(CloseDate,'Rent Roll'!$O$11+'Rent Roll'!$S$11),-'Rent Roll'!$F$11*'Rent Roll'!$T$11,0)</f>
        <v>0</v>
      </c>
      <c r="AV77" s="49">
        <f>IF(AV$4=EOMONTH(CloseDate,'Rent Roll'!$O$11+'Rent Roll'!$S$11),-'Rent Roll'!$F$11*'Rent Roll'!$T$11,0)</f>
        <v>0</v>
      </c>
      <c r="AW77" s="49">
        <f>IF(AW$4=EOMONTH(CloseDate,'Rent Roll'!$O$11+'Rent Roll'!$S$11),-'Rent Roll'!$F$11*'Rent Roll'!$T$11,0)</f>
        <v>0</v>
      </c>
      <c r="AX77" s="49">
        <f>IF(AX$4=EOMONTH(CloseDate,'Rent Roll'!$O$11+'Rent Roll'!$S$11),-'Rent Roll'!$F$11*'Rent Roll'!$T$11,0)</f>
        <v>0</v>
      </c>
      <c r="AY77" s="49">
        <f>IF(AY$4=EOMONTH(CloseDate,'Rent Roll'!$O$11+'Rent Roll'!$S$11),-'Rent Roll'!$F$11*'Rent Roll'!$T$11,0)</f>
        <v>0</v>
      </c>
      <c r="AZ77" s="49">
        <f>IF(AZ$4=EOMONTH(CloseDate,'Rent Roll'!$O$11+'Rent Roll'!$S$11),-'Rent Roll'!$F$11*'Rent Roll'!$T$11,0)</f>
        <v>0</v>
      </c>
      <c r="BA77" s="49">
        <f>IF(BA$4=EOMONTH(CloseDate,'Rent Roll'!$O$11+'Rent Roll'!$S$11),-'Rent Roll'!$F$11*'Rent Roll'!$T$11,0)</f>
        <v>0</v>
      </c>
      <c r="BB77" s="49">
        <f>IF(BB$4=EOMONTH(CloseDate,'Rent Roll'!$O$11+'Rent Roll'!$S$11),-'Rent Roll'!$F$11*'Rent Roll'!$T$11,0)</f>
        <v>0</v>
      </c>
      <c r="BC77" s="49">
        <f>IF(BC$4=EOMONTH(CloseDate,'Rent Roll'!$O$11+'Rent Roll'!$S$11),-'Rent Roll'!$F$11*'Rent Roll'!$T$11,0)</f>
        <v>0</v>
      </c>
      <c r="BD77" s="49">
        <f>IF(BD$4=EOMONTH(CloseDate,'Rent Roll'!$O$11+'Rent Roll'!$S$11),-'Rent Roll'!$F$11*'Rent Roll'!$T$11,0)</f>
        <v>0</v>
      </c>
      <c r="BE77" s="49">
        <f>IF(BE$4=EOMONTH(CloseDate,'Rent Roll'!$O$11+'Rent Roll'!$S$11),-'Rent Roll'!$F$11*'Rent Roll'!$T$11,0)</f>
        <v>0</v>
      </c>
      <c r="BF77" s="49">
        <f>IF(BF$4=EOMONTH(CloseDate,'Rent Roll'!$O$11+'Rent Roll'!$S$11),-'Rent Roll'!$F$11*'Rent Roll'!$T$11,0)</f>
        <v>0</v>
      </c>
      <c r="BG77" s="49">
        <f>IF(BG$4=EOMONTH(CloseDate,'Rent Roll'!$O$11+'Rent Roll'!$S$11),-'Rent Roll'!$F$11*'Rent Roll'!$T$11,0)</f>
        <v>0</v>
      </c>
      <c r="BH77" s="49">
        <f>IF(BH$4=EOMONTH(CloseDate,'Rent Roll'!$O$11+'Rent Roll'!$S$11),-'Rent Roll'!$F$11*'Rent Roll'!$T$11,0)</f>
        <v>0</v>
      </c>
      <c r="BI77" s="49">
        <f>IF(BI$4=EOMONTH(CloseDate,'Rent Roll'!$O$11+'Rent Roll'!$S$11),-'Rent Roll'!$F$11*'Rent Roll'!$T$11,0)</f>
        <v>0</v>
      </c>
      <c r="BJ77" s="49">
        <f>IF(BJ$4=EOMONTH(CloseDate,'Rent Roll'!$O$11+'Rent Roll'!$S$11),-'Rent Roll'!$F$11*'Rent Roll'!$T$11,0)</f>
        <v>0</v>
      </c>
      <c r="BK77" s="49">
        <f>IF(BK$4=EOMONTH(CloseDate,'Rent Roll'!$O$11+'Rent Roll'!$S$11),-'Rent Roll'!$F$11*'Rent Roll'!$T$11,0)</f>
        <v>0</v>
      </c>
      <c r="BL77" s="49">
        <f>IF(BL$4=EOMONTH(CloseDate,'Rent Roll'!$O$11+'Rent Roll'!$S$11),-'Rent Roll'!$F$11*'Rent Roll'!$T$11,0)</f>
        <v>0</v>
      </c>
      <c r="BM77" s="49">
        <f>IF(BM$4=EOMONTH(CloseDate,'Rent Roll'!$O$11+'Rent Roll'!$S$11),-'Rent Roll'!$F$11*'Rent Roll'!$T$11,0)</f>
        <v>0</v>
      </c>
      <c r="BN77" s="49">
        <f>IF(BN$4=EOMONTH(CloseDate,'Rent Roll'!$O$11+'Rent Roll'!$S$11),-'Rent Roll'!$F$11*'Rent Roll'!$T$11,0)</f>
        <v>0</v>
      </c>
      <c r="BO77" s="49">
        <f>IF(BO$4=EOMONTH(CloseDate,'Rent Roll'!$O$11+'Rent Roll'!$S$11),-'Rent Roll'!$F$11*'Rent Roll'!$T$11,0)</f>
        <v>0</v>
      </c>
      <c r="BP77" s="49">
        <f>IF(BP$4=EOMONTH(CloseDate,'Rent Roll'!$O$11+'Rent Roll'!$S$11),-'Rent Roll'!$F$11*'Rent Roll'!$T$11,0)</f>
        <v>0</v>
      </c>
      <c r="BQ77" s="49">
        <f>IF(BQ$4=EOMONTH(CloseDate,'Rent Roll'!$O$11+'Rent Roll'!$S$11),-'Rent Roll'!$F$11*'Rent Roll'!$T$11,0)</f>
        <v>0</v>
      </c>
      <c r="BR77" s="49">
        <f>IF(BR$4=EOMONTH(CloseDate,'Rent Roll'!$O$11+'Rent Roll'!$S$11),-'Rent Roll'!$F$11*'Rent Roll'!$T$11,0)</f>
        <v>-342000</v>
      </c>
      <c r="BS77" s="49">
        <f>IF(BS$4=EOMONTH(CloseDate,'Rent Roll'!$O$11+'Rent Roll'!$S$11),-'Rent Roll'!$F$11*'Rent Roll'!$T$11,0)</f>
        <v>0</v>
      </c>
      <c r="BT77" s="49">
        <f>IF(BT$4=EOMONTH(CloseDate,'Rent Roll'!$O$11+'Rent Roll'!$S$11),-'Rent Roll'!$F$11*'Rent Roll'!$T$11,0)</f>
        <v>0</v>
      </c>
      <c r="BU77" s="49">
        <f>IF(BU$4=EOMONTH(CloseDate,'Rent Roll'!$O$11+'Rent Roll'!$S$11),-'Rent Roll'!$F$11*'Rent Roll'!$T$11,0)</f>
        <v>0</v>
      </c>
      <c r="BV77" s="49">
        <f>IF(BV$4=EOMONTH(CloseDate,'Rent Roll'!$O$11+'Rent Roll'!$S$11),-'Rent Roll'!$F$11*'Rent Roll'!$T$11,0)</f>
        <v>0</v>
      </c>
      <c r="BW77" s="49">
        <f>IF(BW$4=EOMONTH(CloseDate,'Rent Roll'!$O$11+'Rent Roll'!$S$11),-'Rent Roll'!$F$11*'Rent Roll'!$T$11,0)</f>
        <v>0</v>
      </c>
      <c r="BX77" s="49">
        <f>IF(BX$4=EOMONTH(CloseDate,'Rent Roll'!$O$11+'Rent Roll'!$S$11),-'Rent Roll'!$F$11*'Rent Roll'!$T$11,0)</f>
        <v>0</v>
      </c>
    </row>
    <row r="78" spans="1:76" hidden="1" outlineLevel="1">
      <c r="B78" t="s">
        <v>87</v>
      </c>
      <c r="D78" s="49">
        <f>IF(D$4=EOMONTH(CloseDate,'Rent Roll'!$O$11+'Rent Roll'!$S$11),-'Rent Roll'!$U$11*'Rent Roll'!$F$11*'Rent Roll'!$X$11,0)</f>
        <v>0</v>
      </c>
      <c r="E78" s="49">
        <f>IF(E$4=EOMONTH(CloseDate,'Rent Roll'!$O$11+'Rent Roll'!$S$11),-'Rent Roll'!$U$11*'Rent Roll'!$F$11*'Rent Roll'!$X$11,0)</f>
        <v>0</v>
      </c>
      <c r="F78" s="49">
        <f>IF(F$4=EOMONTH(CloseDate,'Rent Roll'!$O$11+'Rent Roll'!$S$11),-'Rent Roll'!$U$11*'Rent Roll'!$F$11*'Rent Roll'!$X$11,0)</f>
        <v>0</v>
      </c>
      <c r="G78" s="49">
        <f>IF(G$4=EOMONTH(CloseDate,'Rent Roll'!$O$11+'Rent Roll'!$S$11),-'Rent Roll'!$U$11*'Rent Roll'!$F$11*'Rent Roll'!$X$11,0)</f>
        <v>0</v>
      </c>
      <c r="H78" s="49">
        <f>IF(H$4=EOMONTH(CloseDate,'Rent Roll'!$O$11+'Rent Roll'!$S$11),-'Rent Roll'!$U$11*'Rent Roll'!$F$11*'Rent Roll'!$X$11,0)</f>
        <v>0</v>
      </c>
      <c r="I78" s="49">
        <f>IF(I$4=EOMONTH(CloseDate,'Rent Roll'!$O$11+'Rent Roll'!$S$11),-'Rent Roll'!$U$11*'Rent Roll'!$F$11*'Rent Roll'!$X$11,0)</f>
        <v>0</v>
      </c>
      <c r="J78" s="49">
        <f>IF(J$4=EOMONTH(CloseDate,'Rent Roll'!$O$11+'Rent Roll'!$S$11),-'Rent Roll'!$U$11*'Rent Roll'!$F$11*'Rent Roll'!$X$11,0)</f>
        <v>0</v>
      </c>
      <c r="K78" s="49">
        <f>IF(K$4=EOMONTH(CloseDate,'Rent Roll'!$O$11+'Rent Roll'!$S$11),-'Rent Roll'!$U$11*'Rent Roll'!$F$11*'Rent Roll'!$X$11,0)</f>
        <v>0</v>
      </c>
      <c r="L78" s="49">
        <f>IF(L$4=EOMONTH(CloseDate,'Rent Roll'!$O$11+'Rent Roll'!$S$11),-'Rent Roll'!$U$11*'Rent Roll'!$F$11*'Rent Roll'!$X$11,0)</f>
        <v>0</v>
      </c>
      <c r="M78" s="49">
        <f>IF(M$4=EOMONTH(CloseDate,'Rent Roll'!$O$11+'Rent Roll'!$S$11),-'Rent Roll'!$U$11*'Rent Roll'!$F$11*'Rent Roll'!$X$11,0)</f>
        <v>0</v>
      </c>
      <c r="N78" s="49">
        <f>IF(N$4=EOMONTH(CloseDate,'Rent Roll'!$O$11+'Rent Roll'!$S$11),-'Rent Roll'!$U$11*'Rent Roll'!$F$11*'Rent Roll'!$X$11,0)</f>
        <v>0</v>
      </c>
      <c r="O78" s="49">
        <f>IF(O$4=EOMONTH(CloseDate,'Rent Roll'!$O$11+'Rent Roll'!$S$11),-'Rent Roll'!$U$11*'Rent Roll'!$F$11*'Rent Roll'!$X$11,0)</f>
        <v>0</v>
      </c>
      <c r="P78" s="49">
        <f>IF(P$4=EOMONTH(CloseDate,'Rent Roll'!$O$11+'Rent Roll'!$S$11),-'Rent Roll'!$U$11*'Rent Roll'!$F$11*'Rent Roll'!$X$11,0)</f>
        <v>0</v>
      </c>
      <c r="Q78" s="49">
        <f>IF(Q$4=EOMONTH(CloseDate,'Rent Roll'!$O$11+'Rent Roll'!$S$11),-'Rent Roll'!$U$11*'Rent Roll'!$F$11*'Rent Roll'!$X$11,0)</f>
        <v>0</v>
      </c>
      <c r="R78" s="49">
        <f>IF(R$4=EOMONTH(CloseDate,'Rent Roll'!$O$11+'Rent Roll'!$S$11),-'Rent Roll'!$U$11*'Rent Roll'!$F$11*'Rent Roll'!$X$11,0)</f>
        <v>0</v>
      </c>
      <c r="S78" s="49">
        <f>IF(S$4=EOMONTH(CloseDate,'Rent Roll'!$O$11+'Rent Roll'!$S$11),-'Rent Roll'!$U$11*'Rent Roll'!$F$11*'Rent Roll'!$X$11,0)</f>
        <v>0</v>
      </c>
      <c r="T78" s="49">
        <f>IF(T$4=EOMONTH(CloseDate,'Rent Roll'!$O$11+'Rent Roll'!$S$11),-'Rent Roll'!$U$11*'Rent Roll'!$F$11*'Rent Roll'!$X$11,0)</f>
        <v>0</v>
      </c>
      <c r="U78" s="49">
        <f>IF(U$4=EOMONTH(CloseDate,'Rent Roll'!$O$11+'Rent Roll'!$S$11),-'Rent Roll'!$U$11*'Rent Roll'!$F$11*'Rent Roll'!$X$11,0)</f>
        <v>0</v>
      </c>
      <c r="V78" s="49">
        <f>IF(V$4=EOMONTH(CloseDate,'Rent Roll'!$O$11+'Rent Roll'!$S$11),-'Rent Roll'!$U$11*'Rent Roll'!$F$11*'Rent Roll'!$X$11,0)</f>
        <v>0</v>
      </c>
      <c r="W78" s="49">
        <f>IF(W$4=EOMONTH(CloseDate,'Rent Roll'!$O$11+'Rent Roll'!$S$11),-'Rent Roll'!$U$11*'Rent Roll'!$F$11*'Rent Roll'!$X$11,0)</f>
        <v>0</v>
      </c>
      <c r="X78" s="49">
        <f>IF(X$4=EOMONTH(CloseDate,'Rent Roll'!$O$11+'Rent Roll'!$S$11),-'Rent Roll'!$U$11*'Rent Roll'!$F$11*'Rent Roll'!$X$11,0)</f>
        <v>0</v>
      </c>
      <c r="Y78" s="49">
        <f>IF(Y$4=EOMONTH(CloseDate,'Rent Roll'!$O$11+'Rent Roll'!$S$11),-'Rent Roll'!$U$11*'Rent Roll'!$F$11*'Rent Roll'!$X$11,0)</f>
        <v>0</v>
      </c>
      <c r="Z78" s="49">
        <f>IF(Z$4=EOMONTH(CloseDate,'Rent Roll'!$O$11+'Rent Roll'!$S$11),-'Rent Roll'!$U$11*'Rent Roll'!$F$11*'Rent Roll'!$X$11,0)</f>
        <v>0</v>
      </c>
      <c r="AA78" s="49">
        <f>IF(AA$4=EOMONTH(CloseDate,'Rent Roll'!$O$11+'Rent Roll'!$S$11),-'Rent Roll'!$U$11*'Rent Roll'!$F$11*'Rent Roll'!$X$11,0)</f>
        <v>0</v>
      </c>
      <c r="AB78" s="49">
        <f>IF(AB$4=EOMONTH(CloseDate,'Rent Roll'!$O$11+'Rent Roll'!$S$11),-'Rent Roll'!$U$11*'Rent Roll'!$F$11*'Rent Roll'!$X$11,0)</f>
        <v>0</v>
      </c>
      <c r="AC78" s="49">
        <f>IF(AC$4=EOMONTH(CloseDate,'Rent Roll'!$O$11+'Rent Roll'!$S$11),-'Rent Roll'!$U$11*'Rent Roll'!$F$11*'Rent Roll'!$X$11,0)</f>
        <v>0</v>
      </c>
      <c r="AD78" s="49">
        <f>IF(AD$4=EOMONTH(CloseDate,'Rent Roll'!$O$11+'Rent Roll'!$S$11),-'Rent Roll'!$U$11*'Rent Roll'!$F$11*'Rent Roll'!$X$11,0)</f>
        <v>0</v>
      </c>
      <c r="AE78" s="49">
        <f>IF(AE$4=EOMONTH(CloseDate,'Rent Roll'!$O$11+'Rent Roll'!$S$11),-'Rent Roll'!$U$11*'Rent Roll'!$F$11*'Rent Roll'!$X$11,0)</f>
        <v>0</v>
      </c>
      <c r="AF78" s="49">
        <f>IF(AF$4=EOMONTH(CloseDate,'Rent Roll'!$O$11+'Rent Roll'!$S$11),-'Rent Roll'!$U$11*'Rent Roll'!$F$11*'Rent Roll'!$X$11,0)</f>
        <v>0</v>
      </c>
      <c r="AG78" s="49">
        <f>IF(AG$4=EOMONTH(CloseDate,'Rent Roll'!$O$11+'Rent Roll'!$S$11),-'Rent Roll'!$U$11*'Rent Roll'!$F$11*'Rent Roll'!$X$11,0)</f>
        <v>0</v>
      </c>
      <c r="AH78" s="49">
        <f>IF(AH$4=EOMONTH(CloseDate,'Rent Roll'!$O$11+'Rent Roll'!$S$11),-'Rent Roll'!$U$11*'Rent Roll'!$F$11*'Rent Roll'!$X$11,0)</f>
        <v>0</v>
      </c>
      <c r="AI78" s="49">
        <f>IF(AI$4=EOMONTH(CloseDate,'Rent Roll'!$O$11+'Rent Roll'!$S$11),-'Rent Roll'!$U$11*'Rent Roll'!$F$11*'Rent Roll'!$X$11,0)</f>
        <v>0</v>
      </c>
      <c r="AJ78" s="49">
        <f>IF(AJ$4=EOMONTH(CloseDate,'Rent Roll'!$O$11+'Rent Roll'!$S$11),-'Rent Roll'!$U$11*'Rent Roll'!$F$11*'Rent Roll'!$X$11,0)</f>
        <v>0</v>
      </c>
      <c r="AK78" s="49">
        <f>IF(AK$4=EOMONTH(CloseDate,'Rent Roll'!$O$11+'Rent Roll'!$S$11),-'Rent Roll'!$U$11*'Rent Roll'!$F$11*'Rent Roll'!$X$11,0)</f>
        <v>0</v>
      </c>
      <c r="AL78" s="49">
        <f>IF(AL$4=EOMONTH(CloseDate,'Rent Roll'!$O$11+'Rent Roll'!$S$11),-'Rent Roll'!$U$11*'Rent Roll'!$F$11*'Rent Roll'!$X$11,0)</f>
        <v>0</v>
      </c>
      <c r="AM78" s="49">
        <f>IF(AM$4=EOMONTH(CloseDate,'Rent Roll'!$O$11+'Rent Roll'!$S$11),-'Rent Roll'!$U$11*'Rent Roll'!$F$11*'Rent Roll'!$X$11,0)</f>
        <v>0</v>
      </c>
      <c r="AN78" s="49">
        <f>IF(AN$4=EOMONTH(CloseDate,'Rent Roll'!$O$11+'Rent Roll'!$S$11),-'Rent Roll'!$U$11*'Rent Roll'!$F$11*'Rent Roll'!$X$11,0)</f>
        <v>0</v>
      </c>
      <c r="AO78" s="49">
        <f>IF(AO$4=EOMONTH(CloseDate,'Rent Roll'!$O$11+'Rent Roll'!$S$11),-'Rent Roll'!$U$11*'Rent Roll'!$F$11*'Rent Roll'!$X$11,0)</f>
        <v>0</v>
      </c>
      <c r="AP78" s="49">
        <f>IF(AP$4=EOMONTH(CloseDate,'Rent Roll'!$O$11+'Rent Roll'!$S$11),-'Rent Roll'!$U$11*'Rent Roll'!$F$11*'Rent Roll'!$X$11,0)</f>
        <v>0</v>
      </c>
      <c r="AQ78" s="49">
        <f>IF(AQ$4=EOMONTH(CloseDate,'Rent Roll'!$O$11+'Rent Roll'!$S$11),-'Rent Roll'!$U$11*'Rent Roll'!$F$11*'Rent Roll'!$X$11,0)</f>
        <v>0</v>
      </c>
      <c r="AR78" s="49">
        <f>IF(AR$4=EOMONTH(CloseDate,'Rent Roll'!$O$11+'Rent Roll'!$S$11),-'Rent Roll'!$U$11*'Rent Roll'!$F$11*'Rent Roll'!$X$11,0)</f>
        <v>0</v>
      </c>
      <c r="AS78" s="49">
        <f>IF(AS$4=EOMONTH(CloseDate,'Rent Roll'!$O$11+'Rent Roll'!$S$11),-'Rent Roll'!$U$11*'Rent Roll'!$F$11*'Rent Roll'!$X$11,0)</f>
        <v>0</v>
      </c>
      <c r="AT78" s="49">
        <f>IF(AT$4=EOMONTH(CloseDate,'Rent Roll'!$O$11+'Rent Roll'!$S$11),-'Rent Roll'!$U$11*'Rent Roll'!$F$11*'Rent Roll'!$X$11,0)</f>
        <v>0</v>
      </c>
      <c r="AU78" s="49">
        <f>IF(AU$4=EOMONTH(CloseDate,'Rent Roll'!$O$11+'Rent Roll'!$S$11),-'Rent Roll'!$U$11*'Rent Roll'!$F$11*'Rent Roll'!$X$11,0)</f>
        <v>0</v>
      </c>
      <c r="AV78" s="49">
        <f>IF(AV$4=EOMONTH(CloseDate,'Rent Roll'!$O$11+'Rent Roll'!$S$11),-'Rent Roll'!$U$11*'Rent Roll'!$F$11*'Rent Roll'!$X$11,0)</f>
        <v>0</v>
      </c>
      <c r="AW78" s="49">
        <f>IF(AW$4=EOMONTH(CloseDate,'Rent Roll'!$O$11+'Rent Roll'!$S$11),-'Rent Roll'!$U$11*'Rent Roll'!$F$11*'Rent Roll'!$X$11,0)</f>
        <v>0</v>
      </c>
      <c r="AX78" s="49">
        <f>IF(AX$4=EOMONTH(CloseDate,'Rent Roll'!$O$11+'Rent Roll'!$S$11),-'Rent Roll'!$U$11*'Rent Roll'!$F$11*'Rent Roll'!$X$11,0)</f>
        <v>0</v>
      </c>
      <c r="AY78" s="49">
        <f>IF(AY$4=EOMONTH(CloseDate,'Rent Roll'!$O$11+'Rent Roll'!$S$11),-'Rent Roll'!$U$11*'Rent Roll'!$F$11*'Rent Roll'!$X$11,0)</f>
        <v>0</v>
      </c>
      <c r="AZ78" s="49">
        <f>IF(AZ$4=EOMONTH(CloseDate,'Rent Roll'!$O$11+'Rent Roll'!$S$11),-'Rent Roll'!$U$11*'Rent Roll'!$F$11*'Rent Roll'!$X$11,0)</f>
        <v>0</v>
      </c>
      <c r="BA78" s="49">
        <f>IF(BA$4=EOMONTH(CloseDate,'Rent Roll'!$O$11+'Rent Roll'!$S$11),-'Rent Roll'!$U$11*'Rent Roll'!$F$11*'Rent Roll'!$X$11,0)</f>
        <v>0</v>
      </c>
      <c r="BB78" s="49">
        <f>IF(BB$4=EOMONTH(CloseDate,'Rent Roll'!$O$11+'Rent Roll'!$S$11),-'Rent Roll'!$U$11*'Rent Roll'!$F$11*'Rent Roll'!$X$11,0)</f>
        <v>0</v>
      </c>
      <c r="BC78" s="49">
        <f>IF(BC$4=EOMONTH(CloseDate,'Rent Roll'!$O$11+'Rent Roll'!$S$11),-'Rent Roll'!$U$11*'Rent Roll'!$F$11*'Rent Roll'!$X$11,0)</f>
        <v>0</v>
      </c>
      <c r="BD78" s="49">
        <f>IF(BD$4=EOMONTH(CloseDate,'Rent Roll'!$O$11+'Rent Roll'!$S$11),-'Rent Roll'!$U$11*'Rent Roll'!$F$11*'Rent Roll'!$X$11,0)</f>
        <v>0</v>
      </c>
      <c r="BE78" s="49">
        <f>IF(BE$4=EOMONTH(CloseDate,'Rent Roll'!$O$11+'Rent Roll'!$S$11),-'Rent Roll'!$U$11*'Rent Roll'!$F$11*'Rent Roll'!$X$11,0)</f>
        <v>0</v>
      </c>
      <c r="BF78" s="49">
        <f>IF(BF$4=EOMONTH(CloseDate,'Rent Roll'!$O$11+'Rent Roll'!$S$11),-'Rent Roll'!$U$11*'Rent Roll'!$F$11*'Rent Roll'!$X$11,0)</f>
        <v>0</v>
      </c>
      <c r="BG78" s="49">
        <f>IF(BG$4=EOMONTH(CloseDate,'Rent Roll'!$O$11+'Rent Roll'!$S$11),-'Rent Roll'!$U$11*'Rent Roll'!$F$11*'Rent Roll'!$X$11,0)</f>
        <v>0</v>
      </c>
      <c r="BH78" s="49">
        <f>IF(BH$4=EOMONTH(CloseDate,'Rent Roll'!$O$11+'Rent Roll'!$S$11),-'Rent Roll'!$U$11*'Rent Roll'!$F$11*'Rent Roll'!$X$11,0)</f>
        <v>0</v>
      </c>
      <c r="BI78" s="49">
        <f>IF(BI$4=EOMONTH(CloseDate,'Rent Roll'!$O$11+'Rent Roll'!$S$11),-'Rent Roll'!$U$11*'Rent Roll'!$F$11*'Rent Roll'!$X$11,0)</f>
        <v>0</v>
      </c>
      <c r="BJ78" s="49">
        <f>IF(BJ$4=EOMONTH(CloseDate,'Rent Roll'!$O$11+'Rent Roll'!$S$11),-'Rent Roll'!$U$11*'Rent Roll'!$F$11*'Rent Roll'!$X$11,0)</f>
        <v>0</v>
      </c>
      <c r="BK78" s="49">
        <f>IF(BK$4=EOMONTH(CloseDate,'Rent Roll'!$O$11+'Rent Roll'!$S$11),-'Rent Roll'!$U$11*'Rent Roll'!$F$11*'Rent Roll'!$X$11,0)</f>
        <v>0</v>
      </c>
      <c r="BL78" s="49">
        <f>IF(BL$4=EOMONTH(CloseDate,'Rent Roll'!$O$11+'Rent Roll'!$S$11),-'Rent Roll'!$U$11*'Rent Roll'!$F$11*'Rent Roll'!$X$11,0)</f>
        <v>0</v>
      </c>
      <c r="BM78" s="49">
        <f>IF(BM$4=EOMONTH(CloseDate,'Rent Roll'!$O$11+'Rent Roll'!$S$11),-'Rent Roll'!$U$11*'Rent Roll'!$F$11*'Rent Roll'!$X$11,0)</f>
        <v>0</v>
      </c>
      <c r="BN78" s="49">
        <f>IF(BN$4=EOMONTH(CloseDate,'Rent Roll'!$O$11+'Rent Roll'!$S$11),-'Rent Roll'!$U$11*'Rent Roll'!$F$11*'Rent Roll'!$X$11,0)</f>
        <v>0</v>
      </c>
      <c r="BO78" s="49">
        <f>IF(BO$4=EOMONTH(CloseDate,'Rent Roll'!$O$11+'Rent Roll'!$S$11),-'Rent Roll'!$U$11*'Rent Roll'!$F$11*'Rent Roll'!$X$11,0)</f>
        <v>0</v>
      </c>
      <c r="BP78" s="49">
        <f>IF(BP$4=EOMONTH(CloseDate,'Rent Roll'!$O$11+'Rent Roll'!$S$11),-'Rent Roll'!$U$11*'Rent Roll'!$F$11*'Rent Roll'!$X$11,0)</f>
        <v>0</v>
      </c>
      <c r="BQ78" s="49">
        <f>IF(BQ$4=EOMONTH(CloseDate,'Rent Roll'!$O$11+'Rent Roll'!$S$11),-'Rent Roll'!$U$11*'Rent Roll'!$F$11*'Rent Roll'!$X$11,0)</f>
        <v>0</v>
      </c>
      <c r="BR78" s="49">
        <f>IF(BR$4=EOMONTH(CloseDate,'Rent Roll'!$O$11+'Rent Roll'!$S$11),-'Rent Roll'!$U$11*'Rent Roll'!$F$11*'Rent Roll'!$X$11,0)</f>
        <v>-11718.843749999998</v>
      </c>
      <c r="BS78" s="49">
        <f>IF(BS$4=EOMONTH(CloseDate,'Rent Roll'!$O$11+'Rent Roll'!$S$11),-'Rent Roll'!$U$11*'Rent Roll'!$F$11*'Rent Roll'!$X$11,0)</f>
        <v>0</v>
      </c>
      <c r="BT78" s="49">
        <f>IF(BT$4=EOMONTH(CloseDate,'Rent Roll'!$O$11+'Rent Roll'!$S$11),-'Rent Roll'!$U$11*'Rent Roll'!$F$11*'Rent Roll'!$X$11,0)</f>
        <v>0</v>
      </c>
      <c r="BU78" s="49">
        <f>IF(BU$4=EOMONTH(CloseDate,'Rent Roll'!$O$11+'Rent Roll'!$S$11),-'Rent Roll'!$U$11*'Rent Roll'!$F$11*'Rent Roll'!$X$11,0)</f>
        <v>0</v>
      </c>
      <c r="BV78" s="49">
        <f>IF(BV$4=EOMONTH(CloseDate,'Rent Roll'!$O$11+'Rent Roll'!$S$11),-'Rent Roll'!$U$11*'Rent Roll'!$F$11*'Rent Roll'!$X$11,0)</f>
        <v>0</v>
      </c>
      <c r="BW78" s="49">
        <f>IF(BW$4=EOMONTH(CloseDate,'Rent Roll'!$O$11+'Rent Roll'!$S$11),-'Rent Roll'!$U$11*'Rent Roll'!$F$11*'Rent Roll'!$X$11,0)</f>
        <v>0</v>
      </c>
      <c r="BX78" s="49">
        <f>IF(BX$4=EOMONTH(CloseDate,'Rent Roll'!$O$11+'Rent Roll'!$S$11),-'Rent Roll'!$U$11*'Rent Roll'!$F$11*'Rent Roll'!$X$11,0)</f>
        <v>0</v>
      </c>
    </row>
    <row r="79" spans="1:76" hidden="1" outlineLevel="1">
      <c r="A79" s="17" t="str">
        <f>'Rent Roll'!C12</f>
        <v>Queen City Accounting</v>
      </c>
      <c r="B79" s="57">
        <f>INDEX('Rent Roll'!$F$5:$F$46,MATCH('Rent Roll Calc'!A79,'Rent Roll'!$C$5:$C$46,0))</f>
        <v>8500</v>
      </c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  <c r="AC79" s="49"/>
      <c r="AD79" s="49"/>
      <c r="AE79" s="49"/>
      <c r="AF79" s="49"/>
      <c r="AG79" s="49"/>
      <c r="AH79" s="49"/>
      <c r="AI79" s="49"/>
      <c r="AJ79" s="49"/>
      <c r="AK79" s="49"/>
      <c r="AL79" s="49"/>
      <c r="AM79" s="49"/>
      <c r="AN79" s="49"/>
      <c r="AO79" s="49"/>
      <c r="AP79" s="49"/>
      <c r="AQ79" s="49"/>
      <c r="AR79" s="49"/>
      <c r="AS79" s="49"/>
      <c r="AT79" s="49"/>
      <c r="AU79" s="49"/>
      <c r="AV79" s="49"/>
      <c r="AW79" s="49"/>
      <c r="AX79" s="49"/>
      <c r="AY79" s="49"/>
      <c r="AZ79" s="49"/>
      <c r="BA79" s="49"/>
      <c r="BB79" s="49"/>
      <c r="BC79" s="49"/>
      <c r="BD79" s="49"/>
      <c r="BE79" s="49"/>
      <c r="BF79" s="49"/>
      <c r="BG79" s="49"/>
      <c r="BH79" s="49"/>
      <c r="BI79" s="49"/>
      <c r="BJ79" s="49"/>
      <c r="BK79" s="49"/>
      <c r="BL79" s="49"/>
      <c r="BM79" s="49"/>
      <c r="BN79" s="49"/>
      <c r="BO79" s="49"/>
      <c r="BP79" s="49"/>
      <c r="BQ79" s="49"/>
      <c r="BR79" s="49"/>
      <c r="BS79" s="49"/>
      <c r="BT79" s="49"/>
      <c r="BU79" s="49"/>
      <c r="BV79" s="49"/>
      <c r="BW79" s="49"/>
      <c r="BX79" s="49"/>
    </row>
    <row r="80" spans="1:76" hidden="1" outlineLevel="1">
      <c r="B80" t="s">
        <v>83</v>
      </c>
      <c r="D80" s="49">
        <f>IF(AND('Rent Roll'!$N$12&lt;&gt;"Ghost",D$4&lt;='Rent Roll'!$L$12),1,0)</f>
        <v>1</v>
      </c>
      <c r="E80" s="49">
        <f>IF(AND('Rent Roll'!$N$12&lt;&gt;"Ghost",E$4&lt;='Rent Roll'!$L$12),1,0)</f>
        <v>1</v>
      </c>
      <c r="F80" s="49">
        <f>IF(AND('Rent Roll'!$N$12&lt;&gt;"Ghost",F$4&lt;='Rent Roll'!$L$12),1,0)</f>
        <v>1</v>
      </c>
      <c r="G80" s="49">
        <f>IF(AND('Rent Roll'!$N$12&lt;&gt;"Ghost",G$4&lt;='Rent Roll'!$L$12),1,0)</f>
        <v>1</v>
      </c>
      <c r="H80" s="49">
        <f>IF(AND('Rent Roll'!$N$12&lt;&gt;"Ghost",H$4&lt;='Rent Roll'!$L$12),1,0)</f>
        <v>1</v>
      </c>
      <c r="I80" s="49">
        <f>IF(AND('Rent Roll'!$N$12&lt;&gt;"Ghost",I$4&lt;='Rent Roll'!$L$12),1,0)</f>
        <v>1</v>
      </c>
      <c r="J80" s="49">
        <f>IF(AND('Rent Roll'!$N$12&lt;&gt;"Ghost",J$4&lt;='Rent Roll'!$L$12),1,0)</f>
        <v>1</v>
      </c>
      <c r="K80" s="49">
        <f>IF(AND('Rent Roll'!$N$12&lt;&gt;"Ghost",K$4&lt;='Rent Roll'!$L$12),1,0)</f>
        <v>1</v>
      </c>
      <c r="L80" s="49">
        <f>IF(AND('Rent Roll'!$N$12&lt;&gt;"Ghost",L$4&lt;='Rent Roll'!$L$12),1,0)</f>
        <v>1</v>
      </c>
      <c r="M80" s="49">
        <f>IF(AND('Rent Roll'!$N$12&lt;&gt;"Ghost",M$4&lt;='Rent Roll'!$L$12),1,0)</f>
        <v>1</v>
      </c>
      <c r="N80" s="49">
        <f>IF(AND('Rent Roll'!$N$12&lt;&gt;"Ghost",N$4&lt;='Rent Roll'!$L$12),1,0)</f>
        <v>1</v>
      </c>
      <c r="O80" s="49">
        <f>IF(AND('Rent Roll'!$N$12&lt;&gt;"Ghost",O$4&lt;='Rent Roll'!$L$12),1,0)</f>
        <v>1</v>
      </c>
      <c r="P80" s="49">
        <f>IF(AND('Rent Roll'!$N$12&lt;&gt;"Ghost",P$4&lt;='Rent Roll'!$L$12),1,0)</f>
        <v>1</v>
      </c>
      <c r="Q80" s="49">
        <f>IF(AND('Rent Roll'!$N$12&lt;&gt;"Ghost",Q$4&lt;='Rent Roll'!$L$12),1,0)</f>
        <v>1</v>
      </c>
      <c r="R80" s="49">
        <f>IF(AND('Rent Roll'!$N$12&lt;&gt;"Ghost",R$4&lt;='Rent Roll'!$L$12),1,0)</f>
        <v>1</v>
      </c>
      <c r="S80" s="49">
        <f>IF(AND('Rent Roll'!$N$12&lt;&gt;"Ghost",S$4&lt;='Rent Roll'!$L$12),1,0)</f>
        <v>1</v>
      </c>
      <c r="T80" s="49">
        <f>IF(AND('Rent Roll'!$N$12&lt;&gt;"Ghost",T$4&lt;='Rent Roll'!$L$12),1,0)</f>
        <v>1</v>
      </c>
      <c r="U80" s="49">
        <f>IF(AND('Rent Roll'!$N$12&lt;&gt;"Ghost",U$4&lt;='Rent Roll'!$L$12),1,0)</f>
        <v>1</v>
      </c>
      <c r="V80" s="49">
        <f>IF(AND('Rent Roll'!$N$12&lt;&gt;"Ghost",V$4&lt;='Rent Roll'!$L$12),1,0)</f>
        <v>0</v>
      </c>
      <c r="W80" s="49">
        <f>IF(AND('Rent Roll'!$N$12&lt;&gt;"Ghost",W$4&lt;='Rent Roll'!$L$12),1,0)</f>
        <v>0</v>
      </c>
      <c r="X80" s="49">
        <f>IF(AND('Rent Roll'!$N$12&lt;&gt;"Ghost",X$4&lt;='Rent Roll'!$L$12),1,0)</f>
        <v>0</v>
      </c>
      <c r="Y80" s="49">
        <f>IF(AND('Rent Roll'!$N$12&lt;&gt;"Ghost",Y$4&lt;='Rent Roll'!$L$12),1,0)</f>
        <v>0</v>
      </c>
      <c r="Z80" s="49">
        <f>IF(AND('Rent Roll'!$N$12&lt;&gt;"Ghost",Z$4&lt;='Rent Roll'!$L$12),1,0)</f>
        <v>0</v>
      </c>
      <c r="AA80" s="49">
        <f>IF(AND('Rent Roll'!$N$12&lt;&gt;"Ghost",AA$4&lt;='Rent Roll'!$L$12),1,0)</f>
        <v>0</v>
      </c>
      <c r="AB80" s="49">
        <f>IF(AND('Rent Roll'!$N$12&lt;&gt;"Ghost",AB$4&lt;='Rent Roll'!$L$12),1,0)</f>
        <v>0</v>
      </c>
      <c r="AC80" s="49">
        <f>IF(AND('Rent Roll'!$N$12&lt;&gt;"Ghost",AC$4&lt;='Rent Roll'!$L$12),1,0)</f>
        <v>0</v>
      </c>
      <c r="AD80" s="49">
        <f>IF(AND('Rent Roll'!$N$12&lt;&gt;"Ghost",AD$4&lt;='Rent Roll'!$L$12),1,0)</f>
        <v>0</v>
      </c>
      <c r="AE80" s="49">
        <f>IF(AND('Rent Roll'!$N$12&lt;&gt;"Ghost",AE$4&lt;='Rent Roll'!$L$12),1,0)</f>
        <v>0</v>
      </c>
      <c r="AF80" s="49">
        <f>IF(AND('Rent Roll'!$N$12&lt;&gt;"Ghost",AF$4&lt;='Rent Roll'!$L$12),1,0)</f>
        <v>0</v>
      </c>
      <c r="AG80" s="49">
        <f>IF(AND('Rent Roll'!$N$12&lt;&gt;"Ghost",AG$4&lt;='Rent Roll'!$L$12),1,0)</f>
        <v>0</v>
      </c>
      <c r="AH80" s="49">
        <f>IF(AND('Rent Roll'!$N$12&lt;&gt;"Ghost",AH$4&lt;='Rent Roll'!$L$12),1,0)</f>
        <v>0</v>
      </c>
      <c r="AI80" s="49">
        <f>IF(AND('Rent Roll'!$N$12&lt;&gt;"Ghost",AI$4&lt;='Rent Roll'!$L$12),1,0)</f>
        <v>0</v>
      </c>
      <c r="AJ80" s="49">
        <f>IF(AND('Rent Roll'!$N$12&lt;&gt;"Ghost",AJ$4&lt;='Rent Roll'!$L$12),1,0)</f>
        <v>0</v>
      </c>
      <c r="AK80" s="49">
        <f>IF(AND('Rent Roll'!$N$12&lt;&gt;"Ghost",AK$4&lt;='Rent Roll'!$L$12),1,0)</f>
        <v>0</v>
      </c>
      <c r="AL80" s="49">
        <f>IF(AND('Rent Roll'!$N$12&lt;&gt;"Ghost",AL$4&lt;='Rent Roll'!$L$12),1,0)</f>
        <v>0</v>
      </c>
      <c r="AM80" s="49">
        <f>IF(AND('Rent Roll'!$N$12&lt;&gt;"Ghost",AM$4&lt;='Rent Roll'!$L$12),1,0)</f>
        <v>0</v>
      </c>
      <c r="AN80" s="49">
        <f>IF(AND('Rent Roll'!$N$12&lt;&gt;"Ghost",AN$4&lt;='Rent Roll'!$L$12),1,0)</f>
        <v>0</v>
      </c>
      <c r="AO80" s="49">
        <f>IF(AND('Rent Roll'!$N$12&lt;&gt;"Ghost",AO$4&lt;='Rent Roll'!$L$12),1,0)</f>
        <v>0</v>
      </c>
      <c r="AP80" s="49">
        <f>IF(AND('Rent Roll'!$N$12&lt;&gt;"Ghost",AP$4&lt;='Rent Roll'!$L$12),1,0)</f>
        <v>0</v>
      </c>
      <c r="AQ80" s="49">
        <f>IF(AND('Rent Roll'!$N$12&lt;&gt;"Ghost",AQ$4&lt;='Rent Roll'!$L$12),1,0)</f>
        <v>0</v>
      </c>
      <c r="AR80" s="49">
        <f>IF(AND('Rent Roll'!$N$12&lt;&gt;"Ghost",AR$4&lt;='Rent Roll'!$L$12),1,0)</f>
        <v>0</v>
      </c>
      <c r="AS80" s="49">
        <f>IF(AND('Rent Roll'!$N$12&lt;&gt;"Ghost",AS$4&lt;='Rent Roll'!$L$12),1,0)</f>
        <v>0</v>
      </c>
      <c r="AT80" s="49">
        <f>IF(AND('Rent Roll'!$N$12&lt;&gt;"Ghost",AT$4&lt;='Rent Roll'!$L$12),1,0)</f>
        <v>0</v>
      </c>
      <c r="AU80" s="49">
        <f>IF(AND('Rent Roll'!$N$12&lt;&gt;"Ghost",AU$4&lt;='Rent Roll'!$L$12),1,0)</f>
        <v>0</v>
      </c>
      <c r="AV80" s="49">
        <f>IF(AND('Rent Roll'!$N$12&lt;&gt;"Ghost",AV$4&lt;='Rent Roll'!$L$12),1,0)</f>
        <v>0</v>
      </c>
      <c r="AW80" s="49">
        <f>IF(AND('Rent Roll'!$N$12&lt;&gt;"Ghost",AW$4&lt;='Rent Roll'!$L$12),1,0)</f>
        <v>0</v>
      </c>
      <c r="AX80" s="49">
        <f>IF(AND('Rent Roll'!$N$12&lt;&gt;"Ghost",AX$4&lt;='Rent Roll'!$L$12),1,0)</f>
        <v>0</v>
      </c>
      <c r="AY80" s="49">
        <f>IF(AND('Rent Roll'!$N$12&lt;&gt;"Ghost",AY$4&lt;='Rent Roll'!$L$12),1,0)</f>
        <v>0</v>
      </c>
      <c r="AZ80" s="49">
        <f>IF(AND('Rent Roll'!$N$12&lt;&gt;"Ghost",AZ$4&lt;='Rent Roll'!$L$12),1,0)</f>
        <v>0</v>
      </c>
      <c r="BA80" s="49">
        <f>IF(AND('Rent Roll'!$N$12&lt;&gt;"Ghost",BA$4&lt;='Rent Roll'!$L$12),1,0)</f>
        <v>0</v>
      </c>
      <c r="BB80" s="49">
        <f>IF(AND('Rent Roll'!$N$12&lt;&gt;"Ghost",BB$4&lt;='Rent Roll'!$L$12),1,0)</f>
        <v>0</v>
      </c>
      <c r="BC80" s="49">
        <f>IF(AND('Rent Roll'!$N$12&lt;&gt;"Ghost",BC$4&lt;='Rent Roll'!$L$12),1,0)</f>
        <v>0</v>
      </c>
      <c r="BD80" s="49">
        <f>IF(AND('Rent Roll'!$N$12&lt;&gt;"Ghost",BD$4&lt;='Rent Roll'!$L$12),1,0)</f>
        <v>0</v>
      </c>
      <c r="BE80" s="49">
        <f>IF(AND('Rent Roll'!$N$12&lt;&gt;"Ghost",BE$4&lt;='Rent Roll'!$L$12),1,0)</f>
        <v>0</v>
      </c>
      <c r="BF80" s="49">
        <f>IF(AND('Rent Roll'!$N$12&lt;&gt;"Ghost",BF$4&lt;='Rent Roll'!$L$12),1,0)</f>
        <v>0</v>
      </c>
      <c r="BG80" s="49">
        <f>IF(AND('Rent Roll'!$N$12&lt;&gt;"Ghost",BG$4&lt;='Rent Roll'!$L$12),1,0)</f>
        <v>0</v>
      </c>
      <c r="BH80" s="49">
        <f>IF(AND('Rent Roll'!$N$12&lt;&gt;"Ghost",BH$4&lt;='Rent Roll'!$L$12),1,0)</f>
        <v>0</v>
      </c>
      <c r="BI80" s="49">
        <f>IF(AND('Rent Roll'!$N$12&lt;&gt;"Ghost",BI$4&lt;='Rent Roll'!$L$12),1,0)</f>
        <v>0</v>
      </c>
      <c r="BJ80" s="49">
        <f>IF(AND('Rent Roll'!$N$12&lt;&gt;"Ghost",BJ$4&lt;='Rent Roll'!$L$12),1,0)</f>
        <v>0</v>
      </c>
      <c r="BK80" s="49">
        <f>IF(AND('Rent Roll'!$N$12&lt;&gt;"Ghost",BK$4&lt;='Rent Roll'!$L$12),1,0)</f>
        <v>0</v>
      </c>
      <c r="BL80" s="49">
        <f>IF(AND('Rent Roll'!$N$12&lt;&gt;"Ghost",BL$4&lt;='Rent Roll'!$L$12),1,0)</f>
        <v>0</v>
      </c>
      <c r="BM80" s="49">
        <f>IF(AND('Rent Roll'!$N$12&lt;&gt;"Ghost",BM$4&lt;='Rent Roll'!$L$12),1,0)</f>
        <v>0</v>
      </c>
      <c r="BN80" s="49">
        <f>IF(AND('Rent Roll'!$N$12&lt;&gt;"Ghost",BN$4&lt;='Rent Roll'!$L$12),1,0)</f>
        <v>0</v>
      </c>
      <c r="BO80" s="49">
        <f>IF(AND('Rent Roll'!$N$12&lt;&gt;"Ghost",BO$4&lt;='Rent Roll'!$L$12),1,0)</f>
        <v>0</v>
      </c>
      <c r="BP80" s="49">
        <f>IF(AND('Rent Roll'!$N$12&lt;&gt;"Ghost",BP$4&lt;='Rent Roll'!$L$12),1,0)</f>
        <v>0</v>
      </c>
      <c r="BQ80" s="49">
        <f>IF(AND('Rent Roll'!$N$12&lt;&gt;"Ghost",BQ$4&lt;='Rent Roll'!$L$12),1,0)</f>
        <v>0</v>
      </c>
      <c r="BR80" s="49">
        <f>IF(AND('Rent Roll'!$N$12&lt;&gt;"Ghost",BR$4&lt;='Rent Roll'!$L$12),1,0)</f>
        <v>0</v>
      </c>
      <c r="BS80" s="49">
        <f>IF(AND('Rent Roll'!$N$12&lt;&gt;"Ghost",BS$4&lt;='Rent Roll'!$L$12),1,0)</f>
        <v>0</v>
      </c>
      <c r="BT80" s="49">
        <f>IF(AND('Rent Roll'!$N$12&lt;&gt;"Ghost",BT$4&lt;='Rent Roll'!$L$12),1,0)</f>
        <v>0</v>
      </c>
      <c r="BU80" s="49">
        <f>IF(AND('Rent Roll'!$N$12&lt;&gt;"Ghost",BU$4&lt;='Rent Roll'!$L$12),1,0)</f>
        <v>0</v>
      </c>
      <c r="BV80" s="49">
        <f>IF(AND('Rent Roll'!$N$12&lt;&gt;"Ghost",BV$4&lt;='Rent Roll'!$L$12),1,0)</f>
        <v>0</v>
      </c>
      <c r="BW80" s="49">
        <f>IF(AND('Rent Roll'!$N$12&lt;&gt;"Ghost",BW$4&lt;='Rent Roll'!$L$12),1,0)</f>
        <v>0</v>
      </c>
      <c r="BX80" s="49">
        <f>IF(AND('Rent Roll'!$N$12&lt;&gt;"Ghost",BX$4&lt;='Rent Roll'!$L$12),1,0)</f>
        <v>0</v>
      </c>
    </row>
    <row r="81" spans="1:76" hidden="1" outlineLevel="1">
      <c r="B81" t="s">
        <v>159</v>
      </c>
      <c r="D81" s="49">
        <f>IF(D80=1,'Rent Roll'!$H$12/12*(1+'Rent Roll'!$I$12)^IF(D$4&lt;'Rent Roll'!$Y$12,0,YEAR(D$4)-YEAR('Rent Roll'!$Y$12)+1),0)</f>
        <v>13989.583333333334</v>
      </c>
      <c r="E81" s="49">
        <f>IF(E80=1,'Rent Roll'!$H$12/12*(1+'Rent Roll'!$I$12)^IF(E$4&lt;'Rent Roll'!$Y$12,0,YEAR(E$4)-YEAR('Rent Roll'!$Y$12)+1),0)</f>
        <v>13989.583333333334</v>
      </c>
      <c r="F81" s="49">
        <f>IF(F80=1,'Rent Roll'!$H$12/12*(1+'Rent Roll'!$I$12)^IF(F$4&lt;'Rent Roll'!$Y$12,0,YEAR(F$4)-YEAR('Rent Roll'!$Y$12)+1),0)</f>
        <v>13989.583333333334</v>
      </c>
      <c r="G81" s="49">
        <f>IF(G80=1,'Rent Roll'!$H$12/12*(1+'Rent Roll'!$I$12)^IF(G$4&lt;'Rent Roll'!$Y$12,0,YEAR(G$4)-YEAR('Rent Roll'!$Y$12)+1),0)</f>
        <v>13989.583333333334</v>
      </c>
      <c r="H81" s="49">
        <f>IF(H80=1,'Rent Roll'!$H$12/12*(1+'Rent Roll'!$I$12)^IF(H$4&lt;'Rent Roll'!$Y$12,0,YEAR(H$4)-YEAR('Rent Roll'!$Y$12)+1),0)</f>
        <v>13989.583333333334</v>
      </c>
      <c r="I81" s="49">
        <f>IF(I80=1,'Rent Roll'!$H$12/12*(1+'Rent Roll'!$I$12)^IF(I$4&lt;'Rent Roll'!$Y$12,0,YEAR(I$4)-YEAR('Rent Roll'!$Y$12)+1),0)</f>
        <v>13989.583333333334</v>
      </c>
      <c r="J81" s="49">
        <f>IF(J80=1,'Rent Roll'!$H$12/12*(1+'Rent Roll'!$I$12)^IF(J$4&lt;'Rent Roll'!$Y$12,0,YEAR(J$4)-YEAR('Rent Roll'!$Y$12)+1),0)</f>
        <v>14339.322916666666</v>
      </c>
      <c r="K81" s="49">
        <f>IF(K80=1,'Rent Roll'!$H$12/12*(1+'Rent Roll'!$I$12)^IF(K$4&lt;'Rent Roll'!$Y$12,0,YEAR(K$4)-YEAR('Rent Roll'!$Y$12)+1),0)</f>
        <v>14339.322916666666</v>
      </c>
      <c r="L81" s="49">
        <f>IF(L80=1,'Rent Roll'!$H$12/12*(1+'Rent Roll'!$I$12)^IF(L$4&lt;'Rent Roll'!$Y$12,0,YEAR(L$4)-YEAR('Rent Roll'!$Y$12)+1),0)</f>
        <v>14339.322916666666</v>
      </c>
      <c r="M81" s="49">
        <f>IF(M80=1,'Rent Roll'!$H$12/12*(1+'Rent Roll'!$I$12)^IF(M$4&lt;'Rent Roll'!$Y$12,0,YEAR(M$4)-YEAR('Rent Roll'!$Y$12)+1),0)</f>
        <v>14339.322916666666</v>
      </c>
      <c r="N81" s="49">
        <f>IF(N80=1,'Rent Roll'!$H$12/12*(1+'Rent Roll'!$I$12)^IF(N$4&lt;'Rent Roll'!$Y$12,0,YEAR(N$4)-YEAR('Rent Roll'!$Y$12)+1),0)</f>
        <v>14339.322916666666</v>
      </c>
      <c r="O81" s="49">
        <f>IF(O80=1,'Rent Roll'!$H$12/12*(1+'Rent Roll'!$I$12)^IF(O$4&lt;'Rent Roll'!$Y$12,0,YEAR(O$4)-YEAR('Rent Roll'!$Y$12)+1),0)</f>
        <v>14339.322916666666</v>
      </c>
      <c r="P81" s="49">
        <f>IF(P80=1,'Rent Roll'!$H$12/12*(1+'Rent Roll'!$I$12)^IF(P$4&lt;'Rent Roll'!$Y$12,0,YEAR(P$4)-YEAR('Rent Roll'!$Y$12)+1),0)</f>
        <v>14339.322916666666</v>
      </c>
      <c r="Q81" s="49">
        <f>IF(Q80=1,'Rent Roll'!$H$12/12*(1+'Rent Roll'!$I$12)^IF(Q$4&lt;'Rent Roll'!$Y$12,0,YEAR(Q$4)-YEAR('Rent Roll'!$Y$12)+1),0)</f>
        <v>14339.322916666666</v>
      </c>
      <c r="R81" s="49">
        <f>IF(R80=1,'Rent Roll'!$H$12/12*(1+'Rent Roll'!$I$12)^IF(R$4&lt;'Rent Roll'!$Y$12,0,YEAR(R$4)-YEAR('Rent Roll'!$Y$12)+1),0)</f>
        <v>14339.322916666666</v>
      </c>
      <c r="S81" s="49">
        <f>IF(S80=1,'Rent Roll'!$H$12/12*(1+'Rent Roll'!$I$12)^IF(S$4&lt;'Rent Roll'!$Y$12,0,YEAR(S$4)-YEAR('Rent Roll'!$Y$12)+1),0)</f>
        <v>14339.322916666666</v>
      </c>
      <c r="T81" s="49">
        <f>IF(T80=1,'Rent Roll'!$H$12/12*(1+'Rent Roll'!$I$12)^IF(T$4&lt;'Rent Roll'!$Y$12,0,YEAR(T$4)-YEAR('Rent Roll'!$Y$12)+1),0)</f>
        <v>14339.322916666666</v>
      </c>
      <c r="U81" s="49">
        <f>IF(U80=1,'Rent Roll'!$H$12/12*(1+'Rent Roll'!$I$12)^IF(U$4&lt;'Rent Roll'!$Y$12,0,YEAR(U$4)-YEAR('Rent Roll'!$Y$12)+1),0)</f>
        <v>14697.805989583332</v>
      </c>
      <c r="V81" s="49">
        <f>IF(V80=1,'Rent Roll'!$H$12/12*(1+'Rent Roll'!$I$12)^IF(V$4&lt;'Rent Roll'!$Y$12,0,YEAR(V$4)-YEAR('Rent Roll'!$Y$12)+1),0)</f>
        <v>0</v>
      </c>
      <c r="W81" s="49">
        <f>IF(W80=1,'Rent Roll'!$H$12/12*(1+'Rent Roll'!$I$12)^IF(W$4&lt;'Rent Roll'!$Y$12,0,YEAR(W$4)-YEAR('Rent Roll'!$Y$12)+1),0)</f>
        <v>0</v>
      </c>
      <c r="X81" s="49">
        <f>IF(X80=1,'Rent Roll'!$H$12/12*(1+'Rent Roll'!$I$12)^IF(X$4&lt;'Rent Roll'!$Y$12,0,YEAR(X$4)-YEAR('Rent Roll'!$Y$12)+1),0)</f>
        <v>0</v>
      </c>
      <c r="Y81" s="49">
        <f>IF(Y80=1,'Rent Roll'!$H$12/12*(1+'Rent Roll'!$I$12)^IF(Y$4&lt;'Rent Roll'!$Y$12,0,YEAR(Y$4)-YEAR('Rent Roll'!$Y$12)+1),0)</f>
        <v>0</v>
      </c>
      <c r="Z81" s="49">
        <f>IF(Z80=1,'Rent Roll'!$H$12/12*(1+'Rent Roll'!$I$12)^IF(Z$4&lt;'Rent Roll'!$Y$12,0,YEAR(Z$4)-YEAR('Rent Roll'!$Y$12)+1),0)</f>
        <v>0</v>
      </c>
      <c r="AA81" s="49">
        <f>IF(AA80=1,'Rent Roll'!$H$12/12*(1+'Rent Roll'!$I$12)^IF(AA$4&lt;'Rent Roll'!$Y$12,0,YEAR(AA$4)-YEAR('Rent Roll'!$Y$12)+1),0)</f>
        <v>0</v>
      </c>
      <c r="AB81" s="49">
        <f>IF(AB80=1,'Rent Roll'!$H$12/12*(1+'Rent Roll'!$I$12)^IF(AB$4&lt;'Rent Roll'!$Y$12,0,YEAR(AB$4)-YEAR('Rent Roll'!$Y$12)+1),0)</f>
        <v>0</v>
      </c>
      <c r="AC81" s="49">
        <f>IF(AC80=1,'Rent Roll'!$H$12/12*(1+'Rent Roll'!$I$12)^IF(AC$4&lt;'Rent Roll'!$Y$12,0,YEAR(AC$4)-YEAR('Rent Roll'!$Y$12)+1),0)</f>
        <v>0</v>
      </c>
      <c r="AD81" s="49">
        <f>IF(AD80=1,'Rent Roll'!$H$12/12*(1+'Rent Roll'!$I$12)^IF(AD$4&lt;'Rent Roll'!$Y$12,0,YEAR(AD$4)-YEAR('Rent Roll'!$Y$12)+1),0)</f>
        <v>0</v>
      </c>
      <c r="AE81" s="49">
        <f>IF(AE80=1,'Rent Roll'!$H$12/12*(1+'Rent Roll'!$I$12)^IF(AE$4&lt;'Rent Roll'!$Y$12,0,YEAR(AE$4)-YEAR('Rent Roll'!$Y$12)+1),0)</f>
        <v>0</v>
      </c>
      <c r="AF81" s="49">
        <f>IF(AF80=1,'Rent Roll'!$H$12/12*(1+'Rent Roll'!$I$12)^IF(AF$4&lt;'Rent Roll'!$Y$12,0,YEAR(AF$4)-YEAR('Rent Roll'!$Y$12)+1),0)</f>
        <v>0</v>
      </c>
      <c r="AG81" s="49">
        <f>IF(AG80=1,'Rent Roll'!$H$12/12*(1+'Rent Roll'!$I$12)^IF(AG$4&lt;'Rent Roll'!$Y$12,0,YEAR(AG$4)-YEAR('Rent Roll'!$Y$12)+1),0)</f>
        <v>0</v>
      </c>
      <c r="AH81" s="49">
        <f>IF(AH80=1,'Rent Roll'!$H$12/12*(1+'Rent Roll'!$I$12)^IF(AH$4&lt;'Rent Roll'!$Y$12,0,YEAR(AH$4)-YEAR('Rent Roll'!$Y$12)+1),0)</f>
        <v>0</v>
      </c>
      <c r="AI81" s="49">
        <f>IF(AI80=1,'Rent Roll'!$H$12/12*(1+'Rent Roll'!$I$12)^IF(AI$4&lt;'Rent Roll'!$Y$12,0,YEAR(AI$4)-YEAR('Rent Roll'!$Y$12)+1),0)</f>
        <v>0</v>
      </c>
      <c r="AJ81" s="49">
        <f>IF(AJ80=1,'Rent Roll'!$H$12/12*(1+'Rent Roll'!$I$12)^IF(AJ$4&lt;'Rent Roll'!$Y$12,0,YEAR(AJ$4)-YEAR('Rent Roll'!$Y$12)+1),0)</f>
        <v>0</v>
      </c>
      <c r="AK81" s="49">
        <f>IF(AK80=1,'Rent Roll'!$H$12/12*(1+'Rent Roll'!$I$12)^IF(AK$4&lt;'Rent Roll'!$Y$12,0,YEAR(AK$4)-YEAR('Rent Roll'!$Y$12)+1),0)</f>
        <v>0</v>
      </c>
      <c r="AL81" s="49">
        <f>IF(AL80=1,'Rent Roll'!$H$12/12*(1+'Rent Roll'!$I$12)^IF(AL$4&lt;'Rent Roll'!$Y$12,0,YEAR(AL$4)-YEAR('Rent Roll'!$Y$12)+1),0)</f>
        <v>0</v>
      </c>
      <c r="AM81" s="49">
        <f>IF(AM80=1,'Rent Roll'!$H$12/12*(1+'Rent Roll'!$I$12)^IF(AM$4&lt;'Rent Roll'!$Y$12,0,YEAR(AM$4)-YEAR('Rent Roll'!$Y$12)+1),0)</f>
        <v>0</v>
      </c>
      <c r="AN81" s="49">
        <f>IF(AN80=1,'Rent Roll'!$H$12/12*(1+'Rent Roll'!$I$12)^IF(AN$4&lt;'Rent Roll'!$Y$12,0,YEAR(AN$4)-YEAR('Rent Roll'!$Y$12)+1),0)</f>
        <v>0</v>
      </c>
      <c r="AO81" s="49">
        <f>IF(AO80=1,'Rent Roll'!$H$12/12*(1+'Rent Roll'!$I$12)^IF(AO$4&lt;'Rent Roll'!$Y$12,0,YEAR(AO$4)-YEAR('Rent Roll'!$Y$12)+1),0)</f>
        <v>0</v>
      </c>
      <c r="AP81" s="49">
        <f>IF(AP80=1,'Rent Roll'!$H$12/12*(1+'Rent Roll'!$I$12)^IF(AP$4&lt;'Rent Roll'!$Y$12,0,YEAR(AP$4)-YEAR('Rent Roll'!$Y$12)+1),0)</f>
        <v>0</v>
      </c>
      <c r="AQ81" s="49">
        <f>IF(AQ80=1,'Rent Roll'!$H$12/12*(1+'Rent Roll'!$I$12)^IF(AQ$4&lt;'Rent Roll'!$Y$12,0,YEAR(AQ$4)-YEAR('Rent Roll'!$Y$12)+1),0)</f>
        <v>0</v>
      </c>
      <c r="AR81" s="49">
        <f>IF(AR80=1,'Rent Roll'!$H$12/12*(1+'Rent Roll'!$I$12)^IF(AR$4&lt;'Rent Roll'!$Y$12,0,YEAR(AR$4)-YEAR('Rent Roll'!$Y$12)+1),0)</f>
        <v>0</v>
      </c>
      <c r="AS81" s="49">
        <f>IF(AS80=1,'Rent Roll'!$H$12/12*(1+'Rent Roll'!$I$12)^IF(AS$4&lt;'Rent Roll'!$Y$12,0,YEAR(AS$4)-YEAR('Rent Roll'!$Y$12)+1),0)</f>
        <v>0</v>
      </c>
      <c r="AT81" s="49">
        <f>IF(AT80=1,'Rent Roll'!$H$12/12*(1+'Rent Roll'!$I$12)^IF(AT$4&lt;'Rent Roll'!$Y$12,0,YEAR(AT$4)-YEAR('Rent Roll'!$Y$12)+1),0)</f>
        <v>0</v>
      </c>
      <c r="AU81" s="49">
        <f>IF(AU80=1,'Rent Roll'!$H$12/12*(1+'Rent Roll'!$I$12)^IF(AU$4&lt;'Rent Roll'!$Y$12,0,YEAR(AU$4)-YEAR('Rent Roll'!$Y$12)+1),0)</f>
        <v>0</v>
      </c>
      <c r="AV81" s="49">
        <f>IF(AV80=1,'Rent Roll'!$H$12/12*(1+'Rent Roll'!$I$12)^IF(AV$4&lt;'Rent Roll'!$Y$12,0,YEAR(AV$4)-YEAR('Rent Roll'!$Y$12)+1),0)</f>
        <v>0</v>
      </c>
      <c r="AW81" s="49">
        <f>IF(AW80=1,'Rent Roll'!$H$12/12*(1+'Rent Roll'!$I$12)^IF(AW$4&lt;'Rent Roll'!$Y$12,0,YEAR(AW$4)-YEAR('Rent Roll'!$Y$12)+1),0)</f>
        <v>0</v>
      </c>
      <c r="AX81" s="49">
        <f>IF(AX80=1,'Rent Roll'!$H$12/12*(1+'Rent Roll'!$I$12)^IF(AX$4&lt;'Rent Roll'!$Y$12,0,YEAR(AX$4)-YEAR('Rent Roll'!$Y$12)+1),0)</f>
        <v>0</v>
      </c>
      <c r="AY81" s="49">
        <f>IF(AY80=1,'Rent Roll'!$H$12/12*(1+'Rent Roll'!$I$12)^IF(AY$4&lt;'Rent Roll'!$Y$12,0,YEAR(AY$4)-YEAR('Rent Roll'!$Y$12)+1),0)</f>
        <v>0</v>
      </c>
      <c r="AZ81" s="49">
        <f>IF(AZ80=1,'Rent Roll'!$H$12/12*(1+'Rent Roll'!$I$12)^IF(AZ$4&lt;'Rent Roll'!$Y$12,0,YEAR(AZ$4)-YEAR('Rent Roll'!$Y$12)+1),0)</f>
        <v>0</v>
      </c>
      <c r="BA81" s="49">
        <f>IF(BA80=1,'Rent Roll'!$H$12/12*(1+'Rent Roll'!$I$12)^IF(BA$4&lt;'Rent Roll'!$Y$12,0,YEAR(BA$4)-YEAR('Rent Roll'!$Y$12)+1),0)</f>
        <v>0</v>
      </c>
      <c r="BB81" s="49">
        <f>IF(BB80=1,'Rent Roll'!$H$12/12*(1+'Rent Roll'!$I$12)^IF(BB$4&lt;'Rent Roll'!$Y$12,0,YEAR(BB$4)-YEAR('Rent Roll'!$Y$12)+1),0)</f>
        <v>0</v>
      </c>
      <c r="BC81" s="49">
        <f>IF(BC80=1,'Rent Roll'!$H$12/12*(1+'Rent Roll'!$I$12)^IF(BC$4&lt;'Rent Roll'!$Y$12,0,YEAR(BC$4)-YEAR('Rent Roll'!$Y$12)+1),0)</f>
        <v>0</v>
      </c>
      <c r="BD81" s="49">
        <f>IF(BD80=1,'Rent Roll'!$H$12/12*(1+'Rent Roll'!$I$12)^IF(BD$4&lt;'Rent Roll'!$Y$12,0,YEAR(BD$4)-YEAR('Rent Roll'!$Y$12)+1),0)</f>
        <v>0</v>
      </c>
      <c r="BE81" s="49">
        <f>IF(BE80=1,'Rent Roll'!$H$12/12*(1+'Rent Roll'!$I$12)^IF(BE$4&lt;'Rent Roll'!$Y$12,0,YEAR(BE$4)-YEAR('Rent Roll'!$Y$12)+1),0)</f>
        <v>0</v>
      </c>
      <c r="BF81" s="49">
        <f>IF(BF80=1,'Rent Roll'!$H$12/12*(1+'Rent Roll'!$I$12)^IF(BF$4&lt;'Rent Roll'!$Y$12,0,YEAR(BF$4)-YEAR('Rent Roll'!$Y$12)+1),0)</f>
        <v>0</v>
      </c>
      <c r="BG81" s="49">
        <f>IF(BG80=1,'Rent Roll'!$H$12/12*(1+'Rent Roll'!$I$12)^IF(BG$4&lt;'Rent Roll'!$Y$12,0,YEAR(BG$4)-YEAR('Rent Roll'!$Y$12)+1),0)</f>
        <v>0</v>
      </c>
      <c r="BH81" s="49">
        <f>IF(BH80=1,'Rent Roll'!$H$12/12*(1+'Rent Roll'!$I$12)^IF(BH$4&lt;'Rent Roll'!$Y$12,0,YEAR(BH$4)-YEAR('Rent Roll'!$Y$12)+1),0)</f>
        <v>0</v>
      </c>
      <c r="BI81" s="49">
        <f>IF(BI80=1,'Rent Roll'!$H$12/12*(1+'Rent Roll'!$I$12)^IF(BI$4&lt;'Rent Roll'!$Y$12,0,YEAR(BI$4)-YEAR('Rent Roll'!$Y$12)+1),0)</f>
        <v>0</v>
      </c>
      <c r="BJ81" s="49">
        <f>IF(BJ80=1,'Rent Roll'!$H$12/12*(1+'Rent Roll'!$I$12)^IF(BJ$4&lt;'Rent Roll'!$Y$12,0,YEAR(BJ$4)-YEAR('Rent Roll'!$Y$12)+1),0)</f>
        <v>0</v>
      </c>
      <c r="BK81" s="49">
        <f>IF(BK80=1,'Rent Roll'!$H$12/12*(1+'Rent Roll'!$I$12)^IF(BK$4&lt;'Rent Roll'!$Y$12,0,YEAR(BK$4)-YEAR('Rent Roll'!$Y$12)+1),0)</f>
        <v>0</v>
      </c>
      <c r="BL81" s="49">
        <f>IF(BL80=1,'Rent Roll'!$H$12/12*(1+'Rent Roll'!$I$12)^IF(BL$4&lt;'Rent Roll'!$Y$12,0,YEAR(BL$4)-YEAR('Rent Roll'!$Y$12)+1),0)</f>
        <v>0</v>
      </c>
      <c r="BM81" s="49">
        <f>IF(BM80=1,'Rent Roll'!$H$12/12*(1+'Rent Roll'!$I$12)^IF(BM$4&lt;'Rent Roll'!$Y$12,0,YEAR(BM$4)-YEAR('Rent Roll'!$Y$12)+1),0)</f>
        <v>0</v>
      </c>
      <c r="BN81" s="49">
        <f>IF(BN80=1,'Rent Roll'!$H$12/12*(1+'Rent Roll'!$I$12)^IF(BN$4&lt;'Rent Roll'!$Y$12,0,YEAR(BN$4)-YEAR('Rent Roll'!$Y$12)+1),0)</f>
        <v>0</v>
      </c>
      <c r="BO81" s="49">
        <f>IF(BO80=1,'Rent Roll'!$H$12/12*(1+'Rent Roll'!$I$12)^IF(BO$4&lt;'Rent Roll'!$Y$12,0,YEAR(BO$4)-YEAR('Rent Roll'!$Y$12)+1),0)</f>
        <v>0</v>
      </c>
      <c r="BP81" s="49">
        <f>IF(BP80=1,'Rent Roll'!$H$12/12*(1+'Rent Roll'!$I$12)^IF(BP$4&lt;'Rent Roll'!$Y$12,0,YEAR(BP$4)-YEAR('Rent Roll'!$Y$12)+1),0)</f>
        <v>0</v>
      </c>
      <c r="BQ81" s="49">
        <f>IF(BQ80=1,'Rent Roll'!$H$12/12*(1+'Rent Roll'!$I$12)^IF(BQ$4&lt;'Rent Roll'!$Y$12,0,YEAR(BQ$4)-YEAR('Rent Roll'!$Y$12)+1),0)</f>
        <v>0</v>
      </c>
      <c r="BR81" s="49">
        <f>IF(BR80=1,'Rent Roll'!$H$12/12*(1+'Rent Roll'!$I$12)^IF(BR$4&lt;'Rent Roll'!$Y$12,0,YEAR(BR$4)-YEAR('Rent Roll'!$Y$12)+1),0)</f>
        <v>0</v>
      </c>
      <c r="BS81" s="49">
        <f>IF(BS80=1,'Rent Roll'!$H$12/12*(1+'Rent Roll'!$I$12)^IF(BS$4&lt;'Rent Roll'!$Y$12,0,YEAR(BS$4)-YEAR('Rent Roll'!$Y$12)+1),0)</f>
        <v>0</v>
      </c>
      <c r="BT81" s="49">
        <f>IF(BT80=1,'Rent Roll'!$H$12/12*(1+'Rent Roll'!$I$12)^IF(BT$4&lt;'Rent Roll'!$Y$12,0,YEAR(BT$4)-YEAR('Rent Roll'!$Y$12)+1),0)</f>
        <v>0</v>
      </c>
      <c r="BU81" s="49">
        <f>IF(BU80=1,'Rent Roll'!$H$12/12*(1+'Rent Roll'!$I$12)^IF(BU$4&lt;'Rent Roll'!$Y$12,0,YEAR(BU$4)-YEAR('Rent Roll'!$Y$12)+1),0)</f>
        <v>0</v>
      </c>
      <c r="BV81" s="49">
        <f>IF(BV80=1,'Rent Roll'!$H$12/12*(1+'Rent Roll'!$I$12)^IF(BV$4&lt;'Rent Roll'!$Y$12,0,YEAR(BV$4)-YEAR('Rent Roll'!$Y$12)+1),0)</f>
        <v>0</v>
      </c>
      <c r="BW81" s="49">
        <f>IF(BW80=1,'Rent Roll'!$H$12/12*(1+'Rent Roll'!$I$12)^IF(BW$4&lt;'Rent Roll'!$Y$12,0,YEAR(BW$4)-YEAR('Rent Roll'!$Y$12)+1),0)</f>
        <v>0</v>
      </c>
      <c r="BX81" s="49">
        <f>IF(BX80=1,'Rent Roll'!$H$12/12*(1+'Rent Roll'!$I$12)^IF(BX$4&lt;'Rent Roll'!$Y$12,0,YEAR(BX$4)-YEAR('Rent Roll'!$Y$12)+1),0)</f>
        <v>0</v>
      </c>
    </row>
    <row r="82" spans="1:76" hidden="1" outlineLevel="1">
      <c r="B82" t="s">
        <v>160</v>
      </c>
      <c r="D82" s="49">
        <f>IF(D$4&gt;EOMONTH(CloseDate,'Rent Roll'!$O$12+'Rent Roll'!$S$12-1),1,0)</f>
        <v>0</v>
      </c>
      <c r="E82" s="49">
        <f>IF(E$4&gt;EOMONTH(CloseDate,'Rent Roll'!$O$12+'Rent Roll'!$S$12-1),1,0)</f>
        <v>0</v>
      </c>
      <c r="F82" s="49">
        <f>IF(F$4&gt;EOMONTH(CloseDate,'Rent Roll'!$O$12+'Rent Roll'!$S$12-1),1,0)</f>
        <v>0</v>
      </c>
      <c r="G82" s="49">
        <f>IF(G$4&gt;EOMONTH(CloseDate,'Rent Roll'!$O$12+'Rent Roll'!$S$12-1),1,0)</f>
        <v>0</v>
      </c>
      <c r="H82" s="49">
        <f>IF(H$4&gt;EOMONTH(CloseDate,'Rent Roll'!$O$12+'Rent Roll'!$S$12-1),1,0)</f>
        <v>0</v>
      </c>
      <c r="I82" s="49">
        <f>IF(I$4&gt;EOMONTH(CloseDate,'Rent Roll'!$O$12+'Rent Roll'!$S$12-1),1,0)</f>
        <v>0</v>
      </c>
      <c r="J82" s="49">
        <f>IF(J$4&gt;EOMONTH(CloseDate,'Rent Roll'!$O$12+'Rent Roll'!$S$12-1),1,0)</f>
        <v>0</v>
      </c>
      <c r="K82" s="49">
        <f>IF(K$4&gt;EOMONTH(CloseDate,'Rent Roll'!$O$12+'Rent Roll'!$S$12-1),1,0)</f>
        <v>0</v>
      </c>
      <c r="L82" s="49">
        <f>IF(L$4&gt;EOMONTH(CloseDate,'Rent Roll'!$O$12+'Rent Roll'!$S$12-1),1,0)</f>
        <v>0</v>
      </c>
      <c r="M82" s="49">
        <f>IF(M$4&gt;EOMONTH(CloseDate,'Rent Roll'!$O$12+'Rent Roll'!$S$12-1),1,0)</f>
        <v>0</v>
      </c>
      <c r="N82" s="49">
        <f>IF(N$4&gt;EOMONTH(CloseDate,'Rent Roll'!$O$12+'Rent Roll'!$S$12-1),1,0)</f>
        <v>0</v>
      </c>
      <c r="O82" s="49">
        <f>IF(O$4&gt;EOMONTH(CloseDate,'Rent Roll'!$O$12+'Rent Roll'!$S$12-1),1,0)</f>
        <v>0</v>
      </c>
      <c r="P82" s="49">
        <f>IF(P$4&gt;EOMONTH(CloseDate,'Rent Roll'!$O$12+'Rent Roll'!$S$12-1),1,0)</f>
        <v>0</v>
      </c>
      <c r="Q82" s="49">
        <f>IF(Q$4&gt;EOMONTH(CloseDate,'Rent Roll'!$O$12+'Rent Roll'!$S$12-1),1,0)</f>
        <v>0</v>
      </c>
      <c r="R82" s="49">
        <f>IF(R$4&gt;EOMONTH(CloseDate,'Rent Roll'!$O$12+'Rent Roll'!$S$12-1),1,0)</f>
        <v>0</v>
      </c>
      <c r="S82" s="49">
        <f>IF(S$4&gt;EOMONTH(CloseDate,'Rent Roll'!$O$12+'Rent Roll'!$S$12-1),1,0)</f>
        <v>0</v>
      </c>
      <c r="T82" s="49">
        <f>IF(T$4&gt;EOMONTH(CloseDate,'Rent Roll'!$O$12+'Rent Roll'!$S$12-1),1,0)</f>
        <v>0</v>
      </c>
      <c r="U82" s="49">
        <f>IF(U$4&gt;EOMONTH(CloseDate,'Rent Roll'!$O$12+'Rent Roll'!$S$12-1),1,0)</f>
        <v>0</v>
      </c>
      <c r="V82" s="49">
        <f>IF(V$4&gt;EOMONTH(CloseDate,'Rent Roll'!$O$12+'Rent Roll'!$S$12-1),1,0)</f>
        <v>0</v>
      </c>
      <c r="W82" s="49">
        <f>IF(W$4&gt;EOMONTH(CloseDate,'Rent Roll'!$O$12+'Rent Roll'!$S$12-1),1,0)</f>
        <v>0</v>
      </c>
      <c r="X82" s="49">
        <f>IF(X$4&gt;EOMONTH(CloseDate,'Rent Roll'!$O$12+'Rent Roll'!$S$12-1),1,0)</f>
        <v>0</v>
      </c>
      <c r="Y82" s="49">
        <f>IF(Y$4&gt;EOMONTH(CloseDate,'Rent Roll'!$O$12+'Rent Roll'!$S$12-1),1,0)</f>
        <v>0</v>
      </c>
      <c r="Z82" s="49">
        <f>IF(Z$4&gt;EOMONTH(CloseDate,'Rent Roll'!$O$12+'Rent Roll'!$S$12-1),1,0)</f>
        <v>0</v>
      </c>
      <c r="AA82" s="49">
        <f>IF(AA$4&gt;EOMONTH(CloseDate,'Rent Roll'!$O$12+'Rent Roll'!$S$12-1),1,0)</f>
        <v>1</v>
      </c>
      <c r="AB82" s="49">
        <f>IF(AB$4&gt;EOMONTH(CloseDate,'Rent Roll'!$O$12+'Rent Roll'!$S$12-1),1,0)</f>
        <v>1</v>
      </c>
      <c r="AC82" s="49">
        <f>IF(AC$4&gt;EOMONTH(CloseDate,'Rent Roll'!$O$12+'Rent Roll'!$S$12-1),1,0)</f>
        <v>1</v>
      </c>
      <c r="AD82" s="49">
        <f>IF(AD$4&gt;EOMONTH(CloseDate,'Rent Roll'!$O$12+'Rent Roll'!$S$12-1),1,0)</f>
        <v>1</v>
      </c>
      <c r="AE82" s="49">
        <f>IF(AE$4&gt;EOMONTH(CloseDate,'Rent Roll'!$O$12+'Rent Roll'!$S$12-1),1,0)</f>
        <v>1</v>
      </c>
      <c r="AF82" s="49">
        <f>IF(AF$4&gt;EOMONTH(CloseDate,'Rent Roll'!$O$12+'Rent Roll'!$S$12-1),1,0)</f>
        <v>1</v>
      </c>
      <c r="AG82" s="49">
        <f>IF(AG$4&gt;EOMONTH(CloseDate,'Rent Roll'!$O$12+'Rent Roll'!$S$12-1),1,0)</f>
        <v>1</v>
      </c>
      <c r="AH82" s="49">
        <f>IF(AH$4&gt;EOMONTH(CloseDate,'Rent Roll'!$O$12+'Rent Roll'!$S$12-1),1,0)</f>
        <v>1</v>
      </c>
      <c r="AI82" s="49">
        <f>IF(AI$4&gt;EOMONTH(CloseDate,'Rent Roll'!$O$12+'Rent Roll'!$S$12-1),1,0)</f>
        <v>1</v>
      </c>
      <c r="AJ82" s="49">
        <f>IF(AJ$4&gt;EOMONTH(CloseDate,'Rent Roll'!$O$12+'Rent Roll'!$S$12-1),1,0)</f>
        <v>1</v>
      </c>
      <c r="AK82" s="49">
        <f>IF(AK$4&gt;EOMONTH(CloseDate,'Rent Roll'!$O$12+'Rent Roll'!$S$12-1),1,0)</f>
        <v>1</v>
      </c>
      <c r="AL82" s="49">
        <f>IF(AL$4&gt;EOMONTH(CloseDate,'Rent Roll'!$O$12+'Rent Roll'!$S$12-1),1,0)</f>
        <v>1</v>
      </c>
      <c r="AM82" s="49">
        <f>IF(AM$4&gt;EOMONTH(CloseDate,'Rent Roll'!$O$12+'Rent Roll'!$S$12-1),1,0)</f>
        <v>1</v>
      </c>
      <c r="AN82" s="49">
        <f>IF(AN$4&gt;EOMONTH(CloseDate,'Rent Roll'!$O$12+'Rent Roll'!$S$12-1),1,0)</f>
        <v>1</v>
      </c>
      <c r="AO82" s="49">
        <f>IF(AO$4&gt;EOMONTH(CloseDate,'Rent Roll'!$O$12+'Rent Roll'!$S$12-1),1,0)</f>
        <v>1</v>
      </c>
      <c r="AP82" s="49">
        <f>IF(AP$4&gt;EOMONTH(CloseDate,'Rent Roll'!$O$12+'Rent Roll'!$S$12-1),1,0)</f>
        <v>1</v>
      </c>
      <c r="AQ82" s="49">
        <f>IF(AQ$4&gt;EOMONTH(CloseDate,'Rent Roll'!$O$12+'Rent Roll'!$S$12-1),1,0)</f>
        <v>1</v>
      </c>
      <c r="AR82" s="49">
        <f>IF(AR$4&gt;EOMONTH(CloseDate,'Rent Roll'!$O$12+'Rent Roll'!$S$12-1),1,0)</f>
        <v>1</v>
      </c>
      <c r="AS82" s="49">
        <f>IF(AS$4&gt;EOMONTH(CloseDate,'Rent Roll'!$O$12+'Rent Roll'!$S$12-1),1,0)</f>
        <v>1</v>
      </c>
      <c r="AT82" s="49">
        <f>IF(AT$4&gt;EOMONTH(CloseDate,'Rent Roll'!$O$12+'Rent Roll'!$S$12-1),1,0)</f>
        <v>1</v>
      </c>
      <c r="AU82" s="49">
        <f>IF(AU$4&gt;EOMONTH(CloseDate,'Rent Roll'!$O$12+'Rent Roll'!$S$12-1),1,0)</f>
        <v>1</v>
      </c>
      <c r="AV82" s="49">
        <f>IF(AV$4&gt;EOMONTH(CloseDate,'Rent Roll'!$O$12+'Rent Roll'!$S$12-1),1,0)</f>
        <v>1</v>
      </c>
      <c r="AW82" s="49">
        <f>IF(AW$4&gt;EOMONTH(CloseDate,'Rent Roll'!$O$12+'Rent Roll'!$S$12-1),1,0)</f>
        <v>1</v>
      </c>
      <c r="AX82" s="49">
        <f>IF(AX$4&gt;EOMONTH(CloseDate,'Rent Roll'!$O$12+'Rent Roll'!$S$12-1),1,0)</f>
        <v>1</v>
      </c>
      <c r="AY82" s="49">
        <f>IF(AY$4&gt;EOMONTH(CloseDate,'Rent Roll'!$O$12+'Rent Roll'!$S$12-1),1,0)</f>
        <v>1</v>
      </c>
      <c r="AZ82" s="49">
        <f>IF(AZ$4&gt;EOMONTH(CloseDate,'Rent Roll'!$O$12+'Rent Roll'!$S$12-1),1,0)</f>
        <v>1</v>
      </c>
      <c r="BA82" s="49">
        <f>IF(BA$4&gt;EOMONTH(CloseDate,'Rent Roll'!$O$12+'Rent Roll'!$S$12-1),1,0)</f>
        <v>1</v>
      </c>
      <c r="BB82" s="49">
        <f>IF(BB$4&gt;EOMONTH(CloseDate,'Rent Roll'!$O$12+'Rent Roll'!$S$12-1),1,0)</f>
        <v>1</v>
      </c>
      <c r="BC82" s="49">
        <f>IF(BC$4&gt;EOMONTH(CloseDate,'Rent Roll'!$O$12+'Rent Roll'!$S$12-1),1,0)</f>
        <v>1</v>
      </c>
      <c r="BD82" s="49">
        <f>IF(BD$4&gt;EOMONTH(CloseDate,'Rent Roll'!$O$12+'Rent Roll'!$S$12-1),1,0)</f>
        <v>1</v>
      </c>
      <c r="BE82" s="49">
        <f>IF(BE$4&gt;EOMONTH(CloseDate,'Rent Roll'!$O$12+'Rent Roll'!$S$12-1),1,0)</f>
        <v>1</v>
      </c>
      <c r="BF82" s="49">
        <f>IF(BF$4&gt;EOMONTH(CloseDate,'Rent Roll'!$O$12+'Rent Roll'!$S$12-1),1,0)</f>
        <v>1</v>
      </c>
      <c r="BG82" s="49">
        <f>IF(BG$4&gt;EOMONTH(CloseDate,'Rent Roll'!$O$12+'Rent Roll'!$S$12-1),1,0)</f>
        <v>1</v>
      </c>
      <c r="BH82" s="49">
        <f>IF(BH$4&gt;EOMONTH(CloseDate,'Rent Roll'!$O$12+'Rent Roll'!$S$12-1),1,0)</f>
        <v>1</v>
      </c>
      <c r="BI82" s="49">
        <f>IF(BI$4&gt;EOMONTH(CloseDate,'Rent Roll'!$O$12+'Rent Roll'!$S$12-1),1,0)</f>
        <v>1</v>
      </c>
      <c r="BJ82" s="49">
        <f>IF(BJ$4&gt;EOMONTH(CloseDate,'Rent Roll'!$O$12+'Rent Roll'!$S$12-1),1,0)</f>
        <v>1</v>
      </c>
      <c r="BK82" s="49">
        <f>IF(BK$4&gt;EOMONTH(CloseDate,'Rent Roll'!$O$12+'Rent Roll'!$S$12-1),1,0)</f>
        <v>1</v>
      </c>
      <c r="BL82" s="49">
        <f>IF(BL$4&gt;EOMONTH(CloseDate,'Rent Roll'!$O$12+'Rent Roll'!$S$12-1),1,0)</f>
        <v>1</v>
      </c>
      <c r="BM82" s="49">
        <f>IF(BM$4&gt;EOMONTH(CloseDate,'Rent Roll'!$O$12+'Rent Roll'!$S$12-1),1,0)</f>
        <v>1</v>
      </c>
      <c r="BN82" s="49">
        <f>IF(BN$4&gt;EOMONTH(CloseDate,'Rent Roll'!$O$12+'Rent Roll'!$S$12-1),1,0)</f>
        <v>1</v>
      </c>
      <c r="BO82" s="49">
        <f>IF(BO$4&gt;EOMONTH(CloseDate,'Rent Roll'!$O$12+'Rent Roll'!$S$12-1),1,0)</f>
        <v>1</v>
      </c>
      <c r="BP82" s="49">
        <f>IF(BP$4&gt;EOMONTH(CloseDate,'Rent Roll'!$O$12+'Rent Roll'!$S$12-1),1,0)</f>
        <v>1</v>
      </c>
      <c r="BQ82" s="49">
        <f>IF(BQ$4&gt;EOMONTH(CloseDate,'Rent Roll'!$O$12+'Rent Roll'!$S$12-1),1,0)</f>
        <v>1</v>
      </c>
      <c r="BR82" s="49">
        <f>IF(BR$4&gt;EOMONTH(CloseDate,'Rent Roll'!$O$12+'Rent Roll'!$S$12-1),1,0)</f>
        <v>1</v>
      </c>
      <c r="BS82" s="49">
        <f>IF(BS$4&gt;EOMONTH(CloseDate,'Rent Roll'!$O$12+'Rent Roll'!$S$12-1),1,0)</f>
        <v>1</v>
      </c>
      <c r="BT82" s="49">
        <f>IF(BT$4&gt;EOMONTH(CloseDate,'Rent Roll'!$O$12+'Rent Roll'!$S$12-1),1,0)</f>
        <v>1</v>
      </c>
      <c r="BU82" s="49">
        <f>IF(BU$4&gt;EOMONTH(CloseDate,'Rent Roll'!$O$12+'Rent Roll'!$S$12-1),1,0)</f>
        <v>1</v>
      </c>
      <c r="BV82" s="49">
        <f>IF(BV$4&gt;EOMONTH(CloseDate,'Rent Roll'!$O$12+'Rent Roll'!$S$12-1),1,0)</f>
        <v>1</v>
      </c>
      <c r="BW82" s="49">
        <f>IF(BW$4&gt;EOMONTH(CloseDate,'Rent Roll'!$O$12+'Rent Roll'!$S$12-1),1,0)</f>
        <v>1</v>
      </c>
      <c r="BX82" s="49">
        <f>IF(BX$4&gt;EOMONTH(CloseDate,'Rent Roll'!$O$12+'Rent Roll'!$S$12-1),1,0)</f>
        <v>1</v>
      </c>
    </row>
    <row r="83" spans="1:76" collapsed="1">
      <c r="B83" t="s">
        <v>162</v>
      </c>
      <c r="D83" s="49">
        <f>IF(D82=1,'Rent Roll'!$F$12*'Rent Roll'!$X$12/12*D$6,0)</f>
        <v>0</v>
      </c>
      <c r="E83" s="49">
        <f>IF(E82=1,'Rent Roll'!$F$12*'Rent Roll'!$X$12/12*E$6,0)</f>
        <v>0</v>
      </c>
      <c r="F83" s="49">
        <f>IF(F82=1,'Rent Roll'!$F$12*'Rent Roll'!$X$12/12*F$6,0)</f>
        <v>0</v>
      </c>
      <c r="G83" s="49">
        <f>IF(G82=1,'Rent Roll'!$F$12*'Rent Roll'!$X$12/12*G$6,0)</f>
        <v>0</v>
      </c>
      <c r="H83" s="49">
        <f>IF(H82=1,'Rent Roll'!$F$12*'Rent Roll'!$X$12/12*H$6,0)</f>
        <v>0</v>
      </c>
      <c r="I83" s="49">
        <f>IF(I82=1,'Rent Roll'!$F$12*'Rent Roll'!$X$12/12*I$6,0)</f>
        <v>0</v>
      </c>
      <c r="J83" s="49">
        <f>IF(J82=1,'Rent Roll'!$F$12*'Rent Roll'!$X$12/12*J$6,0)</f>
        <v>0</v>
      </c>
      <c r="K83" s="49">
        <f>IF(K82=1,'Rent Roll'!$F$12*'Rent Roll'!$X$12/12*K$6,0)</f>
        <v>0</v>
      </c>
      <c r="L83" s="49">
        <f>IF(L82=1,'Rent Roll'!$F$12*'Rent Roll'!$X$12/12*L$6,0)</f>
        <v>0</v>
      </c>
      <c r="M83" s="49">
        <f>IF(M82=1,'Rent Roll'!$F$12*'Rent Roll'!$X$12/12*M$6,0)</f>
        <v>0</v>
      </c>
      <c r="N83" s="49">
        <f>IF(N82=1,'Rent Roll'!$F$12*'Rent Roll'!$X$12/12*N$6,0)</f>
        <v>0</v>
      </c>
      <c r="O83" s="49">
        <f>IF(O82=1,'Rent Roll'!$F$12*'Rent Roll'!$X$12/12*O$6,0)</f>
        <v>0</v>
      </c>
      <c r="P83" s="49">
        <f>IF(P82=1,'Rent Roll'!$F$12*'Rent Roll'!$X$12/12*P$6,0)</f>
        <v>0</v>
      </c>
      <c r="Q83" s="49">
        <f>IF(Q82=1,'Rent Roll'!$F$12*'Rent Roll'!$X$12/12*Q$6,0)</f>
        <v>0</v>
      </c>
      <c r="R83" s="49">
        <f>IF(R82=1,'Rent Roll'!$F$12*'Rent Roll'!$X$12/12*R$6,0)</f>
        <v>0</v>
      </c>
      <c r="S83" s="49">
        <f>IF(S82=1,'Rent Roll'!$F$12*'Rent Roll'!$X$12/12*S$6,0)</f>
        <v>0</v>
      </c>
      <c r="T83" s="49">
        <f>IF(T82=1,'Rent Roll'!$F$12*'Rent Roll'!$X$12/12*T$6,0)</f>
        <v>0</v>
      </c>
      <c r="U83" s="49">
        <f>IF(U82=1,'Rent Roll'!$F$12*'Rent Roll'!$X$12/12*U$6,0)</f>
        <v>0</v>
      </c>
      <c r="V83" s="49">
        <f>IF(V82=1,'Rent Roll'!$F$12*'Rent Roll'!$X$12/12*V$6,0)</f>
        <v>0</v>
      </c>
      <c r="W83" s="49">
        <f>IF(W82=1,'Rent Roll'!$F$12*'Rent Roll'!$X$12/12*W$6,0)</f>
        <v>0</v>
      </c>
      <c r="X83" s="49">
        <f>IF(X82=1,'Rent Roll'!$F$12*'Rent Roll'!$X$12/12*X$6,0)</f>
        <v>0</v>
      </c>
      <c r="Y83" s="49">
        <f>IF(Y82=1,'Rent Roll'!$F$12*'Rent Roll'!$X$12/12*Y$6,0)</f>
        <v>0</v>
      </c>
      <c r="Z83" s="49">
        <f>IF(Z82=1,'Rent Roll'!$F$12*'Rent Roll'!$X$12/12*Z$6,0)</f>
        <v>0</v>
      </c>
      <c r="AA83" s="49">
        <f>IF(AA82=1,'Rent Roll'!$F$12*'Rent Roll'!$X$12/12*AA$6,0)</f>
        <v>18431.883679218743</v>
      </c>
      <c r="AB83" s="49">
        <f>IF(AB82=1,'Rent Roll'!$F$12*'Rent Roll'!$X$12/12*AB$6,0)</f>
        <v>18431.883679218743</v>
      </c>
      <c r="AC83" s="49">
        <f>IF(AC82=1,'Rent Roll'!$F$12*'Rent Roll'!$X$12/12*AC$6,0)</f>
        <v>18431.883679218743</v>
      </c>
      <c r="AD83" s="49">
        <f>IF(AD82=1,'Rent Roll'!$F$12*'Rent Roll'!$X$12/12*AD$6,0)</f>
        <v>18431.883679218743</v>
      </c>
      <c r="AE83" s="49">
        <f>IF(AE82=1,'Rent Roll'!$F$12*'Rent Roll'!$X$12/12*AE$6,0)</f>
        <v>18431.883679218743</v>
      </c>
      <c r="AF83" s="49">
        <f>IF(AF82=1,'Rent Roll'!$F$12*'Rent Roll'!$X$12/12*AF$6,0)</f>
        <v>18431.883679218743</v>
      </c>
      <c r="AG83" s="49">
        <f>IF(AG82=1,'Rent Roll'!$F$12*'Rent Roll'!$X$12/12*AG$6,0)</f>
        <v>18929.54453855765</v>
      </c>
      <c r="AH83" s="49">
        <f>IF(AH82=1,'Rent Roll'!$F$12*'Rent Roll'!$X$12/12*AH$6,0)</f>
        <v>18929.54453855765</v>
      </c>
      <c r="AI83" s="49">
        <f>IF(AI82=1,'Rent Roll'!$F$12*'Rent Roll'!$X$12/12*AI$6,0)</f>
        <v>18929.54453855765</v>
      </c>
      <c r="AJ83" s="49">
        <f>IF(AJ82=1,'Rent Roll'!$F$12*'Rent Roll'!$X$12/12*AJ$6,0)</f>
        <v>18929.54453855765</v>
      </c>
      <c r="AK83" s="49">
        <f>IF(AK82=1,'Rent Roll'!$F$12*'Rent Roll'!$X$12/12*AK$6,0)</f>
        <v>18929.54453855765</v>
      </c>
      <c r="AL83" s="49">
        <f>IF(AL82=1,'Rent Roll'!$F$12*'Rent Roll'!$X$12/12*AL$6,0)</f>
        <v>18929.54453855765</v>
      </c>
      <c r="AM83" s="49">
        <f>IF(AM82=1,'Rent Roll'!$F$12*'Rent Roll'!$X$12/12*AM$6,0)</f>
        <v>18929.54453855765</v>
      </c>
      <c r="AN83" s="49">
        <f>IF(AN82=1,'Rent Roll'!$F$12*'Rent Roll'!$X$12/12*AN$6,0)</f>
        <v>18929.54453855765</v>
      </c>
      <c r="AO83" s="49">
        <f>IF(AO82=1,'Rent Roll'!$F$12*'Rent Roll'!$X$12/12*AO$6,0)</f>
        <v>18929.54453855765</v>
      </c>
      <c r="AP83" s="49">
        <f>IF(AP82=1,'Rent Roll'!$F$12*'Rent Roll'!$X$12/12*AP$6,0)</f>
        <v>18929.54453855765</v>
      </c>
      <c r="AQ83" s="49">
        <f>IF(AQ82=1,'Rent Roll'!$F$12*'Rent Roll'!$X$12/12*AQ$6,0)</f>
        <v>18929.54453855765</v>
      </c>
      <c r="AR83" s="49">
        <f>IF(AR82=1,'Rent Roll'!$F$12*'Rent Roll'!$X$12/12*AR$6,0)</f>
        <v>18929.54453855765</v>
      </c>
      <c r="AS83" s="49">
        <f>IF(AS82=1,'Rent Roll'!$F$12*'Rent Roll'!$X$12/12*AS$6,0)</f>
        <v>19440.642241098703</v>
      </c>
      <c r="AT83" s="49">
        <f>IF(AT82=1,'Rent Roll'!$F$12*'Rent Roll'!$X$12/12*AT$6,0)</f>
        <v>19440.642241098703</v>
      </c>
      <c r="AU83" s="49">
        <f>IF(AU82=1,'Rent Roll'!$F$12*'Rent Roll'!$X$12/12*AU$6,0)</f>
        <v>19440.642241098703</v>
      </c>
      <c r="AV83" s="49">
        <f>IF(AV82=1,'Rent Roll'!$F$12*'Rent Roll'!$X$12/12*AV$6,0)</f>
        <v>19440.642241098703</v>
      </c>
      <c r="AW83" s="49">
        <f>IF(AW82=1,'Rent Roll'!$F$12*'Rent Roll'!$X$12/12*AW$6,0)</f>
        <v>19440.642241098703</v>
      </c>
      <c r="AX83" s="49">
        <f>IF(AX82=1,'Rent Roll'!$F$12*'Rent Roll'!$X$12/12*AX$6,0)</f>
        <v>19440.642241098703</v>
      </c>
      <c r="AY83" s="49">
        <f>IF(AY82=1,'Rent Roll'!$F$12*'Rent Roll'!$X$12/12*AY$6,0)</f>
        <v>19440.642241098703</v>
      </c>
      <c r="AZ83" s="49">
        <f>IF(AZ82=1,'Rent Roll'!$F$12*'Rent Roll'!$X$12/12*AZ$6,0)</f>
        <v>19440.642241098703</v>
      </c>
      <c r="BA83" s="49">
        <f>IF(BA82=1,'Rent Roll'!$F$12*'Rent Roll'!$X$12/12*BA$6,0)</f>
        <v>19440.642241098703</v>
      </c>
      <c r="BB83" s="49">
        <f>IF(BB82=1,'Rent Roll'!$F$12*'Rent Roll'!$X$12/12*BB$6,0)</f>
        <v>19440.642241098703</v>
      </c>
      <c r="BC83" s="49">
        <f>IF(BC82=1,'Rent Roll'!$F$12*'Rent Roll'!$X$12/12*BC$6,0)</f>
        <v>19440.642241098703</v>
      </c>
      <c r="BD83" s="49">
        <f>IF(BD82=1,'Rent Roll'!$F$12*'Rent Roll'!$X$12/12*BD$6,0)</f>
        <v>19440.642241098703</v>
      </c>
      <c r="BE83" s="49">
        <f>IF(BE82=1,'Rent Roll'!$F$12*'Rent Roll'!$X$12/12*BE$6,0)</f>
        <v>19965.539581608366</v>
      </c>
      <c r="BF83" s="49">
        <f>IF(BF82=1,'Rent Roll'!$F$12*'Rent Roll'!$X$12/12*BF$6,0)</f>
        <v>19965.539581608366</v>
      </c>
      <c r="BG83" s="49">
        <f>IF(BG82=1,'Rent Roll'!$F$12*'Rent Roll'!$X$12/12*BG$6,0)</f>
        <v>19965.539581608366</v>
      </c>
      <c r="BH83" s="49">
        <f>IF(BH82=1,'Rent Roll'!$F$12*'Rent Roll'!$X$12/12*BH$6,0)</f>
        <v>19965.539581608366</v>
      </c>
      <c r="BI83" s="49">
        <f>IF(BI82=1,'Rent Roll'!$F$12*'Rent Roll'!$X$12/12*BI$6,0)</f>
        <v>19965.539581608366</v>
      </c>
      <c r="BJ83" s="49">
        <f>IF(BJ82=1,'Rent Roll'!$F$12*'Rent Roll'!$X$12/12*BJ$6,0)</f>
        <v>19965.539581608366</v>
      </c>
      <c r="BK83" s="49">
        <f>IF(BK82=1,'Rent Roll'!$F$12*'Rent Roll'!$X$12/12*BK$6,0)</f>
        <v>19965.539581608366</v>
      </c>
      <c r="BL83" s="49">
        <f>IF(BL82=1,'Rent Roll'!$F$12*'Rent Roll'!$X$12/12*BL$6,0)</f>
        <v>19965.539581608366</v>
      </c>
      <c r="BM83" s="49">
        <f>IF(BM82=1,'Rent Roll'!$F$12*'Rent Roll'!$X$12/12*BM$6,0)</f>
        <v>19965.539581608366</v>
      </c>
      <c r="BN83" s="49">
        <f>IF(BN82=1,'Rent Roll'!$F$12*'Rent Roll'!$X$12/12*BN$6,0)</f>
        <v>19965.539581608366</v>
      </c>
      <c r="BO83" s="49">
        <f>IF(BO82=1,'Rent Roll'!$F$12*'Rent Roll'!$X$12/12*BO$6,0)</f>
        <v>19965.539581608366</v>
      </c>
      <c r="BP83" s="49">
        <f>IF(BP82=1,'Rent Roll'!$F$12*'Rent Roll'!$X$12/12*BP$6,0)</f>
        <v>19965.539581608366</v>
      </c>
      <c r="BQ83" s="49">
        <f>IF(BQ82=1,'Rent Roll'!$F$12*'Rent Roll'!$X$12/12*BQ$6,0)</f>
        <v>20504.60915031179</v>
      </c>
      <c r="BR83" s="49">
        <f>IF(BR82=1,'Rent Roll'!$F$12*'Rent Roll'!$X$12/12*BR$6,0)</f>
        <v>20504.60915031179</v>
      </c>
      <c r="BS83" s="49">
        <f>IF(BS82=1,'Rent Roll'!$F$12*'Rent Roll'!$X$12/12*BS$6,0)</f>
        <v>20504.60915031179</v>
      </c>
      <c r="BT83" s="49">
        <f>IF(BT82=1,'Rent Roll'!$F$12*'Rent Roll'!$X$12/12*BT$6,0)</f>
        <v>20504.60915031179</v>
      </c>
      <c r="BU83" s="49">
        <f>IF(BU82=1,'Rent Roll'!$F$12*'Rent Roll'!$X$12/12*BU$6,0)</f>
        <v>20504.60915031179</v>
      </c>
      <c r="BV83" s="49">
        <f>IF(BV82=1,'Rent Roll'!$F$12*'Rent Roll'!$X$12/12*BV$6,0)</f>
        <v>20504.60915031179</v>
      </c>
      <c r="BW83" s="49">
        <f>IF(BW82=1,'Rent Roll'!$F$12*'Rent Roll'!$X$12/12*BW$6,0)</f>
        <v>20504.60915031179</v>
      </c>
      <c r="BX83" s="49">
        <f>IF(BX82=1,'Rent Roll'!$F$12*'Rent Roll'!$X$12/12*BX$6,0)</f>
        <v>20504.60915031179</v>
      </c>
    </row>
    <row r="84" spans="1:76">
      <c r="B84" t="s">
        <v>163</v>
      </c>
      <c r="D84" s="49">
        <f>IF(AND(D$4&gt;EOMONTH(CloseDate,'Rent Roll'!$O$12+'Rent Roll'!$S$12-1),D$4&lt;=EOMONTH(CloseDate,'Rent Roll'!$O$12+'Rent Roll'!$S$12-1+'Rent Roll'!$V$12)),-D83,0)</f>
        <v>0</v>
      </c>
      <c r="E84" s="49">
        <f>IF(AND(E$4&gt;EOMONTH(CloseDate,'Rent Roll'!$O$12+'Rent Roll'!$S$12-1),E$4&lt;=EOMONTH(CloseDate,'Rent Roll'!$O$12+'Rent Roll'!$S$12-1+'Rent Roll'!$V$12)),-E83,0)</f>
        <v>0</v>
      </c>
      <c r="F84" s="49">
        <f>IF(AND(F$4&gt;EOMONTH(CloseDate,'Rent Roll'!$O$12+'Rent Roll'!$S$12-1),F$4&lt;=EOMONTH(CloseDate,'Rent Roll'!$O$12+'Rent Roll'!$S$12-1+'Rent Roll'!$V$12)),-F83,0)</f>
        <v>0</v>
      </c>
      <c r="G84" s="49">
        <f>IF(AND(G$4&gt;EOMONTH(CloseDate,'Rent Roll'!$O$12+'Rent Roll'!$S$12-1),G$4&lt;=EOMONTH(CloseDate,'Rent Roll'!$O$12+'Rent Roll'!$S$12-1+'Rent Roll'!$V$12)),-G83,0)</f>
        <v>0</v>
      </c>
      <c r="H84" s="49">
        <f>IF(AND(H$4&gt;EOMONTH(CloseDate,'Rent Roll'!$O$12+'Rent Roll'!$S$12-1),H$4&lt;=EOMONTH(CloseDate,'Rent Roll'!$O$12+'Rent Roll'!$S$12-1+'Rent Roll'!$V$12)),-H83,0)</f>
        <v>0</v>
      </c>
      <c r="I84" s="49">
        <f>IF(AND(I$4&gt;EOMONTH(CloseDate,'Rent Roll'!$O$12+'Rent Roll'!$S$12-1),I$4&lt;=EOMONTH(CloseDate,'Rent Roll'!$O$12+'Rent Roll'!$S$12-1+'Rent Roll'!$V$12)),-I83,0)</f>
        <v>0</v>
      </c>
      <c r="J84" s="49">
        <f>IF(AND(J$4&gt;EOMONTH(CloseDate,'Rent Roll'!$O$12+'Rent Roll'!$S$12-1),J$4&lt;=EOMONTH(CloseDate,'Rent Roll'!$O$12+'Rent Roll'!$S$12-1+'Rent Roll'!$V$12)),-J83,0)</f>
        <v>0</v>
      </c>
      <c r="K84" s="49">
        <f>IF(AND(K$4&gt;EOMONTH(CloseDate,'Rent Roll'!$O$12+'Rent Roll'!$S$12-1),K$4&lt;=EOMONTH(CloseDate,'Rent Roll'!$O$12+'Rent Roll'!$S$12-1+'Rent Roll'!$V$12)),-K83,0)</f>
        <v>0</v>
      </c>
      <c r="L84" s="49">
        <f>IF(AND(L$4&gt;EOMONTH(CloseDate,'Rent Roll'!$O$12+'Rent Roll'!$S$12-1),L$4&lt;=EOMONTH(CloseDate,'Rent Roll'!$O$12+'Rent Roll'!$S$12-1+'Rent Roll'!$V$12)),-L83,0)</f>
        <v>0</v>
      </c>
      <c r="M84" s="49">
        <f>IF(AND(M$4&gt;EOMONTH(CloseDate,'Rent Roll'!$O$12+'Rent Roll'!$S$12-1),M$4&lt;=EOMONTH(CloseDate,'Rent Roll'!$O$12+'Rent Roll'!$S$12-1+'Rent Roll'!$V$12)),-M83,0)</f>
        <v>0</v>
      </c>
      <c r="N84" s="49">
        <f>IF(AND(N$4&gt;EOMONTH(CloseDate,'Rent Roll'!$O$12+'Rent Roll'!$S$12-1),N$4&lt;=EOMONTH(CloseDate,'Rent Roll'!$O$12+'Rent Roll'!$S$12-1+'Rent Roll'!$V$12)),-N83,0)</f>
        <v>0</v>
      </c>
      <c r="O84" s="49">
        <f>IF(AND(O$4&gt;EOMONTH(CloseDate,'Rent Roll'!$O$12+'Rent Roll'!$S$12-1),O$4&lt;=EOMONTH(CloseDate,'Rent Roll'!$O$12+'Rent Roll'!$S$12-1+'Rent Roll'!$V$12)),-O83,0)</f>
        <v>0</v>
      </c>
      <c r="P84" s="49">
        <f>IF(AND(P$4&gt;EOMONTH(CloseDate,'Rent Roll'!$O$12+'Rent Roll'!$S$12-1),P$4&lt;=EOMONTH(CloseDate,'Rent Roll'!$O$12+'Rent Roll'!$S$12-1+'Rent Roll'!$V$12)),-P83,0)</f>
        <v>0</v>
      </c>
      <c r="Q84" s="49">
        <f>IF(AND(Q$4&gt;EOMONTH(CloseDate,'Rent Roll'!$O$12+'Rent Roll'!$S$12-1),Q$4&lt;=EOMONTH(CloseDate,'Rent Roll'!$O$12+'Rent Roll'!$S$12-1+'Rent Roll'!$V$12)),-Q83,0)</f>
        <v>0</v>
      </c>
      <c r="R84" s="49">
        <f>IF(AND(R$4&gt;EOMONTH(CloseDate,'Rent Roll'!$O$12+'Rent Roll'!$S$12-1),R$4&lt;=EOMONTH(CloseDate,'Rent Roll'!$O$12+'Rent Roll'!$S$12-1+'Rent Roll'!$V$12)),-R83,0)</f>
        <v>0</v>
      </c>
      <c r="S84" s="49">
        <f>IF(AND(S$4&gt;EOMONTH(CloseDate,'Rent Roll'!$O$12+'Rent Roll'!$S$12-1),S$4&lt;=EOMONTH(CloseDate,'Rent Roll'!$O$12+'Rent Roll'!$S$12-1+'Rent Roll'!$V$12)),-S83,0)</f>
        <v>0</v>
      </c>
      <c r="T84" s="49">
        <f>IF(AND(T$4&gt;EOMONTH(CloseDate,'Rent Roll'!$O$12+'Rent Roll'!$S$12-1),T$4&lt;=EOMONTH(CloseDate,'Rent Roll'!$O$12+'Rent Roll'!$S$12-1+'Rent Roll'!$V$12)),-T83,0)</f>
        <v>0</v>
      </c>
      <c r="U84" s="49">
        <f>IF(AND(U$4&gt;EOMONTH(CloseDate,'Rent Roll'!$O$12+'Rent Roll'!$S$12-1),U$4&lt;=EOMONTH(CloseDate,'Rent Roll'!$O$12+'Rent Roll'!$S$12-1+'Rent Roll'!$V$12)),-U83,0)</f>
        <v>0</v>
      </c>
      <c r="V84" s="49">
        <f>IF(AND(V$4&gt;EOMONTH(CloseDate,'Rent Roll'!$O$12+'Rent Roll'!$S$12-1),V$4&lt;=EOMONTH(CloseDate,'Rent Roll'!$O$12+'Rent Roll'!$S$12-1+'Rent Roll'!$V$12)),-V83,0)</f>
        <v>0</v>
      </c>
      <c r="W84" s="49">
        <f>IF(AND(W$4&gt;EOMONTH(CloseDate,'Rent Roll'!$O$12+'Rent Roll'!$S$12-1),W$4&lt;=EOMONTH(CloseDate,'Rent Roll'!$O$12+'Rent Roll'!$S$12-1+'Rent Roll'!$V$12)),-W83,0)</f>
        <v>0</v>
      </c>
      <c r="X84" s="49">
        <f>IF(AND(X$4&gt;EOMONTH(CloseDate,'Rent Roll'!$O$12+'Rent Roll'!$S$12-1),X$4&lt;=EOMONTH(CloseDate,'Rent Roll'!$O$12+'Rent Roll'!$S$12-1+'Rent Roll'!$V$12)),-X83,0)</f>
        <v>0</v>
      </c>
      <c r="Y84" s="49">
        <f>IF(AND(Y$4&gt;EOMONTH(CloseDate,'Rent Roll'!$O$12+'Rent Roll'!$S$12-1),Y$4&lt;=EOMONTH(CloseDate,'Rent Roll'!$O$12+'Rent Roll'!$S$12-1+'Rent Roll'!$V$12)),-Y83,0)</f>
        <v>0</v>
      </c>
      <c r="Z84" s="49">
        <f>IF(AND(Z$4&gt;EOMONTH(CloseDate,'Rent Roll'!$O$12+'Rent Roll'!$S$12-1),Z$4&lt;=EOMONTH(CloseDate,'Rent Roll'!$O$12+'Rent Roll'!$S$12-1+'Rent Roll'!$V$12)),-Z83,0)</f>
        <v>0</v>
      </c>
      <c r="AA84" s="49">
        <f>IF(AND(AA$4&gt;EOMONTH(CloseDate,'Rent Roll'!$O$12+'Rent Roll'!$S$12-1),AA$4&lt;=EOMONTH(CloseDate,'Rent Roll'!$O$12+'Rent Roll'!$S$12-1+'Rent Roll'!$V$12)),-AA83,0)</f>
        <v>-18431.883679218743</v>
      </c>
      <c r="AB84" s="49">
        <f>IF(AND(AB$4&gt;EOMONTH(CloseDate,'Rent Roll'!$O$12+'Rent Roll'!$S$12-1),AB$4&lt;=EOMONTH(CloseDate,'Rent Roll'!$O$12+'Rent Roll'!$S$12-1+'Rent Roll'!$V$12)),-AB83,0)</f>
        <v>-18431.883679218743</v>
      </c>
      <c r="AC84" s="49">
        <f>IF(AND(AC$4&gt;EOMONTH(CloseDate,'Rent Roll'!$O$12+'Rent Roll'!$S$12-1),AC$4&lt;=EOMONTH(CloseDate,'Rent Roll'!$O$12+'Rent Roll'!$S$12-1+'Rent Roll'!$V$12)),-AC83,0)</f>
        <v>0</v>
      </c>
      <c r="AD84" s="49">
        <f>IF(AND(AD$4&gt;EOMONTH(CloseDate,'Rent Roll'!$O$12+'Rent Roll'!$S$12-1),AD$4&lt;=EOMONTH(CloseDate,'Rent Roll'!$O$12+'Rent Roll'!$S$12-1+'Rent Roll'!$V$12)),-AD83,0)</f>
        <v>0</v>
      </c>
      <c r="AE84" s="49">
        <f>IF(AND(AE$4&gt;EOMONTH(CloseDate,'Rent Roll'!$O$12+'Rent Roll'!$S$12-1),AE$4&lt;=EOMONTH(CloseDate,'Rent Roll'!$O$12+'Rent Roll'!$S$12-1+'Rent Roll'!$V$12)),-AE83,0)</f>
        <v>0</v>
      </c>
      <c r="AF84" s="49">
        <f>IF(AND(AF$4&gt;EOMONTH(CloseDate,'Rent Roll'!$O$12+'Rent Roll'!$S$12-1),AF$4&lt;=EOMONTH(CloseDate,'Rent Roll'!$O$12+'Rent Roll'!$S$12-1+'Rent Roll'!$V$12)),-AF83,0)</f>
        <v>0</v>
      </c>
      <c r="AG84" s="49">
        <f>IF(AND(AG$4&gt;EOMONTH(CloseDate,'Rent Roll'!$O$12+'Rent Roll'!$S$12-1),AG$4&lt;=EOMONTH(CloseDate,'Rent Roll'!$O$12+'Rent Roll'!$S$12-1+'Rent Roll'!$V$12)),-AG83,0)</f>
        <v>0</v>
      </c>
      <c r="AH84" s="49">
        <f>IF(AND(AH$4&gt;EOMONTH(CloseDate,'Rent Roll'!$O$12+'Rent Roll'!$S$12-1),AH$4&lt;=EOMONTH(CloseDate,'Rent Roll'!$O$12+'Rent Roll'!$S$12-1+'Rent Roll'!$V$12)),-AH83,0)</f>
        <v>0</v>
      </c>
      <c r="AI84" s="49">
        <f>IF(AND(AI$4&gt;EOMONTH(CloseDate,'Rent Roll'!$O$12+'Rent Roll'!$S$12-1),AI$4&lt;=EOMONTH(CloseDate,'Rent Roll'!$O$12+'Rent Roll'!$S$12-1+'Rent Roll'!$V$12)),-AI83,0)</f>
        <v>0</v>
      </c>
      <c r="AJ84" s="49">
        <f>IF(AND(AJ$4&gt;EOMONTH(CloseDate,'Rent Roll'!$O$12+'Rent Roll'!$S$12-1),AJ$4&lt;=EOMONTH(CloseDate,'Rent Roll'!$O$12+'Rent Roll'!$S$12-1+'Rent Roll'!$V$12)),-AJ83,0)</f>
        <v>0</v>
      </c>
      <c r="AK84" s="49">
        <f>IF(AND(AK$4&gt;EOMONTH(CloseDate,'Rent Roll'!$O$12+'Rent Roll'!$S$12-1),AK$4&lt;=EOMONTH(CloseDate,'Rent Roll'!$O$12+'Rent Roll'!$S$12-1+'Rent Roll'!$V$12)),-AK83,0)</f>
        <v>0</v>
      </c>
      <c r="AL84" s="49">
        <f>IF(AND(AL$4&gt;EOMONTH(CloseDate,'Rent Roll'!$O$12+'Rent Roll'!$S$12-1),AL$4&lt;=EOMONTH(CloseDate,'Rent Roll'!$O$12+'Rent Roll'!$S$12-1+'Rent Roll'!$V$12)),-AL83,0)</f>
        <v>0</v>
      </c>
      <c r="AM84" s="49">
        <f>IF(AND(AM$4&gt;EOMONTH(CloseDate,'Rent Roll'!$O$12+'Rent Roll'!$S$12-1),AM$4&lt;=EOMONTH(CloseDate,'Rent Roll'!$O$12+'Rent Roll'!$S$12-1+'Rent Roll'!$V$12)),-AM83,0)</f>
        <v>0</v>
      </c>
      <c r="AN84" s="49">
        <f>IF(AND(AN$4&gt;EOMONTH(CloseDate,'Rent Roll'!$O$12+'Rent Roll'!$S$12-1),AN$4&lt;=EOMONTH(CloseDate,'Rent Roll'!$O$12+'Rent Roll'!$S$12-1+'Rent Roll'!$V$12)),-AN83,0)</f>
        <v>0</v>
      </c>
      <c r="AO84" s="49">
        <f>IF(AND(AO$4&gt;EOMONTH(CloseDate,'Rent Roll'!$O$12+'Rent Roll'!$S$12-1),AO$4&lt;=EOMONTH(CloseDate,'Rent Roll'!$O$12+'Rent Roll'!$S$12-1+'Rent Roll'!$V$12)),-AO83,0)</f>
        <v>0</v>
      </c>
      <c r="AP84" s="49">
        <f>IF(AND(AP$4&gt;EOMONTH(CloseDate,'Rent Roll'!$O$12+'Rent Roll'!$S$12-1),AP$4&lt;=EOMONTH(CloseDate,'Rent Roll'!$O$12+'Rent Roll'!$S$12-1+'Rent Roll'!$V$12)),-AP83,0)</f>
        <v>0</v>
      </c>
      <c r="AQ84" s="49">
        <f>IF(AND(AQ$4&gt;EOMONTH(CloseDate,'Rent Roll'!$O$12+'Rent Roll'!$S$12-1),AQ$4&lt;=EOMONTH(CloseDate,'Rent Roll'!$O$12+'Rent Roll'!$S$12-1+'Rent Roll'!$V$12)),-AQ83,0)</f>
        <v>0</v>
      </c>
      <c r="AR84" s="49">
        <f>IF(AND(AR$4&gt;EOMONTH(CloseDate,'Rent Roll'!$O$12+'Rent Roll'!$S$12-1),AR$4&lt;=EOMONTH(CloseDate,'Rent Roll'!$O$12+'Rent Roll'!$S$12-1+'Rent Roll'!$V$12)),-AR83,0)</f>
        <v>0</v>
      </c>
      <c r="AS84" s="49">
        <f>IF(AND(AS$4&gt;EOMONTH(CloseDate,'Rent Roll'!$O$12+'Rent Roll'!$S$12-1),AS$4&lt;=EOMONTH(CloseDate,'Rent Roll'!$O$12+'Rent Roll'!$S$12-1+'Rent Roll'!$V$12)),-AS83,0)</f>
        <v>0</v>
      </c>
      <c r="AT84" s="49">
        <f>IF(AND(AT$4&gt;EOMONTH(CloseDate,'Rent Roll'!$O$12+'Rent Roll'!$S$12-1),AT$4&lt;=EOMONTH(CloseDate,'Rent Roll'!$O$12+'Rent Roll'!$S$12-1+'Rent Roll'!$V$12)),-AT83,0)</f>
        <v>0</v>
      </c>
      <c r="AU84" s="49">
        <f>IF(AND(AU$4&gt;EOMONTH(CloseDate,'Rent Roll'!$O$12+'Rent Roll'!$S$12-1),AU$4&lt;=EOMONTH(CloseDate,'Rent Roll'!$O$12+'Rent Roll'!$S$12-1+'Rent Roll'!$V$12)),-AU83,0)</f>
        <v>0</v>
      </c>
      <c r="AV84" s="49">
        <f>IF(AND(AV$4&gt;EOMONTH(CloseDate,'Rent Roll'!$O$12+'Rent Roll'!$S$12-1),AV$4&lt;=EOMONTH(CloseDate,'Rent Roll'!$O$12+'Rent Roll'!$S$12-1+'Rent Roll'!$V$12)),-AV83,0)</f>
        <v>0</v>
      </c>
      <c r="AW84" s="49">
        <f>IF(AND(AW$4&gt;EOMONTH(CloseDate,'Rent Roll'!$O$12+'Rent Roll'!$S$12-1),AW$4&lt;=EOMONTH(CloseDate,'Rent Roll'!$O$12+'Rent Roll'!$S$12-1+'Rent Roll'!$V$12)),-AW83,0)</f>
        <v>0</v>
      </c>
      <c r="AX84" s="49">
        <f>IF(AND(AX$4&gt;EOMONTH(CloseDate,'Rent Roll'!$O$12+'Rent Roll'!$S$12-1),AX$4&lt;=EOMONTH(CloseDate,'Rent Roll'!$O$12+'Rent Roll'!$S$12-1+'Rent Roll'!$V$12)),-AX83,0)</f>
        <v>0</v>
      </c>
      <c r="AY84" s="49">
        <f>IF(AND(AY$4&gt;EOMONTH(CloseDate,'Rent Roll'!$O$12+'Rent Roll'!$S$12-1),AY$4&lt;=EOMONTH(CloseDate,'Rent Roll'!$O$12+'Rent Roll'!$S$12-1+'Rent Roll'!$V$12)),-AY83,0)</f>
        <v>0</v>
      </c>
      <c r="AZ84" s="49">
        <f>IF(AND(AZ$4&gt;EOMONTH(CloseDate,'Rent Roll'!$O$12+'Rent Roll'!$S$12-1),AZ$4&lt;=EOMONTH(CloseDate,'Rent Roll'!$O$12+'Rent Roll'!$S$12-1+'Rent Roll'!$V$12)),-AZ83,0)</f>
        <v>0</v>
      </c>
      <c r="BA84" s="49">
        <f>IF(AND(BA$4&gt;EOMONTH(CloseDate,'Rent Roll'!$O$12+'Rent Roll'!$S$12-1),BA$4&lt;=EOMONTH(CloseDate,'Rent Roll'!$O$12+'Rent Roll'!$S$12-1+'Rent Roll'!$V$12)),-BA83,0)</f>
        <v>0</v>
      </c>
      <c r="BB84" s="49">
        <f>IF(AND(BB$4&gt;EOMONTH(CloseDate,'Rent Roll'!$O$12+'Rent Roll'!$S$12-1),BB$4&lt;=EOMONTH(CloseDate,'Rent Roll'!$O$12+'Rent Roll'!$S$12-1+'Rent Roll'!$V$12)),-BB83,0)</f>
        <v>0</v>
      </c>
      <c r="BC84" s="49">
        <f>IF(AND(BC$4&gt;EOMONTH(CloseDate,'Rent Roll'!$O$12+'Rent Roll'!$S$12-1),BC$4&lt;=EOMONTH(CloseDate,'Rent Roll'!$O$12+'Rent Roll'!$S$12-1+'Rent Roll'!$V$12)),-BC83,0)</f>
        <v>0</v>
      </c>
      <c r="BD84" s="49">
        <f>IF(AND(BD$4&gt;EOMONTH(CloseDate,'Rent Roll'!$O$12+'Rent Roll'!$S$12-1),BD$4&lt;=EOMONTH(CloseDate,'Rent Roll'!$O$12+'Rent Roll'!$S$12-1+'Rent Roll'!$V$12)),-BD83,0)</f>
        <v>0</v>
      </c>
      <c r="BE84" s="49">
        <f>IF(AND(BE$4&gt;EOMONTH(CloseDate,'Rent Roll'!$O$12+'Rent Roll'!$S$12-1),BE$4&lt;=EOMONTH(CloseDate,'Rent Roll'!$O$12+'Rent Roll'!$S$12-1+'Rent Roll'!$V$12)),-BE83,0)</f>
        <v>0</v>
      </c>
      <c r="BF84" s="49">
        <f>IF(AND(BF$4&gt;EOMONTH(CloseDate,'Rent Roll'!$O$12+'Rent Roll'!$S$12-1),BF$4&lt;=EOMONTH(CloseDate,'Rent Roll'!$O$12+'Rent Roll'!$S$12-1+'Rent Roll'!$V$12)),-BF83,0)</f>
        <v>0</v>
      </c>
      <c r="BG84" s="49">
        <f>IF(AND(BG$4&gt;EOMONTH(CloseDate,'Rent Roll'!$O$12+'Rent Roll'!$S$12-1),BG$4&lt;=EOMONTH(CloseDate,'Rent Roll'!$O$12+'Rent Roll'!$S$12-1+'Rent Roll'!$V$12)),-BG83,0)</f>
        <v>0</v>
      </c>
      <c r="BH84" s="49">
        <f>IF(AND(BH$4&gt;EOMONTH(CloseDate,'Rent Roll'!$O$12+'Rent Roll'!$S$12-1),BH$4&lt;=EOMONTH(CloseDate,'Rent Roll'!$O$12+'Rent Roll'!$S$12-1+'Rent Roll'!$V$12)),-BH83,0)</f>
        <v>0</v>
      </c>
      <c r="BI84" s="49">
        <f>IF(AND(BI$4&gt;EOMONTH(CloseDate,'Rent Roll'!$O$12+'Rent Roll'!$S$12-1),BI$4&lt;=EOMONTH(CloseDate,'Rent Roll'!$O$12+'Rent Roll'!$S$12-1+'Rent Roll'!$V$12)),-BI83,0)</f>
        <v>0</v>
      </c>
      <c r="BJ84" s="49">
        <f>IF(AND(BJ$4&gt;EOMONTH(CloseDate,'Rent Roll'!$O$12+'Rent Roll'!$S$12-1),BJ$4&lt;=EOMONTH(CloseDate,'Rent Roll'!$O$12+'Rent Roll'!$S$12-1+'Rent Roll'!$V$12)),-BJ83,0)</f>
        <v>0</v>
      </c>
      <c r="BK84" s="49">
        <f>IF(AND(BK$4&gt;EOMONTH(CloseDate,'Rent Roll'!$O$12+'Rent Roll'!$S$12-1),BK$4&lt;=EOMONTH(CloseDate,'Rent Roll'!$O$12+'Rent Roll'!$S$12-1+'Rent Roll'!$V$12)),-BK83,0)</f>
        <v>0</v>
      </c>
      <c r="BL84" s="49">
        <f>IF(AND(BL$4&gt;EOMONTH(CloseDate,'Rent Roll'!$O$12+'Rent Roll'!$S$12-1),BL$4&lt;=EOMONTH(CloseDate,'Rent Roll'!$O$12+'Rent Roll'!$S$12-1+'Rent Roll'!$V$12)),-BL83,0)</f>
        <v>0</v>
      </c>
      <c r="BM84" s="49">
        <f>IF(AND(BM$4&gt;EOMONTH(CloseDate,'Rent Roll'!$O$12+'Rent Roll'!$S$12-1),BM$4&lt;=EOMONTH(CloseDate,'Rent Roll'!$O$12+'Rent Roll'!$S$12-1+'Rent Roll'!$V$12)),-BM83,0)</f>
        <v>0</v>
      </c>
      <c r="BN84" s="49">
        <f>IF(AND(BN$4&gt;EOMONTH(CloseDate,'Rent Roll'!$O$12+'Rent Roll'!$S$12-1),BN$4&lt;=EOMONTH(CloseDate,'Rent Roll'!$O$12+'Rent Roll'!$S$12-1+'Rent Roll'!$V$12)),-BN83,0)</f>
        <v>0</v>
      </c>
      <c r="BO84" s="49">
        <f>IF(AND(BO$4&gt;EOMONTH(CloseDate,'Rent Roll'!$O$12+'Rent Roll'!$S$12-1),BO$4&lt;=EOMONTH(CloseDate,'Rent Roll'!$O$12+'Rent Roll'!$S$12-1+'Rent Roll'!$V$12)),-BO83,0)</f>
        <v>0</v>
      </c>
      <c r="BP84" s="49">
        <f>IF(AND(BP$4&gt;EOMONTH(CloseDate,'Rent Roll'!$O$12+'Rent Roll'!$S$12-1),BP$4&lt;=EOMONTH(CloseDate,'Rent Roll'!$O$12+'Rent Roll'!$S$12-1+'Rent Roll'!$V$12)),-BP83,0)</f>
        <v>0</v>
      </c>
      <c r="BQ84" s="49">
        <f>IF(AND(BQ$4&gt;EOMONTH(CloseDate,'Rent Roll'!$O$12+'Rent Roll'!$S$12-1),BQ$4&lt;=EOMONTH(CloseDate,'Rent Roll'!$O$12+'Rent Roll'!$S$12-1+'Rent Roll'!$V$12)),-BQ83,0)</f>
        <v>0</v>
      </c>
      <c r="BR84" s="49">
        <f>IF(AND(BR$4&gt;EOMONTH(CloseDate,'Rent Roll'!$O$12+'Rent Roll'!$S$12-1),BR$4&lt;=EOMONTH(CloseDate,'Rent Roll'!$O$12+'Rent Roll'!$S$12-1+'Rent Roll'!$V$12)),-BR83,0)</f>
        <v>0</v>
      </c>
      <c r="BS84" s="49">
        <f>IF(AND(BS$4&gt;EOMONTH(CloseDate,'Rent Roll'!$O$12+'Rent Roll'!$S$12-1),BS$4&lt;=EOMONTH(CloseDate,'Rent Roll'!$O$12+'Rent Roll'!$S$12-1+'Rent Roll'!$V$12)),-BS83,0)</f>
        <v>0</v>
      </c>
      <c r="BT84" s="49">
        <f>IF(AND(BT$4&gt;EOMONTH(CloseDate,'Rent Roll'!$O$12+'Rent Roll'!$S$12-1),BT$4&lt;=EOMONTH(CloseDate,'Rent Roll'!$O$12+'Rent Roll'!$S$12-1+'Rent Roll'!$V$12)),-BT83,0)</f>
        <v>0</v>
      </c>
      <c r="BU84" s="49">
        <f>IF(AND(BU$4&gt;EOMONTH(CloseDate,'Rent Roll'!$O$12+'Rent Roll'!$S$12-1),BU$4&lt;=EOMONTH(CloseDate,'Rent Roll'!$O$12+'Rent Roll'!$S$12-1+'Rent Roll'!$V$12)),-BU83,0)</f>
        <v>0</v>
      </c>
      <c r="BV84" s="49">
        <f>IF(AND(BV$4&gt;EOMONTH(CloseDate,'Rent Roll'!$O$12+'Rent Roll'!$S$12-1),BV$4&lt;=EOMONTH(CloseDate,'Rent Roll'!$O$12+'Rent Roll'!$S$12-1+'Rent Roll'!$V$12)),-BV83,0)</f>
        <v>0</v>
      </c>
      <c r="BW84" s="49">
        <f>IF(AND(BW$4&gt;EOMONTH(CloseDate,'Rent Roll'!$O$12+'Rent Roll'!$S$12-1),BW$4&lt;=EOMONTH(CloseDate,'Rent Roll'!$O$12+'Rent Roll'!$S$12-1+'Rent Roll'!$V$12)),-BW83,0)</f>
        <v>0</v>
      </c>
      <c r="BX84" s="49">
        <f>IF(AND(BX$4&gt;EOMONTH(CloseDate,'Rent Roll'!$O$12+'Rent Roll'!$S$12-1),BX$4&lt;=EOMONTH(CloseDate,'Rent Roll'!$O$12+'Rent Roll'!$S$12-1+'Rent Roll'!$V$12)),-BX83,0)</f>
        <v>0</v>
      </c>
    </row>
    <row r="85" spans="1:76" hidden="1" outlineLevel="1">
      <c r="B85" t="s">
        <v>84</v>
      </c>
      <c r="D85" s="49">
        <f>D81+D83+D84</f>
        <v>13989.583333333334</v>
      </c>
      <c r="E85" s="49">
        <f t="shared" ref="E85:BJ85" si="35">E81+E83+E84</f>
        <v>13989.583333333334</v>
      </c>
      <c r="F85" s="49">
        <f t="shared" si="35"/>
        <v>13989.583333333334</v>
      </c>
      <c r="G85" s="49">
        <f t="shared" si="35"/>
        <v>13989.583333333334</v>
      </c>
      <c r="H85" s="49">
        <f t="shared" si="35"/>
        <v>13989.583333333334</v>
      </c>
      <c r="I85" s="49">
        <f t="shared" si="35"/>
        <v>13989.583333333334</v>
      </c>
      <c r="J85" s="49">
        <f t="shared" si="35"/>
        <v>14339.322916666666</v>
      </c>
      <c r="K85" s="49">
        <f t="shared" si="35"/>
        <v>14339.322916666666</v>
      </c>
      <c r="L85" s="49">
        <f t="shared" si="35"/>
        <v>14339.322916666666</v>
      </c>
      <c r="M85" s="49">
        <f t="shared" si="35"/>
        <v>14339.322916666666</v>
      </c>
      <c r="N85" s="49">
        <f t="shared" si="35"/>
        <v>14339.322916666666</v>
      </c>
      <c r="O85" s="49">
        <f t="shared" si="35"/>
        <v>14339.322916666666</v>
      </c>
      <c r="P85" s="49">
        <f t="shared" si="35"/>
        <v>14339.322916666666</v>
      </c>
      <c r="Q85" s="49">
        <f t="shared" si="35"/>
        <v>14339.322916666666</v>
      </c>
      <c r="R85" s="49">
        <f t="shared" si="35"/>
        <v>14339.322916666666</v>
      </c>
      <c r="S85" s="49">
        <f t="shared" si="35"/>
        <v>14339.322916666666</v>
      </c>
      <c r="T85" s="49">
        <f t="shared" si="35"/>
        <v>14339.322916666666</v>
      </c>
      <c r="U85" s="49">
        <f t="shared" si="35"/>
        <v>14697.805989583332</v>
      </c>
      <c r="V85" s="49">
        <f t="shared" si="35"/>
        <v>0</v>
      </c>
      <c r="W85" s="49">
        <f t="shared" si="35"/>
        <v>0</v>
      </c>
      <c r="X85" s="49">
        <f t="shared" si="35"/>
        <v>0</v>
      </c>
      <c r="Y85" s="49">
        <f t="shared" si="35"/>
        <v>0</v>
      </c>
      <c r="Z85" s="49">
        <f t="shared" si="35"/>
        <v>0</v>
      </c>
      <c r="AA85" s="49">
        <f t="shared" si="35"/>
        <v>0</v>
      </c>
      <c r="AB85" s="49">
        <f t="shared" si="35"/>
        <v>0</v>
      </c>
      <c r="AC85" s="49">
        <f t="shared" si="35"/>
        <v>18431.883679218743</v>
      </c>
      <c r="AD85" s="49">
        <f t="shared" si="35"/>
        <v>18431.883679218743</v>
      </c>
      <c r="AE85" s="49">
        <f t="shared" si="35"/>
        <v>18431.883679218743</v>
      </c>
      <c r="AF85" s="49">
        <f t="shared" si="35"/>
        <v>18431.883679218743</v>
      </c>
      <c r="AG85" s="49">
        <f t="shared" si="35"/>
        <v>18929.54453855765</v>
      </c>
      <c r="AH85" s="49">
        <f t="shared" si="35"/>
        <v>18929.54453855765</v>
      </c>
      <c r="AI85" s="49">
        <f t="shared" si="35"/>
        <v>18929.54453855765</v>
      </c>
      <c r="AJ85" s="49">
        <f t="shared" si="35"/>
        <v>18929.54453855765</v>
      </c>
      <c r="AK85" s="49">
        <f t="shared" si="35"/>
        <v>18929.54453855765</v>
      </c>
      <c r="AL85" s="49">
        <f t="shared" si="35"/>
        <v>18929.54453855765</v>
      </c>
      <c r="AM85" s="49">
        <f t="shared" si="35"/>
        <v>18929.54453855765</v>
      </c>
      <c r="AN85" s="49">
        <f t="shared" si="35"/>
        <v>18929.54453855765</v>
      </c>
      <c r="AO85" s="49">
        <f t="shared" si="35"/>
        <v>18929.54453855765</v>
      </c>
      <c r="AP85" s="49">
        <f t="shared" si="35"/>
        <v>18929.54453855765</v>
      </c>
      <c r="AQ85" s="49">
        <f t="shared" si="35"/>
        <v>18929.54453855765</v>
      </c>
      <c r="AR85" s="49">
        <f t="shared" si="35"/>
        <v>18929.54453855765</v>
      </c>
      <c r="AS85" s="49">
        <f t="shared" si="35"/>
        <v>19440.642241098703</v>
      </c>
      <c r="AT85" s="49">
        <f t="shared" si="35"/>
        <v>19440.642241098703</v>
      </c>
      <c r="AU85" s="49">
        <f t="shared" si="35"/>
        <v>19440.642241098703</v>
      </c>
      <c r="AV85" s="49">
        <f t="shared" si="35"/>
        <v>19440.642241098703</v>
      </c>
      <c r="AW85" s="49">
        <f t="shared" si="35"/>
        <v>19440.642241098703</v>
      </c>
      <c r="AX85" s="49">
        <f t="shared" si="35"/>
        <v>19440.642241098703</v>
      </c>
      <c r="AY85" s="49">
        <f t="shared" si="35"/>
        <v>19440.642241098703</v>
      </c>
      <c r="AZ85" s="49">
        <f t="shared" si="35"/>
        <v>19440.642241098703</v>
      </c>
      <c r="BA85" s="49">
        <f t="shared" si="35"/>
        <v>19440.642241098703</v>
      </c>
      <c r="BB85" s="49">
        <f t="shared" si="35"/>
        <v>19440.642241098703</v>
      </c>
      <c r="BC85" s="49">
        <f t="shared" si="35"/>
        <v>19440.642241098703</v>
      </c>
      <c r="BD85" s="49">
        <f t="shared" si="35"/>
        <v>19440.642241098703</v>
      </c>
      <c r="BE85" s="49">
        <f t="shared" si="35"/>
        <v>19965.539581608366</v>
      </c>
      <c r="BF85" s="49">
        <f t="shared" si="35"/>
        <v>19965.539581608366</v>
      </c>
      <c r="BG85" s="49">
        <f t="shared" si="35"/>
        <v>19965.539581608366</v>
      </c>
      <c r="BH85" s="49">
        <f t="shared" si="35"/>
        <v>19965.539581608366</v>
      </c>
      <c r="BI85" s="49">
        <f t="shared" si="35"/>
        <v>19965.539581608366</v>
      </c>
      <c r="BJ85" s="49">
        <f t="shared" si="35"/>
        <v>19965.539581608366</v>
      </c>
      <c r="BK85" s="49">
        <f t="shared" ref="BK85" si="36">BK81+BK83+BK84</f>
        <v>19965.539581608366</v>
      </c>
      <c r="BL85" s="49">
        <f t="shared" ref="BL85:BX85" si="37">BL81+BL83+BL84</f>
        <v>19965.539581608366</v>
      </c>
      <c r="BM85" s="49">
        <f t="shared" si="37"/>
        <v>19965.539581608366</v>
      </c>
      <c r="BN85" s="49">
        <f t="shared" si="37"/>
        <v>19965.539581608366</v>
      </c>
      <c r="BO85" s="49">
        <f t="shared" si="37"/>
        <v>19965.539581608366</v>
      </c>
      <c r="BP85" s="49">
        <f t="shared" si="37"/>
        <v>19965.539581608366</v>
      </c>
      <c r="BQ85" s="49">
        <f t="shared" si="37"/>
        <v>20504.60915031179</v>
      </c>
      <c r="BR85" s="49">
        <f t="shared" si="37"/>
        <v>20504.60915031179</v>
      </c>
      <c r="BS85" s="49">
        <f t="shared" si="37"/>
        <v>20504.60915031179</v>
      </c>
      <c r="BT85" s="49">
        <f t="shared" si="37"/>
        <v>20504.60915031179</v>
      </c>
      <c r="BU85" s="49">
        <f t="shared" si="37"/>
        <v>20504.60915031179</v>
      </c>
      <c r="BV85" s="49">
        <f t="shared" si="37"/>
        <v>20504.60915031179</v>
      </c>
      <c r="BW85" s="49">
        <f t="shared" si="37"/>
        <v>20504.60915031179</v>
      </c>
      <c r="BX85" s="49">
        <f t="shared" si="37"/>
        <v>20504.60915031179</v>
      </c>
    </row>
    <row r="86" spans="1:76" hidden="1" outlineLevel="1">
      <c r="B86" t="s">
        <v>85</v>
      </c>
      <c r="D86" s="49">
        <f>IF(OR(D80=1,D82=1),'Rent Roll'!$F$12/BldgSF*ReimbPool/12*D$7,0)</f>
        <v>7416.25</v>
      </c>
      <c r="E86" s="49">
        <f>IF(OR(E80=1,E82=1),'Rent Roll'!$F$12/BldgSF*ReimbPool/12*E$7,0)</f>
        <v>7416.25</v>
      </c>
      <c r="F86" s="49">
        <f>IF(OR(F80=1,F82=1),'Rent Roll'!$F$12/BldgSF*ReimbPool/12*F$7,0)</f>
        <v>7416.25</v>
      </c>
      <c r="G86" s="49">
        <f>IF(OR(G80=1,G82=1),'Rent Roll'!$F$12/BldgSF*ReimbPool/12*G$7,0)</f>
        <v>7416.25</v>
      </c>
      <c r="H86" s="49">
        <f>IF(OR(H80=1,H82=1),'Rent Roll'!$F$12/BldgSF*ReimbPool/12*H$7,0)</f>
        <v>7416.25</v>
      </c>
      <c r="I86" s="49">
        <f>IF(OR(I80=1,I82=1),'Rent Roll'!$F$12/BldgSF*ReimbPool/12*I$7,0)</f>
        <v>7616.4887499999995</v>
      </c>
      <c r="J86" s="49">
        <f>IF(OR(J80=1,J82=1),'Rent Roll'!$F$12/BldgSF*ReimbPool/12*J$7,0)</f>
        <v>7616.4887499999995</v>
      </c>
      <c r="K86" s="49">
        <f>IF(OR(K80=1,K82=1),'Rent Roll'!$F$12/BldgSF*ReimbPool/12*K$7,0)</f>
        <v>7616.4887499999995</v>
      </c>
      <c r="L86" s="49">
        <f>IF(OR(L80=1,L82=1),'Rent Roll'!$F$12/BldgSF*ReimbPool/12*L$7,0)</f>
        <v>7616.4887499999995</v>
      </c>
      <c r="M86" s="49">
        <f>IF(OR(M80=1,M82=1),'Rent Roll'!$F$12/BldgSF*ReimbPool/12*M$7,0)</f>
        <v>7616.4887499999995</v>
      </c>
      <c r="N86" s="49">
        <f>IF(OR(N80=1,N82=1),'Rent Roll'!$F$12/BldgSF*ReimbPool/12*N$7,0)</f>
        <v>7616.4887499999995</v>
      </c>
      <c r="O86" s="49">
        <f>IF(OR(O80=1,O82=1),'Rent Roll'!$F$12/BldgSF*ReimbPool/12*O$7,0)</f>
        <v>7616.4887499999995</v>
      </c>
      <c r="P86" s="49">
        <f>IF(OR(P80=1,P82=1),'Rent Roll'!$F$12/BldgSF*ReimbPool/12*P$7,0)</f>
        <v>7616.4887499999995</v>
      </c>
      <c r="Q86" s="49">
        <f>IF(OR(Q80=1,Q82=1),'Rent Roll'!$F$12/BldgSF*ReimbPool/12*Q$7,0)</f>
        <v>7616.4887499999995</v>
      </c>
      <c r="R86" s="49">
        <f>IF(OR(R80=1,R82=1),'Rent Roll'!$F$12/BldgSF*ReimbPool/12*R$7,0)</f>
        <v>7616.4887499999995</v>
      </c>
      <c r="S86" s="49">
        <f>IF(OR(S80=1,S82=1),'Rent Roll'!$F$12/BldgSF*ReimbPool/12*S$7,0)</f>
        <v>7616.4887499999995</v>
      </c>
      <c r="T86" s="49">
        <f>IF(OR(T80=1,T82=1),'Rent Roll'!$F$12/BldgSF*ReimbPool/12*T$7,0)</f>
        <v>7616.4887499999995</v>
      </c>
      <c r="U86" s="49">
        <f>IF(OR(U80=1,U82=1),'Rent Roll'!$F$12/BldgSF*ReimbPool/12*U$7,0)</f>
        <v>7822.1339462499982</v>
      </c>
      <c r="V86" s="49">
        <f>IF(OR(V80=1,V82=1),'Rent Roll'!$F$12/BldgSF*ReimbPool/12*V$7,0)</f>
        <v>0</v>
      </c>
      <c r="W86" s="49">
        <f>IF(OR(W80=1,W82=1),'Rent Roll'!$F$12/BldgSF*ReimbPool/12*W$7,0)</f>
        <v>0</v>
      </c>
      <c r="X86" s="49">
        <f>IF(OR(X80=1,X82=1),'Rent Roll'!$F$12/BldgSF*ReimbPool/12*X$7,0)</f>
        <v>0</v>
      </c>
      <c r="Y86" s="49">
        <f>IF(OR(Y80=1,Y82=1),'Rent Roll'!$F$12/BldgSF*ReimbPool/12*Y$7,0)</f>
        <v>0</v>
      </c>
      <c r="Z86" s="49">
        <f>IF(OR(Z80=1,Z82=1),'Rent Roll'!$F$12/BldgSF*ReimbPool/12*Z$7,0)</f>
        <v>0</v>
      </c>
      <c r="AA86" s="49">
        <f>IF(OR(AA80=1,AA82=1),'Rent Roll'!$F$12/BldgSF*ReimbPool/12*AA$7,0)</f>
        <v>7822.1339462499982</v>
      </c>
      <c r="AB86" s="49">
        <f>IF(OR(AB80=1,AB82=1),'Rent Roll'!$F$12/BldgSF*ReimbPool/12*AB$7,0)</f>
        <v>7822.1339462499982</v>
      </c>
      <c r="AC86" s="49">
        <f>IF(OR(AC80=1,AC82=1),'Rent Roll'!$F$12/BldgSF*ReimbPool/12*AC$7,0)</f>
        <v>7822.1339462499982</v>
      </c>
      <c r="AD86" s="49">
        <f>IF(OR(AD80=1,AD82=1),'Rent Roll'!$F$12/BldgSF*ReimbPool/12*AD$7,0)</f>
        <v>7822.1339462499982</v>
      </c>
      <c r="AE86" s="49">
        <f>IF(OR(AE80=1,AE82=1),'Rent Roll'!$F$12/BldgSF*ReimbPool/12*AE$7,0)</f>
        <v>7822.1339462499982</v>
      </c>
      <c r="AF86" s="49">
        <f>IF(OR(AF80=1,AF82=1),'Rent Roll'!$F$12/BldgSF*ReimbPool/12*AF$7,0)</f>
        <v>7822.1339462499982</v>
      </c>
      <c r="AG86" s="49">
        <f>IF(OR(AG80=1,AG82=1),'Rent Roll'!$F$12/BldgSF*ReimbPool/12*AG$7,0)</f>
        <v>8033.3315627987486</v>
      </c>
      <c r="AH86" s="49">
        <f>IF(OR(AH80=1,AH82=1),'Rent Roll'!$F$12/BldgSF*ReimbPool/12*AH$7,0)</f>
        <v>8033.3315627987486</v>
      </c>
      <c r="AI86" s="49">
        <f>IF(OR(AI80=1,AI82=1),'Rent Roll'!$F$12/BldgSF*ReimbPool/12*AI$7,0)</f>
        <v>8033.3315627987486</v>
      </c>
      <c r="AJ86" s="49">
        <f>IF(OR(AJ80=1,AJ82=1),'Rent Roll'!$F$12/BldgSF*ReimbPool/12*AJ$7,0)</f>
        <v>8033.3315627987486</v>
      </c>
      <c r="AK86" s="49">
        <f>IF(OR(AK80=1,AK82=1),'Rent Roll'!$F$12/BldgSF*ReimbPool/12*AK$7,0)</f>
        <v>8033.3315627987486</v>
      </c>
      <c r="AL86" s="49">
        <f>IF(OR(AL80=1,AL82=1),'Rent Roll'!$F$12/BldgSF*ReimbPool/12*AL$7,0)</f>
        <v>8033.3315627987486</v>
      </c>
      <c r="AM86" s="49">
        <f>IF(OR(AM80=1,AM82=1),'Rent Roll'!$F$12/BldgSF*ReimbPool/12*AM$7,0)</f>
        <v>8033.3315627987486</v>
      </c>
      <c r="AN86" s="49">
        <f>IF(OR(AN80=1,AN82=1),'Rent Roll'!$F$12/BldgSF*ReimbPool/12*AN$7,0)</f>
        <v>8033.3315627987486</v>
      </c>
      <c r="AO86" s="49">
        <f>IF(OR(AO80=1,AO82=1),'Rent Roll'!$F$12/BldgSF*ReimbPool/12*AO$7,0)</f>
        <v>8033.3315627987486</v>
      </c>
      <c r="AP86" s="49">
        <f>IF(OR(AP80=1,AP82=1),'Rent Roll'!$F$12/BldgSF*ReimbPool/12*AP$7,0)</f>
        <v>8033.3315627987486</v>
      </c>
      <c r="AQ86" s="49">
        <f>IF(OR(AQ80=1,AQ82=1),'Rent Roll'!$F$12/BldgSF*ReimbPool/12*AQ$7,0)</f>
        <v>8033.3315627987486</v>
      </c>
      <c r="AR86" s="49">
        <f>IF(OR(AR80=1,AR82=1),'Rent Roll'!$F$12/BldgSF*ReimbPool/12*AR$7,0)</f>
        <v>8033.3315627987486</v>
      </c>
      <c r="AS86" s="49">
        <f>IF(OR(AS80=1,AS82=1),'Rent Roll'!$F$12/BldgSF*ReimbPool/12*AS$7,0)</f>
        <v>8250.2315149943133</v>
      </c>
      <c r="AT86" s="49">
        <f>IF(OR(AT80=1,AT82=1),'Rent Roll'!$F$12/BldgSF*ReimbPool/12*AT$7,0)</f>
        <v>8250.2315149943133</v>
      </c>
      <c r="AU86" s="49">
        <f>IF(OR(AU80=1,AU82=1),'Rent Roll'!$F$12/BldgSF*ReimbPool/12*AU$7,0)</f>
        <v>8250.2315149943133</v>
      </c>
      <c r="AV86" s="49">
        <f>IF(OR(AV80=1,AV82=1),'Rent Roll'!$F$12/BldgSF*ReimbPool/12*AV$7,0)</f>
        <v>8250.2315149943133</v>
      </c>
      <c r="AW86" s="49">
        <f>IF(OR(AW80=1,AW82=1),'Rent Roll'!$F$12/BldgSF*ReimbPool/12*AW$7,0)</f>
        <v>8250.2315149943133</v>
      </c>
      <c r="AX86" s="49">
        <f>IF(OR(AX80=1,AX82=1),'Rent Roll'!$F$12/BldgSF*ReimbPool/12*AX$7,0)</f>
        <v>8250.2315149943133</v>
      </c>
      <c r="AY86" s="49">
        <f>IF(OR(AY80=1,AY82=1),'Rent Roll'!$F$12/BldgSF*ReimbPool/12*AY$7,0)</f>
        <v>8250.2315149943133</v>
      </c>
      <c r="AZ86" s="49">
        <f>IF(OR(AZ80=1,AZ82=1),'Rent Roll'!$F$12/BldgSF*ReimbPool/12*AZ$7,0)</f>
        <v>8250.2315149943133</v>
      </c>
      <c r="BA86" s="49">
        <f>IF(OR(BA80=1,BA82=1),'Rent Roll'!$F$12/BldgSF*ReimbPool/12*BA$7,0)</f>
        <v>8250.2315149943133</v>
      </c>
      <c r="BB86" s="49">
        <f>IF(OR(BB80=1,BB82=1),'Rent Roll'!$F$12/BldgSF*ReimbPool/12*BB$7,0)</f>
        <v>8250.2315149943133</v>
      </c>
      <c r="BC86" s="49">
        <f>IF(OR(BC80=1,BC82=1),'Rent Roll'!$F$12/BldgSF*ReimbPool/12*BC$7,0)</f>
        <v>8250.2315149943133</v>
      </c>
      <c r="BD86" s="49">
        <f>IF(OR(BD80=1,BD82=1),'Rent Roll'!$F$12/BldgSF*ReimbPool/12*BD$7,0)</f>
        <v>8250.2315149943133</v>
      </c>
      <c r="BE86" s="49">
        <f>IF(OR(BE80=1,BE82=1),'Rent Roll'!$F$12/BldgSF*ReimbPool/12*BE$7,0)</f>
        <v>8472.9877658991591</v>
      </c>
      <c r="BF86" s="49">
        <f>IF(OR(BF80=1,BF82=1),'Rent Roll'!$F$12/BldgSF*ReimbPool/12*BF$7,0)</f>
        <v>8472.9877658991591</v>
      </c>
      <c r="BG86" s="49">
        <f>IF(OR(BG80=1,BG82=1),'Rent Roll'!$F$12/BldgSF*ReimbPool/12*BG$7,0)</f>
        <v>8472.9877658991591</v>
      </c>
      <c r="BH86" s="49">
        <f>IF(OR(BH80=1,BH82=1),'Rent Roll'!$F$12/BldgSF*ReimbPool/12*BH$7,0)</f>
        <v>8472.9877658991591</v>
      </c>
      <c r="BI86" s="49">
        <f>IF(OR(BI80=1,BI82=1),'Rent Roll'!$F$12/BldgSF*ReimbPool/12*BI$7,0)</f>
        <v>8472.9877658991591</v>
      </c>
      <c r="BJ86" s="49">
        <f>IF(OR(BJ80=1,BJ82=1),'Rent Roll'!$F$12/BldgSF*ReimbPool/12*BJ$7,0)</f>
        <v>8472.9877658991591</v>
      </c>
      <c r="BK86" s="49">
        <f>IF(OR(BK80=1,BK82=1),'Rent Roll'!$F$12/BldgSF*ReimbPool/12*BK$7,0)</f>
        <v>8472.9877658991591</v>
      </c>
      <c r="BL86" s="49">
        <f>IF(OR(BL80=1,BL82=1),'Rent Roll'!$F$12/BldgSF*ReimbPool/12*BL$7,0)</f>
        <v>8472.9877658991591</v>
      </c>
      <c r="BM86" s="49">
        <f>IF(OR(BM80=1,BM82=1),'Rent Roll'!$F$12/BldgSF*ReimbPool/12*BM$7,0)</f>
        <v>8472.9877658991591</v>
      </c>
      <c r="BN86" s="49">
        <f>IF(OR(BN80=1,BN82=1),'Rent Roll'!$F$12/BldgSF*ReimbPool/12*BN$7,0)</f>
        <v>8472.9877658991591</v>
      </c>
      <c r="BO86" s="49">
        <f>IF(OR(BO80=1,BO82=1),'Rent Roll'!$F$12/BldgSF*ReimbPool/12*BO$7,0)</f>
        <v>8472.9877658991591</v>
      </c>
      <c r="BP86" s="49">
        <f>IF(OR(BP80=1,BP82=1),'Rent Roll'!$F$12/BldgSF*ReimbPool/12*BP$7,0)</f>
        <v>8472.9877658991591</v>
      </c>
      <c r="BQ86" s="49">
        <f>IF(OR(BQ80=1,BQ82=1),'Rent Roll'!$F$12/BldgSF*ReimbPool/12*BQ$7,0)</f>
        <v>8701.7584355784347</v>
      </c>
      <c r="BR86" s="49">
        <f>IF(OR(BR80=1,BR82=1),'Rent Roll'!$F$12/BldgSF*ReimbPool/12*BR$7,0)</f>
        <v>8701.7584355784347</v>
      </c>
      <c r="BS86" s="49">
        <f>IF(OR(BS80=1,BS82=1),'Rent Roll'!$F$12/BldgSF*ReimbPool/12*BS$7,0)</f>
        <v>8701.7584355784347</v>
      </c>
      <c r="BT86" s="49">
        <f>IF(OR(BT80=1,BT82=1),'Rent Roll'!$F$12/BldgSF*ReimbPool/12*BT$7,0)</f>
        <v>8701.7584355784347</v>
      </c>
      <c r="BU86" s="49">
        <f>IF(OR(BU80=1,BU82=1),'Rent Roll'!$F$12/BldgSF*ReimbPool/12*BU$7,0)</f>
        <v>8701.7584355784347</v>
      </c>
      <c r="BV86" s="49">
        <f>IF(OR(BV80=1,BV82=1),'Rent Roll'!$F$12/BldgSF*ReimbPool/12*BV$7,0)</f>
        <v>8701.7584355784347</v>
      </c>
      <c r="BW86" s="49">
        <f>IF(OR(BW80=1,BW82=1),'Rent Roll'!$F$12/BldgSF*ReimbPool/12*BW$7,0)</f>
        <v>8701.7584355784347</v>
      </c>
      <c r="BX86" s="49">
        <f>IF(OR(BX80=1,BX82=1),'Rent Roll'!$F$12/BldgSF*ReimbPool/12*BX$7,0)</f>
        <v>8701.7584355784347</v>
      </c>
    </row>
    <row r="87" spans="1:76" hidden="1" outlineLevel="1">
      <c r="B87" t="s">
        <v>86</v>
      </c>
      <c r="D87" s="49">
        <f>IF(D$4=EOMONTH(CloseDate,'Rent Roll'!$O$12+'Rent Roll'!$S$12),-'Rent Roll'!$F$12*'Rent Roll'!$T$12,0)</f>
        <v>0</v>
      </c>
      <c r="E87" s="49">
        <f>IF(E$4=EOMONTH(CloseDate,'Rent Roll'!$O$12+'Rent Roll'!$S$12),-'Rent Roll'!$F$12*'Rent Roll'!$T$12,0)</f>
        <v>0</v>
      </c>
      <c r="F87" s="49">
        <f>IF(F$4=EOMONTH(CloseDate,'Rent Roll'!$O$12+'Rent Roll'!$S$12),-'Rent Roll'!$F$12*'Rent Roll'!$T$12,0)</f>
        <v>0</v>
      </c>
      <c r="G87" s="49">
        <f>IF(G$4=EOMONTH(CloseDate,'Rent Roll'!$O$12+'Rent Roll'!$S$12),-'Rent Roll'!$F$12*'Rent Roll'!$T$12,0)</f>
        <v>0</v>
      </c>
      <c r="H87" s="49">
        <f>IF(H$4=EOMONTH(CloseDate,'Rent Roll'!$O$12+'Rent Roll'!$S$12),-'Rent Roll'!$F$12*'Rent Roll'!$T$12,0)</f>
        <v>0</v>
      </c>
      <c r="I87" s="49">
        <f>IF(I$4=EOMONTH(CloseDate,'Rent Roll'!$O$12+'Rent Roll'!$S$12),-'Rent Roll'!$F$12*'Rent Roll'!$T$12,0)</f>
        <v>0</v>
      </c>
      <c r="J87" s="49">
        <f>IF(J$4=EOMONTH(CloseDate,'Rent Roll'!$O$12+'Rent Roll'!$S$12),-'Rent Roll'!$F$12*'Rent Roll'!$T$12,0)</f>
        <v>0</v>
      </c>
      <c r="K87" s="49">
        <f>IF(K$4=EOMONTH(CloseDate,'Rent Roll'!$O$12+'Rent Roll'!$S$12),-'Rent Roll'!$F$12*'Rent Roll'!$T$12,0)</f>
        <v>0</v>
      </c>
      <c r="L87" s="49">
        <f>IF(L$4=EOMONTH(CloseDate,'Rent Roll'!$O$12+'Rent Roll'!$S$12),-'Rent Roll'!$F$12*'Rent Roll'!$T$12,0)</f>
        <v>0</v>
      </c>
      <c r="M87" s="49">
        <f>IF(M$4=EOMONTH(CloseDate,'Rent Roll'!$O$12+'Rent Roll'!$S$12),-'Rent Roll'!$F$12*'Rent Roll'!$T$12,0)</f>
        <v>0</v>
      </c>
      <c r="N87" s="49">
        <f>IF(N$4=EOMONTH(CloseDate,'Rent Roll'!$O$12+'Rent Roll'!$S$12),-'Rent Roll'!$F$12*'Rent Roll'!$T$12,0)</f>
        <v>0</v>
      </c>
      <c r="O87" s="49">
        <f>IF(O$4=EOMONTH(CloseDate,'Rent Roll'!$O$12+'Rent Roll'!$S$12),-'Rent Roll'!$F$12*'Rent Roll'!$T$12,0)</f>
        <v>0</v>
      </c>
      <c r="P87" s="49">
        <f>IF(P$4=EOMONTH(CloseDate,'Rent Roll'!$O$12+'Rent Roll'!$S$12),-'Rent Roll'!$F$12*'Rent Roll'!$T$12,0)</f>
        <v>0</v>
      </c>
      <c r="Q87" s="49">
        <f>IF(Q$4=EOMONTH(CloseDate,'Rent Roll'!$O$12+'Rent Roll'!$S$12),-'Rent Roll'!$F$12*'Rent Roll'!$T$12,0)</f>
        <v>0</v>
      </c>
      <c r="R87" s="49">
        <f>IF(R$4=EOMONTH(CloseDate,'Rent Roll'!$O$12+'Rent Roll'!$S$12),-'Rent Roll'!$F$12*'Rent Roll'!$T$12,0)</f>
        <v>0</v>
      </c>
      <c r="S87" s="49">
        <f>IF(S$4=EOMONTH(CloseDate,'Rent Roll'!$O$12+'Rent Roll'!$S$12),-'Rent Roll'!$F$12*'Rent Roll'!$T$12,0)</f>
        <v>0</v>
      </c>
      <c r="T87" s="49">
        <f>IF(T$4=EOMONTH(CloseDate,'Rent Roll'!$O$12+'Rent Roll'!$S$12),-'Rent Roll'!$F$12*'Rent Roll'!$T$12,0)</f>
        <v>0</v>
      </c>
      <c r="U87" s="49">
        <f>IF(U$4=EOMONTH(CloseDate,'Rent Roll'!$O$12+'Rent Roll'!$S$12),-'Rent Roll'!$F$12*'Rent Roll'!$T$12,0)</f>
        <v>0</v>
      </c>
      <c r="V87" s="49">
        <f>IF(V$4=EOMONTH(CloseDate,'Rent Roll'!$O$12+'Rent Roll'!$S$12),-'Rent Roll'!$F$12*'Rent Roll'!$T$12,0)</f>
        <v>0</v>
      </c>
      <c r="W87" s="49">
        <f>IF(W$4=EOMONTH(CloseDate,'Rent Roll'!$O$12+'Rent Roll'!$S$12),-'Rent Roll'!$F$12*'Rent Roll'!$T$12,0)</f>
        <v>0</v>
      </c>
      <c r="X87" s="49">
        <f>IF(X$4=EOMONTH(CloseDate,'Rent Roll'!$O$12+'Rent Roll'!$S$12),-'Rent Roll'!$F$12*'Rent Roll'!$T$12,0)</f>
        <v>0</v>
      </c>
      <c r="Y87" s="49">
        <f>IF(Y$4=EOMONTH(CloseDate,'Rent Roll'!$O$12+'Rent Roll'!$S$12),-'Rent Roll'!$F$12*'Rent Roll'!$T$12,0)</f>
        <v>0</v>
      </c>
      <c r="Z87" s="49">
        <f>IF(Z$4=EOMONTH(CloseDate,'Rent Roll'!$O$12+'Rent Roll'!$S$12),-'Rent Roll'!$F$12*'Rent Roll'!$T$12,0)</f>
        <v>0</v>
      </c>
      <c r="AA87" s="49">
        <f>IF(AA$4=EOMONTH(CloseDate,'Rent Roll'!$O$12+'Rent Roll'!$S$12),-'Rent Roll'!$F$12*'Rent Roll'!$T$12,0)</f>
        <v>-306000</v>
      </c>
      <c r="AB87" s="49">
        <f>IF(AB$4=EOMONTH(CloseDate,'Rent Roll'!$O$12+'Rent Roll'!$S$12),-'Rent Roll'!$F$12*'Rent Roll'!$T$12,0)</f>
        <v>0</v>
      </c>
      <c r="AC87" s="49">
        <f>IF(AC$4=EOMONTH(CloseDate,'Rent Roll'!$O$12+'Rent Roll'!$S$12),-'Rent Roll'!$F$12*'Rent Roll'!$T$12,0)</f>
        <v>0</v>
      </c>
      <c r="AD87" s="49">
        <f>IF(AD$4=EOMONTH(CloseDate,'Rent Roll'!$O$12+'Rent Roll'!$S$12),-'Rent Roll'!$F$12*'Rent Roll'!$T$12,0)</f>
        <v>0</v>
      </c>
      <c r="AE87" s="49">
        <f>IF(AE$4=EOMONTH(CloseDate,'Rent Roll'!$O$12+'Rent Roll'!$S$12),-'Rent Roll'!$F$12*'Rent Roll'!$T$12,0)</f>
        <v>0</v>
      </c>
      <c r="AF87" s="49">
        <f>IF(AF$4=EOMONTH(CloseDate,'Rent Roll'!$O$12+'Rent Roll'!$S$12),-'Rent Roll'!$F$12*'Rent Roll'!$T$12,0)</f>
        <v>0</v>
      </c>
      <c r="AG87" s="49">
        <f>IF(AG$4=EOMONTH(CloseDate,'Rent Roll'!$O$12+'Rent Roll'!$S$12),-'Rent Roll'!$F$12*'Rent Roll'!$T$12,0)</f>
        <v>0</v>
      </c>
      <c r="AH87" s="49">
        <f>IF(AH$4=EOMONTH(CloseDate,'Rent Roll'!$O$12+'Rent Roll'!$S$12),-'Rent Roll'!$F$12*'Rent Roll'!$T$12,0)</f>
        <v>0</v>
      </c>
      <c r="AI87" s="49">
        <f>IF(AI$4=EOMONTH(CloseDate,'Rent Roll'!$O$12+'Rent Roll'!$S$12),-'Rent Roll'!$F$12*'Rent Roll'!$T$12,0)</f>
        <v>0</v>
      </c>
      <c r="AJ87" s="49">
        <f>IF(AJ$4=EOMONTH(CloseDate,'Rent Roll'!$O$12+'Rent Roll'!$S$12),-'Rent Roll'!$F$12*'Rent Roll'!$T$12,0)</f>
        <v>0</v>
      </c>
      <c r="AK87" s="49">
        <f>IF(AK$4=EOMONTH(CloseDate,'Rent Roll'!$O$12+'Rent Roll'!$S$12),-'Rent Roll'!$F$12*'Rent Roll'!$T$12,0)</f>
        <v>0</v>
      </c>
      <c r="AL87" s="49">
        <f>IF(AL$4=EOMONTH(CloseDate,'Rent Roll'!$O$12+'Rent Roll'!$S$12),-'Rent Roll'!$F$12*'Rent Roll'!$T$12,0)</f>
        <v>0</v>
      </c>
      <c r="AM87" s="49">
        <f>IF(AM$4=EOMONTH(CloseDate,'Rent Roll'!$O$12+'Rent Roll'!$S$12),-'Rent Roll'!$F$12*'Rent Roll'!$T$12,0)</f>
        <v>0</v>
      </c>
      <c r="AN87" s="49">
        <f>IF(AN$4=EOMONTH(CloseDate,'Rent Roll'!$O$12+'Rent Roll'!$S$12),-'Rent Roll'!$F$12*'Rent Roll'!$T$12,0)</f>
        <v>0</v>
      </c>
      <c r="AO87" s="49">
        <f>IF(AO$4=EOMONTH(CloseDate,'Rent Roll'!$O$12+'Rent Roll'!$S$12),-'Rent Roll'!$F$12*'Rent Roll'!$T$12,0)</f>
        <v>0</v>
      </c>
      <c r="AP87" s="49">
        <f>IF(AP$4=EOMONTH(CloseDate,'Rent Roll'!$O$12+'Rent Roll'!$S$12),-'Rent Roll'!$F$12*'Rent Roll'!$T$12,0)</f>
        <v>0</v>
      </c>
      <c r="AQ87" s="49">
        <f>IF(AQ$4=EOMONTH(CloseDate,'Rent Roll'!$O$12+'Rent Roll'!$S$12),-'Rent Roll'!$F$12*'Rent Roll'!$T$12,0)</f>
        <v>0</v>
      </c>
      <c r="AR87" s="49">
        <f>IF(AR$4=EOMONTH(CloseDate,'Rent Roll'!$O$12+'Rent Roll'!$S$12),-'Rent Roll'!$F$12*'Rent Roll'!$T$12,0)</f>
        <v>0</v>
      </c>
      <c r="AS87" s="49">
        <f>IF(AS$4=EOMONTH(CloseDate,'Rent Roll'!$O$12+'Rent Roll'!$S$12),-'Rent Roll'!$F$12*'Rent Roll'!$T$12,0)</f>
        <v>0</v>
      </c>
      <c r="AT87" s="49">
        <f>IF(AT$4=EOMONTH(CloseDate,'Rent Roll'!$O$12+'Rent Roll'!$S$12),-'Rent Roll'!$F$12*'Rent Roll'!$T$12,0)</f>
        <v>0</v>
      </c>
      <c r="AU87" s="49">
        <f>IF(AU$4=EOMONTH(CloseDate,'Rent Roll'!$O$12+'Rent Roll'!$S$12),-'Rent Roll'!$F$12*'Rent Roll'!$T$12,0)</f>
        <v>0</v>
      </c>
      <c r="AV87" s="49">
        <f>IF(AV$4=EOMONTH(CloseDate,'Rent Roll'!$O$12+'Rent Roll'!$S$12),-'Rent Roll'!$F$12*'Rent Roll'!$T$12,0)</f>
        <v>0</v>
      </c>
      <c r="AW87" s="49">
        <f>IF(AW$4=EOMONTH(CloseDate,'Rent Roll'!$O$12+'Rent Roll'!$S$12),-'Rent Roll'!$F$12*'Rent Roll'!$T$12,0)</f>
        <v>0</v>
      </c>
      <c r="AX87" s="49">
        <f>IF(AX$4=EOMONTH(CloseDate,'Rent Roll'!$O$12+'Rent Roll'!$S$12),-'Rent Roll'!$F$12*'Rent Roll'!$T$12,0)</f>
        <v>0</v>
      </c>
      <c r="AY87" s="49">
        <f>IF(AY$4=EOMONTH(CloseDate,'Rent Roll'!$O$12+'Rent Roll'!$S$12),-'Rent Roll'!$F$12*'Rent Roll'!$T$12,0)</f>
        <v>0</v>
      </c>
      <c r="AZ87" s="49">
        <f>IF(AZ$4=EOMONTH(CloseDate,'Rent Roll'!$O$12+'Rent Roll'!$S$12),-'Rent Roll'!$F$12*'Rent Roll'!$T$12,0)</f>
        <v>0</v>
      </c>
      <c r="BA87" s="49">
        <f>IF(BA$4=EOMONTH(CloseDate,'Rent Roll'!$O$12+'Rent Roll'!$S$12),-'Rent Roll'!$F$12*'Rent Roll'!$T$12,0)</f>
        <v>0</v>
      </c>
      <c r="BB87" s="49">
        <f>IF(BB$4=EOMONTH(CloseDate,'Rent Roll'!$O$12+'Rent Roll'!$S$12),-'Rent Roll'!$F$12*'Rent Roll'!$T$12,0)</f>
        <v>0</v>
      </c>
      <c r="BC87" s="49">
        <f>IF(BC$4=EOMONTH(CloseDate,'Rent Roll'!$O$12+'Rent Roll'!$S$12),-'Rent Roll'!$F$12*'Rent Roll'!$T$12,0)</f>
        <v>0</v>
      </c>
      <c r="BD87" s="49">
        <f>IF(BD$4=EOMONTH(CloseDate,'Rent Roll'!$O$12+'Rent Roll'!$S$12),-'Rent Roll'!$F$12*'Rent Roll'!$T$12,0)</f>
        <v>0</v>
      </c>
      <c r="BE87" s="49">
        <f>IF(BE$4=EOMONTH(CloseDate,'Rent Roll'!$O$12+'Rent Roll'!$S$12),-'Rent Roll'!$F$12*'Rent Roll'!$T$12,0)</f>
        <v>0</v>
      </c>
      <c r="BF87" s="49">
        <f>IF(BF$4=EOMONTH(CloseDate,'Rent Roll'!$O$12+'Rent Roll'!$S$12),-'Rent Roll'!$F$12*'Rent Roll'!$T$12,0)</f>
        <v>0</v>
      </c>
      <c r="BG87" s="49">
        <f>IF(BG$4=EOMONTH(CloseDate,'Rent Roll'!$O$12+'Rent Roll'!$S$12),-'Rent Roll'!$F$12*'Rent Roll'!$T$12,0)</f>
        <v>0</v>
      </c>
      <c r="BH87" s="49">
        <f>IF(BH$4=EOMONTH(CloseDate,'Rent Roll'!$O$12+'Rent Roll'!$S$12),-'Rent Roll'!$F$12*'Rent Roll'!$T$12,0)</f>
        <v>0</v>
      </c>
      <c r="BI87" s="49">
        <f>IF(BI$4=EOMONTH(CloseDate,'Rent Roll'!$O$12+'Rent Roll'!$S$12),-'Rent Roll'!$F$12*'Rent Roll'!$T$12,0)</f>
        <v>0</v>
      </c>
      <c r="BJ87" s="49">
        <f>IF(BJ$4=EOMONTH(CloseDate,'Rent Roll'!$O$12+'Rent Roll'!$S$12),-'Rent Roll'!$F$12*'Rent Roll'!$T$12,0)</f>
        <v>0</v>
      </c>
      <c r="BK87" s="49">
        <f>IF(BK$4=EOMONTH(CloseDate,'Rent Roll'!$O$12+'Rent Roll'!$S$12),-'Rent Roll'!$F$12*'Rent Roll'!$T$12,0)</f>
        <v>0</v>
      </c>
      <c r="BL87" s="49">
        <f>IF(BL$4=EOMONTH(CloseDate,'Rent Roll'!$O$12+'Rent Roll'!$S$12),-'Rent Roll'!$F$12*'Rent Roll'!$T$12,0)</f>
        <v>0</v>
      </c>
      <c r="BM87" s="49">
        <f>IF(BM$4=EOMONTH(CloseDate,'Rent Roll'!$O$12+'Rent Roll'!$S$12),-'Rent Roll'!$F$12*'Rent Roll'!$T$12,0)</f>
        <v>0</v>
      </c>
      <c r="BN87" s="49">
        <f>IF(BN$4=EOMONTH(CloseDate,'Rent Roll'!$O$12+'Rent Roll'!$S$12),-'Rent Roll'!$F$12*'Rent Roll'!$T$12,0)</f>
        <v>0</v>
      </c>
      <c r="BO87" s="49">
        <f>IF(BO$4=EOMONTH(CloseDate,'Rent Roll'!$O$12+'Rent Roll'!$S$12),-'Rent Roll'!$F$12*'Rent Roll'!$T$12,0)</f>
        <v>0</v>
      </c>
      <c r="BP87" s="49">
        <f>IF(BP$4=EOMONTH(CloseDate,'Rent Roll'!$O$12+'Rent Roll'!$S$12),-'Rent Roll'!$F$12*'Rent Roll'!$T$12,0)</f>
        <v>0</v>
      </c>
      <c r="BQ87" s="49">
        <f>IF(BQ$4=EOMONTH(CloseDate,'Rent Roll'!$O$12+'Rent Roll'!$S$12),-'Rent Roll'!$F$12*'Rent Roll'!$T$12,0)</f>
        <v>0</v>
      </c>
      <c r="BR87" s="49">
        <f>IF(BR$4=EOMONTH(CloseDate,'Rent Roll'!$O$12+'Rent Roll'!$S$12),-'Rent Roll'!$F$12*'Rent Roll'!$T$12,0)</f>
        <v>0</v>
      </c>
      <c r="BS87" s="49">
        <f>IF(BS$4=EOMONTH(CloseDate,'Rent Roll'!$O$12+'Rent Roll'!$S$12),-'Rent Roll'!$F$12*'Rent Roll'!$T$12,0)</f>
        <v>0</v>
      </c>
      <c r="BT87" s="49">
        <f>IF(BT$4=EOMONTH(CloseDate,'Rent Roll'!$O$12+'Rent Roll'!$S$12),-'Rent Roll'!$F$12*'Rent Roll'!$T$12,0)</f>
        <v>0</v>
      </c>
      <c r="BU87" s="49">
        <f>IF(BU$4=EOMONTH(CloseDate,'Rent Roll'!$O$12+'Rent Roll'!$S$12),-'Rent Roll'!$F$12*'Rent Roll'!$T$12,0)</f>
        <v>0</v>
      </c>
      <c r="BV87" s="49">
        <f>IF(BV$4=EOMONTH(CloseDate,'Rent Roll'!$O$12+'Rent Roll'!$S$12),-'Rent Roll'!$F$12*'Rent Roll'!$T$12,0)</f>
        <v>0</v>
      </c>
      <c r="BW87" s="49">
        <f>IF(BW$4=EOMONTH(CloseDate,'Rent Roll'!$O$12+'Rent Roll'!$S$12),-'Rent Roll'!$F$12*'Rent Roll'!$T$12,0)</f>
        <v>0</v>
      </c>
      <c r="BX87" s="49">
        <f>IF(BX$4=EOMONTH(CloseDate,'Rent Roll'!$O$12+'Rent Roll'!$S$12),-'Rent Roll'!$F$12*'Rent Roll'!$T$12,0)</f>
        <v>0</v>
      </c>
    </row>
    <row r="88" spans="1:76" hidden="1" outlineLevel="1">
      <c r="B88" t="s">
        <v>87</v>
      </c>
      <c r="D88" s="49">
        <f>IF(D$4=EOMONTH(CloseDate,'Rent Roll'!$O$12+'Rent Roll'!$S$12),-'Rent Roll'!$U$12*'Rent Roll'!$F$12*'Rent Roll'!$X$12,0)</f>
        <v>0</v>
      </c>
      <c r="E88" s="49">
        <f>IF(E$4=EOMONTH(CloseDate,'Rent Roll'!$O$12+'Rent Roll'!$S$12),-'Rent Roll'!$U$12*'Rent Roll'!$F$12*'Rent Roll'!$X$12,0)</f>
        <v>0</v>
      </c>
      <c r="F88" s="49">
        <f>IF(F$4=EOMONTH(CloseDate,'Rent Roll'!$O$12+'Rent Roll'!$S$12),-'Rent Roll'!$U$12*'Rent Roll'!$F$12*'Rent Roll'!$X$12,0)</f>
        <v>0</v>
      </c>
      <c r="G88" s="49">
        <f>IF(G$4=EOMONTH(CloseDate,'Rent Roll'!$O$12+'Rent Roll'!$S$12),-'Rent Roll'!$U$12*'Rent Roll'!$F$12*'Rent Roll'!$X$12,0)</f>
        <v>0</v>
      </c>
      <c r="H88" s="49">
        <f>IF(H$4=EOMONTH(CloseDate,'Rent Roll'!$O$12+'Rent Roll'!$S$12),-'Rent Roll'!$U$12*'Rent Roll'!$F$12*'Rent Roll'!$X$12,0)</f>
        <v>0</v>
      </c>
      <c r="I88" s="49">
        <f>IF(I$4=EOMONTH(CloseDate,'Rent Roll'!$O$12+'Rent Roll'!$S$12),-'Rent Roll'!$U$12*'Rent Roll'!$F$12*'Rent Roll'!$X$12,0)</f>
        <v>0</v>
      </c>
      <c r="J88" s="49">
        <f>IF(J$4=EOMONTH(CloseDate,'Rent Roll'!$O$12+'Rent Roll'!$S$12),-'Rent Roll'!$U$12*'Rent Roll'!$F$12*'Rent Roll'!$X$12,0)</f>
        <v>0</v>
      </c>
      <c r="K88" s="49">
        <f>IF(K$4=EOMONTH(CloseDate,'Rent Roll'!$O$12+'Rent Roll'!$S$12),-'Rent Roll'!$U$12*'Rent Roll'!$F$12*'Rent Roll'!$X$12,0)</f>
        <v>0</v>
      </c>
      <c r="L88" s="49">
        <f>IF(L$4=EOMONTH(CloseDate,'Rent Roll'!$O$12+'Rent Roll'!$S$12),-'Rent Roll'!$U$12*'Rent Roll'!$F$12*'Rent Roll'!$X$12,0)</f>
        <v>0</v>
      </c>
      <c r="M88" s="49">
        <f>IF(M$4=EOMONTH(CloseDate,'Rent Roll'!$O$12+'Rent Roll'!$S$12),-'Rent Roll'!$U$12*'Rent Roll'!$F$12*'Rent Roll'!$X$12,0)</f>
        <v>0</v>
      </c>
      <c r="N88" s="49">
        <f>IF(N$4=EOMONTH(CloseDate,'Rent Roll'!$O$12+'Rent Roll'!$S$12),-'Rent Roll'!$U$12*'Rent Roll'!$F$12*'Rent Roll'!$X$12,0)</f>
        <v>0</v>
      </c>
      <c r="O88" s="49">
        <f>IF(O$4=EOMONTH(CloseDate,'Rent Roll'!$O$12+'Rent Roll'!$S$12),-'Rent Roll'!$U$12*'Rent Roll'!$F$12*'Rent Roll'!$X$12,0)</f>
        <v>0</v>
      </c>
      <c r="P88" s="49">
        <f>IF(P$4=EOMONTH(CloseDate,'Rent Roll'!$O$12+'Rent Roll'!$S$12),-'Rent Roll'!$U$12*'Rent Roll'!$F$12*'Rent Roll'!$X$12,0)</f>
        <v>0</v>
      </c>
      <c r="Q88" s="49">
        <f>IF(Q$4=EOMONTH(CloseDate,'Rent Roll'!$O$12+'Rent Roll'!$S$12),-'Rent Roll'!$U$12*'Rent Roll'!$F$12*'Rent Roll'!$X$12,0)</f>
        <v>0</v>
      </c>
      <c r="R88" s="49">
        <f>IF(R$4=EOMONTH(CloseDate,'Rent Roll'!$O$12+'Rent Roll'!$S$12),-'Rent Roll'!$U$12*'Rent Roll'!$F$12*'Rent Roll'!$X$12,0)</f>
        <v>0</v>
      </c>
      <c r="S88" s="49">
        <f>IF(S$4=EOMONTH(CloseDate,'Rent Roll'!$O$12+'Rent Roll'!$S$12),-'Rent Roll'!$U$12*'Rent Roll'!$F$12*'Rent Roll'!$X$12,0)</f>
        <v>0</v>
      </c>
      <c r="T88" s="49">
        <f>IF(T$4=EOMONTH(CloseDate,'Rent Roll'!$O$12+'Rent Roll'!$S$12),-'Rent Roll'!$U$12*'Rent Roll'!$F$12*'Rent Roll'!$X$12,0)</f>
        <v>0</v>
      </c>
      <c r="U88" s="49">
        <f>IF(U$4=EOMONTH(CloseDate,'Rent Roll'!$O$12+'Rent Roll'!$S$12),-'Rent Roll'!$U$12*'Rent Roll'!$F$12*'Rent Roll'!$X$12,0)</f>
        <v>0</v>
      </c>
      <c r="V88" s="49">
        <f>IF(V$4=EOMONTH(CloseDate,'Rent Roll'!$O$12+'Rent Roll'!$S$12),-'Rent Roll'!$U$12*'Rent Roll'!$F$12*'Rent Roll'!$X$12,0)</f>
        <v>0</v>
      </c>
      <c r="W88" s="49">
        <f>IF(W$4=EOMONTH(CloseDate,'Rent Roll'!$O$12+'Rent Roll'!$S$12),-'Rent Roll'!$U$12*'Rent Roll'!$F$12*'Rent Roll'!$X$12,0)</f>
        <v>0</v>
      </c>
      <c r="X88" s="49">
        <f>IF(X$4=EOMONTH(CloseDate,'Rent Roll'!$O$12+'Rent Roll'!$S$12),-'Rent Roll'!$U$12*'Rent Roll'!$F$12*'Rent Roll'!$X$12,0)</f>
        <v>0</v>
      </c>
      <c r="Y88" s="49">
        <f>IF(Y$4=EOMONTH(CloseDate,'Rent Roll'!$O$12+'Rent Roll'!$S$12),-'Rent Roll'!$U$12*'Rent Roll'!$F$12*'Rent Roll'!$X$12,0)</f>
        <v>0</v>
      </c>
      <c r="Z88" s="49">
        <f>IF(Z$4=EOMONTH(CloseDate,'Rent Roll'!$O$12+'Rent Roll'!$S$12),-'Rent Roll'!$U$12*'Rent Roll'!$F$12*'Rent Roll'!$X$12,0)</f>
        <v>0</v>
      </c>
      <c r="AA88" s="49">
        <f>IF(AA$4=EOMONTH(CloseDate,'Rent Roll'!$O$12+'Rent Roll'!$S$12),-'Rent Roll'!$U$12*'Rent Roll'!$F$12*'Rent Roll'!$X$12,0)</f>
        <v>-10485.281249999998</v>
      </c>
      <c r="AB88" s="49">
        <f>IF(AB$4=EOMONTH(CloseDate,'Rent Roll'!$O$12+'Rent Roll'!$S$12),-'Rent Roll'!$U$12*'Rent Roll'!$F$12*'Rent Roll'!$X$12,0)</f>
        <v>0</v>
      </c>
      <c r="AC88" s="49">
        <f>IF(AC$4=EOMONTH(CloseDate,'Rent Roll'!$O$12+'Rent Roll'!$S$12),-'Rent Roll'!$U$12*'Rent Roll'!$F$12*'Rent Roll'!$X$12,0)</f>
        <v>0</v>
      </c>
      <c r="AD88" s="49">
        <f>IF(AD$4=EOMONTH(CloseDate,'Rent Roll'!$O$12+'Rent Roll'!$S$12),-'Rent Roll'!$U$12*'Rent Roll'!$F$12*'Rent Roll'!$X$12,0)</f>
        <v>0</v>
      </c>
      <c r="AE88" s="49">
        <f>IF(AE$4=EOMONTH(CloseDate,'Rent Roll'!$O$12+'Rent Roll'!$S$12),-'Rent Roll'!$U$12*'Rent Roll'!$F$12*'Rent Roll'!$X$12,0)</f>
        <v>0</v>
      </c>
      <c r="AF88" s="49">
        <f>IF(AF$4=EOMONTH(CloseDate,'Rent Roll'!$O$12+'Rent Roll'!$S$12),-'Rent Roll'!$U$12*'Rent Roll'!$F$12*'Rent Roll'!$X$12,0)</f>
        <v>0</v>
      </c>
      <c r="AG88" s="49">
        <f>IF(AG$4=EOMONTH(CloseDate,'Rent Roll'!$O$12+'Rent Roll'!$S$12),-'Rent Roll'!$U$12*'Rent Roll'!$F$12*'Rent Roll'!$X$12,0)</f>
        <v>0</v>
      </c>
      <c r="AH88" s="49">
        <f>IF(AH$4=EOMONTH(CloseDate,'Rent Roll'!$O$12+'Rent Roll'!$S$12),-'Rent Roll'!$U$12*'Rent Roll'!$F$12*'Rent Roll'!$X$12,0)</f>
        <v>0</v>
      </c>
      <c r="AI88" s="49">
        <f>IF(AI$4=EOMONTH(CloseDate,'Rent Roll'!$O$12+'Rent Roll'!$S$12),-'Rent Roll'!$U$12*'Rent Roll'!$F$12*'Rent Roll'!$X$12,0)</f>
        <v>0</v>
      </c>
      <c r="AJ88" s="49">
        <f>IF(AJ$4=EOMONTH(CloseDate,'Rent Roll'!$O$12+'Rent Roll'!$S$12),-'Rent Roll'!$U$12*'Rent Roll'!$F$12*'Rent Roll'!$X$12,0)</f>
        <v>0</v>
      </c>
      <c r="AK88" s="49">
        <f>IF(AK$4=EOMONTH(CloseDate,'Rent Roll'!$O$12+'Rent Roll'!$S$12),-'Rent Roll'!$U$12*'Rent Roll'!$F$12*'Rent Roll'!$X$12,0)</f>
        <v>0</v>
      </c>
      <c r="AL88" s="49">
        <f>IF(AL$4=EOMONTH(CloseDate,'Rent Roll'!$O$12+'Rent Roll'!$S$12),-'Rent Roll'!$U$12*'Rent Roll'!$F$12*'Rent Roll'!$X$12,0)</f>
        <v>0</v>
      </c>
      <c r="AM88" s="49">
        <f>IF(AM$4=EOMONTH(CloseDate,'Rent Roll'!$O$12+'Rent Roll'!$S$12),-'Rent Roll'!$U$12*'Rent Roll'!$F$12*'Rent Roll'!$X$12,0)</f>
        <v>0</v>
      </c>
      <c r="AN88" s="49">
        <f>IF(AN$4=EOMONTH(CloseDate,'Rent Roll'!$O$12+'Rent Roll'!$S$12),-'Rent Roll'!$U$12*'Rent Roll'!$F$12*'Rent Roll'!$X$12,0)</f>
        <v>0</v>
      </c>
      <c r="AO88" s="49">
        <f>IF(AO$4=EOMONTH(CloseDate,'Rent Roll'!$O$12+'Rent Roll'!$S$12),-'Rent Roll'!$U$12*'Rent Roll'!$F$12*'Rent Roll'!$X$12,0)</f>
        <v>0</v>
      </c>
      <c r="AP88" s="49">
        <f>IF(AP$4=EOMONTH(CloseDate,'Rent Roll'!$O$12+'Rent Roll'!$S$12),-'Rent Roll'!$U$12*'Rent Roll'!$F$12*'Rent Roll'!$X$12,0)</f>
        <v>0</v>
      </c>
      <c r="AQ88" s="49">
        <f>IF(AQ$4=EOMONTH(CloseDate,'Rent Roll'!$O$12+'Rent Roll'!$S$12),-'Rent Roll'!$U$12*'Rent Roll'!$F$12*'Rent Roll'!$X$12,0)</f>
        <v>0</v>
      </c>
      <c r="AR88" s="49">
        <f>IF(AR$4=EOMONTH(CloseDate,'Rent Roll'!$O$12+'Rent Roll'!$S$12),-'Rent Roll'!$U$12*'Rent Roll'!$F$12*'Rent Roll'!$X$12,0)</f>
        <v>0</v>
      </c>
      <c r="AS88" s="49">
        <f>IF(AS$4=EOMONTH(CloseDate,'Rent Roll'!$O$12+'Rent Roll'!$S$12),-'Rent Roll'!$U$12*'Rent Roll'!$F$12*'Rent Roll'!$X$12,0)</f>
        <v>0</v>
      </c>
      <c r="AT88" s="49">
        <f>IF(AT$4=EOMONTH(CloseDate,'Rent Roll'!$O$12+'Rent Roll'!$S$12),-'Rent Roll'!$U$12*'Rent Roll'!$F$12*'Rent Roll'!$X$12,0)</f>
        <v>0</v>
      </c>
      <c r="AU88" s="49">
        <f>IF(AU$4=EOMONTH(CloseDate,'Rent Roll'!$O$12+'Rent Roll'!$S$12),-'Rent Roll'!$U$12*'Rent Roll'!$F$12*'Rent Roll'!$X$12,0)</f>
        <v>0</v>
      </c>
      <c r="AV88" s="49">
        <f>IF(AV$4=EOMONTH(CloseDate,'Rent Roll'!$O$12+'Rent Roll'!$S$12),-'Rent Roll'!$U$12*'Rent Roll'!$F$12*'Rent Roll'!$X$12,0)</f>
        <v>0</v>
      </c>
      <c r="AW88" s="49">
        <f>IF(AW$4=EOMONTH(CloseDate,'Rent Roll'!$O$12+'Rent Roll'!$S$12),-'Rent Roll'!$U$12*'Rent Roll'!$F$12*'Rent Roll'!$X$12,0)</f>
        <v>0</v>
      </c>
      <c r="AX88" s="49">
        <f>IF(AX$4=EOMONTH(CloseDate,'Rent Roll'!$O$12+'Rent Roll'!$S$12),-'Rent Roll'!$U$12*'Rent Roll'!$F$12*'Rent Roll'!$X$12,0)</f>
        <v>0</v>
      </c>
      <c r="AY88" s="49">
        <f>IF(AY$4=EOMONTH(CloseDate,'Rent Roll'!$O$12+'Rent Roll'!$S$12),-'Rent Roll'!$U$12*'Rent Roll'!$F$12*'Rent Roll'!$X$12,0)</f>
        <v>0</v>
      </c>
      <c r="AZ88" s="49">
        <f>IF(AZ$4=EOMONTH(CloseDate,'Rent Roll'!$O$12+'Rent Roll'!$S$12),-'Rent Roll'!$U$12*'Rent Roll'!$F$12*'Rent Roll'!$X$12,0)</f>
        <v>0</v>
      </c>
      <c r="BA88" s="49">
        <f>IF(BA$4=EOMONTH(CloseDate,'Rent Roll'!$O$12+'Rent Roll'!$S$12),-'Rent Roll'!$U$12*'Rent Roll'!$F$12*'Rent Roll'!$X$12,0)</f>
        <v>0</v>
      </c>
      <c r="BB88" s="49">
        <f>IF(BB$4=EOMONTH(CloseDate,'Rent Roll'!$O$12+'Rent Roll'!$S$12),-'Rent Roll'!$U$12*'Rent Roll'!$F$12*'Rent Roll'!$X$12,0)</f>
        <v>0</v>
      </c>
      <c r="BC88" s="49">
        <f>IF(BC$4=EOMONTH(CloseDate,'Rent Roll'!$O$12+'Rent Roll'!$S$12),-'Rent Roll'!$U$12*'Rent Roll'!$F$12*'Rent Roll'!$X$12,0)</f>
        <v>0</v>
      </c>
      <c r="BD88" s="49">
        <f>IF(BD$4=EOMONTH(CloseDate,'Rent Roll'!$O$12+'Rent Roll'!$S$12),-'Rent Roll'!$U$12*'Rent Roll'!$F$12*'Rent Roll'!$X$12,0)</f>
        <v>0</v>
      </c>
      <c r="BE88" s="49">
        <f>IF(BE$4=EOMONTH(CloseDate,'Rent Roll'!$O$12+'Rent Roll'!$S$12),-'Rent Roll'!$U$12*'Rent Roll'!$F$12*'Rent Roll'!$X$12,0)</f>
        <v>0</v>
      </c>
      <c r="BF88" s="49">
        <f>IF(BF$4=EOMONTH(CloseDate,'Rent Roll'!$O$12+'Rent Roll'!$S$12),-'Rent Roll'!$U$12*'Rent Roll'!$F$12*'Rent Roll'!$X$12,0)</f>
        <v>0</v>
      </c>
      <c r="BG88" s="49">
        <f>IF(BG$4=EOMONTH(CloseDate,'Rent Roll'!$O$12+'Rent Roll'!$S$12),-'Rent Roll'!$U$12*'Rent Roll'!$F$12*'Rent Roll'!$X$12,0)</f>
        <v>0</v>
      </c>
      <c r="BH88" s="49">
        <f>IF(BH$4=EOMONTH(CloseDate,'Rent Roll'!$O$12+'Rent Roll'!$S$12),-'Rent Roll'!$U$12*'Rent Roll'!$F$12*'Rent Roll'!$X$12,0)</f>
        <v>0</v>
      </c>
      <c r="BI88" s="49">
        <f>IF(BI$4=EOMONTH(CloseDate,'Rent Roll'!$O$12+'Rent Roll'!$S$12),-'Rent Roll'!$U$12*'Rent Roll'!$F$12*'Rent Roll'!$X$12,0)</f>
        <v>0</v>
      </c>
      <c r="BJ88" s="49">
        <f>IF(BJ$4=EOMONTH(CloseDate,'Rent Roll'!$O$12+'Rent Roll'!$S$12),-'Rent Roll'!$U$12*'Rent Roll'!$F$12*'Rent Roll'!$X$12,0)</f>
        <v>0</v>
      </c>
      <c r="BK88" s="49">
        <f>IF(BK$4=EOMONTH(CloseDate,'Rent Roll'!$O$12+'Rent Roll'!$S$12),-'Rent Roll'!$U$12*'Rent Roll'!$F$12*'Rent Roll'!$X$12,0)</f>
        <v>0</v>
      </c>
      <c r="BL88" s="49">
        <f>IF(BL$4=EOMONTH(CloseDate,'Rent Roll'!$O$12+'Rent Roll'!$S$12),-'Rent Roll'!$U$12*'Rent Roll'!$F$12*'Rent Roll'!$X$12,0)</f>
        <v>0</v>
      </c>
      <c r="BM88" s="49">
        <f>IF(BM$4=EOMONTH(CloseDate,'Rent Roll'!$O$12+'Rent Roll'!$S$12),-'Rent Roll'!$U$12*'Rent Roll'!$F$12*'Rent Roll'!$X$12,0)</f>
        <v>0</v>
      </c>
      <c r="BN88" s="49">
        <f>IF(BN$4=EOMONTH(CloseDate,'Rent Roll'!$O$12+'Rent Roll'!$S$12),-'Rent Roll'!$U$12*'Rent Roll'!$F$12*'Rent Roll'!$X$12,0)</f>
        <v>0</v>
      </c>
      <c r="BO88" s="49">
        <f>IF(BO$4=EOMONTH(CloseDate,'Rent Roll'!$O$12+'Rent Roll'!$S$12),-'Rent Roll'!$U$12*'Rent Roll'!$F$12*'Rent Roll'!$X$12,0)</f>
        <v>0</v>
      </c>
      <c r="BP88" s="49">
        <f>IF(BP$4=EOMONTH(CloseDate,'Rent Roll'!$O$12+'Rent Roll'!$S$12),-'Rent Roll'!$U$12*'Rent Roll'!$F$12*'Rent Roll'!$X$12,0)</f>
        <v>0</v>
      </c>
      <c r="BQ88" s="49">
        <f>IF(BQ$4=EOMONTH(CloseDate,'Rent Roll'!$O$12+'Rent Roll'!$S$12),-'Rent Roll'!$U$12*'Rent Roll'!$F$12*'Rent Roll'!$X$12,0)</f>
        <v>0</v>
      </c>
      <c r="BR88" s="49">
        <f>IF(BR$4=EOMONTH(CloseDate,'Rent Roll'!$O$12+'Rent Roll'!$S$12),-'Rent Roll'!$U$12*'Rent Roll'!$F$12*'Rent Roll'!$X$12,0)</f>
        <v>0</v>
      </c>
      <c r="BS88" s="49">
        <f>IF(BS$4=EOMONTH(CloseDate,'Rent Roll'!$O$12+'Rent Roll'!$S$12),-'Rent Roll'!$U$12*'Rent Roll'!$F$12*'Rent Roll'!$X$12,0)</f>
        <v>0</v>
      </c>
      <c r="BT88" s="49">
        <f>IF(BT$4=EOMONTH(CloseDate,'Rent Roll'!$O$12+'Rent Roll'!$S$12),-'Rent Roll'!$U$12*'Rent Roll'!$F$12*'Rent Roll'!$X$12,0)</f>
        <v>0</v>
      </c>
      <c r="BU88" s="49">
        <f>IF(BU$4=EOMONTH(CloseDate,'Rent Roll'!$O$12+'Rent Roll'!$S$12),-'Rent Roll'!$U$12*'Rent Roll'!$F$12*'Rent Roll'!$X$12,0)</f>
        <v>0</v>
      </c>
      <c r="BV88" s="49">
        <f>IF(BV$4=EOMONTH(CloseDate,'Rent Roll'!$O$12+'Rent Roll'!$S$12),-'Rent Roll'!$U$12*'Rent Roll'!$F$12*'Rent Roll'!$X$12,0)</f>
        <v>0</v>
      </c>
      <c r="BW88" s="49">
        <f>IF(BW$4=EOMONTH(CloseDate,'Rent Roll'!$O$12+'Rent Roll'!$S$12),-'Rent Roll'!$U$12*'Rent Roll'!$F$12*'Rent Roll'!$X$12,0)</f>
        <v>0</v>
      </c>
      <c r="BX88" s="49">
        <f>IF(BX$4=EOMONTH(CloseDate,'Rent Roll'!$O$12+'Rent Roll'!$S$12),-'Rent Roll'!$U$12*'Rent Roll'!$F$12*'Rent Roll'!$X$12,0)</f>
        <v>0</v>
      </c>
    </row>
    <row r="89" spans="1:76" hidden="1" outlineLevel="1">
      <c r="A89" s="17" t="str">
        <f>'Rent Roll'!C13</f>
        <v>Monarch Marketing Group</v>
      </c>
      <c r="B89" s="57">
        <f>INDEX('Rent Roll'!$F$5:$F$46,MATCH('Rent Roll Calc'!A89,'Rent Roll'!$C$5:$C$46,0))</f>
        <v>7800</v>
      </c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  <c r="AC89" s="49"/>
      <c r="AD89" s="49"/>
      <c r="AE89" s="49"/>
      <c r="AF89" s="49"/>
      <c r="AG89" s="49"/>
      <c r="AH89" s="49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  <c r="AT89" s="49"/>
      <c r="AU89" s="49"/>
      <c r="AV89" s="49"/>
      <c r="AW89" s="49"/>
      <c r="AX89" s="49"/>
      <c r="AY89" s="49"/>
      <c r="AZ89" s="49"/>
      <c r="BA89" s="49"/>
      <c r="BB89" s="49"/>
      <c r="BC89" s="49"/>
      <c r="BD89" s="49"/>
      <c r="BE89" s="49"/>
      <c r="BF89" s="49"/>
      <c r="BG89" s="49"/>
      <c r="BH89" s="49"/>
      <c r="BI89" s="49"/>
      <c r="BJ89" s="49"/>
      <c r="BK89" s="49"/>
      <c r="BL89" s="49"/>
      <c r="BM89" s="49"/>
      <c r="BN89" s="49"/>
      <c r="BO89" s="49"/>
      <c r="BP89" s="49"/>
      <c r="BQ89" s="49"/>
      <c r="BR89" s="49"/>
      <c r="BS89" s="49"/>
      <c r="BT89" s="49"/>
      <c r="BU89" s="49"/>
      <c r="BV89" s="49"/>
      <c r="BW89" s="49"/>
      <c r="BX89" s="49"/>
    </row>
    <row r="90" spans="1:76" hidden="1" outlineLevel="1">
      <c r="B90" t="s">
        <v>83</v>
      </c>
      <c r="D90" s="49">
        <f>IF(AND('Rent Roll'!$N$13&lt;&gt;"Ghost",D$4&lt;='Rent Roll'!$L$13),1,0)</f>
        <v>1</v>
      </c>
      <c r="E90" s="49">
        <f>IF(AND('Rent Roll'!$N$13&lt;&gt;"Ghost",E$4&lt;='Rent Roll'!$L$13),1,0)</f>
        <v>1</v>
      </c>
      <c r="F90" s="49">
        <f>IF(AND('Rent Roll'!$N$13&lt;&gt;"Ghost",F$4&lt;='Rent Roll'!$L$13),1,0)</f>
        <v>1</v>
      </c>
      <c r="G90" s="49">
        <f>IF(AND('Rent Roll'!$N$13&lt;&gt;"Ghost",G$4&lt;='Rent Roll'!$L$13),1,0)</f>
        <v>1</v>
      </c>
      <c r="H90" s="49">
        <f>IF(AND('Rent Roll'!$N$13&lt;&gt;"Ghost",H$4&lt;='Rent Roll'!$L$13),1,0)</f>
        <v>1</v>
      </c>
      <c r="I90" s="49">
        <f>IF(AND('Rent Roll'!$N$13&lt;&gt;"Ghost",I$4&lt;='Rent Roll'!$L$13),1,0)</f>
        <v>1</v>
      </c>
      <c r="J90" s="49">
        <f>IF(AND('Rent Roll'!$N$13&lt;&gt;"Ghost",J$4&lt;='Rent Roll'!$L$13),1,0)</f>
        <v>1</v>
      </c>
      <c r="K90" s="49">
        <f>IF(AND('Rent Roll'!$N$13&lt;&gt;"Ghost",K$4&lt;='Rent Roll'!$L$13),1,0)</f>
        <v>1</v>
      </c>
      <c r="L90" s="49">
        <f>IF(AND('Rent Roll'!$N$13&lt;&gt;"Ghost",L$4&lt;='Rent Roll'!$L$13),1,0)</f>
        <v>1</v>
      </c>
      <c r="M90" s="49">
        <f>IF(AND('Rent Roll'!$N$13&lt;&gt;"Ghost",M$4&lt;='Rent Roll'!$L$13),1,0)</f>
        <v>1</v>
      </c>
      <c r="N90" s="49">
        <f>IF(AND('Rent Roll'!$N$13&lt;&gt;"Ghost",N$4&lt;='Rent Roll'!$L$13),1,0)</f>
        <v>1</v>
      </c>
      <c r="O90" s="49">
        <f>IF(AND('Rent Roll'!$N$13&lt;&gt;"Ghost",O$4&lt;='Rent Roll'!$L$13),1,0)</f>
        <v>1</v>
      </c>
      <c r="P90" s="49">
        <f>IF(AND('Rent Roll'!$N$13&lt;&gt;"Ghost",P$4&lt;='Rent Roll'!$L$13),1,0)</f>
        <v>1</v>
      </c>
      <c r="Q90" s="49">
        <f>IF(AND('Rent Roll'!$N$13&lt;&gt;"Ghost",Q$4&lt;='Rent Roll'!$L$13),1,0)</f>
        <v>1</v>
      </c>
      <c r="R90" s="49">
        <f>IF(AND('Rent Roll'!$N$13&lt;&gt;"Ghost",R$4&lt;='Rent Roll'!$L$13),1,0)</f>
        <v>1</v>
      </c>
      <c r="S90" s="49">
        <f>IF(AND('Rent Roll'!$N$13&lt;&gt;"Ghost",S$4&lt;='Rent Roll'!$L$13),1,0)</f>
        <v>1</v>
      </c>
      <c r="T90" s="49">
        <f>IF(AND('Rent Roll'!$N$13&lt;&gt;"Ghost",T$4&lt;='Rent Roll'!$L$13),1,0)</f>
        <v>1</v>
      </c>
      <c r="U90" s="49">
        <f>IF(AND('Rent Roll'!$N$13&lt;&gt;"Ghost",U$4&lt;='Rent Roll'!$L$13),1,0)</f>
        <v>1</v>
      </c>
      <c r="V90" s="49">
        <f>IF(AND('Rent Roll'!$N$13&lt;&gt;"Ghost",V$4&lt;='Rent Roll'!$L$13),1,0)</f>
        <v>1</v>
      </c>
      <c r="W90" s="49">
        <f>IF(AND('Rent Roll'!$N$13&lt;&gt;"Ghost",W$4&lt;='Rent Roll'!$L$13),1,0)</f>
        <v>1</v>
      </c>
      <c r="X90" s="49">
        <f>IF(AND('Rent Roll'!$N$13&lt;&gt;"Ghost",X$4&lt;='Rent Roll'!$L$13),1,0)</f>
        <v>1</v>
      </c>
      <c r="Y90" s="49">
        <f>IF(AND('Rent Roll'!$N$13&lt;&gt;"Ghost",Y$4&lt;='Rent Roll'!$L$13),1,0)</f>
        <v>1</v>
      </c>
      <c r="Z90" s="49">
        <f>IF(AND('Rent Roll'!$N$13&lt;&gt;"Ghost",Z$4&lt;='Rent Roll'!$L$13),1,0)</f>
        <v>1</v>
      </c>
      <c r="AA90" s="49">
        <f>IF(AND('Rent Roll'!$N$13&lt;&gt;"Ghost",AA$4&lt;='Rent Roll'!$L$13),1,0)</f>
        <v>1</v>
      </c>
      <c r="AB90" s="49">
        <f>IF(AND('Rent Roll'!$N$13&lt;&gt;"Ghost",AB$4&lt;='Rent Roll'!$L$13),1,0)</f>
        <v>1</v>
      </c>
      <c r="AC90" s="49">
        <f>IF(AND('Rent Roll'!$N$13&lt;&gt;"Ghost",AC$4&lt;='Rent Roll'!$L$13),1,0)</f>
        <v>1</v>
      </c>
      <c r="AD90" s="49">
        <f>IF(AND('Rent Roll'!$N$13&lt;&gt;"Ghost",AD$4&lt;='Rent Roll'!$L$13),1,0)</f>
        <v>1</v>
      </c>
      <c r="AE90" s="49">
        <f>IF(AND('Rent Roll'!$N$13&lt;&gt;"Ghost",AE$4&lt;='Rent Roll'!$L$13),1,0)</f>
        <v>1</v>
      </c>
      <c r="AF90" s="49">
        <f>IF(AND('Rent Roll'!$N$13&lt;&gt;"Ghost",AF$4&lt;='Rent Roll'!$L$13),1,0)</f>
        <v>1</v>
      </c>
      <c r="AG90" s="49">
        <f>IF(AND('Rent Roll'!$N$13&lt;&gt;"Ghost",AG$4&lt;='Rent Roll'!$L$13),1,0)</f>
        <v>1</v>
      </c>
      <c r="AH90" s="49">
        <f>IF(AND('Rent Roll'!$N$13&lt;&gt;"Ghost",AH$4&lt;='Rent Roll'!$L$13),1,0)</f>
        <v>1</v>
      </c>
      <c r="AI90" s="49">
        <f>IF(AND('Rent Roll'!$N$13&lt;&gt;"Ghost",AI$4&lt;='Rent Roll'!$L$13),1,0)</f>
        <v>1</v>
      </c>
      <c r="AJ90" s="49">
        <f>IF(AND('Rent Roll'!$N$13&lt;&gt;"Ghost",AJ$4&lt;='Rent Roll'!$L$13),1,0)</f>
        <v>1</v>
      </c>
      <c r="AK90" s="49">
        <f>IF(AND('Rent Roll'!$N$13&lt;&gt;"Ghost",AK$4&lt;='Rent Roll'!$L$13),1,0)</f>
        <v>0</v>
      </c>
      <c r="AL90" s="49">
        <f>IF(AND('Rent Roll'!$N$13&lt;&gt;"Ghost",AL$4&lt;='Rent Roll'!$L$13),1,0)</f>
        <v>0</v>
      </c>
      <c r="AM90" s="49">
        <f>IF(AND('Rent Roll'!$N$13&lt;&gt;"Ghost",AM$4&lt;='Rent Roll'!$L$13),1,0)</f>
        <v>0</v>
      </c>
      <c r="AN90" s="49">
        <f>IF(AND('Rent Roll'!$N$13&lt;&gt;"Ghost",AN$4&lt;='Rent Roll'!$L$13),1,0)</f>
        <v>0</v>
      </c>
      <c r="AO90" s="49">
        <f>IF(AND('Rent Roll'!$N$13&lt;&gt;"Ghost",AO$4&lt;='Rent Roll'!$L$13),1,0)</f>
        <v>0</v>
      </c>
      <c r="AP90" s="49">
        <f>IF(AND('Rent Roll'!$N$13&lt;&gt;"Ghost",AP$4&lt;='Rent Roll'!$L$13),1,0)</f>
        <v>0</v>
      </c>
      <c r="AQ90" s="49">
        <f>IF(AND('Rent Roll'!$N$13&lt;&gt;"Ghost",AQ$4&lt;='Rent Roll'!$L$13),1,0)</f>
        <v>0</v>
      </c>
      <c r="AR90" s="49">
        <f>IF(AND('Rent Roll'!$N$13&lt;&gt;"Ghost",AR$4&lt;='Rent Roll'!$L$13),1,0)</f>
        <v>0</v>
      </c>
      <c r="AS90" s="49">
        <f>IF(AND('Rent Roll'!$N$13&lt;&gt;"Ghost",AS$4&lt;='Rent Roll'!$L$13),1,0)</f>
        <v>0</v>
      </c>
      <c r="AT90" s="49">
        <f>IF(AND('Rent Roll'!$N$13&lt;&gt;"Ghost",AT$4&lt;='Rent Roll'!$L$13),1,0)</f>
        <v>0</v>
      </c>
      <c r="AU90" s="49">
        <f>IF(AND('Rent Roll'!$N$13&lt;&gt;"Ghost",AU$4&lt;='Rent Roll'!$L$13),1,0)</f>
        <v>0</v>
      </c>
      <c r="AV90" s="49">
        <f>IF(AND('Rent Roll'!$N$13&lt;&gt;"Ghost",AV$4&lt;='Rent Roll'!$L$13),1,0)</f>
        <v>0</v>
      </c>
      <c r="AW90" s="49">
        <f>IF(AND('Rent Roll'!$N$13&lt;&gt;"Ghost",AW$4&lt;='Rent Roll'!$L$13),1,0)</f>
        <v>0</v>
      </c>
      <c r="AX90" s="49">
        <f>IF(AND('Rent Roll'!$N$13&lt;&gt;"Ghost",AX$4&lt;='Rent Roll'!$L$13),1,0)</f>
        <v>0</v>
      </c>
      <c r="AY90" s="49">
        <f>IF(AND('Rent Roll'!$N$13&lt;&gt;"Ghost",AY$4&lt;='Rent Roll'!$L$13),1,0)</f>
        <v>0</v>
      </c>
      <c r="AZ90" s="49">
        <f>IF(AND('Rent Roll'!$N$13&lt;&gt;"Ghost",AZ$4&lt;='Rent Roll'!$L$13),1,0)</f>
        <v>0</v>
      </c>
      <c r="BA90" s="49">
        <f>IF(AND('Rent Roll'!$N$13&lt;&gt;"Ghost",BA$4&lt;='Rent Roll'!$L$13),1,0)</f>
        <v>0</v>
      </c>
      <c r="BB90" s="49">
        <f>IF(AND('Rent Roll'!$N$13&lt;&gt;"Ghost",BB$4&lt;='Rent Roll'!$L$13),1,0)</f>
        <v>0</v>
      </c>
      <c r="BC90" s="49">
        <f>IF(AND('Rent Roll'!$N$13&lt;&gt;"Ghost",BC$4&lt;='Rent Roll'!$L$13),1,0)</f>
        <v>0</v>
      </c>
      <c r="BD90" s="49">
        <f>IF(AND('Rent Roll'!$N$13&lt;&gt;"Ghost",BD$4&lt;='Rent Roll'!$L$13),1,0)</f>
        <v>0</v>
      </c>
      <c r="BE90" s="49">
        <f>IF(AND('Rent Roll'!$N$13&lt;&gt;"Ghost",BE$4&lt;='Rent Roll'!$L$13),1,0)</f>
        <v>0</v>
      </c>
      <c r="BF90" s="49">
        <f>IF(AND('Rent Roll'!$N$13&lt;&gt;"Ghost",BF$4&lt;='Rent Roll'!$L$13),1,0)</f>
        <v>0</v>
      </c>
      <c r="BG90" s="49">
        <f>IF(AND('Rent Roll'!$N$13&lt;&gt;"Ghost",BG$4&lt;='Rent Roll'!$L$13),1,0)</f>
        <v>0</v>
      </c>
      <c r="BH90" s="49">
        <f>IF(AND('Rent Roll'!$N$13&lt;&gt;"Ghost",BH$4&lt;='Rent Roll'!$L$13),1,0)</f>
        <v>0</v>
      </c>
      <c r="BI90" s="49">
        <f>IF(AND('Rent Roll'!$N$13&lt;&gt;"Ghost",BI$4&lt;='Rent Roll'!$L$13),1,0)</f>
        <v>0</v>
      </c>
      <c r="BJ90" s="49">
        <f>IF(AND('Rent Roll'!$N$13&lt;&gt;"Ghost",BJ$4&lt;='Rent Roll'!$L$13),1,0)</f>
        <v>0</v>
      </c>
      <c r="BK90" s="49">
        <f>IF(AND('Rent Roll'!$N$13&lt;&gt;"Ghost",BK$4&lt;='Rent Roll'!$L$13),1,0)</f>
        <v>0</v>
      </c>
      <c r="BL90" s="49">
        <f>IF(AND('Rent Roll'!$N$13&lt;&gt;"Ghost",BL$4&lt;='Rent Roll'!$L$13),1,0)</f>
        <v>0</v>
      </c>
      <c r="BM90" s="49">
        <f>IF(AND('Rent Roll'!$N$13&lt;&gt;"Ghost",BM$4&lt;='Rent Roll'!$L$13),1,0)</f>
        <v>0</v>
      </c>
      <c r="BN90" s="49">
        <f>IF(AND('Rent Roll'!$N$13&lt;&gt;"Ghost",BN$4&lt;='Rent Roll'!$L$13),1,0)</f>
        <v>0</v>
      </c>
      <c r="BO90" s="49">
        <f>IF(AND('Rent Roll'!$N$13&lt;&gt;"Ghost",BO$4&lt;='Rent Roll'!$L$13),1,0)</f>
        <v>0</v>
      </c>
      <c r="BP90" s="49">
        <f>IF(AND('Rent Roll'!$N$13&lt;&gt;"Ghost",BP$4&lt;='Rent Roll'!$L$13),1,0)</f>
        <v>0</v>
      </c>
      <c r="BQ90" s="49">
        <f>IF(AND('Rent Roll'!$N$13&lt;&gt;"Ghost",BQ$4&lt;='Rent Roll'!$L$13),1,0)</f>
        <v>0</v>
      </c>
      <c r="BR90" s="49">
        <f>IF(AND('Rent Roll'!$N$13&lt;&gt;"Ghost",BR$4&lt;='Rent Roll'!$L$13),1,0)</f>
        <v>0</v>
      </c>
      <c r="BS90" s="49">
        <f>IF(AND('Rent Roll'!$N$13&lt;&gt;"Ghost",BS$4&lt;='Rent Roll'!$L$13),1,0)</f>
        <v>0</v>
      </c>
      <c r="BT90" s="49">
        <f>IF(AND('Rent Roll'!$N$13&lt;&gt;"Ghost",BT$4&lt;='Rent Roll'!$L$13),1,0)</f>
        <v>0</v>
      </c>
      <c r="BU90" s="49">
        <f>IF(AND('Rent Roll'!$N$13&lt;&gt;"Ghost",BU$4&lt;='Rent Roll'!$L$13),1,0)</f>
        <v>0</v>
      </c>
      <c r="BV90" s="49">
        <f>IF(AND('Rent Roll'!$N$13&lt;&gt;"Ghost",BV$4&lt;='Rent Roll'!$L$13),1,0)</f>
        <v>0</v>
      </c>
      <c r="BW90" s="49">
        <f>IF(AND('Rent Roll'!$N$13&lt;&gt;"Ghost",BW$4&lt;='Rent Roll'!$L$13),1,0)</f>
        <v>0</v>
      </c>
      <c r="BX90" s="49">
        <f>IF(AND('Rent Roll'!$N$13&lt;&gt;"Ghost",BX$4&lt;='Rent Roll'!$L$13),1,0)</f>
        <v>0</v>
      </c>
    </row>
    <row r="91" spans="1:76" hidden="1" outlineLevel="1">
      <c r="B91" t="s">
        <v>159</v>
      </c>
      <c r="D91" s="49">
        <f>IF(D90=1,'Rent Roll'!$H$13/12*(1+'Rent Roll'!$I$13)^IF(D$4&lt;'Rent Roll'!$Y$13,0,YEAR(D$4)-YEAR('Rent Roll'!$Y$13)+1),0)</f>
        <v>13650</v>
      </c>
      <c r="E91" s="49">
        <f>IF(E90=1,'Rent Roll'!$H$13/12*(1+'Rent Roll'!$I$13)^IF(E$4&lt;'Rent Roll'!$Y$13,0,YEAR(E$4)-YEAR('Rent Roll'!$Y$13)+1),0)</f>
        <v>13650</v>
      </c>
      <c r="F91" s="49">
        <f>IF(F90=1,'Rent Roll'!$H$13/12*(1+'Rent Roll'!$I$13)^IF(F$4&lt;'Rent Roll'!$Y$13,0,YEAR(F$4)-YEAR('Rent Roll'!$Y$13)+1),0)</f>
        <v>13650</v>
      </c>
      <c r="G91" s="49">
        <f>IF(G90=1,'Rent Roll'!$H$13/12*(1+'Rent Roll'!$I$13)^IF(G$4&lt;'Rent Roll'!$Y$13,0,YEAR(G$4)-YEAR('Rent Roll'!$Y$13)+1),0)</f>
        <v>13650</v>
      </c>
      <c r="H91" s="49">
        <f>IF(H90=1,'Rent Roll'!$H$13/12*(1+'Rent Roll'!$I$13)^IF(H$4&lt;'Rent Roll'!$Y$13,0,YEAR(H$4)-YEAR('Rent Roll'!$Y$13)+1),0)</f>
        <v>13650</v>
      </c>
      <c r="I91" s="49">
        <f>IF(I90=1,'Rent Roll'!$H$13/12*(1+'Rent Roll'!$I$13)^IF(I$4&lt;'Rent Roll'!$Y$13,0,YEAR(I$4)-YEAR('Rent Roll'!$Y$13)+1),0)</f>
        <v>13650</v>
      </c>
      <c r="J91" s="49">
        <f>IF(J90=1,'Rent Roll'!$H$13/12*(1+'Rent Roll'!$I$13)^IF(J$4&lt;'Rent Roll'!$Y$13,0,YEAR(J$4)-YEAR('Rent Roll'!$Y$13)+1),0)</f>
        <v>13650</v>
      </c>
      <c r="K91" s="49">
        <f>IF(K90=1,'Rent Roll'!$H$13/12*(1+'Rent Roll'!$I$13)^IF(K$4&lt;'Rent Roll'!$Y$13,0,YEAR(K$4)-YEAR('Rent Roll'!$Y$13)+1),0)</f>
        <v>13650</v>
      </c>
      <c r="L91" s="49">
        <f>IF(L90=1,'Rent Roll'!$H$13/12*(1+'Rent Roll'!$I$13)^IF(L$4&lt;'Rent Roll'!$Y$13,0,YEAR(L$4)-YEAR('Rent Roll'!$Y$13)+1),0)</f>
        <v>13650</v>
      </c>
      <c r="M91" s="49">
        <f>IF(M90=1,'Rent Roll'!$H$13/12*(1+'Rent Roll'!$I$13)^IF(M$4&lt;'Rent Roll'!$Y$13,0,YEAR(M$4)-YEAR('Rent Roll'!$Y$13)+1),0)</f>
        <v>13991.249999999998</v>
      </c>
      <c r="N91" s="49">
        <f>IF(N90=1,'Rent Roll'!$H$13/12*(1+'Rent Roll'!$I$13)^IF(N$4&lt;'Rent Roll'!$Y$13,0,YEAR(N$4)-YEAR('Rent Roll'!$Y$13)+1),0)</f>
        <v>13991.249999999998</v>
      </c>
      <c r="O91" s="49">
        <f>IF(O90=1,'Rent Roll'!$H$13/12*(1+'Rent Roll'!$I$13)^IF(O$4&lt;'Rent Roll'!$Y$13,0,YEAR(O$4)-YEAR('Rent Roll'!$Y$13)+1),0)</f>
        <v>13991.249999999998</v>
      </c>
      <c r="P91" s="49">
        <f>IF(P90=1,'Rent Roll'!$H$13/12*(1+'Rent Roll'!$I$13)^IF(P$4&lt;'Rent Roll'!$Y$13,0,YEAR(P$4)-YEAR('Rent Roll'!$Y$13)+1),0)</f>
        <v>13991.249999999998</v>
      </c>
      <c r="Q91" s="49">
        <f>IF(Q90=1,'Rent Roll'!$H$13/12*(1+'Rent Roll'!$I$13)^IF(Q$4&lt;'Rent Roll'!$Y$13,0,YEAR(Q$4)-YEAR('Rent Roll'!$Y$13)+1),0)</f>
        <v>13991.249999999998</v>
      </c>
      <c r="R91" s="49">
        <f>IF(R90=1,'Rent Roll'!$H$13/12*(1+'Rent Roll'!$I$13)^IF(R$4&lt;'Rent Roll'!$Y$13,0,YEAR(R$4)-YEAR('Rent Roll'!$Y$13)+1),0)</f>
        <v>13991.249999999998</v>
      </c>
      <c r="S91" s="49">
        <f>IF(S90=1,'Rent Roll'!$H$13/12*(1+'Rent Roll'!$I$13)^IF(S$4&lt;'Rent Roll'!$Y$13,0,YEAR(S$4)-YEAR('Rent Roll'!$Y$13)+1),0)</f>
        <v>13991.249999999998</v>
      </c>
      <c r="T91" s="49">
        <f>IF(T90=1,'Rent Roll'!$H$13/12*(1+'Rent Roll'!$I$13)^IF(T$4&lt;'Rent Roll'!$Y$13,0,YEAR(T$4)-YEAR('Rent Roll'!$Y$13)+1),0)</f>
        <v>13991.249999999998</v>
      </c>
      <c r="U91" s="49">
        <f>IF(U90=1,'Rent Roll'!$H$13/12*(1+'Rent Roll'!$I$13)^IF(U$4&lt;'Rent Roll'!$Y$13,0,YEAR(U$4)-YEAR('Rent Roll'!$Y$13)+1),0)</f>
        <v>14341.031249999998</v>
      </c>
      <c r="V91" s="49">
        <f>IF(V90=1,'Rent Roll'!$H$13/12*(1+'Rent Roll'!$I$13)^IF(V$4&lt;'Rent Roll'!$Y$13,0,YEAR(V$4)-YEAR('Rent Roll'!$Y$13)+1),0)</f>
        <v>14341.031249999998</v>
      </c>
      <c r="W91" s="49">
        <f>IF(W90=1,'Rent Roll'!$H$13/12*(1+'Rent Roll'!$I$13)^IF(W$4&lt;'Rent Roll'!$Y$13,0,YEAR(W$4)-YEAR('Rent Roll'!$Y$13)+1),0)</f>
        <v>14341.031249999998</v>
      </c>
      <c r="X91" s="49">
        <f>IF(X90=1,'Rent Roll'!$H$13/12*(1+'Rent Roll'!$I$13)^IF(X$4&lt;'Rent Roll'!$Y$13,0,YEAR(X$4)-YEAR('Rent Roll'!$Y$13)+1),0)</f>
        <v>14341.031249999998</v>
      </c>
      <c r="Y91" s="49">
        <f>IF(Y90=1,'Rent Roll'!$H$13/12*(1+'Rent Roll'!$I$13)^IF(Y$4&lt;'Rent Roll'!$Y$13,0,YEAR(Y$4)-YEAR('Rent Roll'!$Y$13)+1),0)</f>
        <v>14341.031249999998</v>
      </c>
      <c r="Z91" s="49">
        <f>IF(Z90=1,'Rent Roll'!$H$13/12*(1+'Rent Roll'!$I$13)^IF(Z$4&lt;'Rent Roll'!$Y$13,0,YEAR(Z$4)-YEAR('Rent Roll'!$Y$13)+1),0)</f>
        <v>14341.031249999998</v>
      </c>
      <c r="AA91" s="49">
        <f>IF(AA90=1,'Rent Roll'!$H$13/12*(1+'Rent Roll'!$I$13)^IF(AA$4&lt;'Rent Roll'!$Y$13,0,YEAR(AA$4)-YEAR('Rent Roll'!$Y$13)+1),0)</f>
        <v>14341.031249999998</v>
      </c>
      <c r="AB91" s="49">
        <f>IF(AB90=1,'Rent Roll'!$H$13/12*(1+'Rent Roll'!$I$13)^IF(AB$4&lt;'Rent Roll'!$Y$13,0,YEAR(AB$4)-YEAR('Rent Roll'!$Y$13)+1),0)</f>
        <v>14341.031249999998</v>
      </c>
      <c r="AC91" s="49">
        <f>IF(AC90=1,'Rent Roll'!$H$13/12*(1+'Rent Roll'!$I$13)^IF(AC$4&lt;'Rent Roll'!$Y$13,0,YEAR(AC$4)-YEAR('Rent Roll'!$Y$13)+1),0)</f>
        <v>14341.031249999998</v>
      </c>
      <c r="AD91" s="49">
        <f>IF(AD90=1,'Rent Roll'!$H$13/12*(1+'Rent Roll'!$I$13)^IF(AD$4&lt;'Rent Roll'!$Y$13,0,YEAR(AD$4)-YEAR('Rent Roll'!$Y$13)+1),0)</f>
        <v>14341.031249999998</v>
      </c>
      <c r="AE91" s="49">
        <f>IF(AE90=1,'Rent Roll'!$H$13/12*(1+'Rent Roll'!$I$13)^IF(AE$4&lt;'Rent Roll'!$Y$13,0,YEAR(AE$4)-YEAR('Rent Roll'!$Y$13)+1),0)</f>
        <v>14341.031249999998</v>
      </c>
      <c r="AF91" s="49">
        <f>IF(AF90=1,'Rent Roll'!$H$13/12*(1+'Rent Roll'!$I$13)^IF(AF$4&lt;'Rent Roll'!$Y$13,0,YEAR(AF$4)-YEAR('Rent Roll'!$Y$13)+1),0)</f>
        <v>14341.031249999998</v>
      </c>
      <c r="AG91" s="49">
        <f>IF(AG90=1,'Rent Roll'!$H$13/12*(1+'Rent Roll'!$I$13)^IF(AG$4&lt;'Rent Roll'!$Y$13,0,YEAR(AG$4)-YEAR('Rent Roll'!$Y$13)+1),0)</f>
        <v>14699.557031249999</v>
      </c>
      <c r="AH91" s="49">
        <f>IF(AH90=1,'Rent Roll'!$H$13/12*(1+'Rent Roll'!$I$13)^IF(AH$4&lt;'Rent Roll'!$Y$13,0,YEAR(AH$4)-YEAR('Rent Roll'!$Y$13)+1),0)</f>
        <v>14699.557031249999</v>
      </c>
      <c r="AI91" s="49">
        <f>IF(AI90=1,'Rent Roll'!$H$13/12*(1+'Rent Roll'!$I$13)^IF(AI$4&lt;'Rent Roll'!$Y$13,0,YEAR(AI$4)-YEAR('Rent Roll'!$Y$13)+1),0)</f>
        <v>14699.557031249999</v>
      </c>
      <c r="AJ91" s="49">
        <f>IF(AJ90=1,'Rent Roll'!$H$13/12*(1+'Rent Roll'!$I$13)^IF(AJ$4&lt;'Rent Roll'!$Y$13,0,YEAR(AJ$4)-YEAR('Rent Roll'!$Y$13)+1),0)</f>
        <v>14699.557031249999</v>
      </c>
      <c r="AK91" s="49">
        <f>IF(AK90=1,'Rent Roll'!$H$13/12*(1+'Rent Roll'!$I$13)^IF(AK$4&lt;'Rent Roll'!$Y$13,0,YEAR(AK$4)-YEAR('Rent Roll'!$Y$13)+1),0)</f>
        <v>0</v>
      </c>
      <c r="AL91" s="49">
        <f>IF(AL90=1,'Rent Roll'!$H$13/12*(1+'Rent Roll'!$I$13)^IF(AL$4&lt;'Rent Roll'!$Y$13,0,YEAR(AL$4)-YEAR('Rent Roll'!$Y$13)+1),0)</f>
        <v>0</v>
      </c>
      <c r="AM91" s="49">
        <f>IF(AM90=1,'Rent Roll'!$H$13/12*(1+'Rent Roll'!$I$13)^IF(AM$4&lt;'Rent Roll'!$Y$13,0,YEAR(AM$4)-YEAR('Rent Roll'!$Y$13)+1),0)</f>
        <v>0</v>
      </c>
      <c r="AN91" s="49">
        <f>IF(AN90=1,'Rent Roll'!$H$13/12*(1+'Rent Roll'!$I$13)^IF(AN$4&lt;'Rent Roll'!$Y$13,0,YEAR(AN$4)-YEAR('Rent Roll'!$Y$13)+1),0)</f>
        <v>0</v>
      </c>
      <c r="AO91" s="49">
        <f>IF(AO90=1,'Rent Roll'!$H$13/12*(1+'Rent Roll'!$I$13)^IF(AO$4&lt;'Rent Roll'!$Y$13,0,YEAR(AO$4)-YEAR('Rent Roll'!$Y$13)+1),0)</f>
        <v>0</v>
      </c>
      <c r="AP91" s="49">
        <f>IF(AP90=1,'Rent Roll'!$H$13/12*(1+'Rent Roll'!$I$13)^IF(AP$4&lt;'Rent Roll'!$Y$13,0,YEAR(AP$4)-YEAR('Rent Roll'!$Y$13)+1),0)</f>
        <v>0</v>
      </c>
      <c r="AQ91" s="49">
        <f>IF(AQ90=1,'Rent Roll'!$H$13/12*(1+'Rent Roll'!$I$13)^IF(AQ$4&lt;'Rent Roll'!$Y$13,0,YEAR(AQ$4)-YEAR('Rent Roll'!$Y$13)+1),0)</f>
        <v>0</v>
      </c>
      <c r="AR91" s="49">
        <f>IF(AR90=1,'Rent Roll'!$H$13/12*(1+'Rent Roll'!$I$13)^IF(AR$4&lt;'Rent Roll'!$Y$13,0,YEAR(AR$4)-YEAR('Rent Roll'!$Y$13)+1),0)</f>
        <v>0</v>
      </c>
      <c r="AS91" s="49">
        <f>IF(AS90=1,'Rent Roll'!$H$13/12*(1+'Rent Roll'!$I$13)^IF(AS$4&lt;'Rent Roll'!$Y$13,0,YEAR(AS$4)-YEAR('Rent Roll'!$Y$13)+1),0)</f>
        <v>0</v>
      </c>
      <c r="AT91" s="49">
        <f>IF(AT90=1,'Rent Roll'!$H$13/12*(1+'Rent Roll'!$I$13)^IF(AT$4&lt;'Rent Roll'!$Y$13,0,YEAR(AT$4)-YEAR('Rent Roll'!$Y$13)+1),0)</f>
        <v>0</v>
      </c>
      <c r="AU91" s="49">
        <f>IF(AU90=1,'Rent Roll'!$H$13/12*(1+'Rent Roll'!$I$13)^IF(AU$4&lt;'Rent Roll'!$Y$13,0,YEAR(AU$4)-YEAR('Rent Roll'!$Y$13)+1),0)</f>
        <v>0</v>
      </c>
      <c r="AV91" s="49">
        <f>IF(AV90=1,'Rent Roll'!$H$13/12*(1+'Rent Roll'!$I$13)^IF(AV$4&lt;'Rent Roll'!$Y$13,0,YEAR(AV$4)-YEAR('Rent Roll'!$Y$13)+1),0)</f>
        <v>0</v>
      </c>
      <c r="AW91" s="49">
        <f>IF(AW90=1,'Rent Roll'!$H$13/12*(1+'Rent Roll'!$I$13)^IF(AW$4&lt;'Rent Roll'!$Y$13,0,YEAR(AW$4)-YEAR('Rent Roll'!$Y$13)+1),0)</f>
        <v>0</v>
      </c>
      <c r="AX91" s="49">
        <f>IF(AX90=1,'Rent Roll'!$H$13/12*(1+'Rent Roll'!$I$13)^IF(AX$4&lt;'Rent Roll'!$Y$13,0,YEAR(AX$4)-YEAR('Rent Roll'!$Y$13)+1),0)</f>
        <v>0</v>
      </c>
      <c r="AY91" s="49">
        <f>IF(AY90=1,'Rent Roll'!$H$13/12*(1+'Rent Roll'!$I$13)^IF(AY$4&lt;'Rent Roll'!$Y$13,0,YEAR(AY$4)-YEAR('Rent Roll'!$Y$13)+1),0)</f>
        <v>0</v>
      </c>
      <c r="AZ91" s="49">
        <f>IF(AZ90=1,'Rent Roll'!$H$13/12*(1+'Rent Roll'!$I$13)^IF(AZ$4&lt;'Rent Roll'!$Y$13,0,YEAR(AZ$4)-YEAR('Rent Roll'!$Y$13)+1),0)</f>
        <v>0</v>
      </c>
      <c r="BA91" s="49">
        <f>IF(BA90=1,'Rent Roll'!$H$13/12*(1+'Rent Roll'!$I$13)^IF(BA$4&lt;'Rent Roll'!$Y$13,0,YEAR(BA$4)-YEAR('Rent Roll'!$Y$13)+1),0)</f>
        <v>0</v>
      </c>
      <c r="BB91" s="49">
        <f>IF(BB90=1,'Rent Roll'!$H$13/12*(1+'Rent Roll'!$I$13)^IF(BB$4&lt;'Rent Roll'!$Y$13,0,YEAR(BB$4)-YEAR('Rent Roll'!$Y$13)+1),0)</f>
        <v>0</v>
      </c>
      <c r="BC91" s="49">
        <f>IF(BC90=1,'Rent Roll'!$H$13/12*(1+'Rent Roll'!$I$13)^IF(BC$4&lt;'Rent Roll'!$Y$13,0,YEAR(BC$4)-YEAR('Rent Roll'!$Y$13)+1),0)</f>
        <v>0</v>
      </c>
      <c r="BD91" s="49">
        <f>IF(BD90=1,'Rent Roll'!$H$13/12*(1+'Rent Roll'!$I$13)^IF(BD$4&lt;'Rent Roll'!$Y$13,0,YEAR(BD$4)-YEAR('Rent Roll'!$Y$13)+1),0)</f>
        <v>0</v>
      </c>
      <c r="BE91" s="49">
        <f>IF(BE90=1,'Rent Roll'!$H$13/12*(1+'Rent Roll'!$I$13)^IF(BE$4&lt;'Rent Roll'!$Y$13,0,YEAR(BE$4)-YEAR('Rent Roll'!$Y$13)+1),0)</f>
        <v>0</v>
      </c>
      <c r="BF91" s="49">
        <f>IF(BF90=1,'Rent Roll'!$H$13/12*(1+'Rent Roll'!$I$13)^IF(BF$4&lt;'Rent Roll'!$Y$13,0,YEAR(BF$4)-YEAR('Rent Roll'!$Y$13)+1),0)</f>
        <v>0</v>
      </c>
      <c r="BG91" s="49">
        <f>IF(BG90=1,'Rent Roll'!$H$13/12*(1+'Rent Roll'!$I$13)^IF(BG$4&lt;'Rent Roll'!$Y$13,0,YEAR(BG$4)-YEAR('Rent Roll'!$Y$13)+1),0)</f>
        <v>0</v>
      </c>
      <c r="BH91" s="49">
        <f>IF(BH90=1,'Rent Roll'!$H$13/12*(1+'Rent Roll'!$I$13)^IF(BH$4&lt;'Rent Roll'!$Y$13,0,YEAR(BH$4)-YEAR('Rent Roll'!$Y$13)+1),0)</f>
        <v>0</v>
      </c>
      <c r="BI91" s="49">
        <f>IF(BI90=1,'Rent Roll'!$H$13/12*(1+'Rent Roll'!$I$13)^IF(BI$4&lt;'Rent Roll'!$Y$13,0,YEAR(BI$4)-YEAR('Rent Roll'!$Y$13)+1),0)</f>
        <v>0</v>
      </c>
      <c r="BJ91" s="49">
        <f>IF(BJ90=1,'Rent Roll'!$H$13/12*(1+'Rent Roll'!$I$13)^IF(BJ$4&lt;'Rent Roll'!$Y$13,0,YEAR(BJ$4)-YEAR('Rent Roll'!$Y$13)+1),0)</f>
        <v>0</v>
      </c>
      <c r="BK91" s="49">
        <f>IF(BK90=1,'Rent Roll'!$H$13/12*(1+'Rent Roll'!$I$13)^IF(BK$4&lt;'Rent Roll'!$Y$13,0,YEAR(BK$4)-YEAR('Rent Roll'!$Y$13)+1),0)</f>
        <v>0</v>
      </c>
      <c r="BL91" s="49">
        <f>IF(BL90=1,'Rent Roll'!$H$13/12*(1+'Rent Roll'!$I$13)^IF(BL$4&lt;'Rent Roll'!$Y$13,0,YEAR(BL$4)-YEAR('Rent Roll'!$Y$13)+1),0)</f>
        <v>0</v>
      </c>
      <c r="BM91" s="49">
        <f>IF(BM90=1,'Rent Roll'!$H$13/12*(1+'Rent Roll'!$I$13)^IF(BM$4&lt;'Rent Roll'!$Y$13,0,YEAR(BM$4)-YEAR('Rent Roll'!$Y$13)+1),0)</f>
        <v>0</v>
      </c>
      <c r="BN91" s="49">
        <f>IF(BN90=1,'Rent Roll'!$H$13/12*(1+'Rent Roll'!$I$13)^IF(BN$4&lt;'Rent Roll'!$Y$13,0,YEAR(BN$4)-YEAR('Rent Roll'!$Y$13)+1),0)</f>
        <v>0</v>
      </c>
      <c r="BO91" s="49">
        <f>IF(BO90=1,'Rent Roll'!$H$13/12*(1+'Rent Roll'!$I$13)^IF(BO$4&lt;'Rent Roll'!$Y$13,0,YEAR(BO$4)-YEAR('Rent Roll'!$Y$13)+1),0)</f>
        <v>0</v>
      </c>
      <c r="BP91" s="49">
        <f>IF(BP90=1,'Rent Roll'!$H$13/12*(1+'Rent Roll'!$I$13)^IF(BP$4&lt;'Rent Roll'!$Y$13,0,YEAR(BP$4)-YEAR('Rent Roll'!$Y$13)+1),0)</f>
        <v>0</v>
      </c>
      <c r="BQ91" s="49">
        <f>IF(BQ90=1,'Rent Roll'!$H$13/12*(1+'Rent Roll'!$I$13)^IF(BQ$4&lt;'Rent Roll'!$Y$13,0,YEAR(BQ$4)-YEAR('Rent Roll'!$Y$13)+1),0)</f>
        <v>0</v>
      </c>
      <c r="BR91" s="49">
        <f>IF(BR90=1,'Rent Roll'!$H$13/12*(1+'Rent Roll'!$I$13)^IF(BR$4&lt;'Rent Roll'!$Y$13,0,YEAR(BR$4)-YEAR('Rent Roll'!$Y$13)+1),0)</f>
        <v>0</v>
      </c>
      <c r="BS91" s="49">
        <f>IF(BS90=1,'Rent Roll'!$H$13/12*(1+'Rent Roll'!$I$13)^IF(BS$4&lt;'Rent Roll'!$Y$13,0,YEAR(BS$4)-YEAR('Rent Roll'!$Y$13)+1),0)</f>
        <v>0</v>
      </c>
      <c r="BT91" s="49">
        <f>IF(BT90=1,'Rent Roll'!$H$13/12*(1+'Rent Roll'!$I$13)^IF(BT$4&lt;'Rent Roll'!$Y$13,0,YEAR(BT$4)-YEAR('Rent Roll'!$Y$13)+1),0)</f>
        <v>0</v>
      </c>
      <c r="BU91" s="49">
        <f>IF(BU90=1,'Rent Roll'!$H$13/12*(1+'Rent Roll'!$I$13)^IF(BU$4&lt;'Rent Roll'!$Y$13,0,YEAR(BU$4)-YEAR('Rent Roll'!$Y$13)+1),0)</f>
        <v>0</v>
      </c>
      <c r="BV91" s="49">
        <f>IF(BV90=1,'Rent Roll'!$H$13/12*(1+'Rent Roll'!$I$13)^IF(BV$4&lt;'Rent Roll'!$Y$13,0,YEAR(BV$4)-YEAR('Rent Roll'!$Y$13)+1),0)</f>
        <v>0</v>
      </c>
      <c r="BW91" s="49">
        <f>IF(BW90=1,'Rent Roll'!$H$13/12*(1+'Rent Roll'!$I$13)^IF(BW$4&lt;'Rent Roll'!$Y$13,0,YEAR(BW$4)-YEAR('Rent Roll'!$Y$13)+1),0)</f>
        <v>0</v>
      </c>
      <c r="BX91" s="49">
        <f>IF(BX90=1,'Rent Roll'!$H$13/12*(1+'Rent Roll'!$I$13)^IF(BX$4&lt;'Rent Roll'!$Y$13,0,YEAR(BX$4)-YEAR('Rent Roll'!$Y$13)+1),0)</f>
        <v>0</v>
      </c>
    </row>
    <row r="92" spans="1:76" hidden="1" outlineLevel="1">
      <c r="B92" t="s">
        <v>160</v>
      </c>
      <c r="D92" s="49">
        <f>IF(D$4&gt;EOMONTH(CloseDate,'Rent Roll'!$O$13+'Rent Roll'!$S$13-1),1,0)</f>
        <v>0</v>
      </c>
      <c r="E92" s="49">
        <f>IF(E$4&gt;EOMONTH(CloseDate,'Rent Roll'!$O$13+'Rent Roll'!$S$13-1),1,0)</f>
        <v>0</v>
      </c>
      <c r="F92" s="49">
        <f>IF(F$4&gt;EOMONTH(CloseDate,'Rent Roll'!$O$13+'Rent Roll'!$S$13-1),1,0)</f>
        <v>0</v>
      </c>
      <c r="G92" s="49">
        <f>IF(G$4&gt;EOMONTH(CloseDate,'Rent Roll'!$O$13+'Rent Roll'!$S$13-1),1,0)</f>
        <v>0</v>
      </c>
      <c r="H92" s="49">
        <f>IF(H$4&gt;EOMONTH(CloseDate,'Rent Roll'!$O$13+'Rent Roll'!$S$13-1),1,0)</f>
        <v>0</v>
      </c>
      <c r="I92" s="49">
        <f>IF(I$4&gt;EOMONTH(CloseDate,'Rent Roll'!$O$13+'Rent Roll'!$S$13-1),1,0)</f>
        <v>0</v>
      </c>
      <c r="J92" s="49">
        <f>IF(J$4&gt;EOMONTH(CloseDate,'Rent Roll'!$O$13+'Rent Roll'!$S$13-1),1,0)</f>
        <v>0</v>
      </c>
      <c r="K92" s="49">
        <f>IF(K$4&gt;EOMONTH(CloseDate,'Rent Roll'!$O$13+'Rent Roll'!$S$13-1),1,0)</f>
        <v>0</v>
      </c>
      <c r="L92" s="49">
        <f>IF(L$4&gt;EOMONTH(CloseDate,'Rent Roll'!$O$13+'Rent Roll'!$S$13-1),1,0)</f>
        <v>0</v>
      </c>
      <c r="M92" s="49">
        <f>IF(M$4&gt;EOMONTH(CloseDate,'Rent Roll'!$O$13+'Rent Roll'!$S$13-1),1,0)</f>
        <v>0</v>
      </c>
      <c r="N92" s="49">
        <f>IF(N$4&gt;EOMONTH(CloseDate,'Rent Roll'!$O$13+'Rent Roll'!$S$13-1),1,0)</f>
        <v>0</v>
      </c>
      <c r="O92" s="49">
        <f>IF(O$4&gt;EOMONTH(CloseDate,'Rent Roll'!$O$13+'Rent Roll'!$S$13-1),1,0)</f>
        <v>0</v>
      </c>
      <c r="P92" s="49">
        <f>IF(P$4&gt;EOMONTH(CloseDate,'Rent Roll'!$O$13+'Rent Roll'!$S$13-1),1,0)</f>
        <v>0</v>
      </c>
      <c r="Q92" s="49">
        <f>IF(Q$4&gt;EOMONTH(CloseDate,'Rent Roll'!$O$13+'Rent Roll'!$S$13-1),1,0)</f>
        <v>0</v>
      </c>
      <c r="R92" s="49">
        <f>IF(R$4&gt;EOMONTH(CloseDate,'Rent Roll'!$O$13+'Rent Roll'!$S$13-1),1,0)</f>
        <v>0</v>
      </c>
      <c r="S92" s="49">
        <f>IF(S$4&gt;EOMONTH(CloseDate,'Rent Roll'!$O$13+'Rent Roll'!$S$13-1),1,0)</f>
        <v>0</v>
      </c>
      <c r="T92" s="49">
        <f>IF(T$4&gt;EOMONTH(CloseDate,'Rent Roll'!$O$13+'Rent Roll'!$S$13-1),1,0)</f>
        <v>0</v>
      </c>
      <c r="U92" s="49">
        <f>IF(U$4&gt;EOMONTH(CloseDate,'Rent Roll'!$O$13+'Rent Roll'!$S$13-1),1,0)</f>
        <v>0</v>
      </c>
      <c r="V92" s="49">
        <f>IF(V$4&gt;EOMONTH(CloseDate,'Rent Roll'!$O$13+'Rent Roll'!$S$13-1),1,0)</f>
        <v>0</v>
      </c>
      <c r="W92" s="49">
        <f>IF(W$4&gt;EOMONTH(CloseDate,'Rent Roll'!$O$13+'Rent Roll'!$S$13-1),1,0)</f>
        <v>0</v>
      </c>
      <c r="X92" s="49">
        <f>IF(X$4&gt;EOMONTH(CloseDate,'Rent Roll'!$O$13+'Rent Roll'!$S$13-1),1,0)</f>
        <v>0</v>
      </c>
      <c r="Y92" s="49">
        <f>IF(Y$4&gt;EOMONTH(CloseDate,'Rent Roll'!$O$13+'Rent Roll'!$S$13-1),1,0)</f>
        <v>0</v>
      </c>
      <c r="Z92" s="49">
        <f>IF(Z$4&gt;EOMONTH(CloseDate,'Rent Roll'!$O$13+'Rent Roll'!$S$13-1),1,0)</f>
        <v>0</v>
      </c>
      <c r="AA92" s="49">
        <f>IF(AA$4&gt;EOMONTH(CloseDate,'Rent Roll'!$O$13+'Rent Roll'!$S$13-1),1,0)</f>
        <v>0</v>
      </c>
      <c r="AB92" s="49">
        <f>IF(AB$4&gt;EOMONTH(CloseDate,'Rent Roll'!$O$13+'Rent Roll'!$S$13-1),1,0)</f>
        <v>0</v>
      </c>
      <c r="AC92" s="49">
        <f>IF(AC$4&gt;EOMONTH(CloseDate,'Rent Roll'!$O$13+'Rent Roll'!$S$13-1),1,0)</f>
        <v>0</v>
      </c>
      <c r="AD92" s="49">
        <f>IF(AD$4&gt;EOMONTH(CloseDate,'Rent Roll'!$O$13+'Rent Roll'!$S$13-1),1,0)</f>
        <v>0</v>
      </c>
      <c r="AE92" s="49">
        <f>IF(AE$4&gt;EOMONTH(CloseDate,'Rent Roll'!$O$13+'Rent Roll'!$S$13-1),1,0)</f>
        <v>0</v>
      </c>
      <c r="AF92" s="49">
        <f>IF(AF$4&gt;EOMONTH(CloseDate,'Rent Roll'!$O$13+'Rent Roll'!$S$13-1),1,0)</f>
        <v>0</v>
      </c>
      <c r="AG92" s="49">
        <f>IF(AG$4&gt;EOMONTH(CloseDate,'Rent Roll'!$O$13+'Rent Roll'!$S$13-1),1,0)</f>
        <v>0</v>
      </c>
      <c r="AH92" s="49">
        <f>IF(AH$4&gt;EOMONTH(CloseDate,'Rent Roll'!$O$13+'Rent Roll'!$S$13-1),1,0)</f>
        <v>0</v>
      </c>
      <c r="AI92" s="49">
        <f>IF(AI$4&gt;EOMONTH(CloseDate,'Rent Roll'!$O$13+'Rent Roll'!$S$13-1),1,0)</f>
        <v>0</v>
      </c>
      <c r="AJ92" s="49">
        <f>IF(AJ$4&gt;EOMONTH(CloseDate,'Rent Roll'!$O$13+'Rent Roll'!$S$13-1),1,0)</f>
        <v>0</v>
      </c>
      <c r="AK92" s="49">
        <f>IF(AK$4&gt;EOMONTH(CloseDate,'Rent Roll'!$O$13+'Rent Roll'!$S$13-1),1,0)</f>
        <v>0</v>
      </c>
      <c r="AL92" s="49">
        <f>IF(AL$4&gt;EOMONTH(CloseDate,'Rent Roll'!$O$13+'Rent Roll'!$S$13-1),1,0)</f>
        <v>0</v>
      </c>
      <c r="AM92" s="49">
        <f>IF(AM$4&gt;EOMONTH(CloseDate,'Rent Roll'!$O$13+'Rent Roll'!$S$13-1),1,0)</f>
        <v>0</v>
      </c>
      <c r="AN92" s="49">
        <f>IF(AN$4&gt;EOMONTH(CloseDate,'Rent Roll'!$O$13+'Rent Roll'!$S$13-1),1,0)</f>
        <v>0</v>
      </c>
      <c r="AO92" s="49">
        <f>IF(AO$4&gt;EOMONTH(CloseDate,'Rent Roll'!$O$13+'Rent Roll'!$S$13-1),1,0)</f>
        <v>1</v>
      </c>
      <c r="AP92" s="49">
        <f>IF(AP$4&gt;EOMONTH(CloseDate,'Rent Roll'!$O$13+'Rent Roll'!$S$13-1),1,0)</f>
        <v>1</v>
      </c>
      <c r="AQ92" s="49">
        <f>IF(AQ$4&gt;EOMONTH(CloseDate,'Rent Roll'!$O$13+'Rent Roll'!$S$13-1),1,0)</f>
        <v>1</v>
      </c>
      <c r="AR92" s="49">
        <f>IF(AR$4&gt;EOMONTH(CloseDate,'Rent Roll'!$O$13+'Rent Roll'!$S$13-1),1,0)</f>
        <v>1</v>
      </c>
      <c r="AS92" s="49">
        <f>IF(AS$4&gt;EOMONTH(CloseDate,'Rent Roll'!$O$13+'Rent Roll'!$S$13-1),1,0)</f>
        <v>1</v>
      </c>
      <c r="AT92" s="49">
        <f>IF(AT$4&gt;EOMONTH(CloseDate,'Rent Roll'!$O$13+'Rent Roll'!$S$13-1),1,0)</f>
        <v>1</v>
      </c>
      <c r="AU92" s="49">
        <f>IF(AU$4&gt;EOMONTH(CloseDate,'Rent Roll'!$O$13+'Rent Roll'!$S$13-1),1,0)</f>
        <v>1</v>
      </c>
      <c r="AV92" s="49">
        <f>IF(AV$4&gt;EOMONTH(CloseDate,'Rent Roll'!$O$13+'Rent Roll'!$S$13-1),1,0)</f>
        <v>1</v>
      </c>
      <c r="AW92" s="49">
        <f>IF(AW$4&gt;EOMONTH(CloseDate,'Rent Roll'!$O$13+'Rent Roll'!$S$13-1),1,0)</f>
        <v>1</v>
      </c>
      <c r="AX92" s="49">
        <f>IF(AX$4&gt;EOMONTH(CloseDate,'Rent Roll'!$O$13+'Rent Roll'!$S$13-1),1,0)</f>
        <v>1</v>
      </c>
      <c r="AY92" s="49">
        <f>IF(AY$4&gt;EOMONTH(CloseDate,'Rent Roll'!$O$13+'Rent Roll'!$S$13-1),1,0)</f>
        <v>1</v>
      </c>
      <c r="AZ92" s="49">
        <f>IF(AZ$4&gt;EOMONTH(CloseDate,'Rent Roll'!$O$13+'Rent Roll'!$S$13-1),1,0)</f>
        <v>1</v>
      </c>
      <c r="BA92" s="49">
        <f>IF(BA$4&gt;EOMONTH(CloseDate,'Rent Roll'!$O$13+'Rent Roll'!$S$13-1),1,0)</f>
        <v>1</v>
      </c>
      <c r="BB92" s="49">
        <f>IF(BB$4&gt;EOMONTH(CloseDate,'Rent Roll'!$O$13+'Rent Roll'!$S$13-1),1,0)</f>
        <v>1</v>
      </c>
      <c r="BC92" s="49">
        <f>IF(BC$4&gt;EOMONTH(CloseDate,'Rent Roll'!$O$13+'Rent Roll'!$S$13-1),1,0)</f>
        <v>1</v>
      </c>
      <c r="BD92" s="49">
        <f>IF(BD$4&gt;EOMONTH(CloseDate,'Rent Roll'!$O$13+'Rent Roll'!$S$13-1),1,0)</f>
        <v>1</v>
      </c>
      <c r="BE92" s="49">
        <f>IF(BE$4&gt;EOMONTH(CloseDate,'Rent Roll'!$O$13+'Rent Roll'!$S$13-1),1,0)</f>
        <v>1</v>
      </c>
      <c r="BF92" s="49">
        <f>IF(BF$4&gt;EOMONTH(CloseDate,'Rent Roll'!$O$13+'Rent Roll'!$S$13-1),1,0)</f>
        <v>1</v>
      </c>
      <c r="BG92" s="49">
        <f>IF(BG$4&gt;EOMONTH(CloseDate,'Rent Roll'!$O$13+'Rent Roll'!$S$13-1),1,0)</f>
        <v>1</v>
      </c>
      <c r="BH92" s="49">
        <f>IF(BH$4&gt;EOMONTH(CloseDate,'Rent Roll'!$O$13+'Rent Roll'!$S$13-1),1,0)</f>
        <v>1</v>
      </c>
      <c r="BI92" s="49">
        <f>IF(BI$4&gt;EOMONTH(CloseDate,'Rent Roll'!$O$13+'Rent Roll'!$S$13-1),1,0)</f>
        <v>1</v>
      </c>
      <c r="BJ92" s="49">
        <f>IF(BJ$4&gt;EOMONTH(CloseDate,'Rent Roll'!$O$13+'Rent Roll'!$S$13-1),1,0)</f>
        <v>1</v>
      </c>
      <c r="BK92" s="49">
        <f>IF(BK$4&gt;EOMONTH(CloseDate,'Rent Roll'!$O$13+'Rent Roll'!$S$13-1),1,0)</f>
        <v>1</v>
      </c>
      <c r="BL92" s="49">
        <f>IF(BL$4&gt;EOMONTH(CloseDate,'Rent Roll'!$O$13+'Rent Roll'!$S$13-1),1,0)</f>
        <v>1</v>
      </c>
      <c r="BM92" s="49">
        <f>IF(BM$4&gt;EOMONTH(CloseDate,'Rent Roll'!$O$13+'Rent Roll'!$S$13-1),1,0)</f>
        <v>1</v>
      </c>
      <c r="BN92" s="49">
        <f>IF(BN$4&gt;EOMONTH(CloseDate,'Rent Roll'!$O$13+'Rent Roll'!$S$13-1),1,0)</f>
        <v>1</v>
      </c>
      <c r="BO92" s="49">
        <f>IF(BO$4&gt;EOMONTH(CloseDate,'Rent Roll'!$O$13+'Rent Roll'!$S$13-1),1,0)</f>
        <v>1</v>
      </c>
      <c r="BP92" s="49">
        <f>IF(BP$4&gt;EOMONTH(CloseDate,'Rent Roll'!$O$13+'Rent Roll'!$S$13-1),1,0)</f>
        <v>1</v>
      </c>
      <c r="BQ92" s="49">
        <f>IF(BQ$4&gt;EOMONTH(CloseDate,'Rent Roll'!$O$13+'Rent Roll'!$S$13-1),1,0)</f>
        <v>1</v>
      </c>
      <c r="BR92" s="49">
        <f>IF(BR$4&gt;EOMONTH(CloseDate,'Rent Roll'!$O$13+'Rent Roll'!$S$13-1),1,0)</f>
        <v>1</v>
      </c>
      <c r="BS92" s="49">
        <f>IF(BS$4&gt;EOMONTH(CloseDate,'Rent Roll'!$O$13+'Rent Roll'!$S$13-1),1,0)</f>
        <v>1</v>
      </c>
      <c r="BT92" s="49">
        <f>IF(BT$4&gt;EOMONTH(CloseDate,'Rent Roll'!$O$13+'Rent Roll'!$S$13-1),1,0)</f>
        <v>1</v>
      </c>
      <c r="BU92" s="49">
        <f>IF(BU$4&gt;EOMONTH(CloseDate,'Rent Roll'!$O$13+'Rent Roll'!$S$13-1),1,0)</f>
        <v>1</v>
      </c>
      <c r="BV92" s="49">
        <f>IF(BV$4&gt;EOMONTH(CloseDate,'Rent Roll'!$O$13+'Rent Roll'!$S$13-1),1,0)</f>
        <v>1</v>
      </c>
      <c r="BW92" s="49">
        <f>IF(BW$4&gt;EOMONTH(CloseDate,'Rent Roll'!$O$13+'Rent Roll'!$S$13-1),1,0)</f>
        <v>1</v>
      </c>
      <c r="BX92" s="49">
        <f>IF(BX$4&gt;EOMONTH(CloseDate,'Rent Roll'!$O$13+'Rent Roll'!$S$13-1),1,0)</f>
        <v>1</v>
      </c>
    </row>
    <row r="93" spans="1:76" hidden="1" outlineLevel="1">
      <c r="B93" t="s">
        <v>162</v>
      </c>
      <c r="D93" s="49">
        <f>IF(D92=1,'Rent Roll'!$F$13*'Rent Roll'!$X$13/12*D$6,0)</f>
        <v>0</v>
      </c>
      <c r="E93" s="49">
        <f>IF(E92=1,'Rent Roll'!$F$13*'Rent Roll'!$X$13/12*E$6,0)</f>
        <v>0</v>
      </c>
      <c r="F93" s="49">
        <f>IF(F92=1,'Rent Roll'!$F$13*'Rent Roll'!$X$13/12*F$6,0)</f>
        <v>0</v>
      </c>
      <c r="G93" s="49">
        <f>IF(G92=1,'Rent Roll'!$F$13*'Rent Roll'!$X$13/12*G$6,0)</f>
        <v>0</v>
      </c>
      <c r="H93" s="49">
        <f>IF(H92=1,'Rent Roll'!$F$13*'Rent Roll'!$X$13/12*H$6,0)</f>
        <v>0</v>
      </c>
      <c r="I93" s="49">
        <f>IF(I92=1,'Rent Roll'!$F$13*'Rent Roll'!$X$13/12*I$6,0)</f>
        <v>0</v>
      </c>
      <c r="J93" s="49">
        <f>IF(J92=1,'Rent Roll'!$F$13*'Rent Roll'!$X$13/12*J$6,0)</f>
        <v>0</v>
      </c>
      <c r="K93" s="49">
        <f>IF(K92=1,'Rent Roll'!$F$13*'Rent Roll'!$X$13/12*K$6,0)</f>
        <v>0</v>
      </c>
      <c r="L93" s="49">
        <f>IF(L92=1,'Rent Roll'!$F$13*'Rent Roll'!$X$13/12*L$6,0)</f>
        <v>0</v>
      </c>
      <c r="M93" s="49">
        <f>IF(M92=1,'Rent Roll'!$F$13*'Rent Roll'!$X$13/12*M$6,0)</f>
        <v>0</v>
      </c>
      <c r="N93" s="49">
        <f>IF(N92=1,'Rent Roll'!$F$13*'Rent Roll'!$X$13/12*N$6,0)</f>
        <v>0</v>
      </c>
      <c r="O93" s="49">
        <f>IF(O92=1,'Rent Roll'!$F$13*'Rent Roll'!$X$13/12*O$6,0)</f>
        <v>0</v>
      </c>
      <c r="P93" s="49">
        <f>IF(P92=1,'Rent Roll'!$F$13*'Rent Roll'!$X$13/12*P$6,0)</f>
        <v>0</v>
      </c>
      <c r="Q93" s="49">
        <f>IF(Q92=1,'Rent Roll'!$F$13*'Rent Roll'!$X$13/12*Q$6,0)</f>
        <v>0</v>
      </c>
      <c r="R93" s="49">
        <f>IF(R92=1,'Rent Roll'!$F$13*'Rent Roll'!$X$13/12*R$6,0)</f>
        <v>0</v>
      </c>
      <c r="S93" s="49">
        <f>IF(S92=1,'Rent Roll'!$F$13*'Rent Roll'!$X$13/12*S$6,0)</f>
        <v>0</v>
      </c>
      <c r="T93" s="49">
        <f>IF(T92=1,'Rent Roll'!$F$13*'Rent Roll'!$X$13/12*T$6,0)</f>
        <v>0</v>
      </c>
      <c r="U93" s="49">
        <f>IF(U92=1,'Rent Roll'!$F$13*'Rent Roll'!$X$13/12*U$6,0)</f>
        <v>0</v>
      </c>
      <c r="V93" s="49">
        <f>IF(V92=1,'Rent Roll'!$F$13*'Rent Roll'!$X$13/12*V$6,0)</f>
        <v>0</v>
      </c>
      <c r="W93" s="49">
        <f>IF(W92=1,'Rent Roll'!$F$13*'Rent Roll'!$X$13/12*W$6,0)</f>
        <v>0</v>
      </c>
      <c r="X93" s="49">
        <f>IF(X92=1,'Rent Roll'!$F$13*'Rent Roll'!$X$13/12*X$6,0)</f>
        <v>0</v>
      </c>
      <c r="Y93" s="49">
        <f>IF(Y92=1,'Rent Roll'!$F$13*'Rent Roll'!$X$13/12*Y$6,0)</f>
        <v>0</v>
      </c>
      <c r="Z93" s="49">
        <f>IF(Z92=1,'Rent Roll'!$F$13*'Rent Roll'!$X$13/12*Z$6,0)</f>
        <v>0</v>
      </c>
      <c r="AA93" s="49">
        <f>IF(AA92=1,'Rent Roll'!$F$13*'Rent Roll'!$X$13/12*AA$6,0)</f>
        <v>0</v>
      </c>
      <c r="AB93" s="49">
        <f>IF(AB92=1,'Rent Roll'!$F$13*'Rent Roll'!$X$13/12*AB$6,0)</f>
        <v>0</v>
      </c>
      <c r="AC93" s="49">
        <f>IF(AC92=1,'Rent Roll'!$F$13*'Rent Roll'!$X$13/12*AC$6,0)</f>
        <v>0</v>
      </c>
      <c r="AD93" s="49">
        <f>IF(AD92=1,'Rent Roll'!$F$13*'Rent Roll'!$X$13/12*AD$6,0)</f>
        <v>0</v>
      </c>
      <c r="AE93" s="49">
        <f>IF(AE92=1,'Rent Roll'!$F$13*'Rent Roll'!$X$13/12*AE$6,0)</f>
        <v>0</v>
      </c>
      <c r="AF93" s="49">
        <f>IF(AF92=1,'Rent Roll'!$F$13*'Rent Roll'!$X$13/12*AF$6,0)</f>
        <v>0</v>
      </c>
      <c r="AG93" s="49">
        <f>IF(AG92=1,'Rent Roll'!$F$13*'Rent Roll'!$X$13/12*AG$6,0)</f>
        <v>0</v>
      </c>
      <c r="AH93" s="49">
        <f>IF(AH92=1,'Rent Roll'!$F$13*'Rent Roll'!$X$13/12*AH$6,0)</f>
        <v>0</v>
      </c>
      <c r="AI93" s="49">
        <f>IF(AI92=1,'Rent Roll'!$F$13*'Rent Roll'!$X$13/12*AI$6,0)</f>
        <v>0</v>
      </c>
      <c r="AJ93" s="49">
        <f>IF(AJ92=1,'Rent Roll'!$F$13*'Rent Roll'!$X$13/12*AJ$6,0)</f>
        <v>0</v>
      </c>
      <c r="AK93" s="49">
        <f>IF(AK92=1,'Rent Roll'!$F$13*'Rent Roll'!$X$13/12*AK$6,0)</f>
        <v>0</v>
      </c>
      <c r="AL93" s="49">
        <f>IF(AL92=1,'Rent Roll'!$F$13*'Rent Roll'!$X$13/12*AL$6,0)</f>
        <v>0</v>
      </c>
      <c r="AM93" s="49">
        <f>IF(AM92=1,'Rent Roll'!$F$13*'Rent Roll'!$X$13/12*AM$6,0)</f>
        <v>0</v>
      </c>
      <c r="AN93" s="49">
        <f>IF(AN92=1,'Rent Roll'!$F$13*'Rent Roll'!$X$13/12*AN$6,0)</f>
        <v>0</v>
      </c>
      <c r="AO93" s="49">
        <f>IF(AO92=1,'Rent Roll'!$F$13*'Rent Roll'!$X$13/12*AO$6,0)</f>
        <v>17370.64087067643</v>
      </c>
      <c r="AP93" s="49">
        <f>IF(AP92=1,'Rent Roll'!$F$13*'Rent Roll'!$X$13/12*AP$6,0)</f>
        <v>17370.64087067643</v>
      </c>
      <c r="AQ93" s="49">
        <f>IF(AQ92=1,'Rent Roll'!$F$13*'Rent Roll'!$X$13/12*AQ$6,0)</f>
        <v>17370.64087067643</v>
      </c>
      <c r="AR93" s="49">
        <f>IF(AR92=1,'Rent Roll'!$F$13*'Rent Roll'!$X$13/12*AR$6,0)</f>
        <v>17370.64087067643</v>
      </c>
      <c r="AS93" s="49">
        <f>IF(AS92=1,'Rent Roll'!$F$13*'Rent Roll'!$X$13/12*AS$6,0)</f>
        <v>17839.648174184691</v>
      </c>
      <c r="AT93" s="49">
        <f>IF(AT92=1,'Rent Roll'!$F$13*'Rent Roll'!$X$13/12*AT$6,0)</f>
        <v>17839.648174184691</v>
      </c>
      <c r="AU93" s="49">
        <f>IF(AU92=1,'Rent Roll'!$F$13*'Rent Roll'!$X$13/12*AU$6,0)</f>
        <v>17839.648174184691</v>
      </c>
      <c r="AV93" s="49">
        <f>IF(AV92=1,'Rent Roll'!$F$13*'Rent Roll'!$X$13/12*AV$6,0)</f>
        <v>17839.648174184691</v>
      </c>
      <c r="AW93" s="49">
        <f>IF(AW92=1,'Rent Roll'!$F$13*'Rent Roll'!$X$13/12*AW$6,0)</f>
        <v>17839.648174184691</v>
      </c>
      <c r="AX93" s="49">
        <f>IF(AX92=1,'Rent Roll'!$F$13*'Rent Roll'!$X$13/12*AX$6,0)</f>
        <v>17839.648174184691</v>
      </c>
      <c r="AY93" s="49">
        <f>IF(AY92=1,'Rent Roll'!$F$13*'Rent Roll'!$X$13/12*AY$6,0)</f>
        <v>17839.648174184691</v>
      </c>
      <c r="AZ93" s="49">
        <f>IF(AZ92=1,'Rent Roll'!$F$13*'Rent Roll'!$X$13/12*AZ$6,0)</f>
        <v>17839.648174184691</v>
      </c>
      <c r="BA93" s="49">
        <f>IF(BA92=1,'Rent Roll'!$F$13*'Rent Roll'!$X$13/12*BA$6,0)</f>
        <v>17839.648174184691</v>
      </c>
      <c r="BB93" s="49">
        <f>IF(BB92=1,'Rent Roll'!$F$13*'Rent Roll'!$X$13/12*BB$6,0)</f>
        <v>17839.648174184691</v>
      </c>
      <c r="BC93" s="49">
        <f>IF(BC92=1,'Rent Roll'!$F$13*'Rent Roll'!$X$13/12*BC$6,0)</f>
        <v>17839.648174184691</v>
      </c>
      <c r="BD93" s="49">
        <f>IF(BD92=1,'Rent Roll'!$F$13*'Rent Roll'!$X$13/12*BD$6,0)</f>
        <v>17839.648174184691</v>
      </c>
      <c r="BE93" s="49">
        <f>IF(BE92=1,'Rent Roll'!$F$13*'Rent Roll'!$X$13/12*BE$6,0)</f>
        <v>18321.31867488768</v>
      </c>
      <c r="BF93" s="49">
        <f>IF(BF92=1,'Rent Roll'!$F$13*'Rent Roll'!$X$13/12*BF$6,0)</f>
        <v>18321.31867488768</v>
      </c>
      <c r="BG93" s="49">
        <f>IF(BG92=1,'Rent Roll'!$F$13*'Rent Roll'!$X$13/12*BG$6,0)</f>
        <v>18321.31867488768</v>
      </c>
      <c r="BH93" s="49">
        <f>IF(BH92=1,'Rent Roll'!$F$13*'Rent Roll'!$X$13/12*BH$6,0)</f>
        <v>18321.31867488768</v>
      </c>
      <c r="BI93" s="49">
        <f>IF(BI92=1,'Rent Roll'!$F$13*'Rent Roll'!$X$13/12*BI$6,0)</f>
        <v>18321.31867488768</v>
      </c>
      <c r="BJ93" s="49">
        <f>IF(BJ92=1,'Rent Roll'!$F$13*'Rent Roll'!$X$13/12*BJ$6,0)</f>
        <v>18321.31867488768</v>
      </c>
      <c r="BK93" s="49">
        <f>IF(BK92=1,'Rent Roll'!$F$13*'Rent Roll'!$X$13/12*BK$6,0)</f>
        <v>18321.31867488768</v>
      </c>
      <c r="BL93" s="49">
        <f>IF(BL92=1,'Rent Roll'!$F$13*'Rent Roll'!$X$13/12*BL$6,0)</f>
        <v>18321.31867488768</v>
      </c>
      <c r="BM93" s="49">
        <f>IF(BM92=1,'Rent Roll'!$F$13*'Rent Roll'!$X$13/12*BM$6,0)</f>
        <v>18321.31867488768</v>
      </c>
      <c r="BN93" s="49">
        <f>IF(BN92=1,'Rent Roll'!$F$13*'Rent Roll'!$X$13/12*BN$6,0)</f>
        <v>18321.31867488768</v>
      </c>
      <c r="BO93" s="49">
        <f>IF(BO92=1,'Rent Roll'!$F$13*'Rent Roll'!$X$13/12*BO$6,0)</f>
        <v>18321.31867488768</v>
      </c>
      <c r="BP93" s="49">
        <f>IF(BP92=1,'Rent Roll'!$F$13*'Rent Roll'!$X$13/12*BP$6,0)</f>
        <v>18321.31867488768</v>
      </c>
      <c r="BQ93" s="49">
        <f>IF(BQ92=1,'Rent Roll'!$F$13*'Rent Roll'!$X$13/12*BQ$6,0)</f>
        <v>18815.994279109644</v>
      </c>
      <c r="BR93" s="49">
        <f>IF(BR92=1,'Rent Roll'!$F$13*'Rent Roll'!$X$13/12*BR$6,0)</f>
        <v>18815.994279109644</v>
      </c>
      <c r="BS93" s="49">
        <f>IF(BS92=1,'Rent Roll'!$F$13*'Rent Roll'!$X$13/12*BS$6,0)</f>
        <v>18815.994279109644</v>
      </c>
      <c r="BT93" s="49">
        <f>IF(BT92=1,'Rent Roll'!$F$13*'Rent Roll'!$X$13/12*BT$6,0)</f>
        <v>18815.994279109644</v>
      </c>
      <c r="BU93" s="49">
        <f>IF(BU92=1,'Rent Roll'!$F$13*'Rent Roll'!$X$13/12*BU$6,0)</f>
        <v>18815.994279109644</v>
      </c>
      <c r="BV93" s="49">
        <f>IF(BV92=1,'Rent Roll'!$F$13*'Rent Roll'!$X$13/12*BV$6,0)</f>
        <v>18815.994279109644</v>
      </c>
      <c r="BW93" s="49">
        <f>IF(BW92=1,'Rent Roll'!$F$13*'Rent Roll'!$X$13/12*BW$6,0)</f>
        <v>18815.994279109644</v>
      </c>
      <c r="BX93" s="49">
        <f>IF(BX92=1,'Rent Roll'!$F$13*'Rent Roll'!$X$13/12*BX$6,0)</f>
        <v>18815.994279109644</v>
      </c>
    </row>
    <row r="94" spans="1:76" hidden="1" outlineLevel="1">
      <c r="B94" t="s">
        <v>163</v>
      </c>
      <c r="D94" s="49">
        <f>IF(AND(D$4&gt;EOMONTH(CloseDate,'Rent Roll'!$O$13+'Rent Roll'!$S$13-1),D$4&lt;=EOMONTH(CloseDate,'Rent Roll'!$O$13+'Rent Roll'!$S$13-1+'Rent Roll'!$V$13)),-D93,0)</f>
        <v>0</v>
      </c>
      <c r="E94" s="49">
        <f>IF(AND(E$4&gt;EOMONTH(CloseDate,'Rent Roll'!$O$13+'Rent Roll'!$S$13-1),E$4&lt;=EOMONTH(CloseDate,'Rent Roll'!$O$13+'Rent Roll'!$S$13-1+'Rent Roll'!$V$13)),-E93,0)</f>
        <v>0</v>
      </c>
      <c r="F94" s="49">
        <f>IF(AND(F$4&gt;EOMONTH(CloseDate,'Rent Roll'!$O$13+'Rent Roll'!$S$13-1),F$4&lt;=EOMONTH(CloseDate,'Rent Roll'!$O$13+'Rent Roll'!$S$13-1+'Rent Roll'!$V$13)),-F93,0)</f>
        <v>0</v>
      </c>
      <c r="G94" s="49">
        <f>IF(AND(G$4&gt;EOMONTH(CloseDate,'Rent Roll'!$O$13+'Rent Roll'!$S$13-1),G$4&lt;=EOMONTH(CloseDate,'Rent Roll'!$O$13+'Rent Roll'!$S$13-1+'Rent Roll'!$V$13)),-G93,0)</f>
        <v>0</v>
      </c>
      <c r="H94" s="49">
        <f>IF(AND(H$4&gt;EOMONTH(CloseDate,'Rent Roll'!$O$13+'Rent Roll'!$S$13-1),H$4&lt;=EOMONTH(CloseDate,'Rent Roll'!$O$13+'Rent Roll'!$S$13-1+'Rent Roll'!$V$13)),-H93,0)</f>
        <v>0</v>
      </c>
      <c r="I94" s="49">
        <f>IF(AND(I$4&gt;EOMONTH(CloseDate,'Rent Roll'!$O$13+'Rent Roll'!$S$13-1),I$4&lt;=EOMONTH(CloseDate,'Rent Roll'!$O$13+'Rent Roll'!$S$13-1+'Rent Roll'!$V$13)),-I93,0)</f>
        <v>0</v>
      </c>
      <c r="J94" s="49">
        <f>IF(AND(J$4&gt;EOMONTH(CloseDate,'Rent Roll'!$O$13+'Rent Roll'!$S$13-1),J$4&lt;=EOMONTH(CloseDate,'Rent Roll'!$O$13+'Rent Roll'!$S$13-1+'Rent Roll'!$V$13)),-J93,0)</f>
        <v>0</v>
      </c>
      <c r="K94" s="49">
        <f>IF(AND(K$4&gt;EOMONTH(CloseDate,'Rent Roll'!$O$13+'Rent Roll'!$S$13-1),K$4&lt;=EOMONTH(CloseDate,'Rent Roll'!$O$13+'Rent Roll'!$S$13-1+'Rent Roll'!$V$13)),-K93,0)</f>
        <v>0</v>
      </c>
      <c r="L94" s="49">
        <f>IF(AND(L$4&gt;EOMONTH(CloseDate,'Rent Roll'!$O$13+'Rent Roll'!$S$13-1),L$4&lt;=EOMONTH(CloseDate,'Rent Roll'!$O$13+'Rent Roll'!$S$13-1+'Rent Roll'!$V$13)),-L93,0)</f>
        <v>0</v>
      </c>
      <c r="M94" s="49">
        <f>IF(AND(M$4&gt;EOMONTH(CloseDate,'Rent Roll'!$O$13+'Rent Roll'!$S$13-1),M$4&lt;=EOMONTH(CloseDate,'Rent Roll'!$O$13+'Rent Roll'!$S$13-1+'Rent Roll'!$V$13)),-M93,0)</f>
        <v>0</v>
      </c>
      <c r="N94" s="49">
        <f>IF(AND(N$4&gt;EOMONTH(CloseDate,'Rent Roll'!$O$13+'Rent Roll'!$S$13-1),N$4&lt;=EOMONTH(CloseDate,'Rent Roll'!$O$13+'Rent Roll'!$S$13-1+'Rent Roll'!$V$13)),-N93,0)</f>
        <v>0</v>
      </c>
      <c r="O94" s="49">
        <f>IF(AND(O$4&gt;EOMONTH(CloseDate,'Rent Roll'!$O$13+'Rent Roll'!$S$13-1),O$4&lt;=EOMONTH(CloseDate,'Rent Roll'!$O$13+'Rent Roll'!$S$13-1+'Rent Roll'!$V$13)),-O93,0)</f>
        <v>0</v>
      </c>
      <c r="P94" s="49">
        <f>IF(AND(P$4&gt;EOMONTH(CloseDate,'Rent Roll'!$O$13+'Rent Roll'!$S$13-1),P$4&lt;=EOMONTH(CloseDate,'Rent Roll'!$O$13+'Rent Roll'!$S$13-1+'Rent Roll'!$V$13)),-P93,0)</f>
        <v>0</v>
      </c>
      <c r="Q94" s="49">
        <f>IF(AND(Q$4&gt;EOMONTH(CloseDate,'Rent Roll'!$O$13+'Rent Roll'!$S$13-1),Q$4&lt;=EOMONTH(CloseDate,'Rent Roll'!$O$13+'Rent Roll'!$S$13-1+'Rent Roll'!$V$13)),-Q93,0)</f>
        <v>0</v>
      </c>
      <c r="R94" s="49">
        <f>IF(AND(R$4&gt;EOMONTH(CloseDate,'Rent Roll'!$O$13+'Rent Roll'!$S$13-1),R$4&lt;=EOMONTH(CloseDate,'Rent Roll'!$O$13+'Rent Roll'!$S$13-1+'Rent Roll'!$V$13)),-R93,0)</f>
        <v>0</v>
      </c>
      <c r="S94" s="49">
        <f>IF(AND(S$4&gt;EOMONTH(CloseDate,'Rent Roll'!$O$13+'Rent Roll'!$S$13-1),S$4&lt;=EOMONTH(CloseDate,'Rent Roll'!$O$13+'Rent Roll'!$S$13-1+'Rent Roll'!$V$13)),-S93,0)</f>
        <v>0</v>
      </c>
      <c r="T94" s="49">
        <f>IF(AND(T$4&gt;EOMONTH(CloseDate,'Rent Roll'!$O$13+'Rent Roll'!$S$13-1),T$4&lt;=EOMONTH(CloseDate,'Rent Roll'!$O$13+'Rent Roll'!$S$13-1+'Rent Roll'!$V$13)),-T93,0)</f>
        <v>0</v>
      </c>
      <c r="U94" s="49">
        <f>IF(AND(U$4&gt;EOMONTH(CloseDate,'Rent Roll'!$O$13+'Rent Roll'!$S$13-1),U$4&lt;=EOMONTH(CloseDate,'Rent Roll'!$O$13+'Rent Roll'!$S$13-1+'Rent Roll'!$V$13)),-U93,0)</f>
        <v>0</v>
      </c>
      <c r="V94" s="49">
        <f>IF(AND(V$4&gt;EOMONTH(CloseDate,'Rent Roll'!$O$13+'Rent Roll'!$S$13-1),V$4&lt;=EOMONTH(CloseDate,'Rent Roll'!$O$13+'Rent Roll'!$S$13-1+'Rent Roll'!$V$13)),-V93,0)</f>
        <v>0</v>
      </c>
      <c r="W94" s="49">
        <f>IF(AND(W$4&gt;EOMONTH(CloseDate,'Rent Roll'!$O$13+'Rent Roll'!$S$13-1),W$4&lt;=EOMONTH(CloseDate,'Rent Roll'!$O$13+'Rent Roll'!$S$13-1+'Rent Roll'!$V$13)),-W93,0)</f>
        <v>0</v>
      </c>
      <c r="X94" s="49">
        <f>IF(AND(X$4&gt;EOMONTH(CloseDate,'Rent Roll'!$O$13+'Rent Roll'!$S$13-1),X$4&lt;=EOMONTH(CloseDate,'Rent Roll'!$O$13+'Rent Roll'!$S$13-1+'Rent Roll'!$V$13)),-X93,0)</f>
        <v>0</v>
      </c>
      <c r="Y94" s="49">
        <f>IF(AND(Y$4&gt;EOMONTH(CloseDate,'Rent Roll'!$O$13+'Rent Roll'!$S$13-1),Y$4&lt;=EOMONTH(CloseDate,'Rent Roll'!$O$13+'Rent Roll'!$S$13-1+'Rent Roll'!$V$13)),-Y93,0)</f>
        <v>0</v>
      </c>
      <c r="Z94" s="49">
        <f>IF(AND(Z$4&gt;EOMONTH(CloseDate,'Rent Roll'!$O$13+'Rent Roll'!$S$13-1),Z$4&lt;=EOMONTH(CloseDate,'Rent Roll'!$O$13+'Rent Roll'!$S$13-1+'Rent Roll'!$V$13)),-Z93,0)</f>
        <v>0</v>
      </c>
      <c r="AA94" s="49">
        <f>IF(AND(AA$4&gt;EOMONTH(CloseDate,'Rent Roll'!$O$13+'Rent Roll'!$S$13-1),AA$4&lt;=EOMONTH(CloseDate,'Rent Roll'!$O$13+'Rent Roll'!$S$13-1+'Rent Roll'!$V$13)),-AA93,0)</f>
        <v>0</v>
      </c>
      <c r="AB94" s="49">
        <f>IF(AND(AB$4&gt;EOMONTH(CloseDate,'Rent Roll'!$O$13+'Rent Roll'!$S$13-1),AB$4&lt;=EOMONTH(CloseDate,'Rent Roll'!$O$13+'Rent Roll'!$S$13-1+'Rent Roll'!$V$13)),-AB93,0)</f>
        <v>0</v>
      </c>
      <c r="AC94" s="49">
        <f>IF(AND(AC$4&gt;EOMONTH(CloseDate,'Rent Roll'!$O$13+'Rent Roll'!$S$13-1),AC$4&lt;=EOMONTH(CloseDate,'Rent Roll'!$O$13+'Rent Roll'!$S$13-1+'Rent Roll'!$V$13)),-AC93,0)</f>
        <v>0</v>
      </c>
      <c r="AD94" s="49">
        <f>IF(AND(AD$4&gt;EOMONTH(CloseDate,'Rent Roll'!$O$13+'Rent Roll'!$S$13-1),AD$4&lt;=EOMONTH(CloseDate,'Rent Roll'!$O$13+'Rent Roll'!$S$13-1+'Rent Roll'!$V$13)),-AD93,0)</f>
        <v>0</v>
      </c>
      <c r="AE94" s="49">
        <f>IF(AND(AE$4&gt;EOMONTH(CloseDate,'Rent Roll'!$O$13+'Rent Roll'!$S$13-1),AE$4&lt;=EOMONTH(CloseDate,'Rent Roll'!$O$13+'Rent Roll'!$S$13-1+'Rent Roll'!$V$13)),-AE93,0)</f>
        <v>0</v>
      </c>
      <c r="AF94" s="49">
        <f>IF(AND(AF$4&gt;EOMONTH(CloseDate,'Rent Roll'!$O$13+'Rent Roll'!$S$13-1),AF$4&lt;=EOMONTH(CloseDate,'Rent Roll'!$O$13+'Rent Roll'!$S$13-1+'Rent Roll'!$V$13)),-AF93,0)</f>
        <v>0</v>
      </c>
      <c r="AG94" s="49">
        <f>IF(AND(AG$4&gt;EOMONTH(CloseDate,'Rent Roll'!$O$13+'Rent Roll'!$S$13-1),AG$4&lt;=EOMONTH(CloseDate,'Rent Roll'!$O$13+'Rent Roll'!$S$13-1+'Rent Roll'!$V$13)),-AG93,0)</f>
        <v>0</v>
      </c>
      <c r="AH94" s="49">
        <f>IF(AND(AH$4&gt;EOMONTH(CloseDate,'Rent Roll'!$O$13+'Rent Roll'!$S$13-1),AH$4&lt;=EOMONTH(CloseDate,'Rent Roll'!$O$13+'Rent Roll'!$S$13-1+'Rent Roll'!$V$13)),-AH93,0)</f>
        <v>0</v>
      </c>
      <c r="AI94" s="49">
        <f>IF(AND(AI$4&gt;EOMONTH(CloseDate,'Rent Roll'!$O$13+'Rent Roll'!$S$13-1),AI$4&lt;=EOMONTH(CloseDate,'Rent Roll'!$O$13+'Rent Roll'!$S$13-1+'Rent Roll'!$V$13)),-AI93,0)</f>
        <v>0</v>
      </c>
      <c r="AJ94" s="49">
        <f>IF(AND(AJ$4&gt;EOMONTH(CloseDate,'Rent Roll'!$O$13+'Rent Roll'!$S$13-1),AJ$4&lt;=EOMONTH(CloseDate,'Rent Roll'!$O$13+'Rent Roll'!$S$13-1+'Rent Roll'!$V$13)),-AJ93,0)</f>
        <v>0</v>
      </c>
      <c r="AK94" s="49">
        <f>IF(AND(AK$4&gt;EOMONTH(CloseDate,'Rent Roll'!$O$13+'Rent Roll'!$S$13-1),AK$4&lt;=EOMONTH(CloseDate,'Rent Roll'!$O$13+'Rent Roll'!$S$13-1+'Rent Roll'!$V$13)),-AK93,0)</f>
        <v>0</v>
      </c>
      <c r="AL94" s="49">
        <f>IF(AND(AL$4&gt;EOMONTH(CloseDate,'Rent Roll'!$O$13+'Rent Roll'!$S$13-1),AL$4&lt;=EOMONTH(CloseDate,'Rent Roll'!$O$13+'Rent Roll'!$S$13-1+'Rent Roll'!$V$13)),-AL93,0)</f>
        <v>0</v>
      </c>
      <c r="AM94" s="49">
        <f>IF(AND(AM$4&gt;EOMONTH(CloseDate,'Rent Roll'!$O$13+'Rent Roll'!$S$13-1),AM$4&lt;=EOMONTH(CloseDate,'Rent Roll'!$O$13+'Rent Roll'!$S$13-1+'Rent Roll'!$V$13)),-AM93,0)</f>
        <v>0</v>
      </c>
      <c r="AN94" s="49">
        <f>IF(AND(AN$4&gt;EOMONTH(CloseDate,'Rent Roll'!$O$13+'Rent Roll'!$S$13-1),AN$4&lt;=EOMONTH(CloseDate,'Rent Roll'!$O$13+'Rent Roll'!$S$13-1+'Rent Roll'!$V$13)),-AN93,0)</f>
        <v>0</v>
      </c>
      <c r="AO94" s="49">
        <f>IF(AND(AO$4&gt;EOMONTH(CloseDate,'Rent Roll'!$O$13+'Rent Roll'!$S$13-1),AO$4&lt;=EOMONTH(CloseDate,'Rent Roll'!$O$13+'Rent Roll'!$S$13-1+'Rent Roll'!$V$13)),-AO93,0)</f>
        <v>-17370.64087067643</v>
      </c>
      <c r="AP94" s="49">
        <f>IF(AND(AP$4&gt;EOMONTH(CloseDate,'Rent Roll'!$O$13+'Rent Roll'!$S$13-1),AP$4&lt;=EOMONTH(CloseDate,'Rent Roll'!$O$13+'Rent Roll'!$S$13-1+'Rent Roll'!$V$13)),-AP93,0)</f>
        <v>-17370.64087067643</v>
      </c>
      <c r="AQ94" s="49">
        <f>IF(AND(AQ$4&gt;EOMONTH(CloseDate,'Rent Roll'!$O$13+'Rent Roll'!$S$13-1),AQ$4&lt;=EOMONTH(CloseDate,'Rent Roll'!$O$13+'Rent Roll'!$S$13-1+'Rent Roll'!$V$13)),-AQ93,0)</f>
        <v>0</v>
      </c>
      <c r="AR94" s="49">
        <f>IF(AND(AR$4&gt;EOMONTH(CloseDate,'Rent Roll'!$O$13+'Rent Roll'!$S$13-1),AR$4&lt;=EOMONTH(CloseDate,'Rent Roll'!$O$13+'Rent Roll'!$S$13-1+'Rent Roll'!$V$13)),-AR93,0)</f>
        <v>0</v>
      </c>
      <c r="AS94" s="49">
        <f>IF(AND(AS$4&gt;EOMONTH(CloseDate,'Rent Roll'!$O$13+'Rent Roll'!$S$13-1),AS$4&lt;=EOMONTH(CloseDate,'Rent Roll'!$O$13+'Rent Roll'!$S$13-1+'Rent Roll'!$V$13)),-AS93,0)</f>
        <v>0</v>
      </c>
      <c r="AT94" s="49">
        <f>IF(AND(AT$4&gt;EOMONTH(CloseDate,'Rent Roll'!$O$13+'Rent Roll'!$S$13-1),AT$4&lt;=EOMONTH(CloseDate,'Rent Roll'!$O$13+'Rent Roll'!$S$13-1+'Rent Roll'!$V$13)),-AT93,0)</f>
        <v>0</v>
      </c>
      <c r="AU94" s="49">
        <f>IF(AND(AU$4&gt;EOMONTH(CloseDate,'Rent Roll'!$O$13+'Rent Roll'!$S$13-1),AU$4&lt;=EOMONTH(CloseDate,'Rent Roll'!$O$13+'Rent Roll'!$S$13-1+'Rent Roll'!$V$13)),-AU93,0)</f>
        <v>0</v>
      </c>
      <c r="AV94" s="49">
        <f>IF(AND(AV$4&gt;EOMONTH(CloseDate,'Rent Roll'!$O$13+'Rent Roll'!$S$13-1),AV$4&lt;=EOMONTH(CloseDate,'Rent Roll'!$O$13+'Rent Roll'!$S$13-1+'Rent Roll'!$V$13)),-AV93,0)</f>
        <v>0</v>
      </c>
      <c r="AW94" s="49">
        <f>IF(AND(AW$4&gt;EOMONTH(CloseDate,'Rent Roll'!$O$13+'Rent Roll'!$S$13-1),AW$4&lt;=EOMONTH(CloseDate,'Rent Roll'!$O$13+'Rent Roll'!$S$13-1+'Rent Roll'!$V$13)),-AW93,0)</f>
        <v>0</v>
      </c>
      <c r="AX94" s="49">
        <f>IF(AND(AX$4&gt;EOMONTH(CloseDate,'Rent Roll'!$O$13+'Rent Roll'!$S$13-1),AX$4&lt;=EOMONTH(CloseDate,'Rent Roll'!$O$13+'Rent Roll'!$S$13-1+'Rent Roll'!$V$13)),-AX93,0)</f>
        <v>0</v>
      </c>
      <c r="AY94" s="49">
        <f>IF(AND(AY$4&gt;EOMONTH(CloseDate,'Rent Roll'!$O$13+'Rent Roll'!$S$13-1),AY$4&lt;=EOMONTH(CloseDate,'Rent Roll'!$O$13+'Rent Roll'!$S$13-1+'Rent Roll'!$V$13)),-AY93,0)</f>
        <v>0</v>
      </c>
      <c r="AZ94" s="49">
        <f>IF(AND(AZ$4&gt;EOMONTH(CloseDate,'Rent Roll'!$O$13+'Rent Roll'!$S$13-1),AZ$4&lt;=EOMONTH(CloseDate,'Rent Roll'!$O$13+'Rent Roll'!$S$13-1+'Rent Roll'!$V$13)),-AZ93,0)</f>
        <v>0</v>
      </c>
      <c r="BA94" s="49">
        <f>IF(AND(BA$4&gt;EOMONTH(CloseDate,'Rent Roll'!$O$13+'Rent Roll'!$S$13-1),BA$4&lt;=EOMONTH(CloseDate,'Rent Roll'!$O$13+'Rent Roll'!$S$13-1+'Rent Roll'!$V$13)),-BA93,0)</f>
        <v>0</v>
      </c>
      <c r="BB94" s="49">
        <f>IF(AND(BB$4&gt;EOMONTH(CloseDate,'Rent Roll'!$O$13+'Rent Roll'!$S$13-1),BB$4&lt;=EOMONTH(CloseDate,'Rent Roll'!$O$13+'Rent Roll'!$S$13-1+'Rent Roll'!$V$13)),-BB93,0)</f>
        <v>0</v>
      </c>
      <c r="BC94" s="49">
        <f>IF(AND(BC$4&gt;EOMONTH(CloseDate,'Rent Roll'!$O$13+'Rent Roll'!$S$13-1),BC$4&lt;=EOMONTH(CloseDate,'Rent Roll'!$O$13+'Rent Roll'!$S$13-1+'Rent Roll'!$V$13)),-BC93,0)</f>
        <v>0</v>
      </c>
      <c r="BD94" s="49">
        <f>IF(AND(BD$4&gt;EOMONTH(CloseDate,'Rent Roll'!$O$13+'Rent Roll'!$S$13-1),BD$4&lt;=EOMONTH(CloseDate,'Rent Roll'!$O$13+'Rent Roll'!$S$13-1+'Rent Roll'!$V$13)),-BD93,0)</f>
        <v>0</v>
      </c>
      <c r="BE94" s="49">
        <f>IF(AND(BE$4&gt;EOMONTH(CloseDate,'Rent Roll'!$O$13+'Rent Roll'!$S$13-1),BE$4&lt;=EOMONTH(CloseDate,'Rent Roll'!$O$13+'Rent Roll'!$S$13-1+'Rent Roll'!$V$13)),-BE93,0)</f>
        <v>0</v>
      </c>
      <c r="BF94" s="49">
        <f>IF(AND(BF$4&gt;EOMONTH(CloseDate,'Rent Roll'!$O$13+'Rent Roll'!$S$13-1),BF$4&lt;=EOMONTH(CloseDate,'Rent Roll'!$O$13+'Rent Roll'!$S$13-1+'Rent Roll'!$V$13)),-BF93,0)</f>
        <v>0</v>
      </c>
      <c r="BG94" s="49">
        <f>IF(AND(BG$4&gt;EOMONTH(CloseDate,'Rent Roll'!$O$13+'Rent Roll'!$S$13-1),BG$4&lt;=EOMONTH(CloseDate,'Rent Roll'!$O$13+'Rent Roll'!$S$13-1+'Rent Roll'!$V$13)),-BG93,0)</f>
        <v>0</v>
      </c>
      <c r="BH94" s="49">
        <f>IF(AND(BH$4&gt;EOMONTH(CloseDate,'Rent Roll'!$O$13+'Rent Roll'!$S$13-1),BH$4&lt;=EOMONTH(CloseDate,'Rent Roll'!$O$13+'Rent Roll'!$S$13-1+'Rent Roll'!$V$13)),-BH93,0)</f>
        <v>0</v>
      </c>
      <c r="BI94" s="49">
        <f>IF(AND(BI$4&gt;EOMONTH(CloseDate,'Rent Roll'!$O$13+'Rent Roll'!$S$13-1),BI$4&lt;=EOMONTH(CloseDate,'Rent Roll'!$O$13+'Rent Roll'!$S$13-1+'Rent Roll'!$V$13)),-BI93,0)</f>
        <v>0</v>
      </c>
      <c r="BJ94" s="49">
        <f>IF(AND(BJ$4&gt;EOMONTH(CloseDate,'Rent Roll'!$O$13+'Rent Roll'!$S$13-1),BJ$4&lt;=EOMONTH(CloseDate,'Rent Roll'!$O$13+'Rent Roll'!$S$13-1+'Rent Roll'!$V$13)),-BJ93,0)</f>
        <v>0</v>
      </c>
      <c r="BK94" s="49">
        <f>IF(AND(BK$4&gt;EOMONTH(CloseDate,'Rent Roll'!$O$13+'Rent Roll'!$S$13-1),BK$4&lt;=EOMONTH(CloseDate,'Rent Roll'!$O$13+'Rent Roll'!$S$13-1+'Rent Roll'!$V$13)),-BK93,0)</f>
        <v>0</v>
      </c>
      <c r="BL94" s="49">
        <f>IF(AND(BL$4&gt;EOMONTH(CloseDate,'Rent Roll'!$O$13+'Rent Roll'!$S$13-1),BL$4&lt;=EOMONTH(CloseDate,'Rent Roll'!$O$13+'Rent Roll'!$S$13-1+'Rent Roll'!$V$13)),-BL93,0)</f>
        <v>0</v>
      </c>
      <c r="BM94" s="49">
        <f>IF(AND(BM$4&gt;EOMONTH(CloseDate,'Rent Roll'!$O$13+'Rent Roll'!$S$13-1),BM$4&lt;=EOMONTH(CloseDate,'Rent Roll'!$O$13+'Rent Roll'!$S$13-1+'Rent Roll'!$V$13)),-BM93,0)</f>
        <v>0</v>
      </c>
      <c r="BN94" s="49">
        <f>IF(AND(BN$4&gt;EOMONTH(CloseDate,'Rent Roll'!$O$13+'Rent Roll'!$S$13-1),BN$4&lt;=EOMONTH(CloseDate,'Rent Roll'!$O$13+'Rent Roll'!$S$13-1+'Rent Roll'!$V$13)),-BN93,0)</f>
        <v>0</v>
      </c>
      <c r="BO94" s="49">
        <f>IF(AND(BO$4&gt;EOMONTH(CloseDate,'Rent Roll'!$O$13+'Rent Roll'!$S$13-1),BO$4&lt;=EOMONTH(CloseDate,'Rent Roll'!$O$13+'Rent Roll'!$S$13-1+'Rent Roll'!$V$13)),-BO93,0)</f>
        <v>0</v>
      </c>
      <c r="BP94" s="49">
        <f>IF(AND(BP$4&gt;EOMONTH(CloseDate,'Rent Roll'!$O$13+'Rent Roll'!$S$13-1),BP$4&lt;=EOMONTH(CloseDate,'Rent Roll'!$O$13+'Rent Roll'!$S$13-1+'Rent Roll'!$V$13)),-BP93,0)</f>
        <v>0</v>
      </c>
      <c r="BQ94" s="49">
        <f>IF(AND(BQ$4&gt;EOMONTH(CloseDate,'Rent Roll'!$O$13+'Rent Roll'!$S$13-1),BQ$4&lt;=EOMONTH(CloseDate,'Rent Roll'!$O$13+'Rent Roll'!$S$13-1+'Rent Roll'!$V$13)),-BQ93,0)</f>
        <v>0</v>
      </c>
      <c r="BR94" s="49">
        <f>IF(AND(BR$4&gt;EOMONTH(CloseDate,'Rent Roll'!$O$13+'Rent Roll'!$S$13-1),BR$4&lt;=EOMONTH(CloseDate,'Rent Roll'!$O$13+'Rent Roll'!$S$13-1+'Rent Roll'!$V$13)),-BR93,0)</f>
        <v>0</v>
      </c>
      <c r="BS94" s="49">
        <f>IF(AND(BS$4&gt;EOMONTH(CloseDate,'Rent Roll'!$O$13+'Rent Roll'!$S$13-1),BS$4&lt;=EOMONTH(CloseDate,'Rent Roll'!$O$13+'Rent Roll'!$S$13-1+'Rent Roll'!$V$13)),-BS93,0)</f>
        <v>0</v>
      </c>
      <c r="BT94" s="49">
        <f>IF(AND(BT$4&gt;EOMONTH(CloseDate,'Rent Roll'!$O$13+'Rent Roll'!$S$13-1),BT$4&lt;=EOMONTH(CloseDate,'Rent Roll'!$O$13+'Rent Roll'!$S$13-1+'Rent Roll'!$V$13)),-BT93,0)</f>
        <v>0</v>
      </c>
      <c r="BU94" s="49">
        <f>IF(AND(BU$4&gt;EOMONTH(CloseDate,'Rent Roll'!$O$13+'Rent Roll'!$S$13-1),BU$4&lt;=EOMONTH(CloseDate,'Rent Roll'!$O$13+'Rent Roll'!$S$13-1+'Rent Roll'!$V$13)),-BU93,0)</f>
        <v>0</v>
      </c>
      <c r="BV94" s="49">
        <f>IF(AND(BV$4&gt;EOMONTH(CloseDate,'Rent Roll'!$O$13+'Rent Roll'!$S$13-1),BV$4&lt;=EOMONTH(CloseDate,'Rent Roll'!$O$13+'Rent Roll'!$S$13-1+'Rent Roll'!$V$13)),-BV93,0)</f>
        <v>0</v>
      </c>
      <c r="BW94" s="49">
        <f>IF(AND(BW$4&gt;EOMONTH(CloseDate,'Rent Roll'!$O$13+'Rent Roll'!$S$13-1),BW$4&lt;=EOMONTH(CloseDate,'Rent Roll'!$O$13+'Rent Roll'!$S$13-1+'Rent Roll'!$V$13)),-BW93,0)</f>
        <v>0</v>
      </c>
      <c r="BX94" s="49">
        <f>IF(AND(BX$4&gt;EOMONTH(CloseDate,'Rent Roll'!$O$13+'Rent Roll'!$S$13-1),BX$4&lt;=EOMONTH(CloseDate,'Rent Roll'!$O$13+'Rent Roll'!$S$13-1+'Rent Roll'!$V$13)),-BX93,0)</f>
        <v>0</v>
      </c>
    </row>
    <row r="95" spans="1:76" hidden="1" outlineLevel="1">
      <c r="B95" t="s">
        <v>84</v>
      </c>
      <c r="D95" s="49">
        <f>D91+D93+D94</f>
        <v>13650</v>
      </c>
      <c r="E95" s="49">
        <f t="shared" ref="E95:BJ95" si="38">E91+E93+E94</f>
        <v>13650</v>
      </c>
      <c r="F95" s="49">
        <f t="shared" si="38"/>
        <v>13650</v>
      </c>
      <c r="G95" s="49">
        <f t="shared" si="38"/>
        <v>13650</v>
      </c>
      <c r="H95" s="49">
        <f t="shared" si="38"/>
        <v>13650</v>
      </c>
      <c r="I95" s="49">
        <f t="shared" si="38"/>
        <v>13650</v>
      </c>
      <c r="J95" s="49">
        <f t="shared" si="38"/>
        <v>13650</v>
      </c>
      <c r="K95" s="49">
        <f t="shared" si="38"/>
        <v>13650</v>
      </c>
      <c r="L95" s="49">
        <f t="shared" si="38"/>
        <v>13650</v>
      </c>
      <c r="M95" s="49">
        <f t="shared" si="38"/>
        <v>13991.249999999998</v>
      </c>
      <c r="N95" s="49">
        <f t="shared" si="38"/>
        <v>13991.249999999998</v>
      </c>
      <c r="O95" s="49">
        <f t="shared" si="38"/>
        <v>13991.249999999998</v>
      </c>
      <c r="P95" s="49">
        <f t="shared" si="38"/>
        <v>13991.249999999998</v>
      </c>
      <c r="Q95" s="49">
        <f t="shared" si="38"/>
        <v>13991.249999999998</v>
      </c>
      <c r="R95" s="49">
        <f t="shared" si="38"/>
        <v>13991.249999999998</v>
      </c>
      <c r="S95" s="49">
        <f t="shared" si="38"/>
        <v>13991.249999999998</v>
      </c>
      <c r="T95" s="49">
        <f t="shared" si="38"/>
        <v>13991.249999999998</v>
      </c>
      <c r="U95" s="49">
        <f t="shared" si="38"/>
        <v>14341.031249999998</v>
      </c>
      <c r="V95" s="49">
        <f t="shared" si="38"/>
        <v>14341.031249999998</v>
      </c>
      <c r="W95" s="49">
        <f t="shared" si="38"/>
        <v>14341.031249999998</v>
      </c>
      <c r="X95" s="49">
        <f t="shared" si="38"/>
        <v>14341.031249999998</v>
      </c>
      <c r="Y95" s="49">
        <f t="shared" si="38"/>
        <v>14341.031249999998</v>
      </c>
      <c r="Z95" s="49">
        <f t="shared" si="38"/>
        <v>14341.031249999998</v>
      </c>
      <c r="AA95" s="49">
        <f t="shared" si="38"/>
        <v>14341.031249999998</v>
      </c>
      <c r="AB95" s="49">
        <f t="shared" si="38"/>
        <v>14341.031249999998</v>
      </c>
      <c r="AC95" s="49">
        <f t="shared" si="38"/>
        <v>14341.031249999998</v>
      </c>
      <c r="AD95" s="49">
        <f t="shared" si="38"/>
        <v>14341.031249999998</v>
      </c>
      <c r="AE95" s="49">
        <f t="shared" si="38"/>
        <v>14341.031249999998</v>
      </c>
      <c r="AF95" s="49">
        <f t="shared" si="38"/>
        <v>14341.031249999998</v>
      </c>
      <c r="AG95" s="49">
        <f t="shared" si="38"/>
        <v>14699.557031249999</v>
      </c>
      <c r="AH95" s="49">
        <f t="shared" si="38"/>
        <v>14699.557031249999</v>
      </c>
      <c r="AI95" s="49">
        <f t="shared" si="38"/>
        <v>14699.557031249999</v>
      </c>
      <c r="AJ95" s="49">
        <f t="shared" si="38"/>
        <v>14699.557031249999</v>
      </c>
      <c r="AK95" s="49">
        <f t="shared" si="38"/>
        <v>0</v>
      </c>
      <c r="AL95" s="49">
        <f t="shared" si="38"/>
        <v>0</v>
      </c>
      <c r="AM95" s="49">
        <f t="shared" si="38"/>
        <v>0</v>
      </c>
      <c r="AN95" s="49">
        <f t="shared" si="38"/>
        <v>0</v>
      </c>
      <c r="AO95" s="49">
        <f t="shared" si="38"/>
        <v>0</v>
      </c>
      <c r="AP95" s="49">
        <f t="shared" si="38"/>
        <v>0</v>
      </c>
      <c r="AQ95" s="49">
        <f t="shared" si="38"/>
        <v>17370.64087067643</v>
      </c>
      <c r="AR95" s="49">
        <f t="shared" si="38"/>
        <v>17370.64087067643</v>
      </c>
      <c r="AS95" s="49">
        <f t="shared" si="38"/>
        <v>17839.648174184691</v>
      </c>
      <c r="AT95" s="49">
        <f t="shared" si="38"/>
        <v>17839.648174184691</v>
      </c>
      <c r="AU95" s="49">
        <f t="shared" si="38"/>
        <v>17839.648174184691</v>
      </c>
      <c r="AV95" s="49">
        <f t="shared" si="38"/>
        <v>17839.648174184691</v>
      </c>
      <c r="AW95" s="49">
        <f t="shared" si="38"/>
        <v>17839.648174184691</v>
      </c>
      <c r="AX95" s="49">
        <f t="shared" si="38"/>
        <v>17839.648174184691</v>
      </c>
      <c r="AY95" s="49">
        <f t="shared" si="38"/>
        <v>17839.648174184691</v>
      </c>
      <c r="AZ95" s="49">
        <f t="shared" si="38"/>
        <v>17839.648174184691</v>
      </c>
      <c r="BA95" s="49">
        <f t="shared" si="38"/>
        <v>17839.648174184691</v>
      </c>
      <c r="BB95" s="49">
        <f t="shared" si="38"/>
        <v>17839.648174184691</v>
      </c>
      <c r="BC95" s="49">
        <f t="shared" si="38"/>
        <v>17839.648174184691</v>
      </c>
      <c r="BD95" s="49">
        <f t="shared" si="38"/>
        <v>17839.648174184691</v>
      </c>
      <c r="BE95" s="49">
        <f t="shared" si="38"/>
        <v>18321.31867488768</v>
      </c>
      <c r="BF95" s="49">
        <f t="shared" si="38"/>
        <v>18321.31867488768</v>
      </c>
      <c r="BG95" s="49">
        <f t="shared" si="38"/>
        <v>18321.31867488768</v>
      </c>
      <c r="BH95" s="49">
        <f t="shared" si="38"/>
        <v>18321.31867488768</v>
      </c>
      <c r="BI95" s="49">
        <f t="shared" si="38"/>
        <v>18321.31867488768</v>
      </c>
      <c r="BJ95" s="49">
        <f t="shared" si="38"/>
        <v>18321.31867488768</v>
      </c>
      <c r="BK95" s="49">
        <f t="shared" ref="BK95" si="39">BK91+BK93+BK94</f>
        <v>18321.31867488768</v>
      </c>
      <c r="BL95" s="49">
        <f t="shared" ref="BL95:BX95" si="40">BL91+BL93+BL94</f>
        <v>18321.31867488768</v>
      </c>
      <c r="BM95" s="49">
        <f t="shared" si="40"/>
        <v>18321.31867488768</v>
      </c>
      <c r="BN95" s="49">
        <f t="shared" si="40"/>
        <v>18321.31867488768</v>
      </c>
      <c r="BO95" s="49">
        <f t="shared" si="40"/>
        <v>18321.31867488768</v>
      </c>
      <c r="BP95" s="49">
        <f t="shared" si="40"/>
        <v>18321.31867488768</v>
      </c>
      <c r="BQ95" s="49">
        <f t="shared" si="40"/>
        <v>18815.994279109644</v>
      </c>
      <c r="BR95" s="49">
        <f t="shared" si="40"/>
        <v>18815.994279109644</v>
      </c>
      <c r="BS95" s="49">
        <f t="shared" si="40"/>
        <v>18815.994279109644</v>
      </c>
      <c r="BT95" s="49">
        <f t="shared" si="40"/>
        <v>18815.994279109644</v>
      </c>
      <c r="BU95" s="49">
        <f t="shared" si="40"/>
        <v>18815.994279109644</v>
      </c>
      <c r="BV95" s="49">
        <f t="shared" si="40"/>
        <v>18815.994279109644</v>
      </c>
      <c r="BW95" s="49">
        <f t="shared" si="40"/>
        <v>18815.994279109644</v>
      </c>
      <c r="BX95" s="49">
        <f t="shared" si="40"/>
        <v>18815.994279109644</v>
      </c>
    </row>
    <row r="96" spans="1:76" collapsed="1">
      <c r="B96" t="s">
        <v>85</v>
      </c>
      <c r="D96" s="49">
        <f>IF(OR(D90=1,D92=1),'Rent Roll'!$F$13/BldgSF*ReimbPool/12*D$7,0)</f>
        <v>6805.5</v>
      </c>
      <c r="E96" s="49">
        <f>IF(OR(E90=1,E92=1),'Rent Roll'!$F$13/BldgSF*ReimbPool/12*E$7,0)</f>
        <v>6805.5</v>
      </c>
      <c r="F96" s="49">
        <f>IF(OR(F90=1,F92=1),'Rent Roll'!$F$13/BldgSF*ReimbPool/12*F$7,0)</f>
        <v>6805.5</v>
      </c>
      <c r="G96" s="49">
        <f>IF(OR(G90=1,G92=1),'Rent Roll'!$F$13/BldgSF*ReimbPool/12*G$7,0)</f>
        <v>6805.5</v>
      </c>
      <c r="H96" s="49">
        <f>IF(OR(H90=1,H92=1),'Rent Roll'!$F$13/BldgSF*ReimbPool/12*H$7,0)</f>
        <v>6805.5</v>
      </c>
      <c r="I96" s="49">
        <f>IF(OR(I90=1,I92=1),'Rent Roll'!$F$13/BldgSF*ReimbPool/12*I$7,0)</f>
        <v>6989.2484999999997</v>
      </c>
      <c r="J96" s="49">
        <f>IF(OR(J90=1,J92=1),'Rent Roll'!$F$13/BldgSF*ReimbPool/12*J$7,0)</f>
        <v>6989.2484999999997</v>
      </c>
      <c r="K96" s="49">
        <f>IF(OR(K90=1,K92=1),'Rent Roll'!$F$13/BldgSF*ReimbPool/12*K$7,0)</f>
        <v>6989.2484999999997</v>
      </c>
      <c r="L96" s="49">
        <f>IF(OR(L90=1,L92=1),'Rent Roll'!$F$13/BldgSF*ReimbPool/12*L$7,0)</f>
        <v>6989.2484999999997</v>
      </c>
      <c r="M96" s="49">
        <f>IF(OR(M90=1,M92=1),'Rent Roll'!$F$13/BldgSF*ReimbPool/12*M$7,0)</f>
        <v>6989.2484999999997</v>
      </c>
      <c r="N96" s="49">
        <f>IF(OR(N90=1,N92=1),'Rent Roll'!$F$13/BldgSF*ReimbPool/12*N$7,0)</f>
        <v>6989.2484999999997</v>
      </c>
      <c r="O96" s="49">
        <f>IF(OR(O90=1,O92=1),'Rent Roll'!$F$13/BldgSF*ReimbPool/12*O$7,0)</f>
        <v>6989.2484999999997</v>
      </c>
      <c r="P96" s="49">
        <f>IF(OR(P90=1,P92=1),'Rent Roll'!$F$13/BldgSF*ReimbPool/12*P$7,0)</f>
        <v>6989.2484999999997</v>
      </c>
      <c r="Q96" s="49">
        <f>IF(OR(Q90=1,Q92=1),'Rent Roll'!$F$13/BldgSF*ReimbPool/12*Q$7,0)</f>
        <v>6989.2484999999997</v>
      </c>
      <c r="R96" s="49">
        <f>IF(OR(R90=1,R92=1),'Rent Roll'!$F$13/BldgSF*ReimbPool/12*R$7,0)</f>
        <v>6989.2484999999997</v>
      </c>
      <c r="S96" s="49">
        <f>IF(OR(S90=1,S92=1),'Rent Roll'!$F$13/BldgSF*ReimbPool/12*S$7,0)</f>
        <v>6989.2484999999997</v>
      </c>
      <c r="T96" s="49">
        <f>IF(OR(T90=1,T92=1),'Rent Roll'!$F$13/BldgSF*ReimbPool/12*T$7,0)</f>
        <v>6989.2484999999997</v>
      </c>
      <c r="U96" s="49">
        <f>IF(OR(U90=1,U92=1),'Rent Roll'!$F$13/BldgSF*ReimbPool/12*U$7,0)</f>
        <v>7177.9582094999987</v>
      </c>
      <c r="V96" s="49">
        <f>IF(OR(V90=1,V92=1),'Rent Roll'!$F$13/BldgSF*ReimbPool/12*V$7,0)</f>
        <v>7177.9582094999987</v>
      </c>
      <c r="W96" s="49">
        <f>IF(OR(W90=1,W92=1),'Rent Roll'!$F$13/BldgSF*ReimbPool/12*W$7,0)</f>
        <v>7177.9582094999987</v>
      </c>
      <c r="X96" s="49">
        <f>IF(OR(X90=1,X92=1),'Rent Roll'!$F$13/BldgSF*ReimbPool/12*X$7,0)</f>
        <v>7177.9582094999987</v>
      </c>
      <c r="Y96" s="49">
        <f>IF(OR(Y90=1,Y92=1),'Rent Roll'!$F$13/BldgSF*ReimbPool/12*Y$7,0)</f>
        <v>7177.9582094999987</v>
      </c>
      <c r="Z96" s="49">
        <f>IF(OR(Z90=1,Z92=1),'Rent Roll'!$F$13/BldgSF*ReimbPool/12*Z$7,0)</f>
        <v>7177.9582094999987</v>
      </c>
      <c r="AA96" s="49">
        <f>IF(OR(AA90=1,AA92=1),'Rent Roll'!$F$13/BldgSF*ReimbPool/12*AA$7,0)</f>
        <v>7177.9582094999987</v>
      </c>
      <c r="AB96" s="49">
        <f>IF(OR(AB90=1,AB92=1),'Rent Roll'!$F$13/BldgSF*ReimbPool/12*AB$7,0)</f>
        <v>7177.9582094999987</v>
      </c>
      <c r="AC96" s="49">
        <f>IF(OR(AC90=1,AC92=1),'Rent Roll'!$F$13/BldgSF*ReimbPool/12*AC$7,0)</f>
        <v>7177.9582094999987</v>
      </c>
      <c r="AD96" s="49">
        <f>IF(OR(AD90=1,AD92=1),'Rent Roll'!$F$13/BldgSF*ReimbPool/12*AD$7,0)</f>
        <v>7177.9582094999987</v>
      </c>
      <c r="AE96" s="49">
        <f>IF(OR(AE90=1,AE92=1),'Rent Roll'!$F$13/BldgSF*ReimbPool/12*AE$7,0)</f>
        <v>7177.9582094999987</v>
      </c>
      <c r="AF96" s="49">
        <f>IF(OR(AF90=1,AF92=1),'Rent Roll'!$F$13/BldgSF*ReimbPool/12*AF$7,0)</f>
        <v>7177.9582094999987</v>
      </c>
      <c r="AG96" s="49">
        <f>IF(OR(AG90=1,AG92=1),'Rent Roll'!$F$13/BldgSF*ReimbPool/12*AG$7,0)</f>
        <v>7371.7630811564986</v>
      </c>
      <c r="AH96" s="49">
        <f>IF(OR(AH90=1,AH92=1),'Rent Roll'!$F$13/BldgSF*ReimbPool/12*AH$7,0)</f>
        <v>7371.7630811564986</v>
      </c>
      <c r="AI96" s="49">
        <f>IF(OR(AI90=1,AI92=1),'Rent Roll'!$F$13/BldgSF*ReimbPool/12*AI$7,0)</f>
        <v>7371.7630811564986</v>
      </c>
      <c r="AJ96" s="49">
        <f>IF(OR(AJ90=1,AJ92=1),'Rent Roll'!$F$13/BldgSF*ReimbPool/12*AJ$7,0)</f>
        <v>7371.7630811564986</v>
      </c>
      <c r="AK96" s="49">
        <f>IF(OR(AK90=1,AK92=1),'Rent Roll'!$F$13/BldgSF*ReimbPool/12*AK$7,0)</f>
        <v>0</v>
      </c>
      <c r="AL96" s="49">
        <f>IF(OR(AL90=1,AL92=1),'Rent Roll'!$F$13/BldgSF*ReimbPool/12*AL$7,0)</f>
        <v>0</v>
      </c>
      <c r="AM96" s="49">
        <f>IF(OR(AM90=1,AM92=1),'Rent Roll'!$F$13/BldgSF*ReimbPool/12*AM$7,0)</f>
        <v>0</v>
      </c>
      <c r="AN96" s="49">
        <f>IF(OR(AN90=1,AN92=1),'Rent Roll'!$F$13/BldgSF*ReimbPool/12*AN$7,0)</f>
        <v>0</v>
      </c>
      <c r="AO96" s="49">
        <f>IF(OR(AO90=1,AO92=1),'Rent Roll'!$F$13/BldgSF*ReimbPool/12*AO$7,0)</f>
        <v>7371.7630811564986</v>
      </c>
      <c r="AP96" s="49">
        <f>IF(OR(AP90=1,AP92=1),'Rent Roll'!$F$13/BldgSF*ReimbPool/12*AP$7,0)</f>
        <v>7371.7630811564986</v>
      </c>
      <c r="AQ96" s="49">
        <f>IF(OR(AQ90=1,AQ92=1),'Rent Roll'!$F$13/BldgSF*ReimbPool/12*AQ$7,0)</f>
        <v>7371.7630811564986</v>
      </c>
      <c r="AR96" s="49">
        <f>IF(OR(AR90=1,AR92=1),'Rent Roll'!$F$13/BldgSF*ReimbPool/12*AR$7,0)</f>
        <v>7371.7630811564986</v>
      </c>
      <c r="AS96" s="49">
        <f>IF(OR(AS90=1,AS92=1),'Rent Roll'!$F$13/BldgSF*ReimbPool/12*AS$7,0)</f>
        <v>7570.8006843477224</v>
      </c>
      <c r="AT96" s="49">
        <f>IF(OR(AT90=1,AT92=1),'Rent Roll'!$F$13/BldgSF*ReimbPool/12*AT$7,0)</f>
        <v>7570.8006843477224</v>
      </c>
      <c r="AU96" s="49">
        <f>IF(OR(AU90=1,AU92=1),'Rent Roll'!$F$13/BldgSF*ReimbPool/12*AU$7,0)</f>
        <v>7570.8006843477224</v>
      </c>
      <c r="AV96" s="49">
        <f>IF(OR(AV90=1,AV92=1),'Rent Roll'!$F$13/BldgSF*ReimbPool/12*AV$7,0)</f>
        <v>7570.8006843477224</v>
      </c>
      <c r="AW96" s="49">
        <f>IF(OR(AW90=1,AW92=1),'Rent Roll'!$F$13/BldgSF*ReimbPool/12*AW$7,0)</f>
        <v>7570.8006843477224</v>
      </c>
      <c r="AX96" s="49">
        <f>IF(OR(AX90=1,AX92=1),'Rent Roll'!$F$13/BldgSF*ReimbPool/12*AX$7,0)</f>
        <v>7570.8006843477224</v>
      </c>
      <c r="AY96" s="49">
        <f>IF(OR(AY90=1,AY92=1),'Rent Roll'!$F$13/BldgSF*ReimbPool/12*AY$7,0)</f>
        <v>7570.8006843477224</v>
      </c>
      <c r="AZ96" s="49">
        <f>IF(OR(AZ90=1,AZ92=1),'Rent Roll'!$F$13/BldgSF*ReimbPool/12*AZ$7,0)</f>
        <v>7570.8006843477224</v>
      </c>
      <c r="BA96" s="49">
        <f>IF(OR(BA90=1,BA92=1),'Rent Roll'!$F$13/BldgSF*ReimbPool/12*BA$7,0)</f>
        <v>7570.8006843477224</v>
      </c>
      <c r="BB96" s="49">
        <f>IF(OR(BB90=1,BB92=1),'Rent Roll'!$F$13/BldgSF*ReimbPool/12*BB$7,0)</f>
        <v>7570.8006843477224</v>
      </c>
      <c r="BC96" s="49">
        <f>IF(OR(BC90=1,BC92=1),'Rent Roll'!$F$13/BldgSF*ReimbPool/12*BC$7,0)</f>
        <v>7570.8006843477224</v>
      </c>
      <c r="BD96" s="49">
        <f>IF(OR(BD90=1,BD92=1),'Rent Roll'!$F$13/BldgSF*ReimbPool/12*BD$7,0)</f>
        <v>7570.8006843477224</v>
      </c>
      <c r="BE96" s="49">
        <f>IF(OR(BE90=1,BE92=1),'Rent Roll'!$F$13/BldgSF*ReimbPool/12*BE$7,0)</f>
        <v>7775.2123028251108</v>
      </c>
      <c r="BF96" s="49">
        <f>IF(OR(BF90=1,BF92=1),'Rent Roll'!$F$13/BldgSF*ReimbPool/12*BF$7,0)</f>
        <v>7775.2123028251108</v>
      </c>
      <c r="BG96" s="49">
        <f>IF(OR(BG90=1,BG92=1),'Rent Roll'!$F$13/BldgSF*ReimbPool/12*BG$7,0)</f>
        <v>7775.2123028251108</v>
      </c>
      <c r="BH96" s="49">
        <f>IF(OR(BH90=1,BH92=1),'Rent Roll'!$F$13/BldgSF*ReimbPool/12*BH$7,0)</f>
        <v>7775.2123028251108</v>
      </c>
      <c r="BI96" s="49">
        <f>IF(OR(BI90=1,BI92=1),'Rent Roll'!$F$13/BldgSF*ReimbPool/12*BI$7,0)</f>
        <v>7775.2123028251108</v>
      </c>
      <c r="BJ96" s="49">
        <f>IF(OR(BJ90=1,BJ92=1),'Rent Roll'!$F$13/BldgSF*ReimbPool/12*BJ$7,0)</f>
        <v>7775.2123028251108</v>
      </c>
      <c r="BK96" s="49">
        <f>IF(OR(BK90=1,BK92=1),'Rent Roll'!$F$13/BldgSF*ReimbPool/12*BK$7,0)</f>
        <v>7775.2123028251108</v>
      </c>
      <c r="BL96" s="49">
        <f>IF(OR(BL90=1,BL92=1),'Rent Roll'!$F$13/BldgSF*ReimbPool/12*BL$7,0)</f>
        <v>7775.2123028251108</v>
      </c>
      <c r="BM96" s="49">
        <f>IF(OR(BM90=1,BM92=1),'Rent Roll'!$F$13/BldgSF*ReimbPool/12*BM$7,0)</f>
        <v>7775.2123028251108</v>
      </c>
      <c r="BN96" s="49">
        <f>IF(OR(BN90=1,BN92=1),'Rent Roll'!$F$13/BldgSF*ReimbPool/12*BN$7,0)</f>
        <v>7775.2123028251108</v>
      </c>
      <c r="BO96" s="49">
        <f>IF(OR(BO90=1,BO92=1),'Rent Roll'!$F$13/BldgSF*ReimbPool/12*BO$7,0)</f>
        <v>7775.2123028251108</v>
      </c>
      <c r="BP96" s="49">
        <f>IF(OR(BP90=1,BP92=1),'Rent Roll'!$F$13/BldgSF*ReimbPool/12*BP$7,0)</f>
        <v>7775.2123028251108</v>
      </c>
      <c r="BQ96" s="49">
        <f>IF(OR(BQ90=1,BQ92=1),'Rent Roll'!$F$13/BldgSF*ReimbPool/12*BQ$7,0)</f>
        <v>7985.1430350013879</v>
      </c>
      <c r="BR96" s="49">
        <f>IF(OR(BR90=1,BR92=1),'Rent Roll'!$F$13/BldgSF*ReimbPool/12*BR$7,0)</f>
        <v>7985.1430350013879</v>
      </c>
      <c r="BS96" s="49">
        <f>IF(OR(BS90=1,BS92=1),'Rent Roll'!$F$13/BldgSF*ReimbPool/12*BS$7,0)</f>
        <v>7985.1430350013879</v>
      </c>
      <c r="BT96" s="49">
        <f>IF(OR(BT90=1,BT92=1),'Rent Roll'!$F$13/BldgSF*ReimbPool/12*BT$7,0)</f>
        <v>7985.1430350013879</v>
      </c>
      <c r="BU96" s="49">
        <f>IF(OR(BU90=1,BU92=1),'Rent Roll'!$F$13/BldgSF*ReimbPool/12*BU$7,0)</f>
        <v>7985.1430350013879</v>
      </c>
      <c r="BV96" s="49">
        <f>IF(OR(BV90=1,BV92=1),'Rent Roll'!$F$13/BldgSF*ReimbPool/12*BV$7,0)</f>
        <v>7985.1430350013879</v>
      </c>
      <c r="BW96" s="49">
        <f>IF(OR(BW90=1,BW92=1),'Rent Roll'!$F$13/BldgSF*ReimbPool/12*BW$7,0)</f>
        <v>7985.1430350013879</v>
      </c>
      <c r="BX96" s="49">
        <f>IF(OR(BX90=1,BX92=1),'Rent Roll'!$F$13/BldgSF*ReimbPool/12*BX$7,0)</f>
        <v>7985.1430350013879</v>
      </c>
    </row>
    <row r="97" spans="1:76">
      <c r="B97" t="s">
        <v>86</v>
      </c>
      <c r="D97" s="49">
        <f>IF(D$4=EOMONTH(CloseDate,'Rent Roll'!$O$13+'Rent Roll'!$S$13),-'Rent Roll'!$F$13*'Rent Roll'!$T$13,0)</f>
        <v>0</v>
      </c>
      <c r="E97" s="49">
        <f>IF(E$4=EOMONTH(CloseDate,'Rent Roll'!$O$13+'Rent Roll'!$S$13),-'Rent Roll'!$F$13*'Rent Roll'!$T$13,0)</f>
        <v>0</v>
      </c>
      <c r="F97" s="49">
        <f>IF(F$4=EOMONTH(CloseDate,'Rent Roll'!$O$13+'Rent Roll'!$S$13),-'Rent Roll'!$F$13*'Rent Roll'!$T$13,0)</f>
        <v>0</v>
      </c>
      <c r="G97" s="49">
        <f>IF(G$4=EOMONTH(CloseDate,'Rent Roll'!$O$13+'Rent Roll'!$S$13),-'Rent Roll'!$F$13*'Rent Roll'!$T$13,0)</f>
        <v>0</v>
      </c>
      <c r="H97" s="49">
        <f>IF(H$4=EOMONTH(CloseDate,'Rent Roll'!$O$13+'Rent Roll'!$S$13),-'Rent Roll'!$F$13*'Rent Roll'!$T$13,0)</f>
        <v>0</v>
      </c>
      <c r="I97" s="49">
        <f>IF(I$4=EOMONTH(CloseDate,'Rent Roll'!$O$13+'Rent Roll'!$S$13),-'Rent Roll'!$F$13*'Rent Roll'!$T$13,0)</f>
        <v>0</v>
      </c>
      <c r="J97" s="49">
        <f>IF(J$4=EOMONTH(CloseDate,'Rent Roll'!$O$13+'Rent Roll'!$S$13),-'Rent Roll'!$F$13*'Rent Roll'!$T$13,0)</f>
        <v>0</v>
      </c>
      <c r="K97" s="49">
        <f>IF(K$4=EOMONTH(CloseDate,'Rent Roll'!$O$13+'Rent Roll'!$S$13),-'Rent Roll'!$F$13*'Rent Roll'!$T$13,0)</f>
        <v>0</v>
      </c>
      <c r="L97" s="49">
        <f>IF(L$4=EOMONTH(CloseDate,'Rent Roll'!$O$13+'Rent Roll'!$S$13),-'Rent Roll'!$F$13*'Rent Roll'!$T$13,0)</f>
        <v>0</v>
      </c>
      <c r="M97" s="49">
        <f>IF(M$4=EOMONTH(CloseDate,'Rent Roll'!$O$13+'Rent Roll'!$S$13),-'Rent Roll'!$F$13*'Rent Roll'!$T$13,0)</f>
        <v>0</v>
      </c>
      <c r="N97" s="49">
        <f>IF(N$4=EOMONTH(CloseDate,'Rent Roll'!$O$13+'Rent Roll'!$S$13),-'Rent Roll'!$F$13*'Rent Roll'!$T$13,0)</f>
        <v>0</v>
      </c>
      <c r="O97" s="49">
        <f>IF(O$4=EOMONTH(CloseDate,'Rent Roll'!$O$13+'Rent Roll'!$S$13),-'Rent Roll'!$F$13*'Rent Roll'!$T$13,0)</f>
        <v>0</v>
      </c>
      <c r="P97" s="49">
        <f>IF(P$4=EOMONTH(CloseDate,'Rent Roll'!$O$13+'Rent Roll'!$S$13),-'Rent Roll'!$F$13*'Rent Roll'!$T$13,0)</f>
        <v>0</v>
      </c>
      <c r="Q97" s="49">
        <f>IF(Q$4=EOMONTH(CloseDate,'Rent Roll'!$O$13+'Rent Roll'!$S$13),-'Rent Roll'!$F$13*'Rent Roll'!$T$13,0)</f>
        <v>0</v>
      </c>
      <c r="R97" s="49">
        <f>IF(R$4=EOMONTH(CloseDate,'Rent Roll'!$O$13+'Rent Roll'!$S$13),-'Rent Roll'!$F$13*'Rent Roll'!$T$13,0)</f>
        <v>0</v>
      </c>
      <c r="S97" s="49">
        <f>IF(S$4=EOMONTH(CloseDate,'Rent Roll'!$O$13+'Rent Roll'!$S$13),-'Rent Roll'!$F$13*'Rent Roll'!$T$13,0)</f>
        <v>0</v>
      </c>
      <c r="T97" s="49">
        <f>IF(T$4=EOMONTH(CloseDate,'Rent Roll'!$O$13+'Rent Roll'!$S$13),-'Rent Roll'!$F$13*'Rent Roll'!$T$13,0)</f>
        <v>0</v>
      </c>
      <c r="U97" s="49">
        <f>IF(U$4=EOMONTH(CloseDate,'Rent Roll'!$O$13+'Rent Roll'!$S$13),-'Rent Roll'!$F$13*'Rent Roll'!$T$13,0)</f>
        <v>0</v>
      </c>
      <c r="V97" s="49">
        <f>IF(V$4=EOMONTH(CloseDate,'Rent Roll'!$O$13+'Rent Roll'!$S$13),-'Rent Roll'!$F$13*'Rent Roll'!$T$13,0)</f>
        <v>0</v>
      </c>
      <c r="W97" s="49">
        <f>IF(W$4=EOMONTH(CloseDate,'Rent Roll'!$O$13+'Rent Roll'!$S$13),-'Rent Roll'!$F$13*'Rent Roll'!$T$13,0)</f>
        <v>0</v>
      </c>
      <c r="X97" s="49">
        <f>IF(X$4=EOMONTH(CloseDate,'Rent Roll'!$O$13+'Rent Roll'!$S$13),-'Rent Roll'!$F$13*'Rent Roll'!$T$13,0)</f>
        <v>0</v>
      </c>
      <c r="Y97" s="49">
        <f>IF(Y$4=EOMONTH(CloseDate,'Rent Roll'!$O$13+'Rent Roll'!$S$13),-'Rent Roll'!$F$13*'Rent Roll'!$T$13,0)</f>
        <v>0</v>
      </c>
      <c r="Z97" s="49">
        <f>IF(Z$4=EOMONTH(CloseDate,'Rent Roll'!$O$13+'Rent Roll'!$S$13),-'Rent Roll'!$F$13*'Rent Roll'!$T$13,0)</f>
        <v>0</v>
      </c>
      <c r="AA97" s="49">
        <f>IF(AA$4=EOMONTH(CloseDate,'Rent Roll'!$O$13+'Rent Roll'!$S$13),-'Rent Roll'!$F$13*'Rent Roll'!$T$13,0)</f>
        <v>0</v>
      </c>
      <c r="AB97" s="49">
        <f>IF(AB$4=EOMONTH(CloseDate,'Rent Roll'!$O$13+'Rent Roll'!$S$13),-'Rent Roll'!$F$13*'Rent Roll'!$T$13,0)</f>
        <v>0</v>
      </c>
      <c r="AC97" s="49">
        <f>IF(AC$4=EOMONTH(CloseDate,'Rent Roll'!$O$13+'Rent Roll'!$S$13),-'Rent Roll'!$F$13*'Rent Roll'!$T$13,0)</f>
        <v>0</v>
      </c>
      <c r="AD97" s="49">
        <f>IF(AD$4=EOMONTH(CloseDate,'Rent Roll'!$O$13+'Rent Roll'!$S$13),-'Rent Roll'!$F$13*'Rent Roll'!$T$13,0)</f>
        <v>0</v>
      </c>
      <c r="AE97" s="49">
        <f>IF(AE$4=EOMONTH(CloseDate,'Rent Roll'!$O$13+'Rent Roll'!$S$13),-'Rent Roll'!$F$13*'Rent Roll'!$T$13,0)</f>
        <v>0</v>
      </c>
      <c r="AF97" s="49">
        <f>IF(AF$4=EOMONTH(CloseDate,'Rent Roll'!$O$13+'Rent Roll'!$S$13),-'Rent Roll'!$F$13*'Rent Roll'!$T$13,0)</f>
        <v>0</v>
      </c>
      <c r="AG97" s="49">
        <f>IF(AG$4=EOMONTH(CloseDate,'Rent Roll'!$O$13+'Rent Roll'!$S$13),-'Rent Roll'!$F$13*'Rent Roll'!$T$13,0)</f>
        <v>0</v>
      </c>
      <c r="AH97" s="49">
        <f>IF(AH$4=EOMONTH(CloseDate,'Rent Roll'!$O$13+'Rent Roll'!$S$13),-'Rent Roll'!$F$13*'Rent Roll'!$T$13,0)</f>
        <v>0</v>
      </c>
      <c r="AI97" s="49">
        <f>IF(AI$4=EOMONTH(CloseDate,'Rent Roll'!$O$13+'Rent Roll'!$S$13),-'Rent Roll'!$F$13*'Rent Roll'!$T$13,0)</f>
        <v>0</v>
      </c>
      <c r="AJ97" s="49">
        <f>IF(AJ$4=EOMONTH(CloseDate,'Rent Roll'!$O$13+'Rent Roll'!$S$13),-'Rent Roll'!$F$13*'Rent Roll'!$T$13,0)</f>
        <v>0</v>
      </c>
      <c r="AK97" s="49">
        <f>IF(AK$4=EOMONTH(CloseDate,'Rent Roll'!$O$13+'Rent Roll'!$S$13),-'Rent Roll'!$F$13*'Rent Roll'!$T$13,0)</f>
        <v>0</v>
      </c>
      <c r="AL97" s="49">
        <f>IF(AL$4=EOMONTH(CloseDate,'Rent Roll'!$O$13+'Rent Roll'!$S$13),-'Rent Roll'!$F$13*'Rent Roll'!$T$13,0)</f>
        <v>0</v>
      </c>
      <c r="AM97" s="49">
        <f>IF(AM$4=EOMONTH(CloseDate,'Rent Roll'!$O$13+'Rent Roll'!$S$13),-'Rent Roll'!$F$13*'Rent Roll'!$T$13,0)</f>
        <v>0</v>
      </c>
      <c r="AN97" s="49">
        <f>IF(AN$4=EOMONTH(CloseDate,'Rent Roll'!$O$13+'Rent Roll'!$S$13),-'Rent Roll'!$F$13*'Rent Roll'!$T$13,0)</f>
        <v>0</v>
      </c>
      <c r="AO97" s="49">
        <f>IF(AO$4=EOMONTH(CloseDate,'Rent Roll'!$O$13+'Rent Roll'!$S$13),-'Rent Roll'!$F$13*'Rent Roll'!$T$13,0)</f>
        <v>-280800</v>
      </c>
      <c r="AP97" s="49">
        <f>IF(AP$4=EOMONTH(CloseDate,'Rent Roll'!$O$13+'Rent Roll'!$S$13),-'Rent Roll'!$F$13*'Rent Roll'!$T$13,0)</f>
        <v>0</v>
      </c>
      <c r="AQ97" s="49">
        <f>IF(AQ$4=EOMONTH(CloseDate,'Rent Roll'!$O$13+'Rent Roll'!$S$13),-'Rent Roll'!$F$13*'Rent Roll'!$T$13,0)</f>
        <v>0</v>
      </c>
      <c r="AR97" s="49">
        <f>IF(AR$4=EOMONTH(CloseDate,'Rent Roll'!$O$13+'Rent Roll'!$S$13),-'Rent Roll'!$F$13*'Rent Roll'!$T$13,0)</f>
        <v>0</v>
      </c>
      <c r="AS97" s="49">
        <f>IF(AS$4=EOMONTH(CloseDate,'Rent Roll'!$O$13+'Rent Roll'!$S$13),-'Rent Roll'!$F$13*'Rent Roll'!$T$13,0)</f>
        <v>0</v>
      </c>
      <c r="AT97" s="49">
        <f>IF(AT$4=EOMONTH(CloseDate,'Rent Roll'!$O$13+'Rent Roll'!$S$13),-'Rent Roll'!$F$13*'Rent Roll'!$T$13,0)</f>
        <v>0</v>
      </c>
      <c r="AU97" s="49">
        <f>IF(AU$4=EOMONTH(CloseDate,'Rent Roll'!$O$13+'Rent Roll'!$S$13),-'Rent Roll'!$F$13*'Rent Roll'!$T$13,0)</f>
        <v>0</v>
      </c>
      <c r="AV97" s="49">
        <f>IF(AV$4=EOMONTH(CloseDate,'Rent Roll'!$O$13+'Rent Roll'!$S$13),-'Rent Roll'!$F$13*'Rent Roll'!$T$13,0)</f>
        <v>0</v>
      </c>
      <c r="AW97" s="49">
        <f>IF(AW$4=EOMONTH(CloseDate,'Rent Roll'!$O$13+'Rent Roll'!$S$13),-'Rent Roll'!$F$13*'Rent Roll'!$T$13,0)</f>
        <v>0</v>
      </c>
      <c r="AX97" s="49">
        <f>IF(AX$4=EOMONTH(CloseDate,'Rent Roll'!$O$13+'Rent Roll'!$S$13),-'Rent Roll'!$F$13*'Rent Roll'!$T$13,0)</f>
        <v>0</v>
      </c>
      <c r="AY97" s="49">
        <f>IF(AY$4=EOMONTH(CloseDate,'Rent Roll'!$O$13+'Rent Roll'!$S$13),-'Rent Roll'!$F$13*'Rent Roll'!$T$13,0)</f>
        <v>0</v>
      </c>
      <c r="AZ97" s="49">
        <f>IF(AZ$4=EOMONTH(CloseDate,'Rent Roll'!$O$13+'Rent Roll'!$S$13),-'Rent Roll'!$F$13*'Rent Roll'!$T$13,0)</f>
        <v>0</v>
      </c>
      <c r="BA97" s="49">
        <f>IF(BA$4=EOMONTH(CloseDate,'Rent Roll'!$O$13+'Rent Roll'!$S$13),-'Rent Roll'!$F$13*'Rent Roll'!$T$13,0)</f>
        <v>0</v>
      </c>
      <c r="BB97" s="49">
        <f>IF(BB$4=EOMONTH(CloseDate,'Rent Roll'!$O$13+'Rent Roll'!$S$13),-'Rent Roll'!$F$13*'Rent Roll'!$T$13,0)</f>
        <v>0</v>
      </c>
      <c r="BC97" s="49">
        <f>IF(BC$4=EOMONTH(CloseDate,'Rent Roll'!$O$13+'Rent Roll'!$S$13),-'Rent Roll'!$F$13*'Rent Roll'!$T$13,0)</f>
        <v>0</v>
      </c>
      <c r="BD97" s="49">
        <f>IF(BD$4=EOMONTH(CloseDate,'Rent Roll'!$O$13+'Rent Roll'!$S$13),-'Rent Roll'!$F$13*'Rent Roll'!$T$13,0)</f>
        <v>0</v>
      </c>
      <c r="BE97" s="49">
        <f>IF(BE$4=EOMONTH(CloseDate,'Rent Roll'!$O$13+'Rent Roll'!$S$13),-'Rent Roll'!$F$13*'Rent Roll'!$T$13,0)</f>
        <v>0</v>
      </c>
      <c r="BF97" s="49">
        <f>IF(BF$4=EOMONTH(CloseDate,'Rent Roll'!$O$13+'Rent Roll'!$S$13),-'Rent Roll'!$F$13*'Rent Roll'!$T$13,0)</f>
        <v>0</v>
      </c>
      <c r="BG97" s="49">
        <f>IF(BG$4=EOMONTH(CloseDate,'Rent Roll'!$O$13+'Rent Roll'!$S$13),-'Rent Roll'!$F$13*'Rent Roll'!$T$13,0)</f>
        <v>0</v>
      </c>
      <c r="BH97" s="49">
        <f>IF(BH$4=EOMONTH(CloseDate,'Rent Roll'!$O$13+'Rent Roll'!$S$13),-'Rent Roll'!$F$13*'Rent Roll'!$T$13,0)</f>
        <v>0</v>
      </c>
      <c r="BI97" s="49">
        <f>IF(BI$4=EOMONTH(CloseDate,'Rent Roll'!$O$13+'Rent Roll'!$S$13),-'Rent Roll'!$F$13*'Rent Roll'!$T$13,0)</f>
        <v>0</v>
      </c>
      <c r="BJ97" s="49">
        <f>IF(BJ$4=EOMONTH(CloseDate,'Rent Roll'!$O$13+'Rent Roll'!$S$13),-'Rent Roll'!$F$13*'Rent Roll'!$T$13,0)</f>
        <v>0</v>
      </c>
      <c r="BK97" s="49">
        <f>IF(BK$4=EOMONTH(CloseDate,'Rent Roll'!$O$13+'Rent Roll'!$S$13),-'Rent Roll'!$F$13*'Rent Roll'!$T$13,0)</f>
        <v>0</v>
      </c>
      <c r="BL97" s="49">
        <f>IF(BL$4=EOMONTH(CloseDate,'Rent Roll'!$O$13+'Rent Roll'!$S$13),-'Rent Roll'!$F$13*'Rent Roll'!$T$13,0)</f>
        <v>0</v>
      </c>
      <c r="BM97" s="49">
        <f>IF(BM$4=EOMONTH(CloseDate,'Rent Roll'!$O$13+'Rent Roll'!$S$13),-'Rent Roll'!$F$13*'Rent Roll'!$T$13,0)</f>
        <v>0</v>
      </c>
      <c r="BN97" s="49">
        <f>IF(BN$4=EOMONTH(CloseDate,'Rent Roll'!$O$13+'Rent Roll'!$S$13),-'Rent Roll'!$F$13*'Rent Roll'!$T$13,0)</f>
        <v>0</v>
      </c>
      <c r="BO97" s="49">
        <f>IF(BO$4=EOMONTH(CloseDate,'Rent Roll'!$O$13+'Rent Roll'!$S$13),-'Rent Roll'!$F$13*'Rent Roll'!$T$13,0)</f>
        <v>0</v>
      </c>
      <c r="BP97" s="49">
        <f>IF(BP$4=EOMONTH(CloseDate,'Rent Roll'!$O$13+'Rent Roll'!$S$13),-'Rent Roll'!$F$13*'Rent Roll'!$T$13,0)</f>
        <v>0</v>
      </c>
      <c r="BQ97" s="49">
        <f>IF(BQ$4=EOMONTH(CloseDate,'Rent Roll'!$O$13+'Rent Roll'!$S$13),-'Rent Roll'!$F$13*'Rent Roll'!$T$13,0)</f>
        <v>0</v>
      </c>
      <c r="BR97" s="49">
        <f>IF(BR$4=EOMONTH(CloseDate,'Rent Roll'!$O$13+'Rent Roll'!$S$13),-'Rent Roll'!$F$13*'Rent Roll'!$T$13,0)</f>
        <v>0</v>
      </c>
      <c r="BS97" s="49">
        <f>IF(BS$4=EOMONTH(CloseDate,'Rent Roll'!$O$13+'Rent Roll'!$S$13),-'Rent Roll'!$F$13*'Rent Roll'!$T$13,0)</f>
        <v>0</v>
      </c>
      <c r="BT97" s="49">
        <f>IF(BT$4=EOMONTH(CloseDate,'Rent Roll'!$O$13+'Rent Roll'!$S$13),-'Rent Roll'!$F$13*'Rent Roll'!$T$13,0)</f>
        <v>0</v>
      </c>
      <c r="BU97" s="49">
        <f>IF(BU$4=EOMONTH(CloseDate,'Rent Roll'!$O$13+'Rent Roll'!$S$13),-'Rent Roll'!$F$13*'Rent Roll'!$T$13,0)</f>
        <v>0</v>
      </c>
      <c r="BV97" s="49">
        <f>IF(BV$4=EOMONTH(CloseDate,'Rent Roll'!$O$13+'Rent Roll'!$S$13),-'Rent Roll'!$F$13*'Rent Roll'!$T$13,0)</f>
        <v>0</v>
      </c>
      <c r="BW97" s="49">
        <f>IF(BW$4=EOMONTH(CloseDate,'Rent Roll'!$O$13+'Rent Roll'!$S$13),-'Rent Roll'!$F$13*'Rent Roll'!$T$13,0)</f>
        <v>0</v>
      </c>
      <c r="BX97" s="49">
        <f>IF(BX$4=EOMONTH(CloseDate,'Rent Roll'!$O$13+'Rent Roll'!$S$13),-'Rent Roll'!$F$13*'Rent Roll'!$T$13,0)</f>
        <v>0</v>
      </c>
    </row>
    <row r="98" spans="1:76" hidden="1" outlineLevel="1">
      <c r="B98" t="s">
        <v>87</v>
      </c>
      <c r="D98" s="49">
        <f>IF(D$4=EOMONTH(CloseDate,'Rent Roll'!$O$13+'Rent Roll'!$S$13),-'Rent Roll'!$U$13*'Rent Roll'!$F$13*'Rent Roll'!$X$13,0)</f>
        <v>0</v>
      </c>
      <c r="E98" s="49">
        <f>IF(E$4=EOMONTH(CloseDate,'Rent Roll'!$O$13+'Rent Roll'!$S$13),-'Rent Roll'!$U$13*'Rent Roll'!$F$13*'Rent Roll'!$X$13,0)</f>
        <v>0</v>
      </c>
      <c r="F98" s="49">
        <f>IF(F$4=EOMONTH(CloseDate,'Rent Roll'!$O$13+'Rent Roll'!$S$13),-'Rent Roll'!$U$13*'Rent Roll'!$F$13*'Rent Roll'!$X$13,0)</f>
        <v>0</v>
      </c>
      <c r="G98" s="49">
        <f>IF(G$4=EOMONTH(CloseDate,'Rent Roll'!$O$13+'Rent Roll'!$S$13),-'Rent Roll'!$U$13*'Rent Roll'!$F$13*'Rent Roll'!$X$13,0)</f>
        <v>0</v>
      </c>
      <c r="H98" s="49">
        <f>IF(H$4=EOMONTH(CloseDate,'Rent Roll'!$O$13+'Rent Roll'!$S$13),-'Rent Roll'!$U$13*'Rent Roll'!$F$13*'Rent Roll'!$X$13,0)</f>
        <v>0</v>
      </c>
      <c r="I98" s="49">
        <f>IF(I$4=EOMONTH(CloseDate,'Rent Roll'!$O$13+'Rent Roll'!$S$13),-'Rent Roll'!$U$13*'Rent Roll'!$F$13*'Rent Roll'!$X$13,0)</f>
        <v>0</v>
      </c>
      <c r="J98" s="49">
        <f>IF(J$4=EOMONTH(CloseDate,'Rent Roll'!$O$13+'Rent Roll'!$S$13),-'Rent Roll'!$U$13*'Rent Roll'!$F$13*'Rent Roll'!$X$13,0)</f>
        <v>0</v>
      </c>
      <c r="K98" s="49">
        <f>IF(K$4=EOMONTH(CloseDate,'Rent Roll'!$O$13+'Rent Roll'!$S$13),-'Rent Roll'!$U$13*'Rent Roll'!$F$13*'Rent Roll'!$X$13,0)</f>
        <v>0</v>
      </c>
      <c r="L98" s="49">
        <f>IF(L$4=EOMONTH(CloseDate,'Rent Roll'!$O$13+'Rent Roll'!$S$13),-'Rent Roll'!$U$13*'Rent Roll'!$F$13*'Rent Roll'!$X$13,0)</f>
        <v>0</v>
      </c>
      <c r="M98" s="49">
        <f>IF(M$4=EOMONTH(CloseDate,'Rent Roll'!$O$13+'Rent Roll'!$S$13),-'Rent Roll'!$U$13*'Rent Roll'!$F$13*'Rent Roll'!$X$13,0)</f>
        <v>0</v>
      </c>
      <c r="N98" s="49">
        <f>IF(N$4=EOMONTH(CloseDate,'Rent Roll'!$O$13+'Rent Roll'!$S$13),-'Rent Roll'!$U$13*'Rent Roll'!$F$13*'Rent Roll'!$X$13,0)</f>
        <v>0</v>
      </c>
      <c r="O98" s="49">
        <f>IF(O$4=EOMONTH(CloseDate,'Rent Roll'!$O$13+'Rent Roll'!$S$13),-'Rent Roll'!$U$13*'Rent Roll'!$F$13*'Rent Roll'!$X$13,0)</f>
        <v>0</v>
      </c>
      <c r="P98" s="49">
        <f>IF(P$4=EOMONTH(CloseDate,'Rent Roll'!$O$13+'Rent Roll'!$S$13),-'Rent Roll'!$U$13*'Rent Roll'!$F$13*'Rent Roll'!$X$13,0)</f>
        <v>0</v>
      </c>
      <c r="Q98" s="49">
        <f>IF(Q$4=EOMONTH(CloseDate,'Rent Roll'!$O$13+'Rent Roll'!$S$13),-'Rent Roll'!$U$13*'Rent Roll'!$F$13*'Rent Roll'!$X$13,0)</f>
        <v>0</v>
      </c>
      <c r="R98" s="49">
        <f>IF(R$4=EOMONTH(CloseDate,'Rent Roll'!$O$13+'Rent Roll'!$S$13),-'Rent Roll'!$U$13*'Rent Roll'!$F$13*'Rent Roll'!$X$13,0)</f>
        <v>0</v>
      </c>
      <c r="S98" s="49">
        <f>IF(S$4=EOMONTH(CloseDate,'Rent Roll'!$O$13+'Rent Roll'!$S$13),-'Rent Roll'!$U$13*'Rent Roll'!$F$13*'Rent Roll'!$X$13,0)</f>
        <v>0</v>
      </c>
      <c r="T98" s="49">
        <f>IF(T$4=EOMONTH(CloseDate,'Rent Roll'!$O$13+'Rent Roll'!$S$13),-'Rent Roll'!$U$13*'Rent Roll'!$F$13*'Rent Roll'!$X$13,0)</f>
        <v>0</v>
      </c>
      <c r="U98" s="49">
        <f>IF(U$4=EOMONTH(CloseDate,'Rent Roll'!$O$13+'Rent Roll'!$S$13),-'Rent Roll'!$U$13*'Rent Roll'!$F$13*'Rent Roll'!$X$13,0)</f>
        <v>0</v>
      </c>
      <c r="V98" s="49">
        <f>IF(V$4=EOMONTH(CloseDate,'Rent Roll'!$O$13+'Rent Roll'!$S$13),-'Rent Roll'!$U$13*'Rent Roll'!$F$13*'Rent Roll'!$X$13,0)</f>
        <v>0</v>
      </c>
      <c r="W98" s="49">
        <f>IF(W$4=EOMONTH(CloseDate,'Rent Roll'!$O$13+'Rent Roll'!$S$13),-'Rent Roll'!$U$13*'Rent Roll'!$F$13*'Rent Roll'!$X$13,0)</f>
        <v>0</v>
      </c>
      <c r="X98" s="49">
        <f>IF(X$4=EOMONTH(CloseDate,'Rent Roll'!$O$13+'Rent Roll'!$S$13),-'Rent Roll'!$U$13*'Rent Roll'!$F$13*'Rent Roll'!$X$13,0)</f>
        <v>0</v>
      </c>
      <c r="Y98" s="49">
        <f>IF(Y$4=EOMONTH(CloseDate,'Rent Roll'!$O$13+'Rent Roll'!$S$13),-'Rent Roll'!$U$13*'Rent Roll'!$F$13*'Rent Roll'!$X$13,0)</f>
        <v>0</v>
      </c>
      <c r="Z98" s="49">
        <f>IF(Z$4=EOMONTH(CloseDate,'Rent Roll'!$O$13+'Rent Roll'!$S$13),-'Rent Roll'!$U$13*'Rent Roll'!$F$13*'Rent Roll'!$X$13,0)</f>
        <v>0</v>
      </c>
      <c r="AA98" s="49">
        <f>IF(AA$4=EOMONTH(CloseDate,'Rent Roll'!$O$13+'Rent Roll'!$S$13),-'Rent Roll'!$U$13*'Rent Roll'!$F$13*'Rent Roll'!$X$13,0)</f>
        <v>0</v>
      </c>
      <c r="AB98" s="49">
        <f>IF(AB$4=EOMONTH(CloseDate,'Rent Roll'!$O$13+'Rent Roll'!$S$13),-'Rent Roll'!$U$13*'Rent Roll'!$F$13*'Rent Roll'!$X$13,0)</f>
        <v>0</v>
      </c>
      <c r="AC98" s="49">
        <f>IF(AC$4=EOMONTH(CloseDate,'Rent Roll'!$O$13+'Rent Roll'!$S$13),-'Rent Roll'!$U$13*'Rent Roll'!$F$13*'Rent Roll'!$X$13,0)</f>
        <v>0</v>
      </c>
      <c r="AD98" s="49">
        <f>IF(AD$4=EOMONTH(CloseDate,'Rent Roll'!$O$13+'Rent Roll'!$S$13),-'Rent Roll'!$U$13*'Rent Roll'!$F$13*'Rent Roll'!$X$13,0)</f>
        <v>0</v>
      </c>
      <c r="AE98" s="49">
        <f>IF(AE$4=EOMONTH(CloseDate,'Rent Roll'!$O$13+'Rent Roll'!$S$13),-'Rent Roll'!$U$13*'Rent Roll'!$F$13*'Rent Roll'!$X$13,0)</f>
        <v>0</v>
      </c>
      <c r="AF98" s="49">
        <f>IF(AF$4=EOMONTH(CloseDate,'Rent Roll'!$O$13+'Rent Roll'!$S$13),-'Rent Roll'!$U$13*'Rent Roll'!$F$13*'Rent Roll'!$X$13,0)</f>
        <v>0</v>
      </c>
      <c r="AG98" s="49">
        <f>IF(AG$4=EOMONTH(CloseDate,'Rent Roll'!$O$13+'Rent Roll'!$S$13),-'Rent Roll'!$U$13*'Rent Roll'!$F$13*'Rent Roll'!$X$13,0)</f>
        <v>0</v>
      </c>
      <c r="AH98" s="49">
        <f>IF(AH$4=EOMONTH(CloseDate,'Rent Roll'!$O$13+'Rent Roll'!$S$13),-'Rent Roll'!$U$13*'Rent Roll'!$F$13*'Rent Roll'!$X$13,0)</f>
        <v>0</v>
      </c>
      <c r="AI98" s="49">
        <f>IF(AI$4=EOMONTH(CloseDate,'Rent Roll'!$O$13+'Rent Roll'!$S$13),-'Rent Roll'!$U$13*'Rent Roll'!$F$13*'Rent Roll'!$X$13,0)</f>
        <v>0</v>
      </c>
      <c r="AJ98" s="49">
        <f>IF(AJ$4=EOMONTH(CloseDate,'Rent Roll'!$O$13+'Rent Roll'!$S$13),-'Rent Roll'!$U$13*'Rent Roll'!$F$13*'Rent Roll'!$X$13,0)</f>
        <v>0</v>
      </c>
      <c r="AK98" s="49">
        <f>IF(AK$4=EOMONTH(CloseDate,'Rent Roll'!$O$13+'Rent Roll'!$S$13),-'Rent Roll'!$U$13*'Rent Roll'!$F$13*'Rent Roll'!$X$13,0)</f>
        <v>0</v>
      </c>
      <c r="AL98" s="49">
        <f>IF(AL$4=EOMONTH(CloseDate,'Rent Roll'!$O$13+'Rent Roll'!$S$13),-'Rent Roll'!$U$13*'Rent Roll'!$F$13*'Rent Roll'!$X$13,0)</f>
        <v>0</v>
      </c>
      <c r="AM98" s="49">
        <f>IF(AM$4=EOMONTH(CloseDate,'Rent Roll'!$O$13+'Rent Roll'!$S$13),-'Rent Roll'!$U$13*'Rent Roll'!$F$13*'Rent Roll'!$X$13,0)</f>
        <v>0</v>
      </c>
      <c r="AN98" s="49">
        <f>IF(AN$4=EOMONTH(CloseDate,'Rent Roll'!$O$13+'Rent Roll'!$S$13),-'Rent Roll'!$U$13*'Rent Roll'!$F$13*'Rent Roll'!$X$13,0)</f>
        <v>0</v>
      </c>
      <c r="AO98" s="49">
        <f>IF(AO$4=EOMONTH(CloseDate,'Rent Roll'!$O$13+'Rent Roll'!$S$13),-'Rent Roll'!$U$13*'Rent Roll'!$F$13*'Rent Roll'!$X$13,0)</f>
        <v>-9621.7874999999985</v>
      </c>
      <c r="AP98" s="49">
        <f>IF(AP$4=EOMONTH(CloseDate,'Rent Roll'!$O$13+'Rent Roll'!$S$13),-'Rent Roll'!$U$13*'Rent Roll'!$F$13*'Rent Roll'!$X$13,0)</f>
        <v>0</v>
      </c>
      <c r="AQ98" s="49">
        <f>IF(AQ$4=EOMONTH(CloseDate,'Rent Roll'!$O$13+'Rent Roll'!$S$13),-'Rent Roll'!$U$13*'Rent Roll'!$F$13*'Rent Roll'!$X$13,0)</f>
        <v>0</v>
      </c>
      <c r="AR98" s="49">
        <f>IF(AR$4=EOMONTH(CloseDate,'Rent Roll'!$O$13+'Rent Roll'!$S$13),-'Rent Roll'!$U$13*'Rent Roll'!$F$13*'Rent Roll'!$X$13,0)</f>
        <v>0</v>
      </c>
      <c r="AS98" s="49">
        <f>IF(AS$4=EOMONTH(CloseDate,'Rent Roll'!$O$13+'Rent Roll'!$S$13),-'Rent Roll'!$U$13*'Rent Roll'!$F$13*'Rent Roll'!$X$13,0)</f>
        <v>0</v>
      </c>
      <c r="AT98" s="49">
        <f>IF(AT$4=EOMONTH(CloseDate,'Rent Roll'!$O$13+'Rent Roll'!$S$13),-'Rent Roll'!$U$13*'Rent Roll'!$F$13*'Rent Roll'!$X$13,0)</f>
        <v>0</v>
      </c>
      <c r="AU98" s="49">
        <f>IF(AU$4=EOMONTH(CloseDate,'Rent Roll'!$O$13+'Rent Roll'!$S$13),-'Rent Roll'!$U$13*'Rent Roll'!$F$13*'Rent Roll'!$X$13,0)</f>
        <v>0</v>
      </c>
      <c r="AV98" s="49">
        <f>IF(AV$4=EOMONTH(CloseDate,'Rent Roll'!$O$13+'Rent Roll'!$S$13),-'Rent Roll'!$U$13*'Rent Roll'!$F$13*'Rent Roll'!$X$13,0)</f>
        <v>0</v>
      </c>
      <c r="AW98" s="49">
        <f>IF(AW$4=EOMONTH(CloseDate,'Rent Roll'!$O$13+'Rent Roll'!$S$13),-'Rent Roll'!$U$13*'Rent Roll'!$F$13*'Rent Roll'!$X$13,0)</f>
        <v>0</v>
      </c>
      <c r="AX98" s="49">
        <f>IF(AX$4=EOMONTH(CloseDate,'Rent Roll'!$O$13+'Rent Roll'!$S$13),-'Rent Roll'!$U$13*'Rent Roll'!$F$13*'Rent Roll'!$X$13,0)</f>
        <v>0</v>
      </c>
      <c r="AY98" s="49">
        <f>IF(AY$4=EOMONTH(CloseDate,'Rent Roll'!$O$13+'Rent Roll'!$S$13),-'Rent Roll'!$U$13*'Rent Roll'!$F$13*'Rent Roll'!$X$13,0)</f>
        <v>0</v>
      </c>
      <c r="AZ98" s="49">
        <f>IF(AZ$4=EOMONTH(CloseDate,'Rent Roll'!$O$13+'Rent Roll'!$S$13),-'Rent Roll'!$U$13*'Rent Roll'!$F$13*'Rent Roll'!$X$13,0)</f>
        <v>0</v>
      </c>
      <c r="BA98" s="49">
        <f>IF(BA$4=EOMONTH(CloseDate,'Rent Roll'!$O$13+'Rent Roll'!$S$13),-'Rent Roll'!$U$13*'Rent Roll'!$F$13*'Rent Roll'!$X$13,0)</f>
        <v>0</v>
      </c>
      <c r="BB98" s="49">
        <f>IF(BB$4=EOMONTH(CloseDate,'Rent Roll'!$O$13+'Rent Roll'!$S$13),-'Rent Roll'!$U$13*'Rent Roll'!$F$13*'Rent Roll'!$X$13,0)</f>
        <v>0</v>
      </c>
      <c r="BC98" s="49">
        <f>IF(BC$4=EOMONTH(CloseDate,'Rent Roll'!$O$13+'Rent Roll'!$S$13),-'Rent Roll'!$U$13*'Rent Roll'!$F$13*'Rent Roll'!$X$13,0)</f>
        <v>0</v>
      </c>
      <c r="BD98" s="49">
        <f>IF(BD$4=EOMONTH(CloseDate,'Rent Roll'!$O$13+'Rent Roll'!$S$13),-'Rent Roll'!$U$13*'Rent Roll'!$F$13*'Rent Roll'!$X$13,0)</f>
        <v>0</v>
      </c>
      <c r="BE98" s="49">
        <f>IF(BE$4=EOMONTH(CloseDate,'Rent Roll'!$O$13+'Rent Roll'!$S$13),-'Rent Roll'!$U$13*'Rent Roll'!$F$13*'Rent Roll'!$X$13,0)</f>
        <v>0</v>
      </c>
      <c r="BF98" s="49">
        <f>IF(BF$4=EOMONTH(CloseDate,'Rent Roll'!$O$13+'Rent Roll'!$S$13),-'Rent Roll'!$U$13*'Rent Roll'!$F$13*'Rent Roll'!$X$13,0)</f>
        <v>0</v>
      </c>
      <c r="BG98" s="49">
        <f>IF(BG$4=EOMONTH(CloseDate,'Rent Roll'!$O$13+'Rent Roll'!$S$13),-'Rent Roll'!$U$13*'Rent Roll'!$F$13*'Rent Roll'!$X$13,0)</f>
        <v>0</v>
      </c>
      <c r="BH98" s="49">
        <f>IF(BH$4=EOMONTH(CloseDate,'Rent Roll'!$O$13+'Rent Roll'!$S$13),-'Rent Roll'!$U$13*'Rent Roll'!$F$13*'Rent Roll'!$X$13,0)</f>
        <v>0</v>
      </c>
      <c r="BI98" s="49">
        <f>IF(BI$4=EOMONTH(CloseDate,'Rent Roll'!$O$13+'Rent Roll'!$S$13),-'Rent Roll'!$U$13*'Rent Roll'!$F$13*'Rent Roll'!$X$13,0)</f>
        <v>0</v>
      </c>
      <c r="BJ98" s="49">
        <f>IF(BJ$4=EOMONTH(CloseDate,'Rent Roll'!$O$13+'Rent Roll'!$S$13),-'Rent Roll'!$U$13*'Rent Roll'!$F$13*'Rent Roll'!$X$13,0)</f>
        <v>0</v>
      </c>
      <c r="BK98" s="49">
        <f>IF(BK$4=EOMONTH(CloseDate,'Rent Roll'!$O$13+'Rent Roll'!$S$13),-'Rent Roll'!$U$13*'Rent Roll'!$F$13*'Rent Roll'!$X$13,0)</f>
        <v>0</v>
      </c>
      <c r="BL98" s="49">
        <f>IF(BL$4=EOMONTH(CloseDate,'Rent Roll'!$O$13+'Rent Roll'!$S$13),-'Rent Roll'!$U$13*'Rent Roll'!$F$13*'Rent Roll'!$X$13,0)</f>
        <v>0</v>
      </c>
      <c r="BM98" s="49">
        <f>IF(BM$4=EOMONTH(CloseDate,'Rent Roll'!$O$13+'Rent Roll'!$S$13),-'Rent Roll'!$U$13*'Rent Roll'!$F$13*'Rent Roll'!$X$13,0)</f>
        <v>0</v>
      </c>
      <c r="BN98" s="49">
        <f>IF(BN$4=EOMONTH(CloseDate,'Rent Roll'!$O$13+'Rent Roll'!$S$13),-'Rent Roll'!$U$13*'Rent Roll'!$F$13*'Rent Roll'!$X$13,0)</f>
        <v>0</v>
      </c>
      <c r="BO98" s="49">
        <f>IF(BO$4=EOMONTH(CloseDate,'Rent Roll'!$O$13+'Rent Roll'!$S$13),-'Rent Roll'!$U$13*'Rent Roll'!$F$13*'Rent Roll'!$X$13,0)</f>
        <v>0</v>
      </c>
      <c r="BP98" s="49">
        <f>IF(BP$4=EOMONTH(CloseDate,'Rent Roll'!$O$13+'Rent Roll'!$S$13),-'Rent Roll'!$U$13*'Rent Roll'!$F$13*'Rent Roll'!$X$13,0)</f>
        <v>0</v>
      </c>
      <c r="BQ98" s="49">
        <f>IF(BQ$4=EOMONTH(CloseDate,'Rent Roll'!$O$13+'Rent Roll'!$S$13),-'Rent Roll'!$U$13*'Rent Roll'!$F$13*'Rent Roll'!$X$13,0)</f>
        <v>0</v>
      </c>
      <c r="BR98" s="49">
        <f>IF(BR$4=EOMONTH(CloseDate,'Rent Roll'!$O$13+'Rent Roll'!$S$13),-'Rent Roll'!$U$13*'Rent Roll'!$F$13*'Rent Roll'!$X$13,0)</f>
        <v>0</v>
      </c>
      <c r="BS98" s="49">
        <f>IF(BS$4=EOMONTH(CloseDate,'Rent Roll'!$O$13+'Rent Roll'!$S$13),-'Rent Roll'!$U$13*'Rent Roll'!$F$13*'Rent Roll'!$X$13,0)</f>
        <v>0</v>
      </c>
      <c r="BT98" s="49">
        <f>IF(BT$4=EOMONTH(CloseDate,'Rent Roll'!$O$13+'Rent Roll'!$S$13),-'Rent Roll'!$U$13*'Rent Roll'!$F$13*'Rent Roll'!$X$13,0)</f>
        <v>0</v>
      </c>
      <c r="BU98" s="49">
        <f>IF(BU$4=EOMONTH(CloseDate,'Rent Roll'!$O$13+'Rent Roll'!$S$13),-'Rent Roll'!$U$13*'Rent Roll'!$F$13*'Rent Roll'!$X$13,0)</f>
        <v>0</v>
      </c>
      <c r="BV98" s="49">
        <f>IF(BV$4=EOMONTH(CloseDate,'Rent Roll'!$O$13+'Rent Roll'!$S$13),-'Rent Roll'!$U$13*'Rent Roll'!$F$13*'Rent Roll'!$X$13,0)</f>
        <v>0</v>
      </c>
      <c r="BW98" s="49">
        <f>IF(BW$4=EOMONTH(CloseDate,'Rent Roll'!$O$13+'Rent Roll'!$S$13),-'Rent Roll'!$U$13*'Rent Roll'!$F$13*'Rent Roll'!$X$13,0)</f>
        <v>0</v>
      </c>
      <c r="BX98" s="49">
        <f>IF(BX$4=EOMONTH(CloseDate,'Rent Roll'!$O$13+'Rent Roll'!$S$13),-'Rent Roll'!$U$13*'Rent Roll'!$F$13*'Rent Roll'!$X$13,0)</f>
        <v>0</v>
      </c>
    </row>
    <row r="99" spans="1:76" hidden="1" outlineLevel="1">
      <c r="A99" s="17" t="str">
        <f>'Rent Roll'!C14</f>
        <v>Davidson &amp; Reed Architects</v>
      </c>
      <c r="B99" s="57">
        <f>INDEX('Rent Roll'!$F$5:$F$46,MATCH('Rent Roll Calc'!A99,'Rent Roll'!$C$5:$C$46,0))</f>
        <v>7200</v>
      </c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  <c r="AA99" s="49"/>
      <c r="AB99" s="49"/>
      <c r="AC99" s="49"/>
      <c r="AD99" s="49"/>
      <c r="AE99" s="49"/>
      <c r="AF99" s="49"/>
      <c r="AG99" s="49"/>
      <c r="AH99" s="49"/>
      <c r="AI99" s="49"/>
      <c r="AJ99" s="49"/>
      <c r="AK99" s="49"/>
      <c r="AL99" s="49"/>
      <c r="AM99" s="49"/>
      <c r="AN99" s="49"/>
      <c r="AO99" s="49"/>
      <c r="AP99" s="49"/>
      <c r="AQ99" s="49"/>
      <c r="AR99" s="49"/>
      <c r="AS99" s="49"/>
      <c r="AT99" s="49"/>
      <c r="AU99" s="49"/>
      <c r="AV99" s="49"/>
      <c r="AW99" s="49"/>
      <c r="AX99" s="49"/>
      <c r="AY99" s="49"/>
      <c r="AZ99" s="49"/>
      <c r="BA99" s="49"/>
      <c r="BB99" s="49"/>
      <c r="BC99" s="49"/>
      <c r="BD99" s="49"/>
      <c r="BE99" s="49"/>
      <c r="BF99" s="49"/>
      <c r="BG99" s="49"/>
      <c r="BH99" s="49"/>
      <c r="BI99" s="49"/>
      <c r="BJ99" s="49"/>
      <c r="BK99" s="49"/>
      <c r="BL99" s="49"/>
      <c r="BM99" s="49"/>
      <c r="BN99" s="49"/>
      <c r="BO99" s="49"/>
      <c r="BP99" s="49"/>
      <c r="BQ99" s="49"/>
      <c r="BR99" s="49"/>
      <c r="BS99" s="49"/>
      <c r="BT99" s="49"/>
      <c r="BU99" s="49"/>
      <c r="BV99" s="49"/>
      <c r="BW99" s="49"/>
      <c r="BX99" s="49"/>
    </row>
    <row r="100" spans="1:76" hidden="1" outlineLevel="1">
      <c r="B100" t="s">
        <v>83</v>
      </c>
      <c r="D100" s="49">
        <f>IF(AND('Rent Roll'!$N$14&lt;&gt;"Ghost",D$4&lt;='Rent Roll'!$L$14),1,0)</f>
        <v>1</v>
      </c>
      <c r="E100" s="49">
        <f>IF(AND('Rent Roll'!$N$14&lt;&gt;"Ghost",E$4&lt;='Rent Roll'!$L$14),1,0)</f>
        <v>1</v>
      </c>
      <c r="F100" s="49">
        <f>IF(AND('Rent Roll'!$N$14&lt;&gt;"Ghost",F$4&lt;='Rent Roll'!$L$14),1,0)</f>
        <v>1</v>
      </c>
      <c r="G100" s="49">
        <f>IF(AND('Rent Roll'!$N$14&lt;&gt;"Ghost",G$4&lt;='Rent Roll'!$L$14),1,0)</f>
        <v>1</v>
      </c>
      <c r="H100" s="49">
        <f>IF(AND('Rent Roll'!$N$14&lt;&gt;"Ghost",H$4&lt;='Rent Roll'!$L$14),1,0)</f>
        <v>1</v>
      </c>
      <c r="I100" s="49">
        <f>IF(AND('Rent Roll'!$N$14&lt;&gt;"Ghost",I$4&lt;='Rent Roll'!$L$14),1,0)</f>
        <v>1</v>
      </c>
      <c r="J100" s="49">
        <f>IF(AND('Rent Roll'!$N$14&lt;&gt;"Ghost",J$4&lt;='Rent Roll'!$L$14),1,0)</f>
        <v>1</v>
      </c>
      <c r="K100" s="49">
        <f>IF(AND('Rent Roll'!$N$14&lt;&gt;"Ghost",K$4&lt;='Rent Roll'!$L$14),1,0)</f>
        <v>1</v>
      </c>
      <c r="L100" s="49">
        <f>IF(AND('Rent Roll'!$N$14&lt;&gt;"Ghost",L$4&lt;='Rent Roll'!$L$14),1,0)</f>
        <v>1</v>
      </c>
      <c r="M100" s="49">
        <f>IF(AND('Rent Roll'!$N$14&lt;&gt;"Ghost",M$4&lt;='Rent Roll'!$L$14),1,0)</f>
        <v>1</v>
      </c>
      <c r="N100" s="49">
        <f>IF(AND('Rent Roll'!$N$14&lt;&gt;"Ghost",N$4&lt;='Rent Roll'!$L$14),1,0)</f>
        <v>1</v>
      </c>
      <c r="O100" s="49">
        <f>IF(AND('Rent Roll'!$N$14&lt;&gt;"Ghost",O$4&lt;='Rent Roll'!$L$14),1,0)</f>
        <v>1</v>
      </c>
      <c r="P100" s="49">
        <f>IF(AND('Rent Roll'!$N$14&lt;&gt;"Ghost",P$4&lt;='Rent Roll'!$L$14),1,0)</f>
        <v>1</v>
      </c>
      <c r="Q100" s="49">
        <f>IF(AND('Rent Roll'!$N$14&lt;&gt;"Ghost",Q$4&lt;='Rent Roll'!$L$14),1,0)</f>
        <v>1</v>
      </c>
      <c r="R100" s="49">
        <f>IF(AND('Rent Roll'!$N$14&lt;&gt;"Ghost",R$4&lt;='Rent Roll'!$L$14),1,0)</f>
        <v>1</v>
      </c>
      <c r="S100" s="49">
        <f>IF(AND('Rent Roll'!$N$14&lt;&gt;"Ghost",S$4&lt;='Rent Roll'!$L$14),1,0)</f>
        <v>1</v>
      </c>
      <c r="T100" s="49">
        <f>IF(AND('Rent Roll'!$N$14&lt;&gt;"Ghost",T$4&lt;='Rent Roll'!$L$14),1,0)</f>
        <v>1</v>
      </c>
      <c r="U100" s="49">
        <f>IF(AND('Rent Roll'!$N$14&lt;&gt;"Ghost",U$4&lt;='Rent Roll'!$L$14),1,0)</f>
        <v>1</v>
      </c>
      <c r="V100" s="49">
        <f>IF(AND('Rent Roll'!$N$14&lt;&gt;"Ghost",V$4&lt;='Rent Roll'!$L$14),1,0)</f>
        <v>1</v>
      </c>
      <c r="W100" s="49">
        <f>IF(AND('Rent Roll'!$N$14&lt;&gt;"Ghost",W$4&lt;='Rent Roll'!$L$14),1,0)</f>
        <v>1</v>
      </c>
      <c r="X100" s="49">
        <f>IF(AND('Rent Roll'!$N$14&lt;&gt;"Ghost",X$4&lt;='Rent Roll'!$L$14),1,0)</f>
        <v>1</v>
      </c>
      <c r="Y100" s="49">
        <f>IF(AND('Rent Roll'!$N$14&lt;&gt;"Ghost",Y$4&lt;='Rent Roll'!$L$14),1,0)</f>
        <v>1</v>
      </c>
      <c r="Z100" s="49">
        <f>IF(AND('Rent Roll'!$N$14&lt;&gt;"Ghost",Z$4&lt;='Rent Roll'!$L$14),1,0)</f>
        <v>1</v>
      </c>
      <c r="AA100" s="49">
        <f>IF(AND('Rent Roll'!$N$14&lt;&gt;"Ghost",AA$4&lt;='Rent Roll'!$L$14),1,0)</f>
        <v>1</v>
      </c>
      <c r="AB100" s="49">
        <f>IF(AND('Rent Roll'!$N$14&lt;&gt;"Ghost",AB$4&lt;='Rent Roll'!$L$14),1,0)</f>
        <v>1</v>
      </c>
      <c r="AC100" s="49">
        <f>IF(AND('Rent Roll'!$N$14&lt;&gt;"Ghost",AC$4&lt;='Rent Roll'!$L$14),1,0)</f>
        <v>1</v>
      </c>
      <c r="AD100" s="49">
        <f>IF(AND('Rent Roll'!$N$14&lt;&gt;"Ghost",AD$4&lt;='Rent Roll'!$L$14),1,0)</f>
        <v>1</v>
      </c>
      <c r="AE100" s="49">
        <f>IF(AND('Rent Roll'!$N$14&lt;&gt;"Ghost",AE$4&lt;='Rent Roll'!$L$14),1,0)</f>
        <v>1</v>
      </c>
      <c r="AF100" s="49">
        <f>IF(AND('Rent Roll'!$N$14&lt;&gt;"Ghost",AF$4&lt;='Rent Roll'!$L$14),1,0)</f>
        <v>0</v>
      </c>
      <c r="AG100" s="49">
        <f>IF(AND('Rent Roll'!$N$14&lt;&gt;"Ghost",AG$4&lt;='Rent Roll'!$L$14),1,0)</f>
        <v>0</v>
      </c>
      <c r="AH100" s="49">
        <f>IF(AND('Rent Roll'!$N$14&lt;&gt;"Ghost",AH$4&lt;='Rent Roll'!$L$14),1,0)</f>
        <v>0</v>
      </c>
      <c r="AI100" s="49">
        <f>IF(AND('Rent Roll'!$N$14&lt;&gt;"Ghost",AI$4&lt;='Rent Roll'!$L$14),1,0)</f>
        <v>0</v>
      </c>
      <c r="AJ100" s="49">
        <f>IF(AND('Rent Roll'!$N$14&lt;&gt;"Ghost",AJ$4&lt;='Rent Roll'!$L$14),1,0)</f>
        <v>0</v>
      </c>
      <c r="AK100" s="49">
        <f>IF(AND('Rent Roll'!$N$14&lt;&gt;"Ghost",AK$4&lt;='Rent Roll'!$L$14),1,0)</f>
        <v>0</v>
      </c>
      <c r="AL100" s="49">
        <f>IF(AND('Rent Roll'!$N$14&lt;&gt;"Ghost",AL$4&lt;='Rent Roll'!$L$14),1,0)</f>
        <v>0</v>
      </c>
      <c r="AM100" s="49">
        <f>IF(AND('Rent Roll'!$N$14&lt;&gt;"Ghost",AM$4&lt;='Rent Roll'!$L$14),1,0)</f>
        <v>0</v>
      </c>
      <c r="AN100" s="49">
        <f>IF(AND('Rent Roll'!$N$14&lt;&gt;"Ghost",AN$4&lt;='Rent Roll'!$L$14),1,0)</f>
        <v>0</v>
      </c>
      <c r="AO100" s="49">
        <f>IF(AND('Rent Roll'!$N$14&lt;&gt;"Ghost",AO$4&lt;='Rent Roll'!$L$14),1,0)</f>
        <v>0</v>
      </c>
      <c r="AP100" s="49">
        <f>IF(AND('Rent Roll'!$N$14&lt;&gt;"Ghost",AP$4&lt;='Rent Roll'!$L$14),1,0)</f>
        <v>0</v>
      </c>
      <c r="AQ100" s="49">
        <f>IF(AND('Rent Roll'!$N$14&lt;&gt;"Ghost",AQ$4&lt;='Rent Roll'!$L$14),1,0)</f>
        <v>0</v>
      </c>
      <c r="AR100" s="49">
        <f>IF(AND('Rent Roll'!$N$14&lt;&gt;"Ghost",AR$4&lt;='Rent Roll'!$L$14),1,0)</f>
        <v>0</v>
      </c>
      <c r="AS100" s="49">
        <f>IF(AND('Rent Roll'!$N$14&lt;&gt;"Ghost",AS$4&lt;='Rent Roll'!$L$14),1,0)</f>
        <v>0</v>
      </c>
      <c r="AT100" s="49">
        <f>IF(AND('Rent Roll'!$N$14&lt;&gt;"Ghost",AT$4&lt;='Rent Roll'!$L$14),1,0)</f>
        <v>0</v>
      </c>
      <c r="AU100" s="49">
        <f>IF(AND('Rent Roll'!$N$14&lt;&gt;"Ghost",AU$4&lt;='Rent Roll'!$L$14),1,0)</f>
        <v>0</v>
      </c>
      <c r="AV100" s="49">
        <f>IF(AND('Rent Roll'!$N$14&lt;&gt;"Ghost",AV$4&lt;='Rent Roll'!$L$14),1,0)</f>
        <v>0</v>
      </c>
      <c r="AW100" s="49">
        <f>IF(AND('Rent Roll'!$N$14&lt;&gt;"Ghost",AW$4&lt;='Rent Roll'!$L$14),1,0)</f>
        <v>0</v>
      </c>
      <c r="AX100" s="49">
        <f>IF(AND('Rent Roll'!$N$14&lt;&gt;"Ghost",AX$4&lt;='Rent Roll'!$L$14),1,0)</f>
        <v>0</v>
      </c>
      <c r="AY100" s="49">
        <f>IF(AND('Rent Roll'!$N$14&lt;&gt;"Ghost",AY$4&lt;='Rent Roll'!$L$14),1,0)</f>
        <v>0</v>
      </c>
      <c r="AZ100" s="49">
        <f>IF(AND('Rent Roll'!$N$14&lt;&gt;"Ghost",AZ$4&lt;='Rent Roll'!$L$14),1,0)</f>
        <v>0</v>
      </c>
      <c r="BA100" s="49">
        <f>IF(AND('Rent Roll'!$N$14&lt;&gt;"Ghost",BA$4&lt;='Rent Roll'!$L$14),1,0)</f>
        <v>0</v>
      </c>
      <c r="BB100" s="49">
        <f>IF(AND('Rent Roll'!$N$14&lt;&gt;"Ghost",BB$4&lt;='Rent Roll'!$L$14),1,0)</f>
        <v>0</v>
      </c>
      <c r="BC100" s="49">
        <f>IF(AND('Rent Roll'!$N$14&lt;&gt;"Ghost",BC$4&lt;='Rent Roll'!$L$14),1,0)</f>
        <v>0</v>
      </c>
      <c r="BD100" s="49">
        <f>IF(AND('Rent Roll'!$N$14&lt;&gt;"Ghost",BD$4&lt;='Rent Roll'!$L$14),1,0)</f>
        <v>0</v>
      </c>
      <c r="BE100" s="49">
        <f>IF(AND('Rent Roll'!$N$14&lt;&gt;"Ghost",BE$4&lt;='Rent Roll'!$L$14),1,0)</f>
        <v>0</v>
      </c>
      <c r="BF100" s="49">
        <f>IF(AND('Rent Roll'!$N$14&lt;&gt;"Ghost",BF$4&lt;='Rent Roll'!$L$14),1,0)</f>
        <v>0</v>
      </c>
      <c r="BG100" s="49">
        <f>IF(AND('Rent Roll'!$N$14&lt;&gt;"Ghost",BG$4&lt;='Rent Roll'!$L$14),1,0)</f>
        <v>0</v>
      </c>
      <c r="BH100" s="49">
        <f>IF(AND('Rent Roll'!$N$14&lt;&gt;"Ghost",BH$4&lt;='Rent Roll'!$L$14),1,0)</f>
        <v>0</v>
      </c>
      <c r="BI100" s="49">
        <f>IF(AND('Rent Roll'!$N$14&lt;&gt;"Ghost",BI$4&lt;='Rent Roll'!$L$14),1,0)</f>
        <v>0</v>
      </c>
      <c r="BJ100" s="49">
        <f>IF(AND('Rent Roll'!$N$14&lt;&gt;"Ghost",BJ$4&lt;='Rent Roll'!$L$14),1,0)</f>
        <v>0</v>
      </c>
      <c r="BK100" s="49">
        <f>IF(AND('Rent Roll'!$N$14&lt;&gt;"Ghost",BK$4&lt;='Rent Roll'!$L$14),1,0)</f>
        <v>0</v>
      </c>
      <c r="BL100" s="49">
        <f>IF(AND('Rent Roll'!$N$14&lt;&gt;"Ghost",BL$4&lt;='Rent Roll'!$L$14),1,0)</f>
        <v>0</v>
      </c>
      <c r="BM100" s="49">
        <f>IF(AND('Rent Roll'!$N$14&lt;&gt;"Ghost",BM$4&lt;='Rent Roll'!$L$14),1,0)</f>
        <v>0</v>
      </c>
      <c r="BN100" s="49">
        <f>IF(AND('Rent Roll'!$N$14&lt;&gt;"Ghost",BN$4&lt;='Rent Roll'!$L$14),1,0)</f>
        <v>0</v>
      </c>
      <c r="BO100" s="49">
        <f>IF(AND('Rent Roll'!$N$14&lt;&gt;"Ghost",BO$4&lt;='Rent Roll'!$L$14),1,0)</f>
        <v>0</v>
      </c>
      <c r="BP100" s="49">
        <f>IF(AND('Rent Roll'!$N$14&lt;&gt;"Ghost",BP$4&lt;='Rent Roll'!$L$14),1,0)</f>
        <v>0</v>
      </c>
      <c r="BQ100" s="49">
        <f>IF(AND('Rent Roll'!$N$14&lt;&gt;"Ghost",BQ$4&lt;='Rent Roll'!$L$14),1,0)</f>
        <v>0</v>
      </c>
      <c r="BR100" s="49">
        <f>IF(AND('Rent Roll'!$N$14&lt;&gt;"Ghost",BR$4&lt;='Rent Roll'!$L$14),1,0)</f>
        <v>0</v>
      </c>
      <c r="BS100" s="49">
        <f>IF(AND('Rent Roll'!$N$14&lt;&gt;"Ghost",BS$4&lt;='Rent Roll'!$L$14),1,0)</f>
        <v>0</v>
      </c>
      <c r="BT100" s="49">
        <f>IF(AND('Rent Roll'!$N$14&lt;&gt;"Ghost",BT$4&lt;='Rent Roll'!$L$14),1,0)</f>
        <v>0</v>
      </c>
      <c r="BU100" s="49">
        <f>IF(AND('Rent Roll'!$N$14&lt;&gt;"Ghost",BU$4&lt;='Rent Roll'!$L$14),1,0)</f>
        <v>0</v>
      </c>
      <c r="BV100" s="49">
        <f>IF(AND('Rent Roll'!$N$14&lt;&gt;"Ghost",BV$4&lt;='Rent Roll'!$L$14),1,0)</f>
        <v>0</v>
      </c>
      <c r="BW100" s="49">
        <f>IF(AND('Rent Roll'!$N$14&lt;&gt;"Ghost",BW$4&lt;='Rent Roll'!$L$14),1,0)</f>
        <v>0</v>
      </c>
      <c r="BX100" s="49">
        <f>IF(AND('Rent Roll'!$N$14&lt;&gt;"Ghost",BX$4&lt;='Rent Roll'!$L$14),1,0)</f>
        <v>0</v>
      </c>
    </row>
    <row r="101" spans="1:76" hidden="1" outlineLevel="1">
      <c r="B101" t="s">
        <v>159</v>
      </c>
      <c r="D101" s="49">
        <f>IF(D100=1,'Rent Roll'!$H$14/12*(1+'Rent Roll'!$I$14)^IF(D$4&lt;'Rent Roll'!$Y$14,0,YEAR(D$4)-YEAR('Rent Roll'!$Y$14)+1),0)</f>
        <v>12450</v>
      </c>
      <c r="E101" s="49">
        <f>IF(E100=1,'Rent Roll'!$H$14/12*(1+'Rent Roll'!$I$14)^IF(E$4&lt;'Rent Roll'!$Y$14,0,YEAR(E$4)-YEAR('Rent Roll'!$Y$14)+1),0)</f>
        <v>12450</v>
      </c>
      <c r="F101" s="49">
        <f>IF(F100=1,'Rent Roll'!$H$14/12*(1+'Rent Roll'!$I$14)^IF(F$4&lt;'Rent Roll'!$Y$14,0,YEAR(F$4)-YEAR('Rent Roll'!$Y$14)+1),0)</f>
        <v>12450</v>
      </c>
      <c r="G101" s="49">
        <f>IF(G100=1,'Rent Roll'!$H$14/12*(1+'Rent Roll'!$I$14)^IF(G$4&lt;'Rent Roll'!$Y$14,0,YEAR(G$4)-YEAR('Rent Roll'!$Y$14)+1),0)</f>
        <v>12450</v>
      </c>
      <c r="H101" s="49">
        <f>IF(H100=1,'Rent Roll'!$H$14/12*(1+'Rent Roll'!$I$14)^IF(H$4&lt;'Rent Roll'!$Y$14,0,YEAR(H$4)-YEAR('Rent Roll'!$Y$14)+1),0)</f>
        <v>12699</v>
      </c>
      <c r="I101" s="49">
        <f>IF(I100=1,'Rent Roll'!$H$14/12*(1+'Rent Roll'!$I$14)^IF(I$4&lt;'Rent Roll'!$Y$14,0,YEAR(I$4)-YEAR('Rent Roll'!$Y$14)+1),0)</f>
        <v>12952.98</v>
      </c>
      <c r="J101" s="49">
        <f>IF(J100=1,'Rent Roll'!$H$14/12*(1+'Rent Roll'!$I$14)^IF(J$4&lt;'Rent Roll'!$Y$14,0,YEAR(J$4)-YEAR('Rent Roll'!$Y$14)+1),0)</f>
        <v>12952.98</v>
      </c>
      <c r="K101" s="49">
        <f>IF(K100=1,'Rent Roll'!$H$14/12*(1+'Rent Roll'!$I$14)^IF(K$4&lt;'Rent Roll'!$Y$14,0,YEAR(K$4)-YEAR('Rent Roll'!$Y$14)+1),0)</f>
        <v>12952.98</v>
      </c>
      <c r="L101" s="49">
        <f>IF(L100=1,'Rent Roll'!$H$14/12*(1+'Rent Roll'!$I$14)^IF(L$4&lt;'Rent Roll'!$Y$14,0,YEAR(L$4)-YEAR('Rent Roll'!$Y$14)+1),0)</f>
        <v>12952.98</v>
      </c>
      <c r="M101" s="49">
        <f>IF(M100=1,'Rent Roll'!$H$14/12*(1+'Rent Roll'!$I$14)^IF(M$4&lt;'Rent Roll'!$Y$14,0,YEAR(M$4)-YEAR('Rent Roll'!$Y$14)+1),0)</f>
        <v>12952.98</v>
      </c>
      <c r="N101" s="49">
        <f>IF(N100=1,'Rent Roll'!$H$14/12*(1+'Rent Roll'!$I$14)^IF(N$4&lt;'Rent Roll'!$Y$14,0,YEAR(N$4)-YEAR('Rent Roll'!$Y$14)+1),0)</f>
        <v>12952.98</v>
      </c>
      <c r="O101" s="49">
        <f>IF(O100=1,'Rent Roll'!$H$14/12*(1+'Rent Roll'!$I$14)^IF(O$4&lt;'Rent Roll'!$Y$14,0,YEAR(O$4)-YEAR('Rent Roll'!$Y$14)+1),0)</f>
        <v>12952.98</v>
      </c>
      <c r="P101" s="49">
        <f>IF(P100=1,'Rent Roll'!$H$14/12*(1+'Rent Roll'!$I$14)^IF(P$4&lt;'Rent Roll'!$Y$14,0,YEAR(P$4)-YEAR('Rent Roll'!$Y$14)+1),0)</f>
        <v>12952.98</v>
      </c>
      <c r="Q101" s="49">
        <f>IF(Q100=1,'Rent Roll'!$H$14/12*(1+'Rent Roll'!$I$14)^IF(Q$4&lt;'Rent Roll'!$Y$14,0,YEAR(Q$4)-YEAR('Rent Roll'!$Y$14)+1),0)</f>
        <v>12952.98</v>
      </c>
      <c r="R101" s="49">
        <f>IF(R100=1,'Rent Roll'!$H$14/12*(1+'Rent Roll'!$I$14)^IF(R$4&lt;'Rent Roll'!$Y$14,0,YEAR(R$4)-YEAR('Rent Roll'!$Y$14)+1),0)</f>
        <v>12952.98</v>
      </c>
      <c r="S101" s="49">
        <f>IF(S100=1,'Rent Roll'!$H$14/12*(1+'Rent Roll'!$I$14)^IF(S$4&lt;'Rent Roll'!$Y$14,0,YEAR(S$4)-YEAR('Rent Roll'!$Y$14)+1),0)</f>
        <v>12952.98</v>
      </c>
      <c r="T101" s="49">
        <f>IF(T100=1,'Rent Roll'!$H$14/12*(1+'Rent Roll'!$I$14)^IF(T$4&lt;'Rent Roll'!$Y$14,0,YEAR(T$4)-YEAR('Rent Roll'!$Y$14)+1),0)</f>
        <v>12952.98</v>
      </c>
      <c r="U101" s="49">
        <f>IF(U100=1,'Rent Roll'!$H$14/12*(1+'Rent Roll'!$I$14)^IF(U$4&lt;'Rent Roll'!$Y$14,0,YEAR(U$4)-YEAR('Rent Roll'!$Y$14)+1),0)</f>
        <v>13212.039599999998</v>
      </c>
      <c r="V101" s="49">
        <f>IF(V100=1,'Rent Roll'!$H$14/12*(1+'Rent Roll'!$I$14)^IF(V$4&lt;'Rent Roll'!$Y$14,0,YEAR(V$4)-YEAR('Rent Roll'!$Y$14)+1),0)</f>
        <v>13212.039599999998</v>
      </c>
      <c r="W101" s="49">
        <f>IF(W100=1,'Rent Roll'!$H$14/12*(1+'Rent Roll'!$I$14)^IF(W$4&lt;'Rent Roll'!$Y$14,0,YEAR(W$4)-YEAR('Rent Roll'!$Y$14)+1),0)</f>
        <v>13212.039599999998</v>
      </c>
      <c r="X101" s="49">
        <f>IF(X100=1,'Rent Roll'!$H$14/12*(1+'Rent Roll'!$I$14)^IF(X$4&lt;'Rent Roll'!$Y$14,0,YEAR(X$4)-YEAR('Rent Roll'!$Y$14)+1),0)</f>
        <v>13212.039599999998</v>
      </c>
      <c r="Y101" s="49">
        <f>IF(Y100=1,'Rent Roll'!$H$14/12*(1+'Rent Roll'!$I$14)^IF(Y$4&lt;'Rent Roll'!$Y$14,0,YEAR(Y$4)-YEAR('Rent Roll'!$Y$14)+1),0)</f>
        <v>13212.039599999998</v>
      </c>
      <c r="Z101" s="49">
        <f>IF(Z100=1,'Rent Roll'!$H$14/12*(1+'Rent Roll'!$I$14)^IF(Z$4&lt;'Rent Roll'!$Y$14,0,YEAR(Z$4)-YEAR('Rent Roll'!$Y$14)+1),0)</f>
        <v>13212.039599999998</v>
      </c>
      <c r="AA101" s="49">
        <f>IF(AA100=1,'Rent Roll'!$H$14/12*(1+'Rent Roll'!$I$14)^IF(AA$4&lt;'Rent Roll'!$Y$14,0,YEAR(AA$4)-YEAR('Rent Roll'!$Y$14)+1),0)</f>
        <v>13212.039599999998</v>
      </c>
      <c r="AB101" s="49">
        <f>IF(AB100=1,'Rent Roll'!$H$14/12*(1+'Rent Roll'!$I$14)^IF(AB$4&lt;'Rent Roll'!$Y$14,0,YEAR(AB$4)-YEAR('Rent Roll'!$Y$14)+1),0)</f>
        <v>13212.039599999998</v>
      </c>
      <c r="AC101" s="49">
        <f>IF(AC100=1,'Rent Roll'!$H$14/12*(1+'Rent Roll'!$I$14)^IF(AC$4&lt;'Rent Roll'!$Y$14,0,YEAR(AC$4)-YEAR('Rent Roll'!$Y$14)+1),0)</f>
        <v>13212.039599999998</v>
      </c>
      <c r="AD101" s="49">
        <f>IF(AD100=1,'Rent Roll'!$H$14/12*(1+'Rent Roll'!$I$14)^IF(AD$4&lt;'Rent Roll'!$Y$14,0,YEAR(AD$4)-YEAR('Rent Roll'!$Y$14)+1),0)</f>
        <v>13212.039599999998</v>
      </c>
      <c r="AE101" s="49">
        <f>IF(AE100=1,'Rent Roll'!$H$14/12*(1+'Rent Roll'!$I$14)^IF(AE$4&lt;'Rent Roll'!$Y$14,0,YEAR(AE$4)-YEAR('Rent Roll'!$Y$14)+1),0)</f>
        <v>13212.039599999998</v>
      </c>
      <c r="AF101" s="49">
        <f>IF(AF100=1,'Rent Roll'!$H$14/12*(1+'Rent Roll'!$I$14)^IF(AF$4&lt;'Rent Roll'!$Y$14,0,YEAR(AF$4)-YEAR('Rent Roll'!$Y$14)+1),0)</f>
        <v>0</v>
      </c>
      <c r="AG101" s="49">
        <f>IF(AG100=1,'Rent Roll'!$H$14/12*(1+'Rent Roll'!$I$14)^IF(AG$4&lt;'Rent Roll'!$Y$14,0,YEAR(AG$4)-YEAR('Rent Roll'!$Y$14)+1),0)</f>
        <v>0</v>
      </c>
      <c r="AH101" s="49">
        <f>IF(AH100=1,'Rent Roll'!$H$14/12*(1+'Rent Roll'!$I$14)^IF(AH$4&lt;'Rent Roll'!$Y$14,0,YEAR(AH$4)-YEAR('Rent Roll'!$Y$14)+1),0)</f>
        <v>0</v>
      </c>
      <c r="AI101" s="49">
        <f>IF(AI100=1,'Rent Roll'!$H$14/12*(1+'Rent Roll'!$I$14)^IF(AI$4&lt;'Rent Roll'!$Y$14,0,YEAR(AI$4)-YEAR('Rent Roll'!$Y$14)+1),0)</f>
        <v>0</v>
      </c>
      <c r="AJ101" s="49">
        <f>IF(AJ100=1,'Rent Roll'!$H$14/12*(1+'Rent Roll'!$I$14)^IF(AJ$4&lt;'Rent Roll'!$Y$14,0,YEAR(AJ$4)-YEAR('Rent Roll'!$Y$14)+1),0)</f>
        <v>0</v>
      </c>
      <c r="AK101" s="49">
        <f>IF(AK100=1,'Rent Roll'!$H$14/12*(1+'Rent Roll'!$I$14)^IF(AK$4&lt;'Rent Roll'!$Y$14,0,YEAR(AK$4)-YEAR('Rent Roll'!$Y$14)+1),0)</f>
        <v>0</v>
      </c>
      <c r="AL101" s="49">
        <f>IF(AL100=1,'Rent Roll'!$H$14/12*(1+'Rent Roll'!$I$14)^IF(AL$4&lt;'Rent Roll'!$Y$14,0,YEAR(AL$4)-YEAR('Rent Roll'!$Y$14)+1),0)</f>
        <v>0</v>
      </c>
      <c r="AM101" s="49">
        <f>IF(AM100=1,'Rent Roll'!$H$14/12*(1+'Rent Roll'!$I$14)^IF(AM$4&lt;'Rent Roll'!$Y$14,0,YEAR(AM$4)-YEAR('Rent Roll'!$Y$14)+1),0)</f>
        <v>0</v>
      </c>
      <c r="AN101" s="49">
        <f>IF(AN100=1,'Rent Roll'!$H$14/12*(1+'Rent Roll'!$I$14)^IF(AN$4&lt;'Rent Roll'!$Y$14,0,YEAR(AN$4)-YEAR('Rent Roll'!$Y$14)+1),0)</f>
        <v>0</v>
      </c>
      <c r="AO101" s="49">
        <f>IF(AO100=1,'Rent Roll'!$H$14/12*(1+'Rent Roll'!$I$14)^IF(AO$4&lt;'Rent Roll'!$Y$14,0,YEAR(AO$4)-YEAR('Rent Roll'!$Y$14)+1),0)</f>
        <v>0</v>
      </c>
      <c r="AP101" s="49">
        <f>IF(AP100=1,'Rent Roll'!$H$14/12*(1+'Rent Roll'!$I$14)^IF(AP$4&lt;'Rent Roll'!$Y$14,0,YEAR(AP$4)-YEAR('Rent Roll'!$Y$14)+1),0)</f>
        <v>0</v>
      </c>
      <c r="AQ101" s="49">
        <f>IF(AQ100=1,'Rent Roll'!$H$14/12*(1+'Rent Roll'!$I$14)^IF(AQ$4&lt;'Rent Roll'!$Y$14,0,YEAR(AQ$4)-YEAR('Rent Roll'!$Y$14)+1),0)</f>
        <v>0</v>
      </c>
      <c r="AR101" s="49">
        <f>IF(AR100=1,'Rent Roll'!$H$14/12*(1+'Rent Roll'!$I$14)^IF(AR$4&lt;'Rent Roll'!$Y$14,0,YEAR(AR$4)-YEAR('Rent Roll'!$Y$14)+1),0)</f>
        <v>0</v>
      </c>
      <c r="AS101" s="49">
        <f>IF(AS100=1,'Rent Roll'!$H$14/12*(1+'Rent Roll'!$I$14)^IF(AS$4&lt;'Rent Roll'!$Y$14,0,YEAR(AS$4)-YEAR('Rent Roll'!$Y$14)+1),0)</f>
        <v>0</v>
      </c>
      <c r="AT101" s="49">
        <f>IF(AT100=1,'Rent Roll'!$H$14/12*(1+'Rent Roll'!$I$14)^IF(AT$4&lt;'Rent Roll'!$Y$14,0,YEAR(AT$4)-YEAR('Rent Roll'!$Y$14)+1),0)</f>
        <v>0</v>
      </c>
      <c r="AU101" s="49">
        <f>IF(AU100=1,'Rent Roll'!$H$14/12*(1+'Rent Roll'!$I$14)^IF(AU$4&lt;'Rent Roll'!$Y$14,0,YEAR(AU$4)-YEAR('Rent Roll'!$Y$14)+1),0)</f>
        <v>0</v>
      </c>
      <c r="AV101" s="49">
        <f>IF(AV100=1,'Rent Roll'!$H$14/12*(1+'Rent Roll'!$I$14)^IF(AV$4&lt;'Rent Roll'!$Y$14,0,YEAR(AV$4)-YEAR('Rent Roll'!$Y$14)+1),0)</f>
        <v>0</v>
      </c>
      <c r="AW101" s="49">
        <f>IF(AW100=1,'Rent Roll'!$H$14/12*(1+'Rent Roll'!$I$14)^IF(AW$4&lt;'Rent Roll'!$Y$14,0,YEAR(AW$4)-YEAR('Rent Roll'!$Y$14)+1),0)</f>
        <v>0</v>
      </c>
      <c r="AX101" s="49">
        <f>IF(AX100=1,'Rent Roll'!$H$14/12*(1+'Rent Roll'!$I$14)^IF(AX$4&lt;'Rent Roll'!$Y$14,0,YEAR(AX$4)-YEAR('Rent Roll'!$Y$14)+1),0)</f>
        <v>0</v>
      </c>
      <c r="AY101" s="49">
        <f>IF(AY100=1,'Rent Roll'!$H$14/12*(1+'Rent Roll'!$I$14)^IF(AY$4&lt;'Rent Roll'!$Y$14,0,YEAR(AY$4)-YEAR('Rent Roll'!$Y$14)+1),0)</f>
        <v>0</v>
      </c>
      <c r="AZ101" s="49">
        <f>IF(AZ100=1,'Rent Roll'!$H$14/12*(1+'Rent Roll'!$I$14)^IF(AZ$4&lt;'Rent Roll'!$Y$14,0,YEAR(AZ$4)-YEAR('Rent Roll'!$Y$14)+1),0)</f>
        <v>0</v>
      </c>
      <c r="BA101" s="49">
        <f>IF(BA100=1,'Rent Roll'!$H$14/12*(1+'Rent Roll'!$I$14)^IF(BA$4&lt;'Rent Roll'!$Y$14,0,YEAR(BA$4)-YEAR('Rent Roll'!$Y$14)+1),0)</f>
        <v>0</v>
      </c>
      <c r="BB101" s="49">
        <f>IF(BB100=1,'Rent Roll'!$H$14/12*(1+'Rent Roll'!$I$14)^IF(BB$4&lt;'Rent Roll'!$Y$14,0,YEAR(BB$4)-YEAR('Rent Roll'!$Y$14)+1),0)</f>
        <v>0</v>
      </c>
      <c r="BC101" s="49">
        <f>IF(BC100=1,'Rent Roll'!$H$14/12*(1+'Rent Roll'!$I$14)^IF(BC$4&lt;'Rent Roll'!$Y$14,0,YEAR(BC$4)-YEAR('Rent Roll'!$Y$14)+1),0)</f>
        <v>0</v>
      </c>
      <c r="BD101" s="49">
        <f>IF(BD100=1,'Rent Roll'!$H$14/12*(1+'Rent Roll'!$I$14)^IF(BD$4&lt;'Rent Roll'!$Y$14,0,YEAR(BD$4)-YEAR('Rent Roll'!$Y$14)+1),0)</f>
        <v>0</v>
      </c>
      <c r="BE101" s="49">
        <f>IF(BE100=1,'Rent Roll'!$H$14/12*(1+'Rent Roll'!$I$14)^IF(BE$4&lt;'Rent Roll'!$Y$14,0,YEAR(BE$4)-YEAR('Rent Roll'!$Y$14)+1),0)</f>
        <v>0</v>
      </c>
      <c r="BF101" s="49">
        <f>IF(BF100=1,'Rent Roll'!$H$14/12*(1+'Rent Roll'!$I$14)^IF(BF$4&lt;'Rent Roll'!$Y$14,0,YEAR(BF$4)-YEAR('Rent Roll'!$Y$14)+1),0)</f>
        <v>0</v>
      </c>
      <c r="BG101" s="49">
        <f>IF(BG100=1,'Rent Roll'!$H$14/12*(1+'Rent Roll'!$I$14)^IF(BG$4&lt;'Rent Roll'!$Y$14,0,YEAR(BG$4)-YEAR('Rent Roll'!$Y$14)+1),0)</f>
        <v>0</v>
      </c>
      <c r="BH101" s="49">
        <f>IF(BH100=1,'Rent Roll'!$H$14/12*(1+'Rent Roll'!$I$14)^IF(BH$4&lt;'Rent Roll'!$Y$14,0,YEAR(BH$4)-YEAR('Rent Roll'!$Y$14)+1),0)</f>
        <v>0</v>
      </c>
      <c r="BI101" s="49">
        <f>IF(BI100=1,'Rent Roll'!$H$14/12*(1+'Rent Roll'!$I$14)^IF(BI$4&lt;'Rent Roll'!$Y$14,0,YEAR(BI$4)-YEAR('Rent Roll'!$Y$14)+1),0)</f>
        <v>0</v>
      </c>
      <c r="BJ101" s="49">
        <f>IF(BJ100=1,'Rent Roll'!$H$14/12*(1+'Rent Roll'!$I$14)^IF(BJ$4&lt;'Rent Roll'!$Y$14,0,YEAR(BJ$4)-YEAR('Rent Roll'!$Y$14)+1),0)</f>
        <v>0</v>
      </c>
      <c r="BK101" s="49">
        <f>IF(BK100=1,'Rent Roll'!$H$14/12*(1+'Rent Roll'!$I$14)^IF(BK$4&lt;'Rent Roll'!$Y$14,0,YEAR(BK$4)-YEAR('Rent Roll'!$Y$14)+1),0)</f>
        <v>0</v>
      </c>
      <c r="BL101" s="49">
        <f>IF(BL100=1,'Rent Roll'!$H$14/12*(1+'Rent Roll'!$I$14)^IF(BL$4&lt;'Rent Roll'!$Y$14,0,YEAR(BL$4)-YEAR('Rent Roll'!$Y$14)+1),0)</f>
        <v>0</v>
      </c>
      <c r="BM101" s="49">
        <f>IF(BM100=1,'Rent Roll'!$H$14/12*(1+'Rent Roll'!$I$14)^IF(BM$4&lt;'Rent Roll'!$Y$14,0,YEAR(BM$4)-YEAR('Rent Roll'!$Y$14)+1),0)</f>
        <v>0</v>
      </c>
      <c r="BN101" s="49">
        <f>IF(BN100=1,'Rent Roll'!$H$14/12*(1+'Rent Roll'!$I$14)^IF(BN$4&lt;'Rent Roll'!$Y$14,0,YEAR(BN$4)-YEAR('Rent Roll'!$Y$14)+1),0)</f>
        <v>0</v>
      </c>
      <c r="BO101" s="49">
        <f>IF(BO100=1,'Rent Roll'!$H$14/12*(1+'Rent Roll'!$I$14)^IF(BO$4&lt;'Rent Roll'!$Y$14,0,YEAR(BO$4)-YEAR('Rent Roll'!$Y$14)+1),0)</f>
        <v>0</v>
      </c>
      <c r="BP101" s="49">
        <f>IF(BP100=1,'Rent Roll'!$H$14/12*(1+'Rent Roll'!$I$14)^IF(BP$4&lt;'Rent Roll'!$Y$14,0,YEAR(BP$4)-YEAR('Rent Roll'!$Y$14)+1),0)</f>
        <v>0</v>
      </c>
      <c r="BQ101" s="49">
        <f>IF(BQ100=1,'Rent Roll'!$H$14/12*(1+'Rent Roll'!$I$14)^IF(BQ$4&lt;'Rent Roll'!$Y$14,0,YEAR(BQ$4)-YEAR('Rent Roll'!$Y$14)+1),0)</f>
        <v>0</v>
      </c>
      <c r="BR101" s="49">
        <f>IF(BR100=1,'Rent Roll'!$H$14/12*(1+'Rent Roll'!$I$14)^IF(BR$4&lt;'Rent Roll'!$Y$14,0,YEAR(BR$4)-YEAR('Rent Roll'!$Y$14)+1),0)</f>
        <v>0</v>
      </c>
      <c r="BS101" s="49">
        <f>IF(BS100=1,'Rent Roll'!$H$14/12*(1+'Rent Roll'!$I$14)^IF(BS$4&lt;'Rent Roll'!$Y$14,0,YEAR(BS$4)-YEAR('Rent Roll'!$Y$14)+1),0)</f>
        <v>0</v>
      </c>
      <c r="BT101" s="49">
        <f>IF(BT100=1,'Rent Roll'!$H$14/12*(1+'Rent Roll'!$I$14)^IF(BT$4&lt;'Rent Roll'!$Y$14,0,YEAR(BT$4)-YEAR('Rent Roll'!$Y$14)+1),0)</f>
        <v>0</v>
      </c>
      <c r="BU101" s="49">
        <f>IF(BU100=1,'Rent Roll'!$H$14/12*(1+'Rent Roll'!$I$14)^IF(BU$4&lt;'Rent Roll'!$Y$14,0,YEAR(BU$4)-YEAR('Rent Roll'!$Y$14)+1),0)</f>
        <v>0</v>
      </c>
      <c r="BV101" s="49">
        <f>IF(BV100=1,'Rent Roll'!$H$14/12*(1+'Rent Roll'!$I$14)^IF(BV$4&lt;'Rent Roll'!$Y$14,0,YEAR(BV$4)-YEAR('Rent Roll'!$Y$14)+1),0)</f>
        <v>0</v>
      </c>
      <c r="BW101" s="49">
        <f>IF(BW100=1,'Rent Roll'!$H$14/12*(1+'Rent Roll'!$I$14)^IF(BW$4&lt;'Rent Roll'!$Y$14,0,YEAR(BW$4)-YEAR('Rent Roll'!$Y$14)+1),0)</f>
        <v>0</v>
      </c>
      <c r="BX101" s="49">
        <f>IF(BX100=1,'Rent Roll'!$H$14/12*(1+'Rent Roll'!$I$14)^IF(BX$4&lt;'Rent Roll'!$Y$14,0,YEAR(BX$4)-YEAR('Rent Roll'!$Y$14)+1),0)</f>
        <v>0</v>
      </c>
    </row>
    <row r="102" spans="1:76" hidden="1" outlineLevel="1">
      <c r="B102" t="s">
        <v>160</v>
      </c>
      <c r="D102" s="49">
        <f>IF(D$4&gt;EOMONTH(CloseDate,'Rent Roll'!$O$14+'Rent Roll'!$S$14-1),1,0)</f>
        <v>0</v>
      </c>
      <c r="E102" s="49">
        <f>IF(E$4&gt;EOMONTH(CloseDate,'Rent Roll'!$O$14+'Rent Roll'!$S$14-1),1,0)</f>
        <v>0</v>
      </c>
      <c r="F102" s="49">
        <f>IF(F$4&gt;EOMONTH(CloseDate,'Rent Roll'!$O$14+'Rent Roll'!$S$14-1),1,0)</f>
        <v>0</v>
      </c>
      <c r="G102" s="49">
        <f>IF(G$4&gt;EOMONTH(CloseDate,'Rent Roll'!$O$14+'Rent Roll'!$S$14-1),1,0)</f>
        <v>0</v>
      </c>
      <c r="H102" s="49">
        <f>IF(H$4&gt;EOMONTH(CloseDate,'Rent Roll'!$O$14+'Rent Roll'!$S$14-1),1,0)</f>
        <v>0</v>
      </c>
      <c r="I102" s="49">
        <f>IF(I$4&gt;EOMONTH(CloseDate,'Rent Roll'!$O$14+'Rent Roll'!$S$14-1),1,0)</f>
        <v>0</v>
      </c>
      <c r="J102" s="49">
        <f>IF(J$4&gt;EOMONTH(CloseDate,'Rent Roll'!$O$14+'Rent Roll'!$S$14-1),1,0)</f>
        <v>0</v>
      </c>
      <c r="K102" s="49">
        <f>IF(K$4&gt;EOMONTH(CloseDate,'Rent Roll'!$O$14+'Rent Roll'!$S$14-1),1,0)</f>
        <v>0</v>
      </c>
      <c r="L102" s="49">
        <f>IF(L$4&gt;EOMONTH(CloseDate,'Rent Roll'!$O$14+'Rent Roll'!$S$14-1),1,0)</f>
        <v>0</v>
      </c>
      <c r="M102" s="49">
        <f>IF(M$4&gt;EOMONTH(CloseDate,'Rent Roll'!$O$14+'Rent Roll'!$S$14-1),1,0)</f>
        <v>0</v>
      </c>
      <c r="N102" s="49">
        <f>IF(N$4&gt;EOMONTH(CloseDate,'Rent Roll'!$O$14+'Rent Roll'!$S$14-1),1,0)</f>
        <v>0</v>
      </c>
      <c r="O102" s="49">
        <f>IF(O$4&gt;EOMONTH(CloseDate,'Rent Roll'!$O$14+'Rent Roll'!$S$14-1),1,0)</f>
        <v>0</v>
      </c>
      <c r="P102" s="49">
        <f>IF(P$4&gt;EOMONTH(CloseDate,'Rent Roll'!$O$14+'Rent Roll'!$S$14-1),1,0)</f>
        <v>0</v>
      </c>
      <c r="Q102" s="49">
        <f>IF(Q$4&gt;EOMONTH(CloseDate,'Rent Roll'!$O$14+'Rent Roll'!$S$14-1),1,0)</f>
        <v>0</v>
      </c>
      <c r="R102" s="49">
        <f>IF(R$4&gt;EOMONTH(CloseDate,'Rent Roll'!$O$14+'Rent Roll'!$S$14-1),1,0)</f>
        <v>0</v>
      </c>
      <c r="S102" s="49">
        <f>IF(S$4&gt;EOMONTH(CloseDate,'Rent Roll'!$O$14+'Rent Roll'!$S$14-1),1,0)</f>
        <v>0</v>
      </c>
      <c r="T102" s="49">
        <f>IF(T$4&gt;EOMONTH(CloseDate,'Rent Roll'!$O$14+'Rent Roll'!$S$14-1),1,0)</f>
        <v>0</v>
      </c>
      <c r="U102" s="49">
        <f>IF(U$4&gt;EOMONTH(CloseDate,'Rent Roll'!$O$14+'Rent Roll'!$S$14-1),1,0)</f>
        <v>0</v>
      </c>
      <c r="V102" s="49">
        <f>IF(V$4&gt;EOMONTH(CloseDate,'Rent Roll'!$O$14+'Rent Roll'!$S$14-1),1,0)</f>
        <v>0</v>
      </c>
      <c r="W102" s="49">
        <f>IF(W$4&gt;EOMONTH(CloseDate,'Rent Roll'!$O$14+'Rent Roll'!$S$14-1),1,0)</f>
        <v>0</v>
      </c>
      <c r="X102" s="49">
        <f>IF(X$4&gt;EOMONTH(CloseDate,'Rent Roll'!$O$14+'Rent Roll'!$S$14-1),1,0)</f>
        <v>0</v>
      </c>
      <c r="Y102" s="49">
        <f>IF(Y$4&gt;EOMONTH(CloseDate,'Rent Roll'!$O$14+'Rent Roll'!$S$14-1),1,0)</f>
        <v>0</v>
      </c>
      <c r="Z102" s="49">
        <f>IF(Z$4&gt;EOMONTH(CloseDate,'Rent Roll'!$O$14+'Rent Roll'!$S$14-1),1,0)</f>
        <v>0</v>
      </c>
      <c r="AA102" s="49">
        <f>IF(AA$4&gt;EOMONTH(CloseDate,'Rent Roll'!$O$14+'Rent Roll'!$S$14-1),1,0)</f>
        <v>0</v>
      </c>
      <c r="AB102" s="49">
        <f>IF(AB$4&gt;EOMONTH(CloseDate,'Rent Roll'!$O$14+'Rent Roll'!$S$14-1),1,0)</f>
        <v>0</v>
      </c>
      <c r="AC102" s="49">
        <f>IF(AC$4&gt;EOMONTH(CloseDate,'Rent Roll'!$O$14+'Rent Roll'!$S$14-1),1,0)</f>
        <v>0</v>
      </c>
      <c r="AD102" s="49">
        <f>IF(AD$4&gt;EOMONTH(CloseDate,'Rent Roll'!$O$14+'Rent Roll'!$S$14-1),1,0)</f>
        <v>0</v>
      </c>
      <c r="AE102" s="49">
        <f>IF(AE$4&gt;EOMONTH(CloseDate,'Rent Roll'!$O$14+'Rent Roll'!$S$14-1),1,0)</f>
        <v>0</v>
      </c>
      <c r="AF102" s="49">
        <f>IF(AF$4&gt;EOMONTH(CloseDate,'Rent Roll'!$O$14+'Rent Roll'!$S$14-1),1,0)</f>
        <v>0</v>
      </c>
      <c r="AG102" s="49">
        <f>IF(AG$4&gt;EOMONTH(CloseDate,'Rent Roll'!$O$14+'Rent Roll'!$S$14-1),1,0)</f>
        <v>0</v>
      </c>
      <c r="AH102" s="49">
        <f>IF(AH$4&gt;EOMONTH(CloseDate,'Rent Roll'!$O$14+'Rent Roll'!$S$14-1),1,0)</f>
        <v>0</v>
      </c>
      <c r="AI102" s="49">
        <f>IF(AI$4&gt;EOMONTH(CloseDate,'Rent Roll'!$O$14+'Rent Roll'!$S$14-1),1,0)</f>
        <v>0</v>
      </c>
      <c r="AJ102" s="49">
        <f>IF(AJ$4&gt;EOMONTH(CloseDate,'Rent Roll'!$O$14+'Rent Roll'!$S$14-1),1,0)</f>
        <v>1</v>
      </c>
      <c r="AK102" s="49">
        <f>IF(AK$4&gt;EOMONTH(CloseDate,'Rent Roll'!$O$14+'Rent Roll'!$S$14-1),1,0)</f>
        <v>1</v>
      </c>
      <c r="AL102" s="49">
        <f>IF(AL$4&gt;EOMONTH(CloseDate,'Rent Roll'!$O$14+'Rent Roll'!$S$14-1),1,0)</f>
        <v>1</v>
      </c>
      <c r="AM102" s="49">
        <f>IF(AM$4&gt;EOMONTH(CloseDate,'Rent Roll'!$O$14+'Rent Roll'!$S$14-1),1,0)</f>
        <v>1</v>
      </c>
      <c r="AN102" s="49">
        <f>IF(AN$4&gt;EOMONTH(CloseDate,'Rent Roll'!$O$14+'Rent Roll'!$S$14-1),1,0)</f>
        <v>1</v>
      </c>
      <c r="AO102" s="49">
        <f>IF(AO$4&gt;EOMONTH(CloseDate,'Rent Roll'!$O$14+'Rent Roll'!$S$14-1),1,0)</f>
        <v>1</v>
      </c>
      <c r="AP102" s="49">
        <f>IF(AP$4&gt;EOMONTH(CloseDate,'Rent Roll'!$O$14+'Rent Roll'!$S$14-1),1,0)</f>
        <v>1</v>
      </c>
      <c r="AQ102" s="49">
        <f>IF(AQ$4&gt;EOMONTH(CloseDate,'Rent Roll'!$O$14+'Rent Roll'!$S$14-1),1,0)</f>
        <v>1</v>
      </c>
      <c r="AR102" s="49">
        <f>IF(AR$4&gt;EOMONTH(CloseDate,'Rent Roll'!$O$14+'Rent Roll'!$S$14-1),1,0)</f>
        <v>1</v>
      </c>
      <c r="AS102" s="49">
        <f>IF(AS$4&gt;EOMONTH(CloseDate,'Rent Roll'!$O$14+'Rent Roll'!$S$14-1),1,0)</f>
        <v>1</v>
      </c>
      <c r="AT102" s="49">
        <f>IF(AT$4&gt;EOMONTH(CloseDate,'Rent Roll'!$O$14+'Rent Roll'!$S$14-1),1,0)</f>
        <v>1</v>
      </c>
      <c r="AU102" s="49">
        <f>IF(AU$4&gt;EOMONTH(CloseDate,'Rent Roll'!$O$14+'Rent Roll'!$S$14-1),1,0)</f>
        <v>1</v>
      </c>
      <c r="AV102" s="49">
        <f>IF(AV$4&gt;EOMONTH(CloseDate,'Rent Roll'!$O$14+'Rent Roll'!$S$14-1),1,0)</f>
        <v>1</v>
      </c>
      <c r="AW102" s="49">
        <f>IF(AW$4&gt;EOMONTH(CloseDate,'Rent Roll'!$O$14+'Rent Roll'!$S$14-1),1,0)</f>
        <v>1</v>
      </c>
      <c r="AX102" s="49">
        <f>IF(AX$4&gt;EOMONTH(CloseDate,'Rent Roll'!$O$14+'Rent Roll'!$S$14-1),1,0)</f>
        <v>1</v>
      </c>
      <c r="AY102" s="49">
        <f>IF(AY$4&gt;EOMONTH(CloseDate,'Rent Roll'!$O$14+'Rent Roll'!$S$14-1),1,0)</f>
        <v>1</v>
      </c>
      <c r="AZ102" s="49">
        <f>IF(AZ$4&gt;EOMONTH(CloseDate,'Rent Roll'!$O$14+'Rent Roll'!$S$14-1),1,0)</f>
        <v>1</v>
      </c>
      <c r="BA102" s="49">
        <f>IF(BA$4&gt;EOMONTH(CloseDate,'Rent Roll'!$O$14+'Rent Roll'!$S$14-1),1,0)</f>
        <v>1</v>
      </c>
      <c r="BB102" s="49">
        <f>IF(BB$4&gt;EOMONTH(CloseDate,'Rent Roll'!$O$14+'Rent Roll'!$S$14-1),1,0)</f>
        <v>1</v>
      </c>
      <c r="BC102" s="49">
        <f>IF(BC$4&gt;EOMONTH(CloseDate,'Rent Roll'!$O$14+'Rent Roll'!$S$14-1),1,0)</f>
        <v>1</v>
      </c>
      <c r="BD102" s="49">
        <f>IF(BD$4&gt;EOMONTH(CloseDate,'Rent Roll'!$O$14+'Rent Roll'!$S$14-1),1,0)</f>
        <v>1</v>
      </c>
      <c r="BE102" s="49">
        <f>IF(BE$4&gt;EOMONTH(CloseDate,'Rent Roll'!$O$14+'Rent Roll'!$S$14-1),1,0)</f>
        <v>1</v>
      </c>
      <c r="BF102" s="49">
        <f>IF(BF$4&gt;EOMONTH(CloseDate,'Rent Roll'!$O$14+'Rent Roll'!$S$14-1),1,0)</f>
        <v>1</v>
      </c>
      <c r="BG102" s="49">
        <f>IF(BG$4&gt;EOMONTH(CloseDate,'Rent Roll'!$O$14+'Rent Roll'!$S$14-1),1,0)</f>
        <v>1</v>
      </c>
      <c r="BH102" s="49">
        <f>IF(BH$4&gt;EOMONTH(CloseDate,'Rent Roll'!$O$14+'Rent Roll'!$S$14-1),1,0)</f>
        <v>1</v>
      </c>
      <c r="BI102" s="49">
        <f>IF(BI$4&gt;EOMONTH(CloseDate,'Rent Roll'!$O$14+'Rent Roll'!$S$14-1),1,0)</f>
        <v>1</v>
      </c>
      <c r="BJ102" s="49">
        <f>IF(BJ$4&gt;EOMONTH(CloseDate,'Rent Roll'!$O$14+'Rent Roll'!$S$14-1),1,0)</f>
        <v>1</v>
      </c>
      <c r="BK102" s="49">
        <f>IF(BK$4&gt;EOMONTH(CloseDate,'Rent Roll'!$O$14+'Rent Roll'!$S$14-1),1,0)</f>
        <v>1</v>
      </c>
      <c r="BL102" s="49">
        <f>IF(BL$4&gt;EOMONTH(CloseDate,'Rent Roll'!$O$14+'Rent Roll'!$S$14-1),1,0)</f>
        <v>1</v>
      </c>
      <c r="BM102" s="49">
        <f>IF(BM$4&gt;EOMONTH(CloseDate,'Rent Roll'!$O$14+'Rent Roll'!$S$14-1),1,0)</f>
        <v>1</v>
      </c>
      <c r="BN102" s="49">
        <f>IF(BN$4&gt;EOMONTH(CloseDate,'Rent Roll'!$O$14+'Rent Roll'!$S$14-1),1,0)</f>
        <v>1</v>
      </c>
      <c r="BO102" s="49">
        <f>IF(BO$4&gt;EOMONTH(CloseDate,'Rent Roll'!$O$14+'Rent Roll'!$S$14-1),1,0)</f>
        <v>1</v>
      </c>
      <c r="BP102" s="49">
        <f>IF(BP$4&gt;EOMONTH(CloseDate,'Rent Roll'!$O$14+'Rent Roll'!$S$14-1),1,0)</f>
        <v>1</v>
      </c>
      <c r="BQ102" s="49">
        <f>IF(BQ$4&gt;EOMONTH(CloseDate,'Rent Roll'!$O$14+'Rent Roll'!$S$14-1),1,0)</f>
        <v>1</v>
      </c>
      <c r="BR102" s="49">
        <f>IF(BR$4&gt;EOMONTH(CloseDate,'Rent Roll'!$O$14+'Rent Roll'!$S$14-1),1,0)</f>
        <v>1</v>
      </c>
      <c r="BS102" s="49">
        <f>IF(BS$4&gt;EOMONTH(CloseDate,'Rent Roll'!$O$14+'Rent Roll'!$S$14-1),1,0)</f>
        <v>1</v>
      </c>
      <c r="BT102" s="49">
        <f>IF(BT$4&gt;EOMONTH(CloseDate,'Rent Roll'!$O$14+'Rent Roll'!$S$14-1),1,0)</f>
        <v>1</v>
      </c>
      <c r="BU102" s="49">
        <f>IF(BU$4&gt;EOMONTH(CloseDate,'Rent Roll'!$O$14+'Rent Roll'!$S$14-1),1,0)</f>
        <v>1</v>
      </c>
      <c r="BV102" s="49">
        <f>IF(BV$4&gt;EOMONTH(CloseDate,'Rent Roll'!$O$14+'Rent Roll'!$S$14-1),1,0)</f>
        <v>1</v>
      </c>
      <c r="BW102" s="49">
        <f>IF(BW$4&gt;EOMONTH(CloseDate,'Rent Roll'!$O$14+'Rent Roll'!$S$14-1),1,0)</f>
        <v>1</v>
      </c>
      <c r="BX102" s="49">
        <f>IF(BX$4&gt;EOMONTH(CloseDate,'Rent Roll'!$O$14+'Rent Roll'!$S$14-1),1,0)</f>
        <v>1</v>
      </c>
    </row>
    <row r="103" spans="1:76" hidden="1" outlineLevel="1">
      <c r="B103" t="s">
        <v>162</v>
      </c>
      <c r="D103" s="49">
        <f>IF(D102=1,'Rent Roll'!$F$14*'Rent Roll'!$X$14/12*D$6,0)</f>
        <v>0</v>
      </c>
      <c r="E103" s="49">
        <f>IF(E102=1,'Rent Roll'!$F$14*'Rent Roll'!$X$14/12*E$6,0)</f>
        <v>0</v>
      </c>
      <c r="F103" s="49">
        <f>IF(F102=1,'Rent Roll'!$F$14*'Rent Roll'!$X$14/12*F$6,0)</f>
        <v>0</v>
      </c>
      <c r="G103" s="49">
        <f>IF(G102=1,'Rent Roll'!$F$14*'Rent Roll'!$X$14/12*G$6,0)</f>
        <v>0</v>
      </c>
      <c r="H103" s="49">
        <f>IF(H102=1,'Rent Roll'!$F$14*'Rent Roll'!$X$14/12*H$6,0)</f>
        <v>0</v>
      </c>
      <c r="I103" s="49">
        <f>IF(I102=1,'Rent Roll'!$F$14*'Rent Roll'!$X$14/12*I$6,0)</f>
        <v>0</v>
      </c>
      <c r="J103" s="49">
        <f>IF(J102=1,'Rent Roll'!$F$14*'Rent Roll'!$X$14/12*J$6,0)</f>
        <v>0</v>
      </c>
      <c r="K103" s="49">
        <f>IF(K102=1,'Rent Roll'!$F$14*'Rent Roll'!$X$14/12*K$6,0)</f>
        <v>0</v>
      </c>
      <c r="L103" s="49">
        <f>IF(L102=1,'Rent Roll'!$F$14*'Rent Roll'!$X$14/12*L$6,0)</f>
        <v>0</v>
      </c>
      <c r="M103" s="49">
        <f>IF(M102=1,'Rent Roll'!$F$14*'Rent Roll'!$X$14/12*M$6,0)</f>
        <v>0</v>
      </c>
      <c r="N103" s="49">
        <f>IF(N102=1,'Rent Roll'!$F$14*'Rent Roll'!$X$14/12*N$6,0)</f>
        <v>0</v>
      </c>
      <c r="O103" s="49">
        <f>IF(O102=1,'Rent Roll'!$F$14*'Rent Roll'!$X$14/12*O$6,0)</f>
        <v>0</v>
      </c>
      <c r="P103" s="49">
        <f>IF(P102=1,'Rent Roll'!$F$14*'Rent Roll'!$X$14/12*P$6,0)</f>
        <v>0</v>
      </c>
      <c r="Q103" s="49">
        <f>IF(Q102=1,'Rent Roll'!$F$14*'Rent Roll'!$X$14/12*Q$6,0)</f>
        <v>0</v>
      </c>
      <c r="R103" s="49">
        <f>IF(R102=1,'Rent Roll'!$F$14*'Rent Roll'!$X$14/12*R$6,0)</f>
        <v>0</v>
      </c>
      <c r="S103" s="49">
        <f>IF(S102=1,'Rent Roll'!$F$14*'Rent Roll'!$X$14/12*S$6,0)</f>
        <v>0</v>
      </c>
      <c r="T103" s="49">
        <f>IF(T102=1,'Rent Roll'!$F$14*'Rent Roll'!$X$14/12*T$6,0)</f>
        <v>0</v>
      </c>
      <c r="U103" s="49">
        <f>IF(U102=1,'Rent Roll'!$F$14*'Rent Roll'!$X$14/12*U$6,0)</f>
        <v>0</v>
      </c>
      <c r="V103" s="49">
        <f>IF(V102=1,'Rent Roll'!$F$14*'Rent Roll'!$X$14/12*V$6,0)</f>
        <v>0</v>
      </c>
      <c r="W103" s="49">
        <f>IF(W102=1,'Rent Roll'!$F$14*'Rent Roll'!$X$14/12*W$6,0)</f>
        <v>0</v>
      </c>
      <c r="X103" s="49">
        <f>IF(X102=1,'Rent Roll'!$F$14*'Rent Roll'!$X$14/12*X$6,0)</f>
        <v>0</v>
      </c>
      <c r="Y103" s="49">
        <f>IF(Y102=1,'Rent Roll'!$F$14*'Rent Roll'!$X$14/12*Y$6,0)</f>
        <v>0</v>
      </c>
      <c r="Z103" s="49">
        <f>IF(Z102=1,'Rent Roll'!$F$14*'Rent Roll'!$X$14/12*Z$6,0)</f>
        <v>0</v>
      </c>
      <c r="AA103" s="49">
        <f>IF(AA102=1,'Rent Roll'!$F$14*'Rent Roll'!$X$14/12*AA$6,0)</f>
        <v>0</v>
      </c>
      <c r="AB103" s="49">
        <f>IF(AB102=1,'Rent Roll'!$F$14*'Rent Roll'!$X$14/12*AB$6,0)</f>
        <v>0</v>
      </c>
      <c r="AC103" s="49">
        <f>IF(AC102=1,'Rent Roll'!$F$14*'Rent Roll'!$X$14/12*AC$6,0)</f>
        <v>0</v>
      </c>
      <c r="AD103" s="49">
        <f>IF(AD102=1,'Rent Roll'!$F$14*'Rent Roll'!$X$14/12*AD$6,0)</f>
        <v>0</v>
      </c>
      <c r="AE103" s="49">
        <f>IF(AE102=1,'Rent Roll'!$F$14*'Rent Roll'!$X$14/12*AE$6,0)</f>
        <v>0</v>
      </c>
      <c r="AF103" s="49">
        <f>IF(AF102=1,'Rent Roll'!$F$14*'Rent Roll'!$X$14/12*AF$6,0)</f>
        <v>0</v>
      </c>
      <c r="AG103" s="49">
        <f>IF(AG102=1,'Rent Roll'!$F$14*'Rent Roll'!$X$14/12*AG$6,0)</f>
        <v>0</v>
      </c>
      <c r="AH103" s="49">
        <f>IF(AH102=1,'Rent Roll'!$F$14*'Rent Roll'!$X$14/12*AH$6,0)</f>
        <v>0</v>
      </c>
      <c r="AI103" s="49">
        <f>IF(AI102=1,'Rent Roll'!$F$14*'Rent Roll'!$X$14/12*AI$6,0)</f>
        <v>0</v>
      </c>
      <c r="AJ103" s="49">
        <f>IF(AJ102=1,'Rent Roll'!$F$14*'Rent Roll'!$X$14/12*AJ$6,0)</f>
        <v>16034.437726778246</v>
      </c>
      <c r="AK103" s="49">
        <f>IF(AK102=1,'Rent Roll'!$F$14*'Rent Roll'!$X$14/12*AK$6,0)</f>
        <v>16034.437726778246</v>
      </c>
      <c r="AL103" s="49">
        <f>IF(AL102=1,'Rent Roll'!$F$14*'Rent Roll'!$X$14/12*AL$6,0)</f>
        <v>16034.437726778246</v>
      </c>
      <c r="AM103" s="49">
        <f>IF(AM102=1,'Rent Roll'!$F$14*'Rent Roll'!$X$14/12*AM$6,0)</f>
        <v>16034.437726778246</v>
      </c>
      <c r="AN103" s="49">
        <f>IF(AN102=1,'Rent Roll'!$F$14*'Rent Roll'!$X$14/12*AN$6,0)</f>
        <v>16034.437726778246</v>
      </c>
      <c r="AO103" s="49">
        <f>IF(AO102=1,'Rent Roll'!$F$14*'Rent Roll'!$X$14/12*AO$6,0)</f>
        <v>16034.437726778246</v>
      </c>
      <c r="AP103" s="49">
        <f>IF(AP102=1,'Rent Roll'!$F$14*'Rent Roll'!$X$14/12*AP$6,0)</f>
        <v>16034.437726778246</v>
      </c>
      <c r="AQ103" s="49">
        <f>IF(AQ102=1,'Rent Roll'!$F$14*'Rent Roll'!$X$14/12*AQ$6,0)</f>
        <v>16034.437726778246</v>
      </c>
      <c r="AR103" s="49">
        <f>IF(AR102=1,'Rent Roll'!$F$14*'Rent Roll'!$X$14/12*AR$6,0)</f>
        <v>16034.437726778246</v>
      </c>
      <c r="AS103" s="49">
        <f>IF(AS102=1,'Rent Roll'!$F$14*'Rent Roll'!$X$14/12*AS$6,0)</f>
        <v>16467.367545401255</v>
      </c>
      <c r="AT103" s="49">
        <f>IF(AT102=1,'Rent Roll'!$F$14*'Rent Roll'!$X$14/12*AT$6,0)</f>
        <v>16467.367545401255</v>
      </c>
      <c r="AU103" s="49">
        <f>IF(AU102=1,'Rent Roll'!$F$14*'Rent Roll'!$X$14/12*AU$6,0)</f>
        <v>16467.367545401255</v>
      </c>
      <c r="AV103" s="49">
        <f>IF(AV102=1,'Rent Roll'!$F$14*'Rent Roll'!$X$14/12*AV$6,0)</f>
        <v>16467.367545401255</v>
      </c>
      <c r="AW103" s="49">
        <f>IF(AW102=1,'Rent Roll'!$F$14*'Rent Roll'!$X$14/12*AW$6,0)</f>
        <v>16467.367545401255</v>
      </c>
      <c r="AX103" s="49">
        <f>IF(AX102=1,'Rent Roll'!$F$14*'Rent Roll'!$X$14/12*AX$6,0)</f>
        <v>16467.367545401255</v>
      </c>
      <c r="AY103" s="49">
        <f>IF(AY102=1,'Rent Roll'!$F$14*'Rent Roll'!$X$14/12*AY$6,0)</f>
        <v>16467.367545401255</v>
      </c>
      <c r="AZ103" s="49">
        <f>IF(AZ102=1,'Rent Roll'!$F$14*'Rent Roll'!$X$14/12*AZ$6,0)</f>
        <v>16467.367545401255</v>
      </c>
      <c r="BA103" s="49">
        <f>IF(BA102=1,'Rent Roll'!$F$14*'Rent Roll'!$X$14/12*BA$6,0)</f>
        <v>16467.367545401255</v>
      </c>
      <c r="BB103" s="49">
        <f>IF(BB102=1,'Rent Roll'!$F$14*'Rent Roll'!$X$14/12*BB$6,0)</f>
        <v>16467.367545401255</v>
      </c>
      <c r="BC103" s="49">
        <f>IF(BC102=1,'Rent Roll'!$F$14*'Rent Roll'!$X$14/12*BC$6,0)</f>
        <v>16467.367545401255</v>
      </c>
      <c r="BD103" s="49">
        <f>IF(BD102=1,'Rent Roll'!$F$14*'Rent Roll'!$X$14/12*BD$6,0)</f>
        <v>16467.367545401255</v>
      </c>
      <c r="BE103" s="49">
        <f>IF(BE102=1,'Rent Roll'!$F$14*'Rent Roll'!$X$14/12*BE$6,0)</f>
        <v>16911.986469127089</v>
      </c>
      <c r="BF103" s="49">
        <f>IF(BF102=1,'Rent Roll'!$F$14*'Rent Roll'!$X$14/12*BF$6,0)</f>
        <v>16911.986469127089</v>
      </c>
      <c r="BG103" s="49">
        <f>IF(BG102=1,'Rent Roll'!$F$14*'Rent Roll'!$X$14/12*BG$6,0)</f>
        <v>16911.986469127089</v>
      </c>
      <c r="BH103" s="49">
        <f>IF(BH102=1,'Rent Roll'!$F$14*'Rent Roll'!$X$14/12*BH$6,0)</f>
        <v>16911.986469127089</v>
      </c>
      <c r="BI103" s="49">
        <f>IF(BI102=1,'Rent Roll'!$F$14*'Rent Roll'!$X$14/12*BI$6,0)</f>
        <v>16911.986469127089</v>
      </c>
      <c r="BJ103" s="49">
        <f>IF(BJ102=1,'Rent Roll'!$F$14*'Rent Roll'!$X$14/12*BJ$6,0)</f>
        <v>16911.986469127089</v>
      </c>
      <c r="BK103" s="49">
        <f>IF(BK102=1,'Rent Roll'!$F$14*'Rent Roll'!$X$14/12*BK$6,0)</f>
        <v>16911.986469127089</v>
      </c>
      <c r="BL103" s="49">
        <f>IF(BL102=1,'Rent Roll'!$F$14*'Rent Roll'!$X$14/12*BL$6,0)</f>
        <v>16911.986469127089</v>
      </c>
      <c r="BM103" s="49">
        <f>IF(BM102=1,'Rent Roll'!$F$14*'Rent Roll'!$X$14/12*BM$6,0)</f>
        <v>16911.986469127089</v>
      </c>
      <c r="BN103" s="49">
        <f>IF(BN102=1,'Rent Roll'!$F$14*'Rent Roll'!$X$14/12*BN$6,0)</f>
        <v>16911.986469127089</v>
      </c>
      <c r="BO103" s="49">
        <f>IF(BO102=1,'Rent Roll'!$F$14*'Rent Roll'!$X$14/12*BO$6,0)</f>
        <v>16911.986469127089</v>
      </c>
      <c r="BP103" s="49">
        <f>IF(BP102=1,'Rent Roll'!$F$14*'Rent Roll'!$X$14/12*BP$6,0)</f>
        <v>16911.986469127089</v>
      </c>
      <c r="BQ103" s="49">
        <f>IF(BQ102=1,'Rent Roll'!$F$14*'Rent Roll'!$X$14/12*BQ$6,0)</f>
        <v>17368.610103793515</v>
      </c>
      <c r="BR103" s="49">
        <f>IF(BR102=1,'Rent Roll'!$F$14*'Rent Roll'!$X$14/12*BR$6,0)</f>
        <v>17368.610103793515</v>
      </c>
      <c r="BS103" s="49">
        <f>IF(BS102=1,'Rent Roll'!$F$14*'Rent Roll'!$X$14/12*BS$6,0)</f>
        <v>17368.610103793515</v>
      </c>
      <c r="BT103" s="49">
        <f>IF(BT102=1,'Rent Roll'!$F$14*'Rent Roll'!$X$14/12*BT$6,0)</f>
        <v>17368.610103793515</v>
      </c>
      <c r="BU103" s="49">
        <f>IF(BU102=1,'Rent Roll'!$F$14*'Rent Roll'!$X$14/12*BU$6,0)</f>
        <v>17368.610103793515</v>
      </c>
      <c r="BV103" s="49">
        <f>IF(BV102=1,'Rent Roll'!$F$14*'Rent Roll'!$X$14/12*BV$6,0)</f>
        <v>17368.610103793515</v>
      </c>
      <c r="BW103" s="49">
        <f>IF(BW102=1,'Rent Roll'!$F$14*'Rent Roll'!$X$14/12*BW$6,0)</f>
        <v>17368.610103793515</v>
      </c>
      <c r="BX103" s="49">
        <f>IF(BX102=1,'Rent Roll'!$F$14*'Rent Roll'!$X$14/12*BX$6,0)</f>
        <v>17368.610103793515</v>
      </c>
    </row>
    <row r="104" spans="1:76" hidden="1" outlineLevel="1">
      <c r="B104" t="s">
        <v>163</v>
      </c>
      <c r="D104" s="49">
        <f>IF(AND(D$4&gt;EOMONTH(CloseDate,'Rent Roll'!$O$14+'Rent Roll'!$S$14-1),D$4&lt;=EOMONTH(CloseDate,'Rent Roll'!$O$14+'Rent Roll'!$S$14-1+'Rent Roll'!$V$14)),-D103,0)</f>
        <v>0</v>
      </c>
      <c r="E104" s="49">
        <f>IF(AND(E$4&gt;EOMONTH(CloseDate,'Rent Roll'!$O$14+'Rent Roll'!$S$14-1),E$4&lt;=EOMONTH(CloseDate,'Rent Roll'!$O$14+'Rent Roll'!$S$14-1+'Rent Roll'!$V$14)),-E103,0)</f>
        <v>0</v>
      </c>
      <c r="F104" s="49">
        <f>IF(AND(F$4&gt;EOMONTH(CloseDate,'Rent Roll'!$O$14+'Rent Roll'!$S$14-1),F$4&lt;=EOMONTH(CloseDate,'Rent Roll'!$O$14+'Rent Roll'!$S$14-1+'Rent Roll'!$V$14)),-F103,0)</f>
        <v>0</v>
      </c>
      <c r="G104" s="49">
        <f>IF(AND(G$4&gt;EOMONTH(CloseDate,'Rent Roll'!$O$14+'Rent Roll'!$S$14-1),G$4&lt;=EOMONTH(CloseDate,'Rent Roll'!$O$14+'Rent Roll'!$S$14-1+'Rent Roll'!$V$14)),-G103,0)</f>
        <v>0</v>
      </c>
      <c r="H104" s="49">
        <f>IF(AND(H$4&gt;EOMONTH(CloseDate,'Rent Roll'!$O$14+'Rent Roll'!$S$14-1),H$4&lt;=EOMONTH(CloseDate,'Rent Roll'!$O$14+'Rent Roll'!$S$14-1+'Rent Roll'!$V$14)),-H103,0)</f>
        <v>0</v>
      </c>
      <c r="I104" s="49">
        <f>IF(AND(I$4&gt;EOMONTH(CloseDate,'Rent Roll'!$O$14+'Rent Roll'!$S$14-1),I$4&lt;=EOMONTH(CloseDate,'Rent Roll'!$O$14+'Rent Roll'!$S$14-1+'Rent Roll'!$V$14)),-I103,0)</f>
        <v>0</v>
      </c>
      <c r="J104" s="49">
        <f>IF(AND(J$4&gt;EOMONTH(CloseDate,'Rent Roll'!$O$14+'Rent Roll'!$S$14-1),J$4&lt;=EOMONTH(CloseDate,'Rent Roll'!$O$14+'Rent Roll'!$S$14-1+'Rent Roll'!$V$14)),-J103,0)</f>
        <v>0</v>
      </c>
      <c r="K104" s="49">
        <f>IF(AND(K$4&gt;EOMONTH(CloseDate,'Rent Roll'!$O$14+'Rent Roll'!$S$14-1),K$4&lt;=EOMONTH(CloseDate,'Rent Roll'!$O$14+'Rent Roll'!$S$14-1+'Rent Roll'!$V$14)),-K103,0)</f>
        <v>0</v>
      </c>
      <c r="L104" s="49">
        <f>IF(AND(L$4&gt;EOMONTH(CloseDate,'Rent Roll'!$O$14+'Rent Roll'!$S$14-1),L$4&lt;=EOMONTH(CloseDate,'Rent Roll'!$O$14+'Rent Roll'!$S$14-1+'Rent Roll'!$V$14)),-L103,0)</f>
        <v>0</v>
      </c>
      <c r="M104" s="49">
        <f>IF(AND(M$4&gt;EOMONTH(CloseDate,'Rent Roll'!$O$14+'Rent Roll'!$S$14-1),M$4&lt;=EOMONTH(CloseDate,'Rent Roll'!$O$14+'Rent Roll'!$S$14-1+'Rent Roll'!$V$14)),-M103,0)</f>
        <v>0</v>
      </c>
      <c r="N104" s="49">
        <f>IF(AND(N$4&gt;EOMONTH(CloseDate,'Rent Roll'!$O$14+'Rent Roll'!$S$14-1),N$4&lt;=EOMONTH(CloseDate,'Rent Roll'!$O$14+'Rent Roll'!$S$14-1+'Rent Roll'!$V$14)),-N103,0)</f>
        <v>0</v>
      </c>
      <c r="O104" s="49">
        <f>IF(AND(O$4&gt;EOMONTH(CloseDate,'Rent Roll'!$O$14+'Rent Roll'!$S$14-1),O$4&lt;=EOMONTH(CloseDate,'Rent Roll'!$O$14+'Rent Roll'!$S$14-1+'Rent Roll'!$V$14)),-O103,0)</f>
        <v>0</v>
      </c>
      <c r="P104" s="49">
        <f>IF(AND(P$4&gt;EOMONTH(CloseDate,'Rent Roll'!$O$14+'Rent Roll'!$S$14-1),P$4&lt;=EOMONTH(CloseDate,'Rent Roll'!$O$14+'Rent Roll'!$S$14-1+'Rent Roll'!$V$14)),-P103,0)</f>
        <v>0</v>
      </c>
      <c r="Q104" s="49">
        <f>IF(AND(Q$4&gt;EOMONTH(CloseDate,'Rent Roll'!$O$14+'Rent Roll'!$S$14-1),Q$4&lt;=EOMONTH(CloseDate,'Rent Roll'!$O$14+'Rent Roll'!$S$14-1+'Rent Roll'!$V$14)),-Q103,0)</f>
        <v>0</v>
      </c>
      <c r="R104" s="49">
        <f>IF(AND(R$4&gt;EOMONTH(CloseDate,'Rent Roll'!$O$14+'Rent Roll'!$S$14-1),R$4&lt;=EOMONTH(CloseDate,'Rent Roll'!$O$14+'Rent Roll'!$S$14-1+'Rent Roll'!$V$14)),-R103,0)</f>
        <v>0</v>
      </c>
      <c r="S104" s="49">
        <f>IF(AND(S$4&gt;EOMONTH(CloseDate,'Rent Roll'!$O$14+'Rent Roll'!$S$14-1),S$4&lt;=EOMONTH(CloseDate,'Rent Roll'!$O$14+'Rent Roll'!$S$14-1+'Rent Roll'!$V$14)),-S103,0)</f>
        <v>0</v>
      </c>
      <c r="T104" s="49">
        <f>IF(AND(T$4&gt;EOMONTH(CloseDate,'Rent Roll'!$O$14+'Rent Roll'!$S$14-1),T$4&lt;=EOMONTH(CloseDate,'Rent Roll'!$O$14+'Rent Roll'!$S$14-1+'Rent Roll'!$V$14)),-T103,0)</f>
        <v>0</v>
      </c>
      <c r="U104" s="49">
        <f>IF(AND(U$4&gt;EOMONTH(CloseDate,'Rent Roll'!$O$14+'Rent Roll'!$S$14-1),U$4&lt;=EOMONTH(CloseDate,'Rent Roll'!$O$14+'Rent Roll'!$S$14-1+'Rent Roll'!$V$14)),-U103,0)</f>
        <v>0</v>
      </c>
      <c r="V104" s="49">
        <f>IF(AND(V$4&gt;EOMONTH(CloseDate,'Rent Roll'!$O$14+'Rent Roll'!$S$14-1),V$4&lt;=EOMONTH(CloseDate,'Rent Roll'!$O$14+'Rent Roll'!$S$14-1+'Rent Roll'!$V$14)),-V103,0)</f>
        <v>0</v>
      </c>
      <c r="W104" s="49">
        <f>IF(AND(W$4&gt;EOMONTH(CloseDate,'Rent Roll'!$O$14+'Rent Roll'!$S$14-1),W$4&lt;=EOMONTH(CloseDate,'Rent Roll'!$O$14+'Rent Roll'!$S$14-1+'Rent Roll'!$V$14)),-W103,0)</f>
        <v>0</v>
      </c>
      <c r="X104" s="49">
        <f>IF(AND(X$4&gt;EOMONTH(CloseDate,'Rent Roll'!$O$14+'Rent Roll'!$S$14-1),X$4&lt;=EOMONTH(CloseDate,'Rent Roll'!$O$14+'Rent Roll'!$S$14-1+'Rent Roll'!$V$14)),-X103,0)</f>
        <v>0</v>
      </c>
      <c r="Y104" s="49">
        <f>IF(AND(Y$4&gt;EOMONTH(CloseDate,'Rent Roll'!$O$14+'Rent Roll'!$S$14-1),Y$4&lt;=EOMONTH(CloseDate,'Rent Roll'!$O$14+'Rent Roll'!$S$14-1+'Rent Roll'!$V$14)),-Y103,0)</f>
        <v>0</v>
      </c>
      <c r="Z104" s="49">
        <f>IF(AND(Z$4&gt;EOMONTH(CloseDate,'Rent Roll'!$O$14+'Rent Roll'!$S$14-1),Z$4&lt;=EOMONTH(CloseDate,'Rent Roll'!$O$14+'Rent Roll'!$S$14-1+'Rent Roll'!$V$14)),-Z103,0)</f>
        <v>0</v>
      </c>
      <c r="AA104" s="49">
        <f>IF(AND(AA$4&gt;EOMONTH(CloseDate,'Rent Roll'!$O$14+'Rent Roll'!$S$14-1),AA$4&lt;=EOMONTH(CloseDate,'Rent Roll'!$O$14+'Rent Roll'!$S$14-1+'Rent Roll'!$V$14)),-AA103,0)</f>
        <v>0</v>
      </c>
      <c r="AB104" s="49">
        <f>IF(AND(AB$4&gt;EOMONTH(CloseDate,'Rent Roll'!$O$14+'Rent Roll'!$S$14-1),AB$4&lt;=EOMONTH(CloseDate,'Rent Roll'!$O$14+'Rent Roll'!$S$14-1+'Rent Roll'!$V$14)),-AB103,0)</f>
        <v>0</v>
      </c>
      <c r="AC104" s="49">
        <f>IF(AND(AC$4&gt;EOMONTH(CloseDate,'Rent Roll'!$O$14+'Rent Roll'!$S$14-1),AC$4&lt;=EOMONTH(CloseDate,'Rent Roll'!$O$14+'Rent Roll'!$S$14-1+'Rent Roll'!$V$14)),-AC103,0)</f>
        <v>0</v>
      </c>
      <c r="AD104" s="49">
        <f>IF(AND(AD$4&gt;EOMONTH(CloseDate,'Rent Roll'!$O$14+'Rent Roll'!$S$14-1),AD$4&lt;=EOMONTH(CloseDate,'Rent Roll'!$O$14+'Rent Roll'!$S$14-1+'Rent Roll'!$V$14)),-AD103,0)</f>
        <v>0</v>
      </c>
      <c r="AE104" s="49">
        <f>IF(AND(AE$4&gt;EOMONTH(CloseDate,'Rent Roll'!$O$14+'Rent Roll'!$S$14-1),AE$4&lt;=EOMONTH(CloseDate,'Rent Roll'!$O$14+'Rent Roll'!$S$14-1+'Rent Roll'!$V$14)),-AE103,0)</f>
        <v>0</v>
      </c>
      <c r="AF104" s="49">
        <f>IF(AND(AF$4&gt;EOMONTH(CloseDate,'Rent Roll'!$O$14+'Rent Roll'!$S$14-1),AF$4&lt;=EOMONTH(CloseDate,'Rent Roll'!$O$14+'Rent Roll'!$S$14-1+'Rent Roll'!$V$14)),-AF103,0)</f>
        <v>0</v>
      </c>
      <c r="AG104" s="49">
        <f>IF(AND(AG$4&gt;EOMONTH(CloseDate,'Rent Roll'!$O$14+'Rent Roll'!$S$14-1),AG$4&lt;=EOMONTH(CloseDate,'Rent Roll'!$O$14+'Rent Roll'!$S$14-1+'Rent Roll'!$V$14)),-AG103,0)</f>
        <v>0</v>
      </c>
      <c r="AH104" s="49">
        <f>IF(AND(AH$4&gt;EOMONTH(CloseDate,'Rent Roll'!$O$14+'Rent Roll'!$S$14-1),AH$4&lt;=EOMONTH(CloseDate,'Rent Roll'!$O$14+'Rent Roll'!$S$14-1+'Rent Roll'!$V$14)),-AH103,0)</f>
        <v>0</v>
      </c>
      <c r="AI104" s="49">
        <f>IF(AND(AI$4&gt;EOMONTH(CloseDate,'Rent Roll'!$O$14+'Rent Roll'!$S$14-1),AI$4&lt;=EOMONTH(CloseDate,'Rent Roll'!$O$14+'Rent Roll'!$S$14-1+'Rent Roll'!$V$14)),-AI103,0)</f>
        <v>0</v>
      </c>
      <c r="AJ104" s="49">
        <f>IF(AND(AJ$4&gt;EOMONTH(CloseDate,'Rent Roll'!$O$14+'Rent Roll'!$S$14-1),AJ$4&lt;=EOMONTH(CloseDate,'Rent Roll'!$O$14+'Rent Roll'!$S$14-1+'Rent Roll'!$V$14)),-AJ103,0)</f>
        <v>-16034.437726778246</v>
      </c>
      <c r="AK104" s="49">
        <f>IF(AND(AK$4&gt;EOMONTH(CloseDate,'Rent Roll'!$O$14+'Rent Roll'!$S$14-1),AK$4&lt;=EOMONTH(CloseDate,'Rent Roll'!$O$14+'Rent Roll'!$S$14-1+'Rent Roll'!$V$14)),-AK103,0)</f>
        <v>-16034.437726778246</v>
      </c>
      <c r="AL104" s="49">
        <f>IF(AND(AL$4&gt;EOMONTH(CloseDate,'Rent Roll'!$O$14+'Rent Roll'!$S$14-1),AL$4&lt;=EOMONTH(CloseDate,'Rent Roll'!$O$14+'Rent Roll'!$S$14-1+'Rent Roll'!$V$14)),-AL103,0)</f>
        <v>0</v>
      </c>
      <c r="AM104" s="49">
        <f>IF(AND(AM$4&gt;EOMONTH(CloseDate,'Rent Roll'!$O$14+'Rent Roll'!$S$14-1),AM$4&lt;=EOMONTH(CloseDate,'Rent Roll'!$O$14+'Rent Roll'!$S$14-1+'Rent Roll'!$V$14)),-AM103,0)</f>
        <v>0</v>
      </c>
      <c r="AN104" s="49">
        <f>IF(AND(AN$4&gt;EOMONTH(CloseDate,'Rent Roll'!$O$14+'Rent Roll'!$S$14-1),AN$4&lt;=EOMONTH(CloseDate,'Rent Roll'!$O$14+'Rent Roll'!$S$14-1+'Rent Roll'!$V$14)),-AN103,0)</f>
        <v>0</v>
      </c>
      <c r="AO104" s="49">
        <f>IF(AND(AO$4&gt;EOMONTH(CloseDate,'Rent Roll'!$O$14+'Rent Roll'!$S$14-1),AO$4&lt;=EOMONTH(CloseDate,'Rent Roll'!$O$14+'Rent Roll'!$S$14-1+'Rent Roll'!$V$14)),-AO103,0)</f>
        <v>0</v>
      </c>
      <c r="AP104" s="49">
        <f>IF(AND(AP$4&gt;EOMONTH(CloseDate,'Rent Roll'!$O$14+'Rent Roll'!$S$14-1),AP$4&lt;=EOMONTH(CloseDate,'Rent Roll'!$O$14+'Rent Roll'!$S$14-1+'Rent Roll'!$V$14)),-AP103,0)</f>
        <v>0</v>
      </c>
      <c r="AQ104" s="49">
        <f>IF(AND(AQ$4&gt;EOMONTH(CloseDate,'Rent Roll'!$O$14+'Rent Roll'!$S$14-1),AQ$4&lt;=EOMONTH(CloseDate,'Rent Roll'!$O$14+'Rent Roll'!$S$14-1+'Rent Roll'!$V$14)),-AQ103,0)</f>
        <v>0</v>
      </c>
      <c r="AR104" s="49">
        <f>IF(AND(AR$4&gt;EOMONTH(CloseDate,'Rent Roll'!$O$14+'Rent Roll'!$S$14-1),AR$4&lt;=EOMONTH(CloseDate,'Rent Roll'!$O$14+'Rent Roll'!$S$14-1+'Rent Roll'!$V$14)),-AR103,0)</f>
        <v>0</v>
      </c>
      <c r="AS104" s="49">
        <f>IF(AND(AS$4&gt;EOMONTH(CloseDate,'Rent Roll'!$O$14+'Rent Roll'!$S$14-1),AS$4&lt;=EOMONTH(CloseDate,'Rent Roll'!$O$14+'Rent Roll'!$S$14-1+'Rent Roll'!$V$14)),-AS103,0)</f>
        <v>0</v>
      </c>
      <c r="AT104" s="49">
        <f>IF(AND(AT$4&gt;EOMONTH(CloseDate,'Rent Roll'!$O$14+'Rent Roll'!$S$14-1),AT$4&lt;=EOMONTH(CloseDate,'Rent Roll'!$O$14+'Rent Roll'!$S$14-1+'Rent Roll'!$V$14)),-AT103,0)</f>
        <v>0</v>
      </c>
      <c r="AU104" s="49">
        <f>IF(AND(AU$4&gt;EOMONTH(CloseDate,'Rent Roll'!$O$14+'Rent Roll'!$S$14-1),AU$4&lt;=EOMONTH(CloseDate,'Rent Roll'!$O$14+'Rent Roll'!$S$14-1+'Rent Roll'!$V$14)),-AU103,0)</f>
        <v>0</v>
      </c>
      <c r="AV104" s="49">
        <f>IF(AND(AV$4&gt;EOMONTH(CloseDate,'Rent Roll'!$O$14+'Rent Roll'!$S$14-1),AV$4&lt;=EOMONTH(CloseDate,'Rent Roll'!$O$14+'Rent Roll'!$S$14-1+'Rent Roll'!$V$14)),-AV103,0)</f>
        <v>0</v>
      </c>
      <c r="AW104" s="49">
        <f>IF(AND(AW$4&gt;EOMONTH(CloseDate,'Rent Roll'!$O$14+'Rent Roll'!$S$14-1),AW$4&lt;=EOMONTH(CloseDate,'Rent Roll'!$O$14+'Rent Roll'!$S$14-1+'Rent Roll'!$V$14)),-AW103,0)</f>
        <v>0</v>
      </c>
      <c r="AX104" s="49">
        <f>IF(AND(AX$4&gt;EOMONTH(CloseDate,'Rent Roll'!$O$14+'Rent Roll'!$S$14-1),AX$4&lt;=EOMONTH(CloseDate,'Rent Roll'!$O$14+'Rent Roll'!$S$14-1+'Rent Roll'!$V$14)),-AX103,0)</f>
        <v>0</v>
      </c>
      <c r="AY104" s="49">
        <f>IF(AND(AY$4&gt;EOMONTH(CloseDate,'Rent Roll'!$O$14+'Rent Roll'!$S$14-1),AY$4&lt;=EOMONTH(CloseDate,'Rent Roll'!$O$14+'Rent Roll'!$S$14-1+'Rent Roll'!$V$14)),-AY103,0)</f>
        <v>0</v>
      </c>
      <c r="AZ104" s="49">
        <f>IF(AND(AZ$4&gt;EOMONTH(CloseDate,'Rent Roll'!$O$14+'Rent Roll'!$S$14-1),AZ$4&lt;=EOMONTH(CloseDate,'Rent Roll'!$O$14+'Rent Roll'!$S$14-1+'Rent Roll'!$V$14)),-AZ103,0)</f>
        <v>0</v>
      </c>
      <c r="BA104" s="49">
        <f>IF(AND(BA$4&gt;EOMONTH(CloseDate,'Rent Roll'!$O$14+'Rent Roll'!$S$14-1),BA$4&lt;=EOMONTH(CloseDate,'Rent Roll'!$O$14+'Rent Roll'!$S$14-1+'Rent Roll'!$V$14)),-BA103,0)</f>
        <v>0</v>
      </c>
      <c r="BB104" s="49">
        <f>IF(AND(BB$4&gt;EOMONTH(CloseDate,'Rent Roll'!$O$14+'Rent Roll'!$S$14-1),BB$4&lt;=EOMONTH(CloseDate,'Rent Roll'!$O$14+'Rent Roll'!$S$14-1+'Rent Roll'!$V$14)),-BB103,0)</f>
        <v>0</v>
      </c>
      <c r="BC104" s="49">
        <f>IF(AND(BC$4&gt;EOMONTH(CloseDate,'Rent Roll'!$O$14+'Rent Roll'!$S$14-1),BC$4&lt;=EOMONTH(CloseDate,'Rent Roll'!$O$14+'Rent Roll'!$S$14-1+'Rent Roll'!$V$14)),-BC103,0)</f>
        <v>0</v>
      </c>
      <c r="BD104" s="49">
        <f>IF(AND(BD$4&gt;EOMONTH(CloseDate,'Rent Roll'!$O$14+'Rent Roll'!$S$14-1),BD$4&lt;=EOMONTH(CloseDate,'Rent Roll'!$O$14+'Rent Roll'!$S$14-1+'Rent Roll'!$V$14)),-BD103,0)</f>
        <v>0</v>
      </c>
      <c r="BE104" s="49">
        <f>IF(AND(BE$4&gt;EOMONTH(CloseDate,'Rent Roll'!$O$14+'Rent Roll'!$S$14-1),BE$4&lt;=EOMONTH(CloseDate,'Rent Roll'!$O$14+'Rent Roll'!$S$14-1+'Rent Roll'!$V$14)),-BE103,0)</f>
        <v>0</v>
      </c>
      <c r="BF104" s="49">
        <f>IF(AND(BF$4&gt;EOMONTH(CloseDate,'Rent Roll'!$O$14+'Rent Roll'!$S$14-1),BF$4&lt;=EOMONTH(CloseDate,'Rent Roll'!$O$14+'Rent Roll'!$S$14-1+'Rent Roll'!$V$14)),-BF103,0)</f>
        <v>0</v>
      </c>
      <c r="BG104" s="49">
        <f>IF(AND(BG$4&gt;EOMONTH(CloseDate,'Rent Roll'!$O$14+'Rent Roll'!$S$14-1),BG$4&lt;=EOMONTH(CloseDate,'Rent Roll'!$O$14+'Rent Roll'!$S$14-1+'Rent Roll'!$V$14)),-BG103,0)</f>
        <v>0</v>
      </c>
      <c r="BH104" s="49">
        <f>IF(AND(BH$4&gt;EOMONTH(CloseDate,'Rent Roll'!$O$14+'Rent Roll'!$S$14-1),BH$4&lt;=EOMONTH(CloseDate,'Rent Roll'!$O$14+'Rent Roll'!$S$14-1+'Rent Roll'!$V$14)),-BH103,0)</f>
        <v>0</v>
      </c>
      <c r="BI104" s="49">
        <f>IF(AND(BI$4&gt;EOMONTH(CloseDate,'Rent Roll'!$O$14+'Rent Roll'!$S$14-1),BI$4&lt;=EOMONTH(CloseDate,'Rent Roll'!$O$14+'Rent Roll'!$S$14-1+'Rent Roll'!$V$14)),-BI103,0)</f>
        <v>0</v>
      </c>
      <c r="BJ104" s="49">
        <f>IF(AND(BJ$4&gt;EOMONTH(CloseDate,'Rent Roll'!$O$14+'Rent Roll'!$S$14-1),BJ$4&lt;=EOMONTH(CloseDate,'Rent Roll'!$O$14+'Rent Roll'!$S$14-1+'Rent Roll'!$V$14)),-BJ103,0)</f>
        <v>0</v>
      </c>
      <c r="BK104" s="49">
        <f>IF(AND(BK$4&gt;EOMONTH(CloseDate,'Rent Roll'!$O$14+'Rent Roll'!$S$14-1),BK$4&lt;=EOMONTH(CloseDate,'Rent Roll'!$O$14+'Rent Roll'!$S$14-1+'Rent Roll'!$V$14)),-BK103,0)</f>
        <v>0</v>
      </c>
      <c r="BL104" s="49">
        <f>IF(AND(BL$4&gt;EOMONTH(CloseDate,'Rent Roll'!$O$14+'Rent Roll'!$S$14-1),BL$4&lt;=EOMONTH(CloseDate,'Rent Roll'!$O$14+'Rent Roll'!$S$14-1+'Rent Roll'!$V$14)),-BL103,0)</f>
        <v>0</v>
      </c>
      <c r="BM104" s="49">
        <f>IF(AND(BM$4&gt;EOMONTH(CloseDate,'Rent Roll'!$O$14+'Rent Roll'!$S$14-1),BM$4&lt;=EOMONTH(CloseDate,'Rent Roll'!$O$14+'Rent Roll'!$S$14-1+'Rent Roll'!$V$14)),-BM103,0)</f>
        <v>0</v>
      </c>
      <c r="BN104" s="49">
        <f>IF(AND(BN$4&gt;EOMONTH(CloseDate,'Rent Roll'!$O$14+'Rent Roll'!$S$14-1),BN$4&lt;=EOMONTH(CloseDate,'Rent Roll'!$O$14+'Rent Roll'!$S$14-1+'Rent Roll'!$V$14)),-BN103,0)</f>
        <v>0</v>
      </c>
      <c r="BO104" s="49">
        <f>IF(AND(BO$4&gt;EOMONTH(CloseDate,'Rent Roll'!$O$14+'Rent Roll'!$S$14-1),BO$4&lt;=EOMONTH(CloseDate,'Rent Roll'!$O$14+'Rent Roll'!$S$14-1+'Rent Roll'!$V$14)),-BO103,0)</f>
        <v>0</v>
      </c>
      <c r="BP104" s="49">
        <f>IF(AND(BP$4&gt;EOMONTH(CloseDate,'Rent Roll'!$O$14+'Rent Roll'!$S$14-1),BP$4&lt;=EOMONTH(CloseDate,'Rent Roll'!$O$14+'Rent Roll'!$S$14-1+'Rent Roll'!$V$14)),-BP103,0)</f>
        <v>0</v>
      </c>
      <c r="BQ104" s="49">
        <f>IF(AND(BQ$4&gt;EOMONTH(CloseDate,'Rent Roll'!$O$14+'Rent Roll'!$S$14-1),BQ$4&lt;=EOMONTH(CloseDate,'Rent Roll'!$O$14+'Rent Roll'!$S$14-1+'Rent Roll'!$V$14)),-BQ103,0)</f>
        <v>0</v>
      </c>
      <c r="BR104" s="49">
        <f>IF(AND(BR$4&gt;EOMONTH(CloseDate,'Rent Roll'!$O$14+'Rent Roll'!$S$14-1),BR$4&lt;=EOMONTH(CloseDate,'Rent Roll'!$O$14+'Rent Roll'!$S$14-1+'Rent Roll'!$V$14)),-BR103,0)</f>
        <v>0</v>
      </c>
      <c r="BS104" s="49">
        <f>IF(AND(BS$4&gt;EOMONTH(CloseDate,'Rent Roll'!$O$14+'Rent Roll'!$S$14-1),BS$4&lt;=EOMONTH(CloseDate,'Rent Roll'!$O$14+'Rent Roll'!$S$14-1+'Rent Roll'!$V$14)),-BS103,0)</f>
        <v>0</v>
      </c>
      <c r="BT104" s="49">
        <f>IF(AND(BT$4&gt;EOMONTH(CloseDate,'Rent Roll'!$O$14+'Rent Roll'!$S$14-1),BT$4&lt;=EOMONTH(CloseDate,'Rent Roll'!$O$14+'Rent Roll'!$S$14-1+'Rent Roll'!$V$14)),-BT103,0)</f>
        <v>0</v>
      </c>
      <c r="BU104" s="49">
        <f>IF(AND(BU$4&gt;EOMONTH(CloseDate,'Rent Roll'!$O$14+'Rent Roll'!$S$14-1),BU$4&lt;=EOMONTH(CloseDate,'Rent Roll'!$O$14+'Rent Roll'!$S$14-1+'Rent Roll'!$V$14)),-BU103,0)</f>
        <v>0</v>
      </c>
      <c r="BV104" s="49">
        <f>IF(AND(BV$4&gt;EOMONTH(CloseDate,'Rent Roll'!$O$14+'Rent Roll'!$S$14-1),BV$4&lt;=EOMONTH(CloseDate,'Rent Roll'!$O$14+'Rent Roll'!$S$14-1+'Rent Roll'!$V$14)),-BV103,0)</f>
        <v>0</v>
      </c>
      <c r="BW104" s="49">
        <f>IF(AND(BW$4&gt;EOMONTH(CloseDate,'Rent Roll'!$O$14+'Rent Roll'!$S$14-1),BW$4&lt;=EOMONTH(CloseDate,'Rent Roll'!$O$14+'Rent Roll'!$S$14-1+'Rent Roll'!$V$14)),-BW103,0)</f>
        <v>0</v>
      </c>
      <c r="BX104" s="49">
        <f>IF(AND(BX$4&gt;EOMONTH(CloseDate,'Rent Roll'!$O$14+'Rent Roll'!$S$14-1),BX$4&lt;=EOMONTH(CloseDate,'Rent Roll'!$O$14+'Rent Roll'!$S$14-1+'Rent Roll'!$V$14)),-BX103,0)</f>
        <v>0</v>
      </c>
    </row>
    <row r="105" spans="1:76" hidden="1" outlineLevel="1">
      <c r="B105" t="s">
        <v>84</v>
      </c>
      <c r="D105" s="49">
        <f>D101+D103+D104</f>
        <v>12450</v>
      </c>
      <c r="E105" s="49">
        <f t="shared" ref="E105:BJ105" si="41">E101+E103+E104</f>
        <v>12450</v>
      </c>
      <c r="F105" s="49">
        <f t="shared" si="41"/>
        <v>12450</v>
      </c>
      <c r="G105" s="49">
        <f t="shared" si="41"/>
        <v>12450</v>
      </c>
      <c r="H105" s="49">
        <f t="shared" si="41"/>
        <v>12699</v>
      </c>
      <c r="I105" s="49">
        <f t="shared" si="41"/>
        <v>12952.98</v>
      </c>
      <c r="J105" s="49">
        <f t="shared" si="41"/>
        <v>12952.98</v>
      </c>
      <c r="K105" s="49">
        <f t="shared" si="41"/>
        <v>12952.98</v>
      </c>
      <c r="L105" s="49">
        <f t="shared" si="41"/>
        <v>12952.98</v>
      </c>
      <c r="M105" s="49">
        <f t="shared" si="41"/>
        <v>12952.98</v>
      </c>
      <c r="N105" s="49">
        <f t="shared" si="41"/>
        <v>12952.98</v>
      </c>
      <c r="O105" s="49">
        <f t="shared" si="41"/>
        <v>12952.98</v>
      </c>
      <c r="P105" s="49">
        <f t="shared" si="41"/>
        <v>12952.98</v>
      </c>
      <c r="Q105" s="49">
        <f t="shared" si="41"/>
        <v>12952.98</v>
      </c>
      <c r="R105" s="49">
        <f t="shared" si="41"/>
        <v>12952.98</v>
      </c>
      <c r="S105" s="49">
        <f t="shared" si="41"/>
        <v>12952.98</v>
      </c>
      <c r="T105" s="49">
        <f t="shared" si="41"/>
        <v>12952.98</v>
      </c>
      <c r="U105" s="49">
        <f t="shared" si="41"/>
        <v>13212.039599999998</v>
      </c>
      <c r="V105" s="49">
        <f t="shared" si="41"/>
        <v>13212.039599999998</v>
      </c>
      <c r="W105" s="49">
        <f t="shared" si="41"/>
        <v>13212.039599999998</v>
      </c>
      <c r="X105" s="49">
        <f t="shared" si="41"/>
        <v>13212.039599999998</v>
      </c>
      <c r="Y105" s="49">
        <f t="shared" si="41"/>
        <v>13212.039599999998</v>
      </c>
      <c r="Z105" s="49">
        <f t="shared" si="41"/>
        <v>13212.039599999998</v>
      </c>
      <c r="AA105" s="49">
        <f t="shared" si="41"/>
        <v>13212.039599999998</v>
      </c>
      <c r="AB105" s="49">
        <f t="shared" si="41"/>
        <v>13212.039599999998</v>
      </c>
      <c r="AC105" s="49">
        <f t="shared" si="41"/>
        <v>13212.039599999998</v>
      </c>
      <c r="AD105" s="49">
        <f t="shared" si="41"/>
        <v>13212.039599999998</v>
      </c>
      <c r="AE105" s="49">
        <f t="shared" si="41"/>
        <v>13212.039599999998</v>
      </c>
      <c r="AF105" s="49">
        <f t="shared" si="41"/>
        <v>0</v>
      </c>
      <c r="AG105" s="49">
        <f t="shared" si="41"/>
        <v>0</v>
      </c>
      <c r="AH105" s="49">
        <f t="shared" si="41"/>
        <v>0</v>
      </c>
      <c r="AI105" s="49">
        <f t="shared" si="41"/>
        <v>0</v>
      </c>
      <c r="AJ105" s="49">
        <f t="shared" si="41"/>
        <v>0</v>
      </c>
      <c r="AK105" s="49">
        <f t="shared" si="41"/>
        <v>0</v>
      </c>
      <c r="AL105" s="49">
        <f t="shared" si="41"/>
        <v>16034.437726778246</v>
      </c>
      <c r="AM105" s="49">
        <f t="shared" si="41"/>
        <v>16034.437726778246</v>
      </c>
      <c r="AN105" s="49">
        <f t="shared" si="41"/>
        <v>16034.437726778246</v>
      </c>
      <c r="AO105" s="49">
        <f t="shared" si="41"/>
        <v>16034.437726778246</v>
      </c>
      <c r="AP105" s="49">
        <f t="shared" si="41"/>
        <v>16034.437726778246</v>
      </c>
      <c r="AQ105" s="49">
        <f t="shared" si="41"/>
        <v>16034.437726778246</v>
      </c>
      <c r="AR105" s="49">
        <f t="shared" si="41"/>
        <v>16034.437726778246</v>
      </c>
      <c r="AS105" s="49">
        <f t="shared" si="41"/>
        <v>16467.367545401255</v>
      </c>
      <c r="AT105" s="49">
        <f t="shared" si="41"/>
        <v>16467.367545401255</v>
      </c>
      <c r="AU105" s="49">
        <f t="shared" si="41"/>
        <v>16467.367545401255</v>
      </c>
      <c r="AV105" s="49">
        <f t="shared" si="41"/>
        <v>16467.367545401255</v>
      </c>
      <c r="AW105" s="49">
        <f t="shared" si="41"/>
        <v>16467.367545401255</v>
      </c>
      <c r="AX105" s="49">
        <f t="shared" si="41"/>
        <v>16467.367545401255</v>
      </c>
      <c r="AY105" s="49">
        <f t="shared" si="41"/>
        <v>16467.367545401255</v>
      </c>
      <c r="AZ105" s="49">
        <f t="shared" si="41"/>
        <v>16467.367545401255</v>
      </c>
      <c r="BA105" s="49">
        <f t="shared" si="41"/>
        <v>16467.367545401255</v>
      </c>
      <c r="BB105" s="49">
        <f t="shared" si="41"/>
        <v>16467.367545401255</v>
      </c>
      <c r="BC105" s="49">
        <f t="shared" si="41"/>
        <v>16467.367545401255</v>
      </c>
      <c r="BD105" s="49">
        <f t="shared" si="41"/>
        <v>16467.367545401255</v>
      </c>
      <c r="BE105" s="49">
        <f t="shared" si="41"/>
        <v>16911.986469127089</v>
      </c>
      <c r="BF105" s="49">
        <f t="shared" si="41"/>
        <v>16911.986469127089</v>
      </c>
      <c r="BG105" s="49">
        <f t="shared" si="41"/>
        <v>16911.986469127089</v>
      </c>
      <c r="BH105" s="49">
        <f t="shared" si="41"/>
        <v>16911.986469127089</v>
      </c>
      <c r="BI105" s="49">
        <f t="shared" si="41"/>
        <v>16911.986469127089</v>
      </c>
      <c r="BJ105" s="49">
        <f t="shared" si="41"/>
        <v>16911.986469127089</v>
      </c>
      <c r="BK105" s="49">
        <f t="shared" ref="BK105" si="42">BK101+BK103+BK104</f>
        <v>16911.986469127089</v>
      </c>
      <c r="BL105" s="49">
        <f t="shared" ref="BL105:BX105" si="43">BL101+BL103+BL104</f>
        <v>16911.986469127089</v>
      </c>
      <c r="BM105" s="49">
        <f t="shared" si="43"/>
        <v>16911.986469127089</v>
      </c>
      <c r="BN105" s="49">
        <f t="shared" si="43"/>
        <v>16911.986469127089</v>
      </c>
      <c r="BO105" s="49">
        <f t="shared" si="43"/>
        <v>16911.986469127089</v>
      </c>
      <c r="BP105" s="49">
        <f t="shared" si="43"/>
        <v>16911.986469127089</v>
      </c>
      <c r="BQ105" s="49">
        <f t="shared" si="43"/>
        <v>17368.610103793515</v>
      </c>
      <c r="BR105" s="49">
        <f t="shared" si="43"/>
        <v>17368.610103793515</v>
      </c>
      <c r="BS105" s="49">
        <f t="shared" si="43"/>
        <v>17368.610103793515</v>
      </c>
      <c r="BT105" s="49">
        <f t="shared" si="43"/>
        <v>17368.610103793515</v>
      </c>
      <c r="BU105" s="49">
        <f t="shared" si="43"/>
        <v>17368.610103793515</v>
      </c>
      <c r="BV105" s="49">
        <f t="shared" si="43"/>
        <v>17368.610103793515</v>
      </c>
      <c r="BW105" s="49">
        <f t="shared" si="43"/>
        <v>17368.610103793515</v>
      </c>
      <c r="BX105" s="49">
        <f t="shared" si="43"/>
        <v>17368.610103793515</v>
      </c>
    </row>
    <row r="106" spans="1:76" hidden="1" outlineLevel="1">
      <c r="B106" t="s">
        <v>85</v>
      </c>
      <c r="D106" s="49">
        <f>IF(OR(D100=1,D102=1),'Rent Roll'!$F$14/BldgSF*ReimbPool/12*D$7,0)</f>
        <v>6282</v>
      </c>
      <c r="E106" s="49">
        <f>IF(OR(E100=1,E102=1),'Rent Roll'!$F$14/BldgSF*ReimbPool/12*E$7,0)</f>
        <v>6282</v>
      </c>
      <c r="F106" s="49">
        <f>IF(OR(F100=1,F102=1),'Rent Roll'!$F$14/BldgSF*ReimbPool/12*F$7,0)</f>
        <v>6282</v>
      </c>
      <c r="G106" s="49">
        <f>IF(OR(G100=1,G102=1),'Rent Roll'!$F$14/BldgSF*ReimbPool/12*G$7,0)</f>
        <v>6282</v>
      </c>
      <c r="H106" s="49">
        <f>IF(OR(H100=1,H102=1),'Rent Roll'!$F$14/BldgSF*ReimbPool/12*H$7,0)</f>
        <v>6282</v>
      </c>
      <c r="I106" s="49">
        <f>IF(OR(I100=1,I102=1),'Rent Roll'!$F$14/BldgSF*ReimbPool/12*I$7,0)</f>
        <v>6451.6139999999996</v>
      </c>
      <c r="J106" s="49">
        <f>IF(OR(J100=1,J102=1),'Rent Roll'!$F$14/BldgSF*ReimbPool/12*J$7,0)</f>
        <v>6451.6139999999996</v>
      </c>
      <c r="K106" s="49">
        <f>IF(OR(K100=1,K102=1),'Rent Roll'!$F$14/BldgSF*ReimbPool/12*K$7,0)</f>
        <v>6451.6139999999996</v>
      </c>
      <c r="L106" s="49">
        <f>IF(OR(L100=1,L102=1),'Rent Roll'!$F$14/BldgSF*ReimbPool/12*L$7,0)</f>
        <v>6451.6139999999996</v>
      </c>
      <c r="M106" s="49">
        <f>IF(OR(M100=1,M102=1),'Rent Roll'!$F$14/BldgSF*ReimbPool/12*M$7,0)</f>
        <v>6451.6139999999996</v>
      </c>
      <c r="N106" s="49">
        <f>IF(OR(N100=1,N102=1),'Rent Roll'!$F$14/BldgSF*ReimbPool/12*N$7,0)</f>
        <v>6451.6139999999996</v>
      </c>
      <c r="O106" s="49">
        <f>IF(OR(O100=1,O102=1),'Rent Roll'!$F$14/BldgSF*ReimbPool/12*O$7,0)</f>
        <v>6451.6139999999996</v>
      </c>
      <c r="P106" s="49">
        <f>IF(OR(P100=1,P102=1),'Rent Roll'!$F$14/BldgSF*ReimbPool/12*P$7,0)</f>
        <v>6451.6139999999996</v>
      </c>
      <c r="Q106" s="49">
        <f>IF(OR(Q100=1,Q102=1),'Rent Roll'!$F$14/BldgSF*ReimbPool/12*Q$7,0)</f>
        <v>6451.6139999999996</v>
      </c>
      <c r="R106" s="49">
        <f>IF(OR(R100=1,R102=1),'Rent Roll'!$F$14/BldgSF*ReimbPool/12*R$7,0)</f>
        <v>6451.6139999999996</v>
      </c>
      <c r="S106" s="49">
        <f>IF(OR(S100=1,S102=1),'Rent Roll'!$F$14/BldgSF*ReimbPool/12*S$7,0)</f>
        <v>6451.6139999999996</v>
      </c>
      <c r="T106" s="49">
        <f>IF(OR(T100=1,T102=1),'Rent Roll'!$F$14/BldgSF*ReimbPool/12*T$7,0)</f>
        <v>6451.6139999999996</v>
      </c>
      <c r="U106" s="49">
        <f>IF(OR(U100=1,U102=1),'Rent Roll'!$F$14/BldgSF*ReimbPool/12*U$7,0)</f>
        <v>6625.807577999999</v>
      </c>
      <c r="V106" s="49">
        <f>IF(OR(V100=1,V102=1),'Rent Roll'!$F$14/BldgSF*ReimbPool/12*V$7,0)</f>
        <v>6625.807577999999</v>
      </c>
      <c r="W106" s="49">
        <f>IF(OR(W100=1,W102=1),'Rent Roll'!$F$14/BldgSF*ReimbPool/12*W$7,0)</f>
        <v>6625.807577999999</v>
      </c>
      <c r="X106" s="49">
        <f>IF(OR(X100=1,X102=1),'Rent Roll'!$F$14/BldgSF*ReimbPool/12*X$7,0)</f>
        <v>6625.807577999999</v>
      </c>
      <c r="Y106" s="49">
        <f>IF(OR(Y100=1,Y102=1),'Rent Roll'!$F$14/BldgSF*ReimbPool/12*Y$7,0)</f>
        <v>6625.807577999999</v>
      </c>
      <c r="Z106" s="49">
        <f>IF(OR(Z100=1,Z102=1),'Rent Roll'!$F$14/BldgSF*ReimbPool/12*Z$7,0)</f>
        <v>6625.807577999999</v>
      </c>
      <c r="AA106" s="49">
        <f>IF(OR(AA100=1,AA102=1),'Rent Roll'!$F$14/BldgSF*ReimbPool/12*AA$7,0)</f>
        <v>6625.807577999999</v>
      </c>
      <c r="AB106" s="49">
        <f>IF(OR(AB100=1,AB102=1),'Rent Roll'!$F$14/BldgSF*ReimbPool/12*AB$7,0)</f>
        <v>6625.807577999999</v>
      </c>
      <c r="AC106" s="49">
        <f>IF(OR(AC100=1,AC102=1),'Rent Roll'!$F$14/BldgSF*ReimbPool/12*AC$7,0)</f>
        <v>6625.807577999999</v>
      </c>
      <c r="AD106" s="49">
        <f>IF(OR(AD100=1,AD102=1),'Rent Roll'!$F$14/BldgSF*ReimbPool/12*AD$7,0)</f>
        <v>6625.807577999999</v>
      </c>
      <c r="AE106" s="49">
        <f>IF(OR(AE100=1,AE102=1),'Rent Roll'!$F$14/BldgSF*ReimbPool/12*AE$7,0)</f>
        <v>6625.807577999999</v>
      </c>
      <c r="AF106" s="49">
        <f>IF(OR(AF100=1,AF102=1),'Rent Roll'!$F$14/BldgSF*ReimbPool/12*AF$7,0)</f>
        <v>0</v>
      </c>
      <c r="AG106" s="49">
        <f>IF(OR(AG100=1,AG102=1),'Rent Roll'!$F$14/BldgSF*ReimbPool/12*AG$7,0)</f>
        <v>0</v>
      </c>
      <c r="AH106" s="49">
        <f>IF(OR(AH100=1,AH102=1),'Rent Roll'!$F$14/BldgSF*ReimbPool/12*AH$7,0)</f>
        <v>0</v>
      </c>
      <c r="AI106" s="49">
        <f>IF(OR(AI100=1,AI102=1),'Rent Roll'!$F$14/BldgSF*ReimbPool/12*AI$7,0)</f>
        <v>0</v>
      </c>
      <c r="AJ106" s="49">
        <f>IF(OR(AJ100=1,AJ102=1),'Rent Roll'!$F$14/BldgSF*ReimbPool/12*AJ$7,0)</f>
        <v>6804.7043826059989</v>
      </c>
      <c r="AK106" s="49">
        <f>IF(OR(AK100=1,AK102=1),'Rent Roll'!$F$14/BldgSF*ReimbPool/12*AK$7,0)</f>
        <v>6804.7043826059989</v>
      </c>
      <c r="AL106" s="49">
        <f>IF(OR(AL100=1,AL102=1),'Rent Roll'!$F$14/BldgSF*ReimbPool/12*AL$7,0)</f>
        <v>6804.7043826059989</v>
      </c>
      <c r="AM106" s="49">
        <f>IF(OR(AM100=1,AM102=1),'Rent Roll'!$F$14/BldgSF*ReimbPool/12*AM$7,0)</f>
        <v>6804.7043826059989</v>
      </c>
      <c r="AN106" s="49">
        <f>IF(OR(AN100=1,AN102=1),'Rent Roll'!$F$14/BldgSF*ReimbPool/12*AN$7,0)</f>
        <v>6804.7043826059989</v>
      </c>
      <c r="AO106" s="49">
        <f>IF(OR(AO100=1,AO102=1),'Rent Roll'!$F$14/BldgSF*ReimbPool/12*AO$7,0)</f>
        <v>6804.7043826059989</v>
      </c>
      <c r="AP106" s="49">
        <f>IF(OR(AP100=1,AP102=1),'Rent Roll'!$F$14/BldgSF*ReimbPool/12*AP$7,0)</f>
        <v>6804.7043826059989</v>
      </c>
      <c r="AQ106" s="49">
        <f>IF(OR(AQ100=1,AQ102=1),'Rent Roll'!$F$14/BldgSF*ReimbPool/12*AQ$7,0)</f>
        <v>6804.7043826059989</v>
      </c>
      <c r="AR106" s="49">
        <f>IF(OR(AR100=1,AR102=1),'Rent Roll'!$F$14/BldgSF*ReimbPool/12*AR$7,0)</f>
        <v>6804.7043826059989</v>
      </c>
      <c r="AS106" s="49">
        <f>IF(OR(AS100=1,AS102=1),'Rent Roll'!$F$14/BldgSF*ReimbPool/12*AS$7,0)</f>
        <v>6988.4314009363598</v>
      </c>
      <c r="AT106" s="49">
        <f>IF(OR(AT100=1,AT102=1),'Rent Roll'!$F$14/BldgSF*ReimbPool/12*AT$7,0)</f>
        <v>6988.4314009363598</v>
      </c>
      <c r="AU106" s="49">
        <f>IF(OR(AU100=1,AU102=1),'Rent Roll'!$F$14/BldgSF*ReimbPool/12*AU$7,0)</f>
        <v>6988.4314009363598</v>
      </c>
      <c r="AV106" s="49">
        <f>IF(OR(AV100=1,AV102=1),'Rent Roll'!$F$14/BldgSF*ReimbPool/12*AV$7,0)</f>
        <v>6988.4314009363598</v>
      </c>
      <c r="AW106" s="49">
        <f>IF(OR(AW100=1,AW102=1),'Rent Roll'!$F$14/BldgSF*ReimbPool/12*AW$7,0)</f>
        <v>6988.4314009363598</v>
      </c>
      <c r="AX106" s="49">
        <f>IF(OR(AX100=1,AX102=1),'Rent Roll'!$F$14/BldgSF*ReimbPool/12*AX$7,0)</f>
        <v>6988.4314009363598</v>
      </c>
      <c r="AY106" s="49">
        <f>IF(OR(AY100=1,AY102=1),'Rent Roll'!$F$14/BldgSF*ReimbPool/12*AY$7,0)</f>
        <v>6988.4314009363598</v>
      </c>
      <c r="AZ106" s="49">
        <f>IF(OR(AZ100=1,AZ102=1),'Rent Roll'!$F$14/BldgSF*ReimbPool/12*AZ$7,0)</f>
        <v>6988.4314009363598</v>
      </c>
      <c r="BA106" s="49">
        <f>IF(OR(BA100=1,BA102=1),'Rent Roll'!$F$14/BldgSF*ReimbPool/12*BA$7,0)</f>
        <v>6988.4314009363598</v>
      </c>
      <c r="BB106" s="49">
        <f>IF(OR(BB100=1,BB102=1),'Rent Roll'!$F$14/BldgSF*ReimbPool/12*BB$7,0)</f>
        <v>6988.4314009363598</v>
      </c>
      <c r="BC106" s="49">
        <f>IF(OR(BC100=1,BC102=1),'Rent Roll'!$F$14/BldgSF*ReimbPool/12*BC$7,0)</f>
        <v>6988.4314009363598</v>
      </c>
      <c r="BD106" s="49">
        <f>IF(OR(BD100=1,BD102=1),'Rent Roll'!$F$14/BldgSF*ReimbPool/12*BD$7,0)</f>
        <v>6988.4314009363598</v>
      </c>
      <c r="BE106" s="49">
        <f>IF(OR(BE100=1,BE102=1),'Rent Roll'!$F$14/BldgSF*ReimbPool/12*BE$7,0)</f>
        <v>7177.1190487616404</v>
      </c>
      <c r="BF106" s="49">
        <f>IF(OR(BF100=1,BF102=1),'Rent Roll'!$F$14/BldgSF*ReimbPool/12*BF$7,0)</f>
        <v>7177.1190487616404</v>
      </c>
      <c r="BG106" s="49">
        <f>IF(OR(BG100=1,BG102=1),'Rent Roll'!$F$14/BldgSF*ReimbPool/12*BG$7,0)</f>
        <v>7177.1190487616404</v>
      </c>
      <c r="BH106" s="49">
        <f>IF(OR(BH100=1,BH102=1),'Rent Roll'!$F$14/BldgSF*ReimbPool/12*BH$7,0)</f>
        <v>7177.1190487616404</v>
      </c>
      <c r="BI106" s="49">
        <f>IF(OR(BI100=1,BI102=1),'Rent Roll'!$F$14/BldgSF*ReimbPool/12*BI$7,0)</f>
        <v>7177.1190487616404</v>
      </c>
      <c r="BJ106" s="49">
        <f>IF(OR(BJ100=1,BJ102=1),'Rent Roll'!$F$14/BldgSF*ReimbPool/12*BJ$7,0)</f>
        <v>7177.1190487616404</v>
      </c>
      <c r="BK106" s="49">
        <f>IF(OR(BK100=1,BK102=1),'Rent Roll'!$F$14/BldgSF*ReimbPool/12*BK$7,0)</f>
        <v>7177.1190487616404</v>
      </c>
      <c r="BL106" s="49">
        <f>IF(OR(BL100=1,BL102=1),'Rent Roll'!$F$14/BldgSF*ReimbPool/12*BL$7,0)</f>
        <v>7177.1190487616404</v>
      </c>
      <c r="BM106" s="49">
        <f>IF(OR(BM100=1,BM102=1),'Rent Roll'!$F$14/BldgSF*ReimbPool/12*BM$7,0)</f>
        <v>7177.1190487616404</v>
      </c>
      <c r="BN106" s="49">
        <f>IF(OR(BN100=1,BN102=1),'Rent Roll'!$F$14/BldgSF*ReimbPool/12*BN$7,0)</f>
        <v>7177.1190487616404</v>
      </c>
      <c r="BO106" s="49">
        <f>IF(OR(BO100=1,BO102=1),'Rent Roll'!$F$14/BldgSF*ReimbPool/12*BO$7,0)</f>
        <v>7177.1190487616404</v>
      </c>
      <c r="BP106" s="49">
        <f>IF(OR(BP100=1,BP102=1),'Rent Roll'!$F$14/BldgSF*ReimbPool/12*BP$7,0)</f>
        <v>7177.1190487616404</v>
      </c>
      <c r="BQ106" s="49">
        <f>IF(OR(BQ100=1,BQ102=1),'Rent Roll'!$F$14/BldgSF*ReimbPool/12*BQ$7,0)</f>
        <v>7370.9012630782036</v>
      </c>
      <c r="BR106" s="49">
        <f>IF(OR(BR100=1,BR102=1),'Rent Roll'!$F$14/BldgSF*ReimbPool/12*BR$7,0)</f>
        <v>7370.9012630782036</v>
      </c>
      <c r="BS106" s="49">
        <f>IF(OR(BS100=1,BS102=1),'Rent Roll'!$F$14/BldgSF*ReimbPool/12*BS$7,0)</f>
        <v>7370.9012630782036</v>
      </c>
      <c r="BT106" s="49">
        <f>IF(OR(BT100=1,BT102=1),'Rent Roll'!$F$14/BldgSF*ReimbPool/12*BT$7,0)</f>
        <v>7370.9012630782036</v>
      </c>
      <c r="BU106" s="49">
        <f>IF(OR(BU100=1,BU102=1),'Rent Roll'!$F$14/BldgSF*ReimbPool/12*BU$7,0)</f>
        <v>7370.9012630782036</v>
      </c>
      <c r="BV106" s="49">
        <f>IF(OR(BV100=1,BV102=1),'Rent Roll'!$F$14/BldgSF*ReimbPool/12*BV$7,0)</f>
        <v>7370.9012630782036</v>
      </c>
      <c r="BW106" s="49">
        <f>IF(OR(BW100=1,BW102=1),'Rent Roll'!$F$14/BldgSF*ReimbPool/12*BW$7,0)</f>
        <v>7370.9012630782036</v>
      </c>
      <c r="BX106" s="49">
        <f>IF(OR(BX100=1,BX102=1),'Rent Roll'!$F$14/BldgSF*ReimbPool/12*BX$7,0)</f>
        <v>7370.9012630782036</v>
      </c>
    </row>
    <row r="107" spans="1:76" hidden="1" outlineLevel="1">
      <c r="B107" t="s">
        <v>86</v>
      </c>
      <c r="D107" s="49">
        <f>IF(D$4=EOMONTH(CloseDate,'Rent Roll'!$O$14+'Rent Roll'!$S$14),-'Rent Roll'!$F$14*'Rent Roll'!$T$14,0)</f>
        <v>0</v>
      </c>
      <c r="E107" s="49">
        <f>IF(E$4=EOMONTH(CloseDate,'Rent Roll'!$O$14+'Rent Roll'!$S$14),-'Rent Roll'!$F$14*'Rent Roll'!$T$14,0)</f>
        <v>0</v>
      </c>
      <c r="F107" s="49">
        <f>IF(F$4=EOMONTH(CloseDate,'Rent Roll'!$O$14+'Rent Roll'!$S$14),-'Rent Roll'!$F$14*'Rent Roll'!$T$14,0)</f>
        <v>0</v>
      </c>
      <c r="G107" s="49">
        <f>IF(G$4=EOMONTH(CloseDate,'Rent Roll'!$O$14+'Rent Roll'!$S$14),-'Rent Roll'!$F$14*'Rent Roll'!$T$14,0)</f>
        <v>0</v>
      </c>
      <c r="H107" s="49">
        <f>IF(H$4=EOMONTH(CloseDate,'Rent Roll'!$O$14+'Rent Roll'!$S$14),-'Rent Roll'!$F$14*'Rent Roll'!$T$14,0)</f>
        <v>0</v>
      </c>
      <c r="I107" s="49">
        <f>IF(I$4=EOMONTH(CloseDate,'Rent Roll'!$O$14+'Rent Roll'!$S$14),-'Rent Roll'!$F$14*'Rent Roll'!$T$14,0)</f>
        <v>0</v>
      </c>
      <c r="J107" s="49">
        <f>IF(J$4=EOMONTH(CloseDate,'Rent Roll'!$O$14+'Rent Roll'!$S$14),-'Rent Roll'!$F$14*'Rent Roll'!$T$14,0)</f>
        <v>0</v>
      </c>
      <c r="K107" s="49">
        <f>IF(K$4=EOMONTH(CloseDate,'Rent Roll'!$O$14+'Rent Roll'!$S$14),-'Rent Roll'!$F$14*'Rent Roll'!$T$14,0)</f>
        <v>0</v>
      </c>
      <c r="L107" s="49">
        <f>IF(L$4=EOMONTH(CloseDate,'Rent Roll'!$O$14+'Rent Roll'!$S$14),-'Rent Roll'!$F$14*'Rent Roll'!$T$14,0)</f>
        <v>0</v>
      </c>
      <c r="M107" s="49">
        <f>IF(M$4=EOMONTH(CloseDate,'Rent Roll'!$O$14+'Rent Roll'!$S$14),-'Rent Roll'!$F$14*'Rent Roll'!$T$14,0)</f>
        <v>0</v>
      </c>
      <c r="N107" s="49">
        <f>IF(N$4=EOMONTH(CloseDate,'Rent Roll'!$O$14+'Rent Roll'!$S$14),-'Rent Roll'!$F$14*'Rent Roll'!$T$14,0)</f>
        <v>0</v>
      </c>
      <c r="O107" s="49">
        <f>IF(O$4=EOMONTH(CloseDate,'Rent Roll'!$O$14+'Rent Roll'!$S$14),-'Rent Roll'!$F$14*'Rent Roll'!$T$14,0)</f>
        <v>0</v>
      </c>
      <c r="P107" s="49">
        <f>IF(P$4=EOMONTH(CloseDate,'Rent Roll'!$O$14+'Rent Roll'!$S$14),-'Rent Roll'!$F$14*'Rent Roll'!$T$14,0)</f>
        <v>0</v>
      </c>
      <c r="Q107" s="49">
        <f>IF(Q$4=EOMONTH(CloseDate,'Rent Roll'!$O$14+'Rent Roll'!$S$14),-'Rent Roll'!$F$14*'Rent Roll'!$T$14,0)</f>
        <v>0</v>
      </c>
      <c r="R107" s="49">
        <f>IF(R$4=EOMONTH(CloseDate,'Rent Roll'!$O$14+'Rent Roll'!$S$14),-'Rent Roll'!$F$14*'Rent Roll'!$T$14,0)</f>
        <v>0</v>
      </c>
      <c r="S107" s="49">
        <f>IF(S$4=EOMONTH(CloseDate,'Rent Roll'!$O$14+'Rent Roll'!$S$14),-'Rent Roll'!$F$14*'Rent Roll'!$T$14,0)</f>
        <v>0</v>
      </c>
      <c r="T107" s="49">
        <f>IF(T$4=EOMONTH(CloseDate,'Rent Roll'!$O$14+'Rent Roll'!$S$14),-'Rent Roll'!$F$14*'Rent Roll'!$T$14,0)</f>
        <v>0</v>
      </c>
      <c r="U107" s="49">
        <f>IF(U$4=EOMONTH(CloseDate,'Rent Roll'!$O$14+'Rent Roll'!$S$14),-'Rent Roll'!$F$14*'Rent Roll'!$T$14,0)</f>
        <v>0</v>
      </c>
      <c r="V107" s="49">
        <f>IF(V$4=EOMONTH(CloseDate,'Rent Roll'!$O$14+'Rent Roll'!$S$14),-'Rent Roll'!$F$14*'Rent Roll'!$T$14,0)</f>
        <v>0</v>
      </c>
      <c r="W107" s="49">
        <f>IF(W$4=EOMONTH(CloseDate,'Rent Roll'!$O$14+'Rent Roll'!$S$14),-'Rent Roll'!$F$14*'Rent Roll'!$T$14,0)</f>
        <v>0</v>
      </c>
      <c r="X107" s="49">
        <f>IF(X$4=EOMONTH(CloseDate,'Rent Roll'!$O$14+'Rent Roll'!$S$14),-'Rent Roll'!$F$14*'Rent Roll'!$T$14,0)</f>
        <v>0</v>
      </c>
      <c r="Y107" s="49">
        <f>IF(Y$4=EOMONTH(CloseDate,'Rent Roll'!$O$14+'Rent Roll'!$S$14),-'Rent Roll'!$F$14*'Rent Roll'!$T$14,0)</f>
        <v>0</v>
      </c>
      <c r="Z107" s="49">
        <f>IF(Z$4=EOMONTH(CloseDate,'Rent Roll'!$O$14+'Rent Roll'!$S$14),-'Rent Roll'!$F$14*'Rent Roll'!$T$14,0)</f>
        <v>0</v>
      </c>
      <c r="AA107" s="49">
        <f>IF(AA$4=EOMONTH(CloseDate,'Rent Roll'!$O$14+'Rent Roll'!$S$14),-'Rent Roll'!$F$14*'Rent Roll'!$T$14,0)</f>
        <v>0</v>
      </c>
      <c r="AB107" s="49">
        <f>IF(AB$4=EOMONTH(CloseDate,'Rent Roll'!$O$14+'Rent Roll'!$S$14),-'Rent Roll'!$F$14*'Rent Roll'!$T$14,0)</f>
        <v>0</v>
      </c>
      <c r="AC107" s="49">
        <f>IF(AC$4=EOMONTH(CloseDate,'Rent Roll'!$O$14+'Rent Roll'!$S$14),-'Rent Roll'!$F$14*'Rent Roll'!$T$14,0)</f>
        <v>0</v>
      </c>
      <c r="AD107" s="49">
        <f>IF(AD$4=EOMONTH(CloseDate,'Rent Roll'!$O$14+'Rent Roll'!$S$14),-'Rent Roll'!$F$14*'Rent Roll'!$T$14,0)</f>
        <v>0</v>
      </c>
      <c r="AE107" s="49">
        <f>IF(AE$4=EOMONTH(CloseDate,'Rent Roll'!$O$14+'Rent Roll'!$S$14),-'Rent Roll'!$F$14*'Rent Roll'!$T$14,0)</f>
        <v>0</v>
      </c>
      <c r="AF107" s="49">
        <f>IF(AF$4=EOMONTH(CloseDate,'Rent Roll'!$O$14+'Rent Roll'!$S$14),-'Rent Roll'!$F$14*'Rent Roll'!$T$14,0)</f>
        <v>0</v>
      </c>
      <c r="AG107" s="49">
        <f>IF(AG$4=EOMONTH(CloseDate,'Rent Roll'!$O$14+'Rent Roll'!$S$14),-'Rent Roll'!$F$14*'Rent Roll'!$T$14,0)</f>
        <v>0</v>
      </c>
      <c r="AH107" s="49">
        <f>IF(AH$4=EOMONTH(CloseDate,'Rent Roll'!$O$14+'Rent Roll'!$S$14),-'Rent Roll'!$F$14*'Rent Roll'!$T$14,0)</f>
        <v>0</v>
      </c>
      <c r="AI107" s="49">
        <f>IF(AI$4=EOMONTH(CloseDate,'Rent Roll'!$O$14+'Rent Roll'!$S$14),-'Rent Roll'!$F$14*'Rent Roll'!$T$14,0)</f>
        <v>0</v>
      </c>
      <c r="AJ107" s="49">
        <f>IF(AJ$4=EOMONTH(CloseDate,'Rent Roll'!$O$14+'Rent Roll'!$S$14),-'Rent Roll'!$F$14*'Rent Roll'!$T$14,0)</f>
        <v>-259200</v>
      </c>
      <c r="AK107" s="49">
        <f>IF(AK$4=EOMONTH(CloseDate,'Rent Roll'!$O$14+'Rent Roll'!$S$14),-'Rent Roll'!$F$14*'Rent Roll'!$T$14,0)</f>
        <v>0</v>
      </c>
      <c r="AL107" s="49">
        <f>IF(AL$4=EOMONTH(CloseDate,'Rent Roll'!$O$14+'Rent Roll'!$S$14),-'Rent Roll'!$F$14*'Rent Roll'!$T$14,0)</f>
        <v>0</v>
      </c>
      <c r="AM107" s="49">
        <f>IF(AM$4=EOMONTH(CloseDate,'Rent Roll'!$O$14+'Rent Roll'!$S$14),-'Rent Roll'!$F$14*'Rent Roll'!$T$14,0)</f>
        <v>0</v>
      </c>
      <c r="AN107" s="49">
        <f>IF(AN$4=EOMONTH(CloseDate,'Rent Roll'!$O$14+'Rent Roll'!$S$14),-'Rent Roll'!$F$14*'Rent Roll'!$T$14,0)</f>
        <v>0</v>
      </c>
      <c r="AO107" s="49">
        <f>IF(AO$4=EOMONTH(CloseDate,'Rent Roll'!$O$14+'Rent Roll'!$S$14),-'Rent Roll'!$F$14*'Rent Roll'!$T$14,0)</f>
        <v>0</v>
      </c>
      <c r="AP107" s="49">
        <f>IF(AP$4=EOMONTH(CloseDate,'Rent Roll'!$O$14+'Rent Roll'!$S$14),-'Rent Roll'!$F$14*'Rent Roll'!$T$14,0)</f>
        <v>0</v>
      </c>
      <c r="AQ107" s="49">
        <f>IF(AQ$4=EOMONTH(CloseDate,'Rent Roll'!$O$14+'Rent Roll'!$S$14),-'Rent Roll'!$F$14*'Rent Roll'!$T$14,0)</f>
        <v>0</v>
      </c>
      <c r="AR107" s="49">
        <f>IF(AR$4=EOMONTH(CloseDate,'Rent Roll'!$O$14+'Rent Roll'!$S$14),-'Rent Roll'!$F$14*'Rent Roll'!$T$14,0)</f>
        <v>0</v>
      </c>
      <c r="AS107" s="49">
        <f>IF(AS$4=EOMONTH(CloseDate,'Rent Roll'!$O$14+'Rent Roll'!$S$14),-'Rent Roll'!$F$14*'Rent Roll'!$T$14,0)</f>
        <v>0</v>
      </c>
      <c r="AT107" s="49">
        <f>IF(AT$4=EOMONTH(CloseDate,'Rent Roll'!$O$14+'Rent Roll'!$S$14),-'Rent Roll'!$F$14*'Rent Roll'!$T$14,0)</f>
        <v>0</v>
      </c>
      <c r="AU107" s="49">
        <f>IF(AU$4=EOMONTH(CloseDate,'Rent Roll'!$O$14+'Rent Roll'!$S$14),-'Rent Roll'!$F$14*'Rent Roll'!$T$14,0)</f>
        <v>0</v>
      </c>
      <c r="AV107" s="49">
        <f>IF(AV$4=EOMONTH(CloseDate,'Rent Roll'!$O$14+'Rent Roll'!$S$14),-'Rent Roll'!$F$14*'Rent Roll'!$T$14,0)</f>
        <v>0</v>
      </c>
      <c r="AW107" s="49">
        <f>IF(AW$4=EOMONTH(CloseDate,'Rent Roll'!$O$14+'Rent Roll'!$S$14),-'Rent Roll'!$F$14*'Rent Roll'!$T$14,0)</f>
        <v>0</v>
      </c>
      <c r="AX107" s="49">
        <f>IF(AX$4=EOMONTH(CloseDate,'Rent Roll'!$O$14+'Rent Roll'!$S$14),-'Rent Roll'!$F$14*'Rent Roll'!$T$14,0)</f>
        <v>0</v>
      </c>
      <c r="AY107" s="49">
        <f>IF(AY$4=EOMONTH(CloseDate,'Rent Roll'!$O$14+'Rent Roll'!$S$14),-'Rent Roll'!$F$14*'Rent Roll'!$T$14,0)</f>
        <v>0</v>
      </c>
      <c r="AZ107" s="49">
        <f>IF(AZ$4=EOMONTH(CloseDate,'Rent Roll'!$O$14+'Rent Roll'!$S$14),-'Rent Roll'!$F$14*'Rent Roll'!$T$14,0)</f>
        <v>0</v>
      </c>
      <c r="BA107" s="49">
        <f>IF(BA$4=EOMONTH(CloseDate,'Rent Roll'!$O$14+'Rent Roll'!$S$14),-'Rent Roll'!$F$14*'Rent Roll'!$T$14,0)</f>
        <v>0</v>
      </c>
      <c r="BB107" s="49">
        <f>IF(BB$4=EOMONTH(CloseDate,'Rent Roll'!$O$14+'Rent Roll'!$S$14),-'Rent Roll'!$F$14*'Rent Roll'!$T$14,0)</f>
        <v>0</v>
      </c>
      <c r="BC107" s="49">
        <f>IF(BC$4=EOMONTH(CloseDate,'Rent Roll'!$O$14+'Rent Roll'!$S$14),-'Rent Roll'!$F$14*'Rent Roll'!$T$14,0)</f>
        <v>0</v>
      </c>
      <c r="BD107" s="49">
        <f>IF(BD$4=EOMONTH(CloseDate,'Rent Roll'!$O$14+'Rent Roll'!$S$14),-'Rent Roll'!$F$14*'Rent Roll'!$T$14,0)</f>
        <v>0</v>
      </c>
      <c r="BE107" s="49">
        <f>IF(BE$4=EOMONTH(CloseDate,'Rent Roll'!$O$14+'Rent Roll'!$S$14),-'Rent Roll'!$F$14*'Rent Roll'!$T$14,0)</f>
        <v>0</v>
      </c>
      <c r="BF107" s="49">
        <f>IF(BF$4=EOMONTH(CloseDate,'Rent Roll'!$O$14+'Rent Roll'!$S$14),-'Rent Roll'!$F$14*'Rent Roll'!$T$14,0)</f>
        <v>0</v>
      </c>
      <c r="BG107" s="49">
        <f>IF(BG$4=EOMONTH(CloseDate,'Rent Roll'!$O$14+'Rent Roll'!$S$14),-'Rent Roll'!$F$14*'Rent Roll'!$T$14,0)</f>
        <v>0</v>
      </c>
      <c r="BH107" s="49">
        <f>IF(BH$4=EOMONTH(CloseDate,'Rent Roll'!$O$14+'Rent Roll'!$S$14),-'Rent Roll'!$F$14*'Rent Roll'!$T$14,0)</f>
        <v>0</v>
      </c>
      <c r="BI107" s="49">
        <f>IF(BI$4=EOMONTH(CloseDate,'Rent Roll'!$O$14+'Rent Roll'!$S$14),-'Rent Roll'!$F$14*'Rent Roll'!$T$14,0)</f>
        <v>0</v>
      </c>
      <c r="BJ107" s="49">
        <f>IF(BJ$4=EOMONTH(CloseDate,'Rent Roll'!$O$14+'Rent Roll'!$S$14),-'Rent Roll'!$F$14*'Rent Roll'!$T$14,0)</f>
        <v>0</v>
      </c>
      <c r="BK107" s="49">
        <f>IF(BK$4=EOMONTH(CloseDate,'Rent Roll'!$O$14+'Rent Roll'!$S$14),-'Rent Roll'!$F$14*'Rent Roll'!$T$14,0)</f>
        <v>0</v>
      </c>
      <c r="BL107" s="49">
        <f>IF(BL$4=EOMONTH(CloseDate,'Rent Roll'!$O$14+'Rent Roll'!$S$14),-'Rent Roll'!$F$14*'Rent Roll'!$T$14,0)</f>
        <v>0</v>
      </c>
      <c r="BM107" s="49">
        <f>IF(BM$4=EOMONTH(CloseDate,'Rent Roll'!$O$14+'Rent Roll'!$S$14),-'Rent Roll'!$F$14*'Rent Roll'!$T$14,0)</f>
        <v>0</v>
      </c>
      <c r="BN107" s="49">
        <f>IF(BN$4=EOMONTH(CloseDate,'Rent Roll'!$O$14+'Rent Roll'!$S$14),-'Rent Roll'!$F$14*'Rent Roll'!$T$14,0)</f>
        <v>0</v>
      </c>
      <c r="BO107" s="49">
        <f>IF(BO$4=EOMONTH(CloseDate,'Rent Roll'!$O$14+'Rent Roll'!$S$14),-'Rent Roll'!$F$14*'Rent Roll'!$T$14,0)</f>
        <v>0</v>
      </c>
      <c r="BP107" s="49">
        <f>IF(BP$4=EOMONTH(CloseDate,'Rent Roll'!$O$14+'Rent Roll'!$S$14),-'Rent Roll'!$F$14*'Rent Roll'!$T$14,0)</f>
        <v>0</v>
      </c>
      <c r="BQ107" s="49">
        <f>IF(BQ$4=EOMONTH(CloseDate,'Rent Roll'!$O$14+'Rent Roll'!$S$14),-'Rent Roll'!$F$14*'Rent Roll'!$T$14,0)</f>
        <v>0</v>
      </c>
      <c r="BR107" s="49">
        <f>IF(BR$4=EOMONTH(CloseDate,'Rent Roll'!$O$14+'Rent Roll'!$S$14),-'Rent Roll'!$F$14*'Rent Roll'!$T$14,0)</f>
        <v>0</v>
      </c>
      <c r="BS107" s="49">
        <f>IF(BS$4=EOMONTH(CloseDate,'Rent Roll'!$O$14+'Rent Roll'!$S$14),-'Rent Roll'!$F$14*'Rent Roll'!$T$14,0)</f>
        <v>0</v>
      </c>
      <c r="BT107" s="49">
        <f>IF(BT$4=EOMONTH(CloseDate,'Rent Roll'!$O$14+'Rent Roll'!$S$14),-'Rent Roll'!$F$14*'Rent Roll'!$T$14,0)</f>
        <v>0</v>
      </c>
      <c r="BU107" s="49">
        <f>IF(BU$4=EOMONTH(CloseDate,'Rent Roll'!$O$14+'Rent Roll'!$S$14),-'Rent Roll'!$F$14*'Rent Roll'!$T$14,0)</f>
        <v>0</v>
      </c>
      <c r="BV107" s="49">
        <f>IF(BV$4=EOMONTH(CloseDate,'Rent Roll'!$O$14+'Rent Roll'!$S$14),-'Rent Roll'!$F$14*'Rent Roll'!$T$14,0)</f>
        <v>0</v>
      </c>
      <c r="BW107" s="49">
        <f>IF(BW$4=EOMONTH(CloseDate,'Rent Roll'!$O$14+'Rent Roll'!$S$14),-'Rent Roll'!$F$14*'Rent Roll'!$T$14,0)</f>
        <v>0</v>
      </c>
      <c r="BX107" s="49">
        <f>IF(BX$4=EOMONTH(CloseDate,'Rent Roll'!$O$14+'Rent Roll'!$S$14),-'Rent Roll'!$F$14*'Rent Roll'!$T$14,0)</f>
        <v>0</v>
      </c>
    </row>
    <row r="108" spans="1:76" hidden="1" outlineLevel="1">
      <c r="B108" t="s">
        <v>87</v>
      </c>
      <c r="D108" s="49">
        <f>IF(D$4=EOMONTH(CloseDate,'Rent Roll'!$O$14+'Rent Roll'!$S$14),-'Rent Roll'!$U$14*'Rent Roll'!$F$14*'Rent Roll'!$X$14,0)</f>
        <v>0</v>
      </c>
      <c r="E108" s="49">
        <f>IF(E$4=EOMONTH(CloseDate,'Rent Roll'!$O$14+'Rent Roll'!$S$14),-'Rent Roll'!$U$14*'Rent Roll'!$F$14*'Rent Roll'!$X$14,0)</f>
        <v>0</v>
      </c>
      <c r="F108" s="49">
        <f>IF(F$4=EOMONTH(CloseDate,'Rent Roll'!$O$14+'Rent Roll'!$S$14),-'Rent Roll'!$U$14*'Rent Roll'!$F$14*'Rent Roll'!$X$14,0)</f>
        <v>0</v>
      </c>
      <c r="G108" s="49">
        <f>IF(G$4=EOMONTH(CloseDate,'Rent Roll'!$O$14+'Rent Roll'!$S$14),-'Rent Roll'!$U$14*'Rent Roll'!$F$14*'Rent Roll'!$X$14,0)</f>
        <v>0</v>
      </c>
      <c r="H108" s="49">
        <f>IF(H$4=EOMONTH(CloseDate,'Rent Roll'!$O$14+'Rent Roll'!$S$14),-'Rent Roll'!$U$14*'Rent Roll'!$F$14*'Rent Roll'!$X$14,0)</f>
        <v>0</v>
      </c>
      <c r="I108" s="49">
        <f>IF(I$4=EOMONTH(CloseDate,'Rent Roll'!$O$14+'Rent Roll'!$S$14),-'Rent Roll'!$U$14*'Rent Roll'!$F$14*'Rent Roll'!$X$14,0)</f>
        <v>0</v>
      </c>
      <c r="J108" s="49">
        <f>IF(J$4=EOMONTH(CloseDate,'Rent Roll'!$O$14+'Rent Roll'!$S$14),-'Rent Roll'!$U$14*'Rent Roll'!$F$14*'Rent Roll'!$X$14,0)</f>
        <v>0</v>
      </c>
      <c r="K108" s="49">
        <f>IF(K$4=EOMONTH(CloseDate,'Rent Roll'!$O$14+'Rent Roll'!$S$14),-'Rent Roll'!$U$14*'Rent Roll'!$F$14*'Rent Roll'!$X$14,0)</f>
        <v>0</v>
      </c>
      <c r="L108" s="49">
        <f>IF(L$4=EOMONTH(CloseDate,'Rent Roll'!$O$14+'Rent Roll'!$S$14),-'Rent Roll'!$U$14*'Rent Roll'!$F$14*'Rent Roll'!$X$14,0)</f>
        <v>0</v>
      </c>
      <c r="M108" s="49">
        <f>IF(M$4=EOMONTH(CloseDate,'Rent Roll'!$O$14+'Rent Roll'!$S$14),-'Rent Roll'!$U$14*'Rent Roll'!$F$14*'Rent Roll'!$X$14,0)</f>
        <v>0</v>
      </c>
      <c r="N108" s="49">
        <f>IF(N$4=EOMONTH(CloseDate,'Rent Roll'!$O$14+'Rent Roll'!$S$14),-'Rent Roll'!$U$14*'Rent Roll'!$F$14*'Rent Roll'!$X$14,0)</f>
        <v>0</v>
      </c>
      <c r="O108" s="49">
        <f>IF(O$4=EOMONTH(CloseDate,'Rent Roll'!$O$14+'Rent Roll'!$S$14),-'Rent Roll'!$U$14*'Rent Roll'!$F$14*'Rent Roll'!$X$14,0)</f>
        <v>0</v>
      </c>
      <c r="P108" s="49">
        <f>IF(P$4=EOMONTH(CloseDate,'Rent Roll'!$O$14+'Rent Roll'!$S$14),-'Rent Roll'!$U$14*'Rent Roll'!$F$14*'Rent Roll'!$X$14,0)</f>
        <v>0</v>
      </c>
      <c r="Q108" s="49">
        <f>IF(Q$4=EOMONTH(CloseDate,'Rent Roll'!$O$14+'Rent Roll'!$S$14),-'Rent Roll'!$U$14*'Rent Roll'!$F$14*'Rent Roll'!$X$14,0)</f>
        <v>0</v>
      </c>
      <c r="R108" s="49">
        <f>IF(R$4=EOMONTH(CloseDate,'Rent Roll'!$O$14+'Rent Roll'!$S$14),-'Rent Roll'!$U$14*'Rent Roll'!$F$14*'Rent Roll'!$X$14,0)</f>
        <v>0</v>
      </c>
      <c r="S108" s="49">
        <f>IF(S$4=EOMONTH(CloseDate,'Rent Roll'!$O$14+'Rent Roll'!$S$14),-'Rent Roll'!$U$14*'Rent Roll'!$F$14*'Rent Roll'!$X$14,0)</f>
        <v>0</v>
      </c>
      <c r="T108" s="49">
        <f>IF(T$4=EOMONTH(CloseDate,'Rent Roll'!$O$14+'Rent Roll'!$S$14),-'Rent Roll'!$U$14*'Rent Roll'!$F$14*'Rent Roll'!$X$14,0)</f>
        <v>0</v>
      </c>
      <c r="U108" s="49">
        <f>IF(U$4=EOMONTH(CloseDate,'Rent Roll'!$O$14+'Rent Roll'!$S$14),-'Rent Roll'!$U$14*'Rent Roll'!$F$14*'Rent Roll'!$X$14,0)</f>
        <v>0</v>
      </c>
      <c r="V108" s="49">
        <f>IF(V$4=EOMONTH(CloseDate,'Rent Roll'!$O$14+'Rent Roll'!$S$14),-'Rent Roll'!$U$14*'Rent Roll'!$F$14*'Rent Roll'!$X$14,0)</f>
        <v>0</v>
      </c>
      <c r="W108" s="49">
        <f>IF(W$4=EOMONTH(CloseDate,'Rent Roll'!$O$14+'Rent Roll'!$S$14),-'Rent Roll'!$U$14*'Rent Roll'!$F$14*'Rent Roll'!$X$14,0)</f>
        <v>0</v>
      </c>
      <c r="X108" s="49">
        <f>IF(X$4=EOMONTH(CloseDate,'Rent Roll'!$O$14+'Rent Roll'!$S$14),-'Rent Roll'!$U$14*'Rent Roll'!$F$14*'Rent Roll'!$X$14,0)</f>
        <v>0</v>
      </c>
      <c r="Y108" s="49">
        <f>IF(Y$4=EOMONTH(CloseDate,'Rent Roll'!$O$14+'Rent Roll'!$S$14),-'Rent Roll'!$U$14*'Rent Roll'!$F$14*'Rent Roll'!$X$14,0)</f>
        <v>0</v>
      </c>
      <c r="Z108" s="49">
        <f>IF(Z$4=EOMONTH(CloseDate,'Rent Roll'!$O$14+'Rent Roll'!$S$14),-'Rent Roll'!$U$14*'Rent Roll'!$F$14*'Rent Roll'!$X$14,0)</f>
        <v>0</v>
      </c>
      <c r="AA108" s="49">
        <f>IF(AA$4=EOMONTH(CloseDate,'Rent Roll'!$O$14+'Rent Roll'!$S$14),-'Rent Roll'!$U$14*'Rent Roll'!$F$14*'Rent Roll'!$X$14,0)</f>
        <v>0</v>
      </c>
      <c r="AB108" s="49">
        <f>IF(AB$4=EOMONTH(CloseDate,'Rent Roll'!$O$14+'Rent Roll'!$S$14),-'Rent Roll'!$U$14*'Rent Roll'!$F$14*'Rent Roll'!$X$14,0)</f>
        <v>0</v>
      </c>
      <c r="AC108" s="49">
        <f>IF(AC$4=EOMONTH(CloseDate,'Rent Roll'!$O$14+'Rent Roll'!$S$14),-'Rent Roll'!$U$14*'Rent Roll'!$F$14*'Rent Roll'!$X$14,0)</f>
        <v>0</v>
      </c>
      <c r="AD108" s="49">
        <f>IF(AD$4=EOMONTH(CloseDate,'Rent Roll'!$O$14+'Rent Roll'!$S$14),-'Rent Roll'!$U$14*'Rent Roll'!$F$14*'Rent Roll'!$X$14,0)</f>
        <v>0</v>
      </c>
      <c r="AE108" s="49">
        <f>IF(AE$4=EOMONTH(CloseDate,'Rent Roll'!$O$14+'Rent Roll'!$S$14),-'Rent Roll'!$U$14*'Rent Roll'!$F$14*'Rent Roll'!$X$14,0)</f>
        <v>0</v>
      </c>
      <c r="AF108" s="49">
        <f>IF(AF$4=EOMONTH(CloseDate,'Rent Roll'!$O$14+'Rent Roll'!$S$14),-'Rent Roll'!$U$14*'Rent Roll'!$F$14*'Rent Roll'!$X$14,0)</f>
        <v>0</v>
      </c>
      <c r="AG108" s="49">
        <f>IF(AG$4=EOMONTH(CloseDate,'Rent Roll'!$O$14+'Rent Roll'!$S$14),-'Rent Roll'!$U$14*'Rent Roll'!$F$14*'Rent Roll'!$X$14,0)</f>
        <v>0</v>
      </c>
      <c r="AH108" s="49">
        <f>IF(AH$4=EOMONTH(CloseDate,'Rent Roll'!$O$14+'Rent Roll'!$S$14),-'Rent Roll'!$U$14*'Rent Roll'!$F$14*'Rent Roll'!$X$14,0)</f>
        <v>0</v>
      </c>
      <c r="AI108" s="49">
        <f>IF(AI$4=EOMONTH(CloseDate,'Rent Roll'!$O$14+'Rent Roll'!$S$14),-'Rent Roll'!$U$14*'Rent Roll'!$F$14*'Rent Roll'!$X$14,0)</f>
        <v>0</v>
      </c>
      <c r="AJ108" s="49">
        <f>IF(AJ$4=EOMONTH(CloseDate,'Rent Roll'!$O$14+'Rent Roll'!$S$14),-'Rent Roll'!$U$14*'Rent Roll'!$F$14*'Rent Roll'!$X$14,0)</f>
        <v>-8881.65</v>
      </c>
      <c r="AK108" s="49">
        <f>IF(AK$4=EOMONTH(CloseDate,'Rent Roll'!$O$14+'Rent Roll'!$S$14),-'Rent Roll'!$U$14*'Rent Roll'!$F$14*'Rent Roll'!$X$14,0)</f>
        <v>0</v>
      </c>
      <c r="AL108" s="49">
        <f>IF(AL$4=EOMONTH(CloseDate,'Rent Roll'!$O$14+'Rent Roll'!$S$14),-'Rent Roll'!$U$14*'Rent Roll'!$F$14*'Rent Roll'!$X$14,0)</f>
        <v>0</v>
      </c>
      <c r="AM108" s="49">
        <f>IF(AM$4=EOMONTH(CloseDate,'Rent Roll'!$O$14+'Rent Roll'!$S$14),-'Rent Roll'!$U$14*'Rent Roll'!$F$14*'Rent Roll'!$X$14,0)</f>
        <v>0</v>
      </c>
      <c r="AN108" s="49">
        <f>IF(AN$4=EOMONTH(CloseDate,'Rent Roll'!$O$14+'Rent Roll'!$S$14),-'Rent Roll'!$U$14*'Rent Roll'!$F$14*'Rent Roll'!$X$14,0)</f>
        <v>0</v>
      </c>
      <c r="AO108" s="49">
        <f>IF(AO$4=EOMONTH(CloseDate,'Rent Roll'!$O$14+'Rent Roll'!$S$14),-'Rent Roll'!$U$14*'Rent Roll'!$F$14*'Rent Roll'!$X$14,0)</f>
        <v>0</v>
      </c>
      <c r="AP108" s="49">
        <f>IF(AP$4=EOMONTH(CloseDate,'Rent Roll'!$O$14+'Rent Roll'!$S$14),-'Rent Roll'!$U$14*'Rent Roll'!$F$14*'Rent Roll'!$X$14,0)</f>
        <v>0</v>
      </c>
      <c r="AQ108" s="49">
        <f>IF(AQ$4=EOMONTH(CloseDate,'Rent Roll'!$O$14+'Rent Roll'!$S$14),-'Rent Roll'!$U$14*'Rent Roll'!$F$14*'Rent Roll'!$X$14,0)</f>
        <v>0</v>
      </c>
      <c r="AR108" s="49">
        <f>IF(AR$4=EOMONTH(CloseDate,'Rent Roll'!$O$14+'Rent Roll'!$S$14),-'Rent Roll'!$U$14*'Rent Roll'!$F$14*'Rent Roll'!$X$14,0)</f>
        <v>0</v>
      </c>
      <c r="AS108" s="49">
        <f>IF(AS$4=EOMONTH(CloseDate,'Rent Roll'!$O$14+'Rent Roll'!$S$14),-'Rent Roll'!$U$14*'Rent Roll'!$F$14*'Rent Roll'!$X$14,0)</f>
        <v>0</v>
      </c>
      <c r="AT108" s="49">
        <f>IF(AT$4=EOMONTH(CloseDate,'Rent Roll'!$O$14+'Rent Roll'!$S$14),-'Rent Roll'!$U$14*'Rent Roll'!$F$14*'Rent Roll'!$X$14,0)</f>
        <v>0</v>
      </c>
      <c r="AU108" s="49">
        <f>IF(AU$4=EOMONTH(CloseDate,'Rent Roll'!$O$14+'Rent Roll'!$S$14),-'Rent Roll'!$U$14*'Rent Roll'!$F$14*'Rent Roll'!$X$14,0)</f>
        <v>0</v>
      </c>
      <c r="AV108" s="49">
        <f>IF(AV$4=EOMONTH(CloseDate,'Rent Roll'!$O$14+'Rent Roll'!$S$14),-'Rent Roll'!$U$14*'Rent Roll'!$F$14*'Rent Roll'!$X$14,0)</f>
        <v>0</v>
      </c>
      <c r="AW108" s="49">
        <f>IF(AW$4=EOMONTH(CloseDate,'Rent Roll'!$O$14+'Rent Roll'!$S$14),-'Rent Roll'!$U$14*'Rent Roll'!$F$14*'Rent Roll'!$X$14,0)</f>
        <v>0</v>
      </c>
      <c r="AX108" s="49">
        <f>IF(AX$4=EOMONTH(CloseDate,'Rent Roll'!$O$14+'Rent Roll'!$S$14),-'Rent Roll'!$U$14*'Rent Roll'!$F$14*'Rent Roll'!$X$14,0)</f>
        <v>0</v>
      </c>
      <c r="AY108" s="49">
        <f>IF(AY$4=EOMONTH(CloseDate,'Rent Roll'!$O$14+'Rent Roll'!$S$14),-'Rent Roll'!$U$14*'Rent Roll'!$F$14*'Rent Roll'!$X$14,0)</f>
        <v>0</v>
      </c>
      <c r="AZ108" s="49">
        <f>IF(AZ$4=EOMONTH(CloseDate,'Rent Roll'!$O$14+'Rent Roll'!$S$14),-'Rent Roll'!$U$14*'Rent Roll'!$F$14*'Rent Roll'!$X$14,0)</f>
        <v>0</v>
      </c>
      <c r="BA108" s="49">
        <f>IF(BA$4=EOMONTH(CloseDate,'Rent Roll'!$O$14+'Rent Roll'!$S$14),-'Rent Roll'!$U$14*'Rent Roll'!$F$14*'Rent Roll'!$X$14,0)</f>
        <v>0</v>
      </c>
      <c r="BB108" s="49">
        <f>IF(BB$4=EOMONTH(CloseDate,'Rent Roll'!$O$14+'Rent Roll'!$S$14),-'Rent Roll'!$U$14*'Rent Roll'!$F$14*'Rent Roll'!$X$14,0)</f>
        <v>0</v>
      </c>
      <c r="BC108" s="49">
        <f>IF(BC$4=EOMONTH(CloseDate,'Rent Roll'!$O$14+'Rent Roll'!$S$14),-'Rent Roll'!$U$14*'Rent Roll'!$F$14*'Rent Roll'!$X$14,0)</f>
        <v>0</v>
      </c>
      <c r="BD108" s="49">
        <f>IF(BD$4=EOMONTH(CloseDate,'Rent Roll'!$O$14+'Rent Roll'!$S$14),-'Rent Roll'!$U$14*'Rent Roll'!$F$14*'Rent Roll'!$X$14,0)</f>
        <v>0</v>
      </c>
      <c r="BE108" s="49">
        <f>IF(BE$4=EOMONTH(CloseDate,'Rent Roll'!$O$14+'Rent Roll'!$S$14),-'Rent Roll'!$U$14*'Rent Roll'!$F$14*'Rent Roll'!$X$14,0)</f>
        <v>0</v>
      </c>
      <c r="BF108" s="49">
        <f>IF(BF$4=EOMONTH(CloseDate,'Rent Roll'!$O$14+'Rent Roll'!$S$14),-'Rent Roll'!$U$14*'Rent Roll'!$F$14*'Rent Roll'!$X$14,0)</f>
        <v>0</v>
      </c>
      <c r="BG108" s="49">
        <f>IF(BG$4=EOMONTH(CloseDate,'Rent Roll'!$O$14+'Rent Roll'!$S$14),-'Rent Roll'!$U$14*'Rent Roll'!$F$14*'Rent Roll'!$X$14,0)</f>
        <v>0</v>
      </c>
      <c r="BH108" s="49">
        <f>IF(BH$4=EOMONTH(CloseDate,'Rent Roll'!$O$14+'Rent Roll'!$S$14),-'Rent Roll'!$U$14*'Rent Roll'!$F$14*'Rent Roll'!$X$14,0)</f>
        <v>0</v>
      </c>
      <c r="BI108" s="49">
        <f>IF(BI$4=EOMONTH(CloseDate,'Rent Roll'!$O$14+'Rent Roll'!$S$14),-'Rent Roll'!$U$14*'Rent Roll'!$F$14*'Rent Roll'!$X$14,0)</f>
        <v>0</v>
      </c>
      <c r="BJ108" s="49">
        <f>IF(BJ$4=EOMONTH(CloseDate,'Rent Roll'!$O$14+'Rent Roll'!$S$14),-'Rent Roll'!$U$14*'Rent Roll'!$F$14*'Rent Roll'!$X$14,0)</f>
        <v>0</v>
      </c>
      <c r="BK108" s="49">
        <f>IF(BK$4=EOMONTH(CloseDate,'Rent Roll'!$O$14+'Rent Roll'!$S$14),-'Rent Roll'!$U$14*'Rent Roll'!$F$14*'Rent Roll'!$X$14,0)</f>
        <v>0</v>
      </c>
      <c r="BL108" s="49">
        <f>IF(BL$4=EOMONTH(CloseDate,'Rent Roll'!$O$14+'Rent Roll'!$S$14),-'Rent Roll'!$U$14*'Rent Roll'!$F$14*'Rent Roll'!$X$14,0)</f>
        <v>0</v>
      </c>
      <c r="BM108" s="49">
        <f>IF(BM$4=EOMONTH(CloseDate,'Rent Roll'!$O$14+'Rent Roll'!$S$14),-'Rent Roll'!$U$14*'Rent Roll'!$F$14*'Rent Roll'!$X$14,0)</f>
        <v>0</v>
      </c>
      <c r="BN108" s="49">
        <f>IF(BN$4=EOMONTH(CloseDate,'Rent Roll'!$O$14+'Rent Roll'!$S$14),-'Rent Roll'!$U$14*'Rent Roll'!$F$14*'Rent Roll'!$X$14,0)</f>
        <v>0</v>
      </c>
      <c r="BO108" s="49">
        <f>IF(BO$4=EOMONTH(CloseDate,'Rent Roll'!$O$14+'Rent Roll'!$S$14),-'Rent Roll'!$U$14*'Rent Roll'!$F$14*'Rent Roll'!$X$14,0)</f>
        <v>0</v>
      </c>
      <c r="BP108" s="49">
        <f>IF(BP$4=EOMONTH(CloseDate,'Rent Roll'!$O$14+'Rent Roll'!$S$14),-'Rent Roll'!$U$14*'Rent Roll'!$F$14*'Rent Roll'!$X$14,0)</f>
        <v>0</v>
      </c>
      <c r="BQ108" s="49">
        <f>IF(BQ$4=EOMONTH(CloseDate,'Rent Roll'!$O$14+'Rent Roll'!$S$14),-'Rent Roll'!$U$14*'Rent Roll'!$F$14*'Rent Roll'!$X$14,0)</f>
        <v>0</v>
      </c>
      <c r="BR108" s="49">
        <f>IF(BR$4=EOMONTH(CloseDate,'Rent Roll'!$O$14+'Rent Roll'!$S$14),-'Rent Roll'!$U$14*'Rent Roll'!$F$14*'Rent Roll'!$X$14,0)</f>
        <v>0</v>
      </c>
      <c r="BS108" s="49">
        <f>IF(BS$4=EOMONTH(CloseDate,'Rent Roll'!$O$14+'Rent Roll'!$S$14),-'Rent Roll'!$U$14*'Rent Roll'!$F$14*'Rent Roll'!$X$14,0)</f>
        <v>0</v>
      </c>
      <c r="BT108" s="49">
        <f>IF(BT$4=EOMONTH(CloseDate,'Rent Roll'!$O$14+'Rent Roll'!$S$14),-'Rent Roll'!$U$14*'Rent Roll'!$F$14*'Rent Roll'!$X$14,0)</f>
        <v>0</v>
      </c>
      <c r="BU108" s="49">
        <f>IF(BU$4=EOMONTH(CloseDate,'Rent Roll'!$O$14+'Rent Roll'!$S$14),-'Rent Roll'!$U$14*'Rent Roll'!$F$14*'Rent Roll'!$X$14,0)</f>
        <v>0</v>
      </c>
      <c r="BV108" s="49">
        <f>IF(BV$4=EOMONTH(CloseDate,'Rent Roll'!$O$14+'Rent Roll'!$S$14),-'Rent Roll'!$U$14*'Rent Roll'!$F$14*'Rent Roll'!$X$14,0)</f>
        <v>0</v>
      </c>
      <c r="BW108" s="49">
        <f>IF(BW$4=EOMONTH(CloseDate,'Rent Roll'!$O$14+'Rent Roll'!$S$14),-'Rent Roll'!$U$14*'Rent Roll'!$F$14*'Rent Roll'!$X$14,0)</f>
        <v>0</v>
      </c>
      <c r="BX108" s="49">
        <f>IF(BX$4=EOMONTH(CloseDate,'Rent Roll'!$O$14+'Rent Roll'!$S$14),-'Rent Roll'!$U$14*'Rent Roll'!$F$14*'Rent Roll'!$X$14,0)</f>
        <v>0</v>
      </c>
    </row>
    <row r="109" spans="1:76" collapsed="1">
      <c r="A109" s="17" t="str">
        <f>'Rent Roll'!C15</f>
        <v>Greenway Environmental</v>
      </c>
      <c r="B109" s="57">
        <f>INDEX('Rent Roll'!$F$5:$F$46,MATCH('Rent Roll Calc'!A109,'Rent Roll'!$C$5:$C$46,0))</f>
        <v>6800</v>
      </c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  <c r="AA109" s="49"/>
      <c r="AB109" s="49"/>
      <c r="AC109" s="49"/>
      <c r="AD109" s="49"/>
      <c r="AE109" s="49"/>
      <c r="AF109" s="49"/>
      <c r="AG109" s="49"/>
      <c r="AH109" s="49"/>
      <c r="AI109" s="49"/>
      <c r="AJ109" s="49"/>
      <c r="AK109" s="49"/>
      <c r="AL109" s="49"/>
      <c r="AM109" s="49"/>
      <c r="AN109" s="49"/>
      <c r="AO109" s="49"/>
      <c r="AP109" s="49"/>
      <c r="AQ109" s="49"/>
      <c r="AR109" s="49"/>
      <c r="AS109" s="49"/>
      <c r="AT109" s="49"/>
      <c r="AU109" s="49"/>
      <c r="AV109" s="49"/>
      <c r="AW109" s="49"/>
      <c r="AX109" s="49"/>
      <c r="AY109" s="49"/>
      <c r="AZ109" s="49"/>
      <c r="BA109" s="49"/>
      <c r="BB109" s="49"/>
      <c r="BC109" s="49"/>
      <c r="BD109" s="49"/>
      <c r="BE109" s="49"/>
      <c r="BF109" s="49"/>
      <c r="BG109" s="49"/>
      <c r="BH109" s="49"/>
      <c r="BI109" s="49"/>
      <c r="BJ109" s="49"/>
      <c r="BK109" s="49"/>
      <c r="BL109" s="49"/>
      <c r="BM109" s="49"/>
      <c r="BN109" s="49"/>
      <c r="BO109" s="49"/>
      <c r="BP109" s="49"/>
      <c r="BQ109" s="49"/>
      <c r="BR109" s="49"/>
      <c r="BS109" s="49"/>
      <c r="BT109" s="49"/>
      <c r="BU109" s="49"/>
      <c r="BV109" s="49"/>
      <c r="BW109" s="49"/>
      <c r="BX109" s="49"/>
    </row>
    <row r="110" spans="1:76">
      <c r="B110" t="s">
        <v>83</v>
      </c>
      <c r="D110" s="49">
        <f>IF(AND('Rent Roll'!$N$15&lt;&gt;"Ghost",D$4&lt;='Rent Roll'!$L$15),1,0)</f>
        <v>1</v>
      </c>
      <c r="E110" s="49">
        <f>IF(AND('Rent Roll'!$N$15&lt;&gt;"Ghost",E$4&lt;='Rent Roll'!$L$15),1,0)</f>
        <v>1</v>
      </c>
      <c r="F110" s="49">
        <f>IF(AND('Rent Roll'!$N$15&lt;&gt;"Ghost",F$4&lt;='Rent Roll'!$L$15),1,0)</f>
        <v>1</v>
      </c>
      <c r="G110" s="49">
        <f>IF(AND('Rent Roll'!$N$15&lt;&gt;"Ghost",G$4&lt;='Rent Roll'!$L$15),1,0)</f>
        <v>1</v>
      </c>
      <c r="H110" s="49">
        <f>IF(AND('Rent Roll'!$N$15&lt;&gt;"Ghost",H$4&lt;='Rent Roll'!$L$15),1,0)</f>
        <v>1</v>
      </c>
      <c r="I110" s="49">
        <f>IF(AND('Rent Roll'!$N$15&lt;&gt;"Ghost",I$4&lt;='Rent Roll'!$L$15),1,0)</f>
        <v>1</v>
      </c>
      <c r="J110" s="49">
        <f>IF(AND('Rent Roll'!$N$15&lt;&gt;"Ghost",J$4&lt;='Rent Roll'!$L$15),1,0)</f>
        <v>1</v>
      </c>
      <c r="K110" s="49">
        <f>IF(AND('Rent Roll'!$N$15&lt;&gt;"Ghost",K$4&lt;='Rent Roll'!$L$15),1,0)</f>
        <v>1</v>
      </c>
      <c r="L110" s="49">
        <f>IF(AND('Rent Roll'!$N$15&lt;&gt;"Ghost",L$4&lt;='Rent Roll'!$L$15),1,0)</f>
        <v>1</v>
      </c>
      <c r="M110" s="49">
        <f>IF(AND('Rent Roll'!$N$15&lt;&gt;"Ghost",M$4&lt;='Rent Roll'!$L$15),1,0)</f>
        <v>1</v>
      </c>
      <c r="N110" s="49">
        <f>IF(AND('Rent Roll'!$N$15&lt;&gt;"Ghost",N$4&lt;='Rent Roll'!$L$15),1,0)</f>
        <v>1</v>
      </c>
      <c r="O110" s="49">
        <f>IF(AND('Rent Roll'!$N$15&lt;&gt;"Ghost",O$4&lt;='Rent Roll'!$L$15),1,0)</f>
        <v>1</v>
      </c>
      <c r="P110" s="49">
        <f>IF(AND('Rent Roll'!$N$15&lt;&gt;"Ghost",P$4&lt;='Rent Roll'!$L$15),1,0)</f>
        <v>1</v>
      </c>
      <c r="Q110" s="49">
        <f>IF(AND('Rent Roll'!$N$15&lt;&gt;"Ghost",Q$4&lt;='Rent Roll'!$L$15),1,0)</f>
        <v>1</v>
      </c>
      <c r="R110" s="49">
        <f>IF(AND('Rent Roll'!$N$15&lt;&gt;"Ghost",R$4&lt;='Rent Roll'!$L$15),1,0)</f>
        <v>1</v>
      </c>
      <c r="S110" s="49">
        <f>IF(AND('Rent Roll'!$N$15&lt;&gt;"Ghost",S$4&lt;='Rent Roll'!$L$15),1,0)</f>
        <v>1</v>
      </c>
      <c r="T110" s="49">
        <f>IF(AND('Rent Roll'!$N$15&lt;&gt;"Ghost",T$4&lt;='Rent Roll'!$L$15),1,0)</f>
        <v>1</v>
      </c>
      <c r="U110" s="49">
        <f>IF(AND('Rent Roll'!$N$15&lt;&gt;"Ghost",U$4&lt;='Rent Roll'!$L$15),1,0)</f>
        <v>1</v>
      </c>
      <c r="V110" s="49">
        <f>IF(AND('Rent Roll'!$N$15&lt;&gt;"Ghost",V$4&lt;='Rent Roll'!$L$15),1,0)</f>
        <v>1</v>
      </c>
      <c r="W110" s="49">
        <f>IF(AND('Rent Roll'!$N$15&lt;&gt;"Ghost",W$4&lt;='Rent Roll'!$L$15),1,0)</f>
        <v>1</v>
      </c>
      <c r="X110" s="49">
        <f>IF(AND('Rent Roll'!$N$15&lt;&gt;"Ghost",X$4&lt;='Rent Roll'!$L$15),1,0)</f>
        <v>1</v>
      </c>
      <c r="Y110" s="49">
        <f>IF(AND('Rent Roll'!$N$15&lt;&gt;"Ghost",Y$4&lt;='Rent Roll'!$L$15),1,0)</f>
        <v>1</v>
      </c>
      <c r="Z110" s="49">
        <f>IF(AND('Rent Roll'!$N$15&lt;&gt;"Ghost",Z$4&lt;='Rent Roll'!$L$15),1,0)</f>
        <v>1</v>
      </c>
      <c r="AA110" s="49">
        <f>IF(AND('Rent Roll'!$N$15&lt;&gt;"Ghost",AA$4&lt;='Rent Roll'!$L$15),1,0)</f>
        <v>1</v>
      </c>
      <c r="AB110" s="49">
        <f>IF(AND('Rent Roll'!$N$15&lt;&gt;"Ghost",AB$4&lt;='Rent Roll'!$L$15),1,0)</f>
        <v>1</v>
      </c>
      <c r="AC110" s="49">
        <f>IF(AND('Rent Roll'!$N$15&lt;&gt;"Ghost",AC$4&lt;='Rent Roll'!$L$15),1,0)</f>
        <v>1</v>
      </c>
      <c r="AD110" s="49">
        <f>IF(AND('Rent Roll'!$N$15&lt;&gt;"Ghost",AD$4&lt;='Rent Roll'!$L$15),1,0)</f>
        <v>1</v>
      </c>
      <c r="AE110" s="49">
        <f>IF(AND('Rent Roll'!$N$15&lt;&gt;"Ghost",AE$4&lt;='Rent Roll'!$L$15),1,0)</f>
        <v>1</v>
      </c>
      <c r="AF110" s="49">
        <f>IF(AND('Rent Roll'!$N$15&lt;&gt;"Ghost",AF$4&lt;='Rent Roll'!$L$15),1,0)</f>
        <v>1</v>
      </c>
      <c r="AG110" s="49">
        <f>IF(AND('Rent Roll'!$N$15&lt;&gt;"Ghost",AG$4&lt;='Rent Roll'!$L$15),1,0)</f>
        <v>1</v>
      </c>
      <c r="AH110" s="49">
        <f>IF(AND('Rent Roll'!$N$15&lt;&gt;"Ghost",AH$4&lt;='Rent Roll'!$L$15),1,0)</f>
        <v>1</v>
      </c>
      <c r="AI110" s="49">
        <f>IF(AND('Rent Roll'!$N$15&lt;&gt;"Ghost",AI$4&lt;='Rent Roll'!$L$15),1,0)</f>
        <v>1</v>
      </c>
      <c r="AJ110" s="49">
        <f>IF(AND('Rent Roll'!$N$15&lt;&gt;"Ghost",AJ$4&lt;='Rent Roll'!$L$15),1,0)</f>
        <v>1</v>
      </c>
      <c r="AK110" s="49">
        <f>IF(AND('Rent Roll'!$N$15&lt;&gt;"Ghost",AK$4&lt;='Rent Roll'!$L$15),1,0)</f>
        <v>1</v>
      </c>
      <c r="AL110" s="49">
        <f>IF(AND('Rent Roll'!$N$15&lt;&gt;"Ghost",AL$4&lt;='Rent Roll'!$L$15),1,0)</f>
        <v>1</v>
      </c>
      <c r="AM110" s="49">
        <f>IF(AND('Rent Roll'!$N$15&lt;&gt;"Ghost",AM$4&lt;='Rent Roll'!$L$15),1,0)</f>
        <v>1</v>
      </c>
      <c r="AN110" s="49">
        <f>IF(AND('Rent Roll'!$N$15&lt;&gt;"Ghost",AN$4&lt;='Rent Roll'!$L$15),1,0)</f>
        <v>0</v>
      </c>
      <c r="AO110" s="49">
        <f>IF(AND('Rent Roll'!$N$15&lt;&gt;"Ghost",AO$4&lt;='Rent Roll'!$L$15),1,0)</f>
        <v>0</v>
      </c>
      <c r="AP110" s="49">
        <f>IF(AND('Rent Roll'!$N$15&lt;&gt;"Ghost",AP$4&lt;='Rent Roll'!$L$15),1,0)</f>
        <v>0</v>
      </c>
      <c r="AQ110" s="49">
        <f>IF(AND('Rent Roll'!$N$15&lt;&gt;"Ghost",AQ$4&lt;='Rent Roll'!$L$15),1,0)</f>
        <v>0</v>
      </c>
      <c r="AR110" s="49">
        <f>IF(AND('Rent Roll'!$N$15&lt;&gt;"Ghost",AR$4&lt;='Rent Roll'!$L$15),1,0)</f>
        <v>0</v>
      </c>
      <c r="AS110" s="49">
        <f>IF(AND('Rent Roll'!$N$15&lt;&gt;"Ghost",AS$4&lt;='Rent Roll'!$L$15),1,0)</f>
        <v>0</v>
      </c>
      <c r="AT110" s="49">
        <f>IF(AND('Rent Roll'!$N$15&lt;&gt;"Ghost",AT$4&lt;='Rent Roll'!$L$15),1,0)</f>
        <v>0</v>
      </c>
      <c r="AU110" s="49">
        <f>IF(AND('Rent Roll'!$N$15&lt;&gt;"Ghost",AU$4&lt;='Rent Roll'!$L$15),1,0)</f>
        <v>0</v>
      </c>
      <c r="AV110" s="49">
        <f>IF(AND('Rent Roll'!$N$15&lt;&gt;"Ghost",AV$4&lt;='Rent Roll'!$L$15),1,0)</f>
        <v>0</v>
      </c>
      <c r="AW110" s="49">
        <f>IF(AND('Rent Roll'!$N$15&lt;&gt;"Ghost",AW$4&lt;='Rent Roll'!$L$15),1,0)</f>
        <v>0</v>
      </c>
      <c r="AX110" s="49">
        <f>IF(AND('Rent Roll'!$N$15&lt;&gt;"Ghost",AX$4&lt;='Rent Roll'!$L$15),1,0)</f>
        <v>0</v>
      </c>
      <c r="AY110" s="49">
        <f>IF(AND('Rent Roll'!$N$15&lt;&gt;"Ghost",AY$4&lt;='Rent Roll'!$L$15),1,0)</f>
        <v>0</v>
      </c>
      <c r="AZ110" s="49">
        <f>IF(AND('Rent Roll'!$N$15&lt;&gt;"Ghost",AZ$4&lt;='Rent Roll'!$L$15),1,0)</f>
        <v>0</v>
      </c>
      <c r="BA110" s="49">
        <f>IF(AND('Rent Roll'!$N$15&lt;&gt;"Ghost",BA$4&lt;='Rent Roll'!$L$15),1,0)</f>
        <v>0</v>
      </c>
      <c r="BB110" s="49">
        <f>IF(AND('Rent Roll'!$N$15&lt;&gt;"Ghost",BB$4&lt;='Rent Roll'!$L$15),1,0)</f>
        <v>0</v>
      </c>
      <c r="BC110" s="49">
        <f>IF(AND('Rent Roll'!$N$15&lt;&gt;"Ghost",BC$4&lt;='Rent Roll'!$L$15),1,0)</f>
        <v>0</v>
      </c>
      <c r="BD110" s="49">
        <f>IF(AND('Rent Roll'!$N$15&lt;&gt;"Ghost",BD$4&lt;='Rent Roll'!$L$15),1,0)</f>
        <v>0</v>
      </c>
      <c r="BE110" s="49">
        <f>IF(AND('Rent Roll'!$N$15&lt;&gt;"Ghost",BE$4&lt;='Rent Roll'!$L$15),1,0)</f>
        <v>0</v>
      </c>
      <c r="BF110" s="49">
        <f>IF(AND('Rent Roll'!$N$15&lt;&gt;"Ghost",BF$4&lt;='Rent Roll'!$L$15),1,0)</f>
        <v>0</v>
      </c>
      <c r="BG110" s="49">
        <f>IF(AND('Rent Roll'!$N$15&lt;&gt;"Ghost",BG$4&lt;='Rent Roll'!$L$15),1,0)</f>
        <v>0</v>
      </c>
      <c r="BH110" s="49">
        <f>IF(AND('Rent Roll'!$N$15&lt;&gt;"Ghost",BH$4&lt;='Rent Roll'!$L$15),1,0)</f>
        <v>0</v>
      </c>
      <c r="BI110" s="49">
        <f>IF(AND('Rent Roll'!$N$15&lt;&gt;"Ghost",BI$4&lt;='Rent Roll'!$L$15),1,0)</f>
        <v>0</v>
      </c>
      <c r="BJ110" s="49">
        <f>IF(AND('Rent Roll'!$N$15&lt;&gt;"Ghost",BJ$4&lt;='Rent Roll'!$L$15),1,0)</f>
        <v>0</v>
      </c>
      <c r="BK110" s="49">
        <f>IF(AND('Rent Roll'!$N$15&lt;&gt;"Ghost",BK$4&lt;='Rent Roll'!$L$15),1,0)</f>
        <v>0</v>
      </c>
      <c r="BL110" s="49">
        <f>IF(AND('Rent Roll'!$N$15&lt;&gt;"Ghost",BL$4&lt;='Rent Roll'!$L$15),1,0)</f>
        <v>0</v>
      </c>
      <c r="BM110" s="49">
        <f>IF(AND('Rent Roll'!$N$15&lt;&gt;"Ghost",BM$4&lt;='Rent Roll'!$L$15),1,0)</f>
        <v>0</v>
      </c>
      <c r="BN110" s="49">
        <f>IF(AND('Rent Roll'!$N$15&lt;&gt;"Ghost",BN$4&lt;='Rent Roll'!$L$15),1,0)</f>
        <v>0</v>
      </c>
      <c r="BO110" s="49">
        <f>IF(AND('Rent Roll'!$N$15&lt;&gt;"Ghost",BO$4&lt;='Rent Roll'!$L$15),1,0)</f>
        <v>0</v>
      </c>
      <c r="BP110" s="49">
        <f>IF(AND('Rent Roll'!$N$15&lt;&gt;"Ghost",BP$4&lt;='Rent Roll'!$L$15),1,0)</f>
        <v>0</v>
      </c>
      <c r="BQ110" s="49">
        <f>IF(AND('Rent Roll'!$N$15&lt;&gt;"Ghost",BQ$4&lt;='Rent Roll'!$L$15),1,0)</f>
        <v>0</v>
      </c>
      <c r="BR110" s="49">
        <f>IF(AND('Rent Roll'!$N$15&lt;&gt;"Ghost",BR$4&lt;='Rent Roll'!$L$15),1,0)</f>
        <v>0</v>
      </c>
      <c r="BS110" s="49">
        <f>IF(AND('Rent Roll'!$N$15&lt;&gt;"Ghost",BS$4&lt;='Rent Roll'!$L$15),1,0)</f>
        <v>0</v>
      </c>
      <c r="BT110" s="49">
        <f>IF(AND('Rent Roll'!$N$15&lt;&gt;"Ghost",BT$4&lt;='Rent Roll'!$L$15),1,0)</f>
        <v>0</v>
      </c>
      <c r="BU110" s="49">
        <f>IF(AND('Rent Roll'!$N$15&lt;&gt;"Ghost",BU$4&lt;='Rent Roll'!$L$15),1,0)</f>
        <v>0</v>
      </c>
      <c r="BV110" s="49">
        <f>IF(AND('Rent Roll'!$N$15&lt;&gt;"Ghost",BV$4&lt;='Rent Roll'!$L$15),1,0)</f>
        <v>0</v>
      </c>
      <c r="BW110" s="49">
        <f>IF(AND('Rent Roll'!$N$15&lt;&gt;"Ghost",BW$4&lt;='Rent Roll'!$L$15),1,0)</f>
        <v>0</v>
      </c>
      <c r="BX110" s="49">
        <f>IF(AND('Rent Roll'!$N$15&lt;&gt;"Ghost",BX$4&lt;='Rent Roll'!$L$15),1,0)</f>
        <v>0</v>
      </c>
    </row>
    <row r="111" spans="1:76" hidden="1" outlineLevel="1">
      <c r="B111" t="s">
        <v>159</v>
      </c>
      <c r="D111" s="49">
        <f>IF(D110=1,'Rent Roll'!$H$15/12*(1+'Rent Roll'!$I$15)^IF(D$4&lt;'Rent Roll'!$Y$15,0,YEAR(D$4)-YEAR('Rent Roll'!$Y$15)+1),0)</f>
        <v>11050</v>
      </c>
      <c r="E111" s="49">
        <f>IF(E110=1,'Rent Roll'!$H$15/12*(1+'Rent Roll'!$I$15)^IF(E$4&lt;'Rent Roll'!$Y$15,0,YEAR(E$4)-YEAR('Rent Roll'!$Y$15)+1),0)</f>
        <v>11050</v>
      </c>
      <c r="F111" s="49">
        <f>IF(F110=1,'Rent Roll'!$H$15/12*(1+'Rent Roll'!$I$15)^IF(F$4&lt;'Rent Roll'!$Y$15,0,YEAR(F$4)-YEAR('Rent Roll'!$Y$15)+1),0)</f>
        <v>11050</v>
      </c>
      <c r="G111" s="49">
        <f>IF(G110=1,'Rent Roll'!$H$15/12*(1+'Rent Roll'!$I$15)^IF(G$4&lt;'Rent Roll'!$Y$15,0,YEAR(G$4)-YEAR('Rent Roll'!$Y$15)+1),0)</f>
        <v>11050</v>
      </c>
      <c r="H111" s="49">
        <f>IF(H110=1,'Rent Roll'!$H$15/12*(1+'Rent Roll'!$I$15)^IF(H$4&lt;'Rent Roll'!$Y$15,0,YEAR(H$4)-YEAR('Rent Roll'!$Y$15)+1),0)</f>
        <v>11050</v>
      </c>
      <c r="I111" s="49">
        <f>IF(I110=1,'Rent Roll'!$H$15/12*(1+'Rent Roll'!$I$15)^IF(I$4&lt;'Rent Roll'!$Y$15,0,YEAR(I$4)-YEAR('Rent Roll'!$Y$15)+1),0)</f>
        <v>11050</v>
      </c>
      <c r="J111" s="49">
        <f>IF(J110=1,'Rent Roll'!$H$15/12*(1+'Rent Roll'!$I$15)^IF(J$4&lt;'Rent Roll'!$Y$15,0,YEAR(J$4)-YEAR('Rent Roll'!$Y$15)+1),0)</f>
        <v>11050</v>
      </c>
      <c r="K111" s="49">
        <f>IF(K110=1,'Rent Roll'!$H$15/12*(1+'Rent Roll'!$I$15)^IF(K$4&lt;'Rent Roll'!$Y$15,0,YEAR(K$4)-YEAR('Rent Roll'!$Y$15)+1),0)</f>
        <v>11050</v>
      </c>
      <c r="L111" s="49">
        <f>IF(L110=1,'Rent Roll'!$H$15/12*(1+'Rent Roll'!$I$15)^IF(L$4&lt;'Rent Roll'!$Y$15,0,YEAR(L$4)-YEAR('Rent Roll'!$Y$15)+1),0)</f>
        <v>11050</v>
      </c>
      <c r="M111" s="49">
        <f>IF(M110=1,'Rent Roll'!$H$15/12*(1+'Rent Roll'!$I$15)^IF(M$4&lt;'Rent Roll'!$Y$15,0,YEAR(M$4)-YEAR('Rent Roll'!$Y$15)+1),0)</f>
        <v>11050</v>
      </c>
      <c r="N111" s="49">
        <f>IF(N110=1,'Rent Roll'!$H$15/12*(1+'Rent Roll'!$I$15)^IF(N$4&lt;'Rent Roll'!$Y$15,0,YEAR(N$4)-YEAR('Rent Roll'!$Y$15)+1),0)</f>
        <v>11050</v>
      </c>
      <c r="O111" s="49">
        <f>IF(O110=1,'Rent Roll'!$H$15/12*(1+'Rent Roll'!$I$15)^IF(O$4&lt;'Rent Roll'!$Y$15,0,YEAR(O$4)-YEAR('Rent Roll'!$Y$15)+1),0)</f>
        <v>11050</v>
      </c>
      <c r="P111" s="49">
        <f>IF(P110=1,'Rent Roll'!$H$15/12*(1+'Rent Roll'!$I$15)^IF(P$4&lt;'Rent Roll'!$Y$15,0,YEAR(P$4)-YEAR('Rent Roll'!$Y$15)+1),0)</f>
        <v>11326.249999999998</v>
      </c>
      <c r="Q111" s="49">
        <f>IF(Q110=1,'Rent Roll'!$H$15/12*(1+'Rent Roll'!$I$15)^IF(Q$4&lt;'Rent Roll'!$Y$15,0,YEAR(Q$4)-YEAR('Rent Roll'!$Y$15)+1),0)</f>
        <v>11326.249999999998</v>
      </c>
      <c r="R111" s="49">
        <f>IF(R110=1,'Rent Roll'!$H$15/12*(1+'Rent Roll'!$I$15)^IF(R$4&lt;'Rent Roll'!$Y$15,0,YEAR(R$4)-YEAR('Rent Roll'!$Y$15)+1),0)</f>
        <v>11326.249999999998</v>
      </c>
      <c r="S111" s="49">
        <f>IF(S110=1,'Rent Roll'!$H$15/12*(1+'Rent Roll'!$I$15)^IF(S$4&lt;'Rent Roll'!$Y$15,0,YEAR(S$4)-YEAR('Rent Roll'!$Y$15)+1),0)</f>
        <v>11326.249999999998</v>
      </c>
      <c r="T111" s="49">
        <f>IF(T110=1,'Rent Roll'!$H$15/12*(1+'Rent Roll'!$I$15)^IF(T$4&lt;'Rent Roll'!$Y$15,0,YEAR(T$4)-YEAR('Rent Roll'!$Y$15)+1),0)</f>
        <v>11326.249999999998</v>
      </c>
      <c r="U111" s="49">
        <f>IF(U110=1,'Rent Roll'!$H$15/12*(1+'Rent Roll'!$I$15)^IF(U$4&lt;'Rent Roll'!$Y$15,0,YEAR(U$4)-YEAR('Rent Roll'!$Y$15)+1),0)</f>
        <v>11609.40625</v>
      </c>
      <c r="V111" s="49">
        <f>IF(V110=1,'Rent Roll'!$H$15/12*(1+'Rent Roll'!$I$15)^IF(V$4&lt;'Rent Roll'!$Y$15,0,YEAR(V$4)-YEAR('Rent Roll'!$Y$15)+1),0)</f>
        <v>11609.40625</v>
      </c>
      <c r="W111" s="49">
        <f>IF(W110=1,'Rent Roll'!$H$15/12*(1+'Rent Roll'!$I$15)^IF(W$4&lt;'Rent Roll'!$Y$15,0,YEAR(W$4)-YEAR('Rent Roll'!$Y$15)+1),0)</f>
        <v>11609.40625</v>
      </c>
      <c r="X111" s="49">
        <f>IF(X110=1,'Rent Roll'!$H$15/12*(1+'Rent Roll'!$I$15)^IF(X$4&lt;'Rent Roll'!$Y$15,0,YEAR(X$4)-YEAR('Rent Roll'!$Y$15)+1),0)</f>
        <v>11609.40625</v>
      </c>
      <c r="Y111" s="49">
        <f>IF(Y110=1,'Rent Roll'!$H$15/12*(1+'Rent Roll'!$I$15)^IF(Y$4&lt;'Rent Roll'!$Y$15,0,YEAR(Y$4)-YEAR('Rent Roll'!$Y$15)+1),0)</f>
        <v>11609.40625</v>
      </c>
      <c r="Z111" s="49">
        <f>IF(Z110=1,'Rent Roll'!$H$15/12*(1+'Rent Roll'!$I$15)^IF(Z$4&lt;'Rent Roll'!$Y$15,0,YEAR(Z$4)-YEAR('Rent Roll'!$Y$15)+1),0)</f>
        <v>11609.40625</v>
      </c>
      <c r="AA111" s="49">
        <f>IF(AA110=1,'Rent Roll'!$H$15/12*(1+'Rent Roll'!$I$15)^IF(AA$4&lt;'Rent Roll'!$Y$15,0,YEAR(AA$4)-YEAR('Rent Roll'!$Y$15)+1),0)</f>
        <v>11609.40625</v>
      </c>
      <c r="AB111" s="49">
        <f>IF(AB110=1,'Rent Roll'!$H$15/12*(1+'Rent Roll'!$I$15)^IF(AB$4&lt;'Rent Roll'!$Y$15,0,YEAR(AB$4)-YEAR('Rent Roll'!$Y$15)+1),0)</f>
        <v>11609.40625</v>
      </c>
      <c r="AC111" s="49">
        <f>IF(AC110=1,'Rent Roll'!$H$15/12*(1+'Rent Roll'!$I$15)^IF(AC$4&lt;'Rent Roll'!$Y$15,0,YEAR(AC$4)-YEAR('Rent Roll'!$Y$15)+1),0)</f>
        <v>11609.40625</v>
      </c>
      <c r="AD111" s="49">
        <f>IF(AD110=1,'Rent Roll'!$H$15/12*(1+'Rent Roll'!$I$15)^IF(AD$4&lt;'Rent Roll'!$Y$15,0,YEAR(AD$4)-YEAR('Rent Roll'!$Y$15)+1),0)</f>
        <v>11609.40625</v>
      </c>
      <c r="AE111" s="49">
        <f>IF(AE110=1,'Rent Roll'!$H$15/12*(1+'Rent Roll'!$I$15)^IF(AE$4&lt;'Rent Roll'!$Y$15,0,YEAR(AE$4)-YEAR('Rent Roll'!$Y$15)+1),0)</f>
        <v>11609.40625</v>
      </c>
      <c r="AF111" s="49">
        <f>IF(AF110=1,'Rent Roll'!$H$15/12*(1+'Rent Roll'!$I$15)^IF(AF$4&lt;'Rent Roll'!$Y$15,0,YEAR(AF$4)-YEAR('Rent Roll'!$Y$15)+1),0)</f>
        <v>11609.40625</v>
      </c>
      <c r="AG111" s="49">
        <f>IF(AG110=1,'Rent Roll'!$H$15/12*(1+'Rent Roll'!$I$15)^IF(AG$4&lt;'Rent Roll'!$Y$15,0,YEAR(AG$4)-YEAR('Rent Roll'!$Y$15)+1),0)</f>
        <v>11899.641406249999</v>
      </c>
      <c r="AH111" s="49">
        <f>IF(AH110=1,'Rent Roll'!$H$15/12*(1+'Rent Roll'!$I$15)^IF(AH$4&lt;'Rent Roll'!$Y$15,0,YEAR(AH$4)-YEAR('Rent Roll'!$Y$15)+1),0)</f>
        <v>11899.641406249999</v>
      </c>
      <c r="AI111" s="49">
        <f>IF(AI110=1,'Rent Roll'!$H$15/12*(1+'Rent Roll'!$I$15)^IF(AI$4&lt;'Rent Roll'!$Y$15,0,YEAR(AI$4)-YEAR('Rent Roll'!$Y$15)+1),0)</f>
        <v>11899.641406249999</v>
      </c>
      <c r="AJ111" s="49">
        <f>IF(AJ110=1,'Rent Roll'!$H$15/12*(1+'Rent Roll'!$I$15)^IF(AJ$4&lt;'Rent Roll'!$Y$15,0,YEAR(AJ$4)-YEAR('Rent Roll'!$Y$15)+1),0)</f>
        <v>11899.641406249999</v>
      </c>
      <c r="AK111" s="49">
        <f>IF(AK110=1,'Rent Roll'!$H$15/12*(1+'Rent Roll'!$I$15)^IF(AK$4&lt;'Rent Roll'!$Y$15,0,YEAR(AK$4)-YEAR('Rent Roll'!$Y$15)+1),0)</f>
        <v>11899.641406249999</v>
      </c>
      <c r="AL111" s="49">
        <f>IF(AL110=1,'Rent Roll'!$H$15/12*(1+'Rent Roll'!$I$15)^IF(AL$4&lt;'Rent Roll'!$Y$15,0,YEAR(AL$4)-YEAR('Rent Roll'!$Y$15)+1),0)</f>
        <v>11899.641406249999</v>
      </c>
      <c r="AM111" s="49">
        <f>IF(AM110=1,'Rent Roll'!$H$15/12*(1+'Rent Roll'!$I$15)^IF(AM$4&lt;'Rent Roll'!$Y$15,0,YEAR(AM$4)-YEAR('Rent Roll'!$Y$15)+1),0)</f>
        <v>11899.641406249999</v>
      </c>
      <c r="AN111" s="49">
        <f>IF(AN110=1,'Rent Roll'!$H$15/12*(1+'Rent Roll'!$I$15)^IF(AN$4&lt;'Rent Roll'!$Y$15,0,YEAR(AN$4)-YEAR('Rent Roll'!$Y$15)+1),0)</f>
        <v>0</v>
      </c>
      <c r="AO111" s="49">
        <f>IF(AO110=1,'Rent Roll'!$H$15/12*(1+'Rent Roll'!$I$15)^IF(AO$4&lt;'Rent Roll'!$Y$15,0,YEAR(AO$4)-YEAR('Rent Roll'!$Y$15)+1),0)</f>
        <v>0</v>
      </c>
      <c r="AP111" s="49">
        <f>IF(AP110=1,'Rent Roll'!$H$15/12*(1+'Rent Roll'!$I$15)^IF(AP$4&lt;'Rent Roll'!$Y$15,0,YEAR(AP$4)-YEAR('Rent Roll'!$Y$15)+1),0)</f>
        <v>0</v>
      </c>
      <c r="AQ111" s="49">
        <f>IF(AQ110=1,'Rent Roll'!$H$15/12*(1+'Rent Roll'!$I$15)^IF(AQ$4&lt;'Rent Roll'!$Y$15,0,YEAR(AQ$4)-YEAR('Rent Roll'!$Y$15)+1),0)</f>
        <v>0</v>
      </c>
      <c r="AR111" s="49">
        <f>IF(AR110=1,'Rent Roll'!$H$15/12*(1+'Rent Roll'!$I$15)^IF(AR$4&lt;'Rent Roll'!$Y$15,0,YEAR(AR$4)-YEAR('Rent Roll'!$Y$15)+1),0)</f>
        <v>0</v>
      </c>
      <c r="AS111" s="49">
        <f>IF(AS110=1,'Rent Roll'!$H$15/12*(1+'Rent Roll'!$I$15)^IF(AS$4&lt;'Rent Roll'!$Y$15,0,YEAR(AS$4)-YEAR('Rent Roll'!$Y$15)+1),0)</f>
        <v>0</v>
      </c>
      <c r="AT111" s="49">
        <f>IF(AT110=1,'Rent Roll'!$H$15/12*(1+'Rent Roll'!$I$15)^IF(AT$4&lt;'Rent Roll'!$Y$15,0,YEAR(AT$4)-YEAR('Rent Roll'!$Y$15)+1),0)</f>
        <v>0</v>
      </c>
      <c r="AU111" s="49">
        <f>IF(AU110=1,'Rent Roll'!$H$15/12*(1+'Rent Roll'!$I$15)^IF(AU$4&lt;'Rent Roll'!$Y$15,0,YEAR(AU$4)-YEAR('Rent Roll'!$Y$15)+1),0)</f>
        <v>0</v>
      </c>
      <c r="AV111" s="49">
        <f>IF(AV110=1,'Rent Roll'!$H$15/12*(1+'Rent Roll'!$I$15)^IF(AV$4&lt;'Rent Roll'!$Y$15,0,YEAR(AV$4)-YEAR('Rent Roll'!$Y$15)+1),0)</f>
        <v>0</v>
      </c>
      <c r="AW111" s="49">
        <f>IF(AW110=1,'Rent Roll'!$H$15/12*(1+'Rent Roll'!$I$15)^IF(AW$4&lt;'Rent Roll'!$Y$15,0,YEAR(AW$4)-YEAR('Rent Roll'!$Y$15)+1),0)</f>
        <v>0</v>
      </c>
      <c r="AX111" s="49">
        <f>IF(AX110=1,'Rent Roll'!$H$15/12*(1+'Rent Roll'!$I$15)^IF(AX$4&lt;'Rent Roll'!$Y$15,0,YEAR(AX$4)-YEAR('Rent Roll'!$Y$15)+1),0)</f>
        <v>0</v>
      </c>
      <c r="AY111" s="49">
        <f>IF(AY110=1,'Rent Roll'!$H$15/12*(1+'Rent Roll'!$I$15)^IF(AY$4&lt;'Rent Roll'!$Y$15,0,YEAR(AY$4)-YEAR('Rent Roll'!$Y$15)+1),0)</f>
        <v>0</v>
      </c>
      <c r="AZ111" s="49">
        <f>IF(AZ110=1,'Rent Roll'!$H$15/12*(1+'Rent Roll'!$I$15)^IF(AZ$4&lt;'Rent Roll'!$Y$15,0,YEAR(AZ$4)-YEAR('Rent Roll'!$Y$15)+1),0)</f>
        <v>0</v>
      </c>
      <c r="BA111" s="49">
        <f>IF(BA110=1,'Rent Roll'!$H$15/12*(1+'Rent Roll'!$I$15)^IF(BA$4&lt;'Rent Roll'!$Y$15,0,YEAR(BA$4)-YEAR('Rent Roll'!$Y$15)+1),0)</f>
        <v>0</v>
      </c>
      <c r="BB111" s="49">
        <f>IF(BB110=1,'Rent Roll'!$H$15/12*(1+'Rent Roll'!$I$15)^IF(BB$4&lt;'Rent Roll'!$Y$15,0,YEAR(BB$4)-YEAR('Rent Roll'!$Y$15)+1),0)</f>
        <v>0</v>
      </c>
      <c r="BC111" s="49">
        <f>IF(BC110=1,'Rent Roll'!$H$15/12*(1+'Rent Roll'!$I$15)^IF(BC$4&lt;'Rent Roll'!$Y$15,0,YEAR(BC$4)-YEAR('Rent Roll'!$Y$15)+1),0)</f>
        <v>0</v>
      </c>
      <c r="BD111" s="49">
        <f>IF(BD110=1,'Rent Roll'!$H$15/12*(1+'Rent Roll'!$I$15)^IF(BD$4&lt;'Rent Roll'!$Y$15,0,YEAR(BD$4)-YEAR('Rent Roll'!$Y$15)+1),0)</f>
        <v>0</v>
      </c>
      <c r="BE111" s="49">
        <f>IF(BE110=1,'Rent Roll'!$H$15/12*(1+'Rent Roll'!$I$15)^IF(BE$4&lt;'Rent Roll'!$Y$15,0,YEAR(BE$4)-YEAR('Rent Roll'!$Y$15)+1),0)</f>
        <v>0</v>
      </c>
      <c r="BF111" s="49">
        <f>IF(BF110=1,'Rent Roll'!$H$15/12*(1+'Rent Roll'!$I$15)^IF(BF$4&lt;'Rent Roll'!$Y$15,0,YEAR(BF$4)-YEAR('Rent Roll'!$Y$15)+1),0)</f>
        <v>0</v>
      </c>
      <c r="BG111" s="49">
        <f>IF(BG110=1,'Rent Roll'!$H$15/12*(1+'Rent Roll'!$I$15)^IF(BG$4&lt;'Rent Roll'!$Y$15,0,YEAR(BG$4)-YEAR('Rent Roll'!$Y$15)+1),0)</f>
        <v>0</v>
      </c>
      <c r="BH111" s="49">
        <f>IF(BH110=1,'Rent Roll'!$H$15/12*(1+'Rent Roll'!$I$15)^IF(BH$4&lt;'Rent Roll'!$Y$15,0,YEAR(BH$4)-YEAR('Rent Roll'!$Y$15)+1),0)</f>
        <v>0</v>
      </c>
      <c r="BI111" s="49">
        <f>IF(BI110=1,'Rent Roll'!$H$15/12*(1+'Rent Roll'!$I$15)^IF(BI$4&lt;'Rent Roll'!$Y$15,0,YEAR(BI$4)-YEAR('Rent Roll'!$Y$15)+1),0)</f>
        <v>0</v>
      </c>
      <c r="BJ111" s="49">
        <f>IF(BJ110=1,'Rent Roll'!$H$15/12*(1+'Rent Roll'!$I$15)^IF(BJ$4&lt;'Rent Roll'!$Y$15,0,YEAR(BJ$4)-YEAR('Rent Roll'!$Y$15)+1),0)</f>
        <v>0</v>
      </c>
      <c r="BK111" s="49">
        <f>IF(BK110=1,'Rent Roll'!$H$15/12*(1+'Rent Roll'!$I$15)^IF(BK$4&lt;'Rent Roll'!$Y$15,0,YEAR(BK$4)-YEAR('Rent Roll'!$Y$15)+1),0)</f>
        <v>0</v>
      </c>
      <c r="BL111" s="49">
        <f>IF(BL110=1,'Rent Roll'!$H$15/12*(1+'Rent Roll'!$I$15)^IF(BL$4&lt;'Rent Roll'!$Y$15,0,YEAR(BL$4)-YEAR('Rent Roll'!$Y$15)+1),0)</f>
        <v>0</v>
      </c>
      <c r="BM111" s="49">
        <f>IF(BM110=1,'Rent Roll'!$H$15/12*(1+'Rent Roll'!$I$15)^IF(BM$4&lt;'Rent Roll'!$Y$15,0,YEAR(BM$4)-YEAR('Rent Roll'!$Y$15)+1),0)</f>
        <v>0</v>
      </c>
      <c r="BN111" s="49">
        <f>IF(BN110=1,'Rent Roll'!$H$15/12*(1+'Rent Roll'!$I$15)^IF(BN$4&lt;'Rent Roll'!$Y$15,0,YEAR(BN$4)-YEAR('Rent Roll'!$Y$15)+1),0)</f>
        <v>0</v>
      </c>
      <c r="BO111" s="49">
        <f>IF(BO110=1,'Rent Roll'!$H$15/12*(1+'Rent Roll'!$I$15)^IF(BO$4&lt;'Rent Roll'!$Y$15,0,YEAR(BO$4)-YEAR('Rent Roll'!$Y$15)+1),0)</f>
        <v>0</v>
      </c>
      <c r="BP111" s="49">
        <f>IF(BP110=1,'Rent Roll'!$H$15/12*(1+'Rent Roll'!$I$15)^IF(BP$4&lt;'Rent Roll'!$Y$15,0,YEAR(BP$4)-YEAR('Rent Roll'!$Y$15)+1),0)</f>
        <v>0</v>
      </c>
      <c r="BQ111" s="49">
        <f>IF(BQ110=1,'Rent Roll'!$H$15/12*(1+'Rent Roll'!$I$15)^IF(BQ$4&lt;'Rent Roll'!$Y$15,0,YEAR(BQ$4)-YEAR('Rent Roll'!$Y$15)+1),0)</f>
        <v>0</v>
      </c>
      <c r="BR111" s="49">
        <f>IF(BR110=1,'Rent Roll'!$H$15/12*(1+'Rent Roll'!$I$15)^IF(BR$4&lt;'Rent Roll'!$Y$15,0,YEAR(BR$4)-YEAR('Rent Roll'!$Y$15)+1),0)</f>
        <v>0</v>
      </c>
      <c r="BS111" s="49">
        <f>IF(BS110=1,'Rent Roll'!$H$15/12*(1+'Rent Roll'!$I$15)^IF(BS$4&lt;'Rent Roll'!$Y$15,0,YEAR(BS$4)-YEAR('Rent Roll'!$Y$15)+1),0)</f>
        <v>0</v>
      </c>
      <c r="BT111" s="49">
        <f>IF(BT110=1,'Rent Roll'!$H$15/12*(1+'Rent Roll'!$I$15)^IF(BT$4&lt;'Rent Roll'!$Y$15,0,YEAR(BT$4)-YEAR('Rent Roll'!$Y$15)+1),0)</f>
        <v>0</v>
      </c>
      <c r="BU111" s="49">
        <f>IF(BU110=1,'Rent Roll'!$H$15/12*(1+'Rent Roll'!$I$15)^IF(BU$4&lt;'Rent Roll'!$Y$15,0,YEAR(BU$4)-YEAR('Rent Roll'!$Y$15)+1),0)</f>
        <v>0</v>
      </c>
      <c r="BV111" s="49">
        <f>IF(BV110=1,'Rent Roll'!$H$15/12*(1+'Rent Roll'!$I$15)^IF(BV$4&lt;'Rent Roll'!$Y$15,0,YEAR(BV$4)-YEAR('Rent Roll'!$Y$15)+1),0)</f>
        <v>0</v>
      </c>
      <c r="BW111" s="49">
        <f>IF(BW110=1,'Rent Roll'!$H$15/12*(1+'Rent Roll'!$I$15)^IF(BW$4&lt;'Rent Roll'!$Y$15,0,YEAR(BW$4)-YEAR('Rent Roll'!$Y$15)+1),0)</f>
        <v>0</v>
      </c>
      <c r="BX111" s="49">
        <f>IF(BX110=1,'Rent Roll'!$H$15/12*(1+'Rent Roll'!$I$15)^IF(BX$4&lt;'Rent Roll'!$Y$15,0,YEAR(BX$4)-YEAR('Rent Roll'!$Y$15)+1),0)</f>
        <v>0</v>
      </c>
    </row>
    <row r="112" spans="1:76" hidden="1" outlineLevel="1">
      <c r="B112" t="s">
        <v>160</v>
      </c>
      <c r="D112" s="49">
        <f>IF(D$4&gt;EOMONTH(CloseDate,'Rent Roll'!$O$15+'Rent Roll'!$S$15-1),1,0)</f>
        <v>0</v>
      </c>
      <c r="E112" s="49">
        <f>IF(E$4&gt;EOMONTH(CloseDate,'Rent Roll'!$O$15+'Rent Roll'!$S$15-1),1,0)</f>
        <v>0</v>
      </c>
      <c r="F112" s="49">
        <f>IF(F$4&gt;EOMONTH(CloseDate,'Rent Roll'!$O$15+'Rent Roll'!$S$15-1),1,0)</f>
        <v>0</v>
      </c>
      <c r="G112" s="49">
        <f>IF(G$4&gt;EOMONTH(CloseDate,'Rent Roll'!$O$15+'Rent Roll'!$S$15-1),1,0)</f>
        <v>0</v>
      </c>
      <c r="H112" s="49">
        <f>IF(H$4&gt;EOMONTH(CloseDate,'Rent Roll'!$O$15+'Rent Roll'!$S$15-1),1,0)</f>
        <v>0</v>
      </c>
      <c r="I112" s="49">
        <f>IF(I$4&gt;EOMONTH(CloseDate,'Rent Roll'!$O$15+'Rent Roll'!$S$15-1),1,0)</f>
        <v>0</v>
      </c>
      <c r="J112" s="49">
        <f>IF(J$4&gt;EOMONTH(CloseDate,'Rent Roll'!$O$15+'Rent Roll'!$S$15-1),1,0)</f>
        <v>0</v>
      </c>
      <c r="K112" s="49">
        <f>IF(K$4&gt;EOMONTH(CloseDate,'Rent Roll'!$O$15+'Rent Roll'!$S$15-1),1,0)</f>
        <v>0</v>
      </c>
      <c r="L112" s="49">
        <f>IF(L$4&gt;EOMONTH(CloseDate,'Rent Roll'!$O$15+'Rent Roll'!$S$15-1),1,0)</f>
        <v>0</v>
      </c>
      <c r="M112" s="49">
        <f>IF(M$4&gt;EOMONTH(CloseDate,'Rent Roll'!$O$15+'Rent Roll'!$S$15-1),1,0)</f>
        <v>0</v>
      </c>
      <c r="N112" s="49">
        <f>IF(N$4&gt;EOMONTH(CloseDate,'Rent Roll'!$O$15+'Rent Roll'!$S$15-1),1,0)</f>
        <v>0</v>
      </c>
      <c r="O112" s="49">
        <f>IF(O$4&gt;EOMONTH(CloseDate,'Rent Roll'!$O$15+'Rent Roll'!$S$15-1),1,0)</f>
        <v>0</v>
      </c>
      <c r="P112" s="49">
        <f>IF(P$4&gt;EOMONTH(CloseDate,'Rent Roll'!$O$15+'Rent Roll'!$S$15-1),1,0)</f>
        <v>0</v>
      </c>
      <c r="Q112" s="49">
        <f>IF(Q$4&gt;EOMONTH(CloseDate,'Rent Roll'!$O$15+'Rent Roll'!$S$15-1),1,0)</f>
        <v>0</v>
      </c>
      <c r="R112" s="49">
        <f>IF(R$4&gt;EOMONTH(CloseDate,'Rent Roll'!$O$15+'Rent Roll'!$S$15-1),1,0)</f>
        <v>0</v>
      </c>
      <c r="S112" s="49">
        <f>IF(S$4&gt;EOMONTH(CloseDate,'Rent Roll'!$O$15+'Rent Roll'!$S$15-1),1,0)</f>
        <v>0</v>
      </c>
      <c r="T112" s="49">
        <f>IF(T$4&gt;EOMONTH(CloseDate,'Rent Roll'!$O$15+'Rent Roll'!$S$15-1),1,0)</f>
        <v>0</v>
      </c>
      <c r="U112" s="49">
        <f>IF(U$4&gt;EOMONTH(CloseDate,'Rent Roll'!$O$15+'Rent Roll'!$S$15-1),1,0)</f>
        <v>0</v>
      </c>
      <c r="V112" s="49">
        <f>IF(V$4&gt;EOMONTH(CloseDate,'Rent Roll'!$O$15+'Rent Roll'!$S$15-1),1,0)</f>
        <v>0</v>
      </c>
      <c r="W112" s="49">
        <f>IF(W$4&gt;EOMONTH(CloseDate,'Rent Roll'!$O$15+'Rent Roll'!$S$15-1),1,0)</f>
        <v>0</v>
      </c>
      <c r="X112" s="49">
        <f>IF(X$4&gt;EOMONTH(CloseDate,'Rent Roll'!$O$15+'Rent Roll'!$S$15-1),1,0)</f>
        <v>0</v>
      </c>
      <c r="Y112" s="49">
        <f>IF(Y$4&gt;EOMONTH(CloseDate,'Rent Roll'!$O$15+'Rent Roll'!$S$15-1),1,0)</f>
        <v>0</v>
      </c>
      <c r="Z112" s="49">
        <f>IF(Z$4&gt;EOMONTH(CloseDate,'Rent Roll'!$O$15+'Rent Roll'!$S$15-1),1,0)</f>
        <v>0</v>
      </c>
      <c r="AA112" s="49">
        <f>IF(AA$4&gt;EOMONTH(CloseDate,'Rent Roll'!$O$15+'Rent Roll'!$S$15-1),1,0)</f>
        <v>0</v>
      </c>
      <c r="AB112" s="49">
        <f>IF(AB$4&gt;EOMONTH(CloseDate,'Rent Roll'!$O$15+'Rent Roll'!$S$15-1),1,0)</f>
        <v>0</v>
      </c>
      <c r="AC112" s="49">
        <f>IF(AC$4&gt;EOMONTH(CloseDate,'Rent Roll'!$O$15+'Rent Roll'!$S$15-1),1,0)</f>
        <v>0</v>
      </c>
      <c r="AD112" s="49">
        <f>IF(AD$4&gt;EOMONTH(CloseDate,'Rent Roll'!$O$15+'Rent Roll'!$S$15-1),1,0)</f>
        <v>0</v>
      </c>
      <c r="AE112" s="49">
        <f>IF(AE$4&gt;EOMONTH(CloseDate,'Rent Roll'!$O$15+'Rent Roll'!$S$15-1),1,0)</f>
        <v>0</v>
      </c>
      <c r="AF112" s="49">
        <f>IF(AF$4&gt;EOMONTH(CloseDate,'Rent Roll'!$O$15+'Rent Roll'!$S$15-1),1,0)</f>
        <v>0</v>
      </c>
      <c r="AG112" s="49">
        <f>IF(AG$4&gt;EOMONTH(CloseDate,'Rent Roll'!$O$15+'Rent Roll'!$S$15-1),1,0)</f>
        <v>0</v>
      </c>
      <c r="AH112" s="49">
        <f>IF(AH$4&gt;EOMONTH(CloseDate,'Rent Roll'!$O$15+'Rent Roll'!$S$15-1),1,0)</f>
        <v>0</v>
      </c>
      <c r="AI112" s="49">
        <f>IF(AI$4&gt;EOMONTH(CloseDate,'Rent Roll'!$O$15+'Rent Roll'!$S$15-1),1,0)</f>
        <v>0</v>
      </c>
      <c r="AJ112" s="49">
        <f>IF(AJ$4&gt;EOMONTH(CloseDate,'Rent Roll'!$O$15+'Rent Roll'!$S$15-1),1,0)</f>
        <v>0</v>
      </c>
      <c r="AK112" s="49">
        <f>IF(AK$4&gt;EOMONTH(CloseDate,'Rent Roll'!$O$15+'Rent Roll'!$S$15-1),1,0)</f>
        <v>0</v>
      </c>
      <c r="AL112" s="49">
        <f>IF(AL$4&gt;EOMONTH(CloseDate,'Rent Roll'!$O$15+'Rent Roll'!$S$15-1),1,0)</f>
        <v>0</v>
      </c>
      <c r="AM112" s="49">
        <f>IF(AM$4&gt;EOMONTH(CloseDate,'Rent Roll'!$O$15+'Rent Roll'!$S$15-1),1,0)</f>
        <v>0</v>
      </c>
      <c r="AN112" s="49">
        <f>IF(AN$4&gt;EOMONTH(CloseDate,'Rent Roll'!$O$15+'Rent Roll'!$S$15-1),1,0)</f>
        <v>0</v>
      </c>
      <c r="AO112" s="49">
        <f>IF(AO$4&gt;EOMONTH(CloseDate,'Rent Roll'!$O$15+'Rent Roll'!$S$15-1),1,0)</f>
        <v>0</v>
      </c>
      <c r="AP112" s="49">
        <f>IF(AP$4&gt;EOMONTH(CloseDate,'Rent Roll'!$O$15+'Rent Roll'!$S$15-1),1,0)</f>
        <v>0</v>
      </c>
      <c r="AQ112" s="49">
        <f>IF(AQ$4&gt;EOMONTH(CloseDate,'Rent Roll'!$O$15+'Rent Roll'!$S$15-1),1,0)</f>
        <v>0</v>
      </c>
      <c r="AR112" s="49">
        <f>IF(AR$4&gt;EOMONTH(CloseDate,'Rent Roll'!$O$15+'Rent Roll'!$S$15-1),1,0)</f>
        <v>0</v>
      </c>
      <c r="AS112" s="49">
        <f>IF(AS$4&gt;EOMONTH(CloseDate,'Rent Roll'!$O$15+'Rent Roll'!$S$15-1),1,0)</f>
        <v>1</v>
      </c>
      <c r="AT112" s="49">
        <f>IF(AT$4&gt;EOMONTH(CloseDate,'Rent Roll'!$O$15+'Rent Roll'!$S$15-1),1,0)</f>
        <v>1</v>
      </c>
      <c r="AU112" s="49">
        <f>IF(AU$4&gt;EOMONTH(CloseDate,'Rent Roll'!$O$15+'Rent Roll'!$S$15-1),1,0)</f>
        <v>1</v>
      </c>
      <c r="AV112" s="49">
        <f>IF(AV$4&gt;EOMONTH(CloseDate,'Rent Roll'!$O$15+'Rent Roll'!$S$15-1),1,0)</f>
        <v>1</v>
      </c>
      <c r="AW112" s="49">
        <f>IF(AW$4&gt;EOMONTH(CloseDate,'Rent Roll'!$O$15+'Rent Roll'!$S$15-1),1,0)</f>
        <v>1</v>
      </c>
      <c r="AX112" s="49">
        <f>IF(AX$4&gt;EOMONTH(CloseDate,'Rent Roll'!$O$15+'Rent Roll'!$S$15-1),1,0)</f>
        <v>1</v>
      </c>
      <c r="AY112" s="49">
        <f>IF(AY$4&gt;EOMONTH(CloseDate,'Rent Roll'!$O$15+'Rent Roll'!$S$15-1),1,0)</f>
        <v>1</v>
      </c>
      <c r="AZ112" s="49">
        <f>IF(AZ$4&gt;EOMONTH(CloseDate,'Rent Roll'!$O$15+'Rent Roll'!$S$15-1),1,0)</f>
        <v>1</v>
      </c>
      <c r="BA112" s="49">
        <f>IF(BA$4&gt;EOMONTH(CloseDate,'Rent Roll'!$O$15+'Rent Roll'!$S$15-1),1,0)</f>
        <v>1</v>
      </c>
      <c r="BB112" s="49">
        <f>IF(BB$4&gt;EOMONTH(CloseDate,'Rent Roll'!$O$15+'Rent Roll'!$S$15-1),1,0)</f>
        <v>1</v>
      </c>
      <c r="BC112" s="49">
        <f>IF(BC$4&gt;EOMONTH(CloseDate,'Rent Roll'!$O$15+'Rent Roll'!$S$15-1),1,0)</f>
        <v>1</v>
      </c>
      <c r="BD112" s="49">
        <f>IF(BD$4&gt;EOMONTH(CloseDate,'Rent Roll'!$O$15+'Rent Roll'!$S$15-1),1,0)</f>
        <v>1</v>
      </c>
      <c r="BE112" s="49">
        <f>IF(BE$4&gt;EOMONTH(CloseDate,'Rent Roll'!$O$15+'Rent Roll'!$S$15-1),1,0)</f>
        <v>1</v>
      </c>
      <c r="BF112" s="49">
        <f>IF(BF$4&gt;EOMONTH(CloseDate,'Rent Roll'!$O$15+'Rent Roll'!$S$15-1),1,0)</f>
        <v>1</v>
      </c>
      <c r="BG112" s="49">
        <f>IF(BG$4&gt;EOMONTH(CloseDate,'Rent Roll'!$O$15+'Rent Roll'!$S$15-1),1,0)</f>
        <v>1</v>
      </c>
      <c r="BH112" s="49">
        <f>IF(BH$4&gt;EOMONTH(CloseDate,'Rent Roll'!$O$15+'Rent Roll'!$S$15-1),1,0)</f>
        <v>1</v>
      </c>
      <c r="BI112" s="49">
        <f>IF(BI$4&gt;EOMONTH(CloseDate,'Rent Roll'!$O$15+'Rent Roll'!$S$15-1),1,0)</f>
        <v>1</v>
      </c>
      <c r="BJ112" s="49">
        <f>IF(BJ$4&gt;EOMONTH(CloseDate,'Rent Roll'!$O$15+'Rent Roll'!$S$15-1),1,0)</f>
        <v>1</v>
      </c>
      <c r="BK112" s="49">
        <f>IF(BK$4&gt;EOMONTH(CloseDate,'Rent Roll'!$O$15+'Rent Roll'!$S$15-1),1,0)</f>
        <v>1</v>
      </c>
      <c r="BL112" s="49">
        <f>IF(BL$4&gt;EOMONTH(CloseDate,'Rent Roll'!$O$15+'Rent Roll'!$S$15-1),1,0)</f>
        <v>1</v>
      </c>
      <c r="BM112" s="49">
        <f>IF(BM$4&gt;EOMONTH(CloseDate,'Rent Roll'!$O$15+'Rent Roll'!$S$15-1),1,0)</f>
        <v>1</v>
      </c>
      <c r="BN112" s="49">
        <f>IF(BN$4&gt;EOMONTH(CloseDate,'Rent Roll'!$O$15+'Rent Roll'!$S$15-1),1,0)</f>
        <v>1</v>
      </c>
      <c r="BO112" s="49">
        <f>IF(BO$4&gt;EOMONTH(CloseDate,'Rent Roll'!$O$15+'Rent Roll'!$S$15-1),1,0)</f>
        <v>1</v>
      </c>
      <c r="BP112" s="49">
        <f>IF(BP$4&gt;EOMONTH(CloseDate,'Rent Roll'!$O$15+'Rent Roll'!$S$15-1),1,0)</f>
        <v>1</v>
      </c>
      <c r="BQ112" s="49">
        <f>IF(BQ$4&gt;EOMONTH(CloseDate,'Rent Roll'!$O$15+'Rent Roll'!$S$15-1),1,0)</f>
        <v>1</v>
      </c>
      <c r="BR112" s="49">
        <f>IF(BR$4&gt;EOMONTH(CloseDate,'Rent Roll'!$O$15+'Rent Roll'!$S$15-1),1,0)</f>
        <v>1</v>
      </c>
      <c r="BS112" s="49">
        <f>IF(BS$4&gt;EOMONTH(CloseDate,'Rent Roll'!$O$15+'Rent Roll'!$S$15-1),1,0)</f>
        <v>1</v>
      </c>
      <c r="BT112" s="49">
        <f>IF(BT$4&gt;EOMONTH(CloseDate,'Rent Roll'!$O$15+'Rent Roll'!$S$15-1),1,0)</f>
        <v>1</v>
      </c>
      <c r="BU112" s="49">
        <f>IF(BU$4&gt;EOMONTH(CloseDate,'Rent Roll'!$O$15+'Rent Roll'!$S$15-1),1,0)</f>
        <v>1</v>
      </c>
      <c r="BV112" s="49">
        <f>IF(BV$4&gt;EOMONTH(CloseDate,'Rent Roll'!$O$15+'Rent Roll'!$S$15-1),1,0)</f>
        <v>1</v>
      </c>
      <c r="BW112" s="49">
        <f>IF(BW$4&gt;EOMONTH(CloseDate,'Rent Roll'!$O$15+'Rent Roll'!$S$15-1),1,0)</f>
        <v>1</v>
      </c>
      <c r="BX112" s="49">
        <f>IF(BX$4&gt;EOMONTH(CloseDate,'Rent Roll'!$O$15+'Rent Roll'!$S$15-1),1,0)</f>
        <v>1</v>
      </c>
    </row>
    <row r="113" spans="1:76" hidden="1" outlineLevel="1">
      <c r="B113" t="s">
        <v>162</v>
      </c>
      <c r="D113" s="49">
        <f>IF(D112=1,'Rent Roll'!$F$15*'Rent Roll'!$X$15/12*D$6,0)</f>
        <v>0</v>
      </c>
      <c r="E113" s="49">
        <f>IF(E112=1,'Rent Roll'!$F$15*'Rent Roll'!$X$15/12*E$6,0)</f>
        <v>0</v>
      </c>
      <c r="F113" s="49">
        <f>IF(F112=1,'Rent Roll'!$F$15*'Rent Roll'!$X$15/12*F$6,0)</f>
        <v>0</v>
      </c>
      <c r="G113" s="49">
        <f>IF(G112=1,'Rent Roll'!$F$15*'Rent Roll'!$X$15/12*G$6,0)</f>
        <v>0</v>
      </c>
      <c r="H113" s="49">
        <f>IF(H112=1,'Rent Roll'!$F$15*'Rent Roll'!$X$15/12*H$6,0)</f>
        <v>0</v>
      </c>
      <c r="I113" s="49">
        <f>IF(I112=1,'Rent Roll'!$F$15*'Rent Roll'!$X$15/12*I$6,0)</f>
        <v>0</v>
      </c>
      <c r="J113" s="49">
        <f>IF(J112=1,'Rent Roll'!$F$15*'Rent Roll'!$X$15/12*J$6,0)</f>
        <v>0</v>
      </c>
      <c r="K113" s="49">
        <f>IF(K112=1,'Rent Roll'!$F$15*'Rent Roll'!$X$15/12*K$6,0)</f>
        <v>0</v>
      </c>
      <c r="L113" s="49">
        <f>IF(L112=1,'Rent Roll'!$F$15*'Rent Roll'!$X$15/12*L$6,0)</f>
        <v>0</v>
      </c>
      <c r="M113" s="49">
        <f>IF(M112=1,'Rent Roll'!$F$15*'Rent Roll'!$X$15/12*M$6,0)</f>
        <v>0</v>
      </c>
      <c r="N113" s="49">
        <f>IF(N112=1,'Rent Roll'!$F$15*'Rent Roll'!$X$15/12*N$6,0)</f>
        <v>0</v>
      </c>
      <c r="O113" s="49">
        <f>IF(O112=1,'Rent Roll'!$F$15*'Rent Roll'!$X$15/12*O$6,0)</f>
        <v>0</v>
      </c>
      <c r="P113" s="49">
        <f>IF(P112=1,'Rent Roll'!$F$15*'Rent Roll'!$X$15/12*P$6,0)</f>
        <v>0</v>
      </c>
      <c r="Q113" s="49">
        <f>IF(Q112=1,'Rent Roll'!$F$15*'Rent Roll'!$X$15/12*Q$6,0)</f>
        <v>0</v>
      </c>
      <c r="R113" s="49">
        <f>IF(R112=1,'Rent Roll'!$F$15*'Rent Roll'!$X$15/12*R$6,0)</f>
        <v>0</v>
      </c>
      <c r="S113" s="49">
        <f>IF(S112=1,'Rent Roll'!$F$15*'Rent Roll'!$X$15/12*S$6,0)</f>
        <v>0</v>
      </c>
      <c r="T113" s="49">
        <f>IF(T112=1,'Rent Roll'!$F$15*'Rent Roll'!$X$15/12*T$6,0)</f>
        <v>0</v>
      </c>
      <c r="U113" s="49">
        <f>IF(U112=1,'Rent Roll'!$F$15*'Rent Roll'!$X$15/12*U$6,0)</f>
        <v>0</v>
      </c>
      <c r="V113" s="49">
        <f>IF(V112=1,'Rent Roll'!$F$15*'Rent Roll'!$X$15/12*V$6,0)</f>
        <v>0</v>
      </c>
      <c r="W113" s="49">
        <f>IF(W112=1,'Rent Roll'!$F$15*'Rent Roll'!$X$15/12*W$6,0)</f>
        <v>0</v>
      </c>
      <c r="X113" s="49">
        <f>IF(X112=1,'Rent Roll'!$F$15*'Rent Roll'!$X$15/12*X$6,0)</f>
        <v>0</v>
      </c>
      <c r="Y113" s="49">
        <f>IF(Y112=1,'Rent Roll'!$F$15*'Rent Roll'!$X$15/12*Y$6,0)</f>
        <v>0</v>
      </c>
      <c r="Z113" s="49">
        <f>IF(Z112=1,'Rent Roll'!$F$15*'Rent Roll'!$X$15/12*Z$6,0)</f>
        <v>0</v>
      </c>
      <c r="AA113" s="49">
        <f>IF(AA112=1,'Rent Roll'!$F$15*'Rent Roll'!$X$15/12*AA$6,0)</f>
        <v>0</v>
      </c>
      <c r="AB113" s="49">
        <f>IF(AB112=1,'Rent Roll'!$F$15*'Rent Roll'!$X$15/12*AB$6,0)</f>
        <v>0</v>
      </c>
      <c r="AC113" s="49">
        <f>IF(AC112=1,'Rent Roll'!$F$15*'Rent Roll'!$X$15/12*AC$6,0)</f>
        <v>0</v>
      </c>
      <c r="AD113" s="49">
        <f>IF(AD112=1,'Rent Roll'!$F$15*'Rent Roll'!$X$15/12*AD$6,0)</f>
        <v>0</v>
      </c>
      <c r="AE113" s="49">
        <f>IF(AE112=1,'Rent Roll'!$F$15*'Rent Roll'!$X$15/12*AE$6,0)</f>
        <v>0</v>
      </c>
      <c r="AF113" s="49">
        <f>IF(AF112=1,'Rent Roll'!$F$15*'Rent Roll'!$X$15/12*AF$6,0)</f>
        <v>0</v>
      </c>
      <c r="AG113" s="49">
        <f>IF(AG112=1,'Rent Roll'!$F$15*'Rent Roll'!$X$15/12*AG$6,0)</f>
        <v>0</v>
      </c>
      <c r="AH113" s="49">
        <f>IF(AH112=1,'Rent Roll'!$F$15*'Rent Roll'!$X$15/12*AH$6,0)</f>
        <v>0</v>
      </c>
      <c r="AI113" s="49">
        <f>IF(AI112=1,'Rent Roll'!$F$15*'Rent Roll'!$X$15/12*AI$6,0)</f>
        <v>0</v>
      </c>
      <c r="AJ113" s="49">
        <f>IF(AJ112=1,'Rent Roll'!$F$15*'Rent Roll'!$X$15/12*AJ$6,0)</f>
        <v>0</v>
      </c>
      <c r="AK113" s="49">
        <f>IF(AK112=1,'Rent Roll'!$F$15*'Rent Roll'!$X$15/12*AK$6,0)</f>
        <v>0</v>
      </c>
      <c r="AL113" s="49">
        <f>IF(AL112=1,'Rent Roll'!$F$15*'Rent Roll'!$X$15/12*AL$6,0)</f>
        <v>0</v>
      </c>
      <c r="AM113" s="49">
        <f>IF(AM112=1,'Rent Roll'!$F$15*'Rent Roll'!$X$15/12*AM$6,0)</f>
        <v>0</v>
      </c>
      <c r="AN113" s="49">
        <f>IF(AN112=1,'Rent Roll'!$F$15*'Rent Roll'!$X$15/12*AN$6,0)</f>
        <v>0</v>
      </c>
      <c r="AO113" s="49">
        <f>IF(AO112=1,'Rent Roll'!$F$15*'Rent Roll'!$X$15/12*AO$6,0)</f>
        <v>0</v>
      </c>
      <c r="AP113" s="49">
        <f>IF(AP112=1,'Rent Roll'!$F$15*'Rent Roll'!$X$15/12*AP$6,0)</f>
        <v>0</v>
      </c>
      <c r="AQ113" s="49">
        <f>IF(AQ112=1,'Rent Roll'!$F$15*'Rent Roll'!$X$15/12*AQ$6,0)</f>
        <v>0</v>
      </c>
      <c r="AR113" s="49">
        <f>IF(AR112=1,'Rent Roll'!$F$15*'Rent Roll'!$X$15/12*AR$6,0)</f>
        <v>0</v>
      </c>
      <c r="AS113" s="49">
        <f>IF(AS112=1,'Rent Roll'!$F$15*'Rent Roll'!$X$15/12*AS$6,0)</f>
        <v>15552.513792878963</v>
      </c>
      <c r="AT113" s="49">
        <f>IF(AT112=1,'Rent Roll'!$F$15*'Rent Roll'!$X$15/12*AT$6,0)</f>
        <v>15552.513792878963</v>
      </c>
      <c r="AU113" s="49">
        <f>IF(AU112=1,'Rent Roll'!$F$15*'Rent Roll'!$X$15/12*AU$6,0)</f>
        <v>15552.513792878963</v>
      </c>
      <c r="AV113" s="49">
        <f>IF(AV112=1,'Rent Roll'!$F$15*'Rent Roll'!$X$15/12*AV$6,0)</f>
        <v>15552.513792878963</v>
      </c>
      <c r="AW113" s="49">
        <f>IF(AW112=1,'Rent Roll'!$F$15*'Rent Roll'!$X$15/12*AW$6,0)</f>
        <v>15552.513792878963</v>
      </c>
      <c r="AX113" s="49">
        <f>IF(AX112=1,'Rent Roll'!$F$15*'Rent Roll'!$X$15/12*AX$6,0)</f>
        <v>15552.513792878963</v>
      </c>
      <c r="AY113" s="49">
        <f>IF(AY112=1,'Rent Roll'!$F$15*'Rent Roll'!$X$15/12*AY$6,0)</f>
        <v>15552.513792878963</v>
      </c>
      <c r="AZ113" s="49">
        <f>IF(AZ112=1,'Rent Roll'!$F$15*'Rent Roll'!$X$15/12*AZ$6,0)</f>
        <v>15552.513792878963</v>
      </c>
      <c r="BA113" s="49">
        <f>IF(BA112=1,'Rent Roll'!$F$15*'Rent Roll'!$X$15/12*BA$6,0)</f>
        <v>15552.513792878963</v>
      </c>
      <c r="BB113" s="49">
        <f>IF(BB112=1,'Rent Roll'!$F$15*'Rent Roll'!$X$15/12*BB$6,0)</f>
        <v>15552.513792878963</v>
      </c>
      <c r="BC113" s="49">
        <f>IF(BC112=1,'Rent Roll'!$F$15*'Rent Roll'!$X$15/12*BC$6,0)</f>
        <v>15552.513792878963</v>
      </c>
      <c r="BD113" s="49">
        <f>IF(BD112=1,'Rent Roll'!$F$15*'Rent Roll'!$X$15/12*BD$6,0)</f>
        <v>15552.513792878963</v>
      </c>
      <c r="BE113" s="49">
        <f>IF(BE112=1,'Rent Roll'!$F$15*'Rent Roll'!$X$15/12*BE$6,0)</f>
        <v>15972.431665286693</v>
      </c>
      <c r="BF113" s="49">
        <f>IF(BF112=1,'Rent Roll'!$F$15*'Rent Roll'!$X$15/12*BF$6,0)</f>
        <v>15972.431665286693</v>
      </c>
      <c r="BG113" s="49">
        <f>IF(BG112=1,'Rent Roll'!$F$15*'Rent Roll'!$X$15/12*BG$6,0)</f>
        <v>15972.431665286693</v>
      </c>
      <c r="BH113" s="49">
        <f>IF(BH112=1,'Rent Roll'!$F$15*'Rent Roll'!$X$15/12*BH$6,0)</f>
        <v>15972.431665286693</v>
      </c>
      <c r="BI113" s="49">
        <f>IF(BI112=1,'Rent Roll'!$F$15*'Rent Roll'!$X$15/12*BI$6,0)</f>
        <v>15972.431665286693</v>
      </c>
      <c r="BJ113" s="49">
        <f>IF(BJ112=1,'Rent Roll'!$F$15*'Rent Roll'!$X$15/12*BJ$6,0)</f>
        <v>15972.431665286693</v>
      </c>
      <c r="BK113" s="49">
        <f>IF(BK112=1,'Rent Roll'!$F$15*'Rent Roll'!$X$15/12*BK$6,0)</f>
        <v>15972.431665286693</v>
      </c>
      <c r="BL113" s="49">
        <f>IF(BL112=1,'Rent Roll'!$F$15*'Rent Roll'!$X$15/12*BL$6,0)</f>
        <v>15972.431665286693</v>
      </c>
      <c r="BM113" s="49">
        <f>IF(BM112=1,'Rent Roll'!$F$15*'Rent Roll'!$X$15/12*BM$6,0)</f>
        <v>15972.431665286693</v>
      </c>
      <c r="BN113" s="49">
        <f>IF(BN112=1,'Rent Roll'!$F$15*'Rent Roll'!$X$15/12*BN$6,0)</f>
        <v>15972.431665286693</v>
      </c>
      <c r="BO113" s="49">
        <f>IF(BO112=1,'Rent Roll'!$F$15*'Rent Roll'!$X$15/12*BO$6,0)</f>
        <v>15972.431665286693</v>
      </c>
      <c r="BP113" s="49">
        <f>IF(BP112=1,'Rent Roll'!$F$15*'Rent Roll'!$X$15/12*BP$6,0)</f>
        <v>15972.431665286693</v>
      </c>
      <c r="BQ113" s="49">
        <f>IF(BQ112=1,'Rent Roll'!$F$15*'Rent Roll'!$X$15/12*BQ$6,0)</f>
        <v>16403.687320249432</v>
      </c>
      <c r="BR113" s="49">
        <f>IF(BR112=1,'Rent Roll'!$F$15*'Rent Roll'!$X$15/12*BR$6,0)</f>
        <v>16403.687320249432</v>
      </c>
      <c r="BS113" s="49">
        <f>IF(BS112=1,'Rent Roll'!$F$15*'Rent Roll'!$X$15/12*BS$6,0)</f>
        <v>16403.687320249432</v>
      </c>
      <c r="BT113" s="49">
        <f>IF(BT112=1,'Rent Roll'!$F$15*'Rent Roll'!$X$15/12*BT$6,0)</f>
        <v>16403.687320249432</v>
      </c>
      <c r="BU113" s="49">
        <f>IF(BU112=1,'Rent Roll'!$F$15*'Rent Roll'!$X$15/12*BU$6,0)</f>
        <v>16403.687320249432</v>
      </c>
      <c r="BV113" s="49">
        <f>IF(BV112=1,'Rent Roll'!$F$15*'Rent Roll'!$X$15/12*BV$6,0)</f>
        <v>16403.687320249432</v>
      </c>
      <c r="BW113" s="49">
        <f>IF(BW112=1,'Rent Roll'!$F$15*'Rent Roll'!$X$15/12*BW$6,0)</f>
        <v>16403.687320249432</v>
      </c>
      <c r="BX113" s="49">
        <f>IF(BX112=1,'Rent Roll'!$F$15*'Rent Roll'!$X$15/12*BX$6,0)</f>
        <v>16403.687320249432</v>
      </c>
    </row>
    <row r="114" spans="1:76" hidden="1" outlineLevel="1">
      <c r="B114" t="s">
        <v>163</v>
      </c>
      <c r="D114" s="49">
        <f>IF(AND(D$4&gt;EOMONTH(CloseDate,'Rent Roll'!$O$15+'Rent Roll'!$S$15-1),D$4&lt;=EOMONTH(CloseDate,'Rent Roll'!$O$15+'Rent Roll'!$S$15-1+'Rent Roll'!$V$15)),-D113,0)</f>
        <v>0</v>
      </c>
      <c r="E114" s="49">
        <f>IF(AND(E$4&gt;EOMONTH(CloseDate,'Rent Roll'!$O$15+'Rent Roll'!$S$15-1),E$4&lt;=EOMONTH(CloseDate,'Rent Roll'!$O$15+'Rent Roll'!$S$15-1+'Rent Roll'!$V$15)),-E113,0)</f>
        <v>0</v>
      </c>
      <c r="F114" s="49">
        <f>IF(AND(F$4&gt;EOMONTH(CloseDate,'Rent Roll'!$O$15+'Rent Roll'!$S$15-1),F$4&lt;=EOMONTH(CloseDate,'Rent Roll'!$O$15+'Rent Roll'!$S$15-1+'Rent Roll'!$V$15)),-F113,0)</f>
        <v>0</v>
      </c>
      <c r="G114" s="49">
        <f>IF(AND(G$4&gt;EOMONTH(CloseDate,'Rent Roll'!$O$15+'Rent Roll'!$S$15-1),G$4&lt;=EOMONTH(CloseDate,'Rent Roll'!$O$15+'Rent Roll'!$S$15-1+'Rent Roll'!$V$15)),-G113,0)</f>
        <v>0</v>
      </c>
      <c r="H114" s="49">
        <f>IF(AND(H$4&gt;EOMONTH(CloseDate,'Rent Roll'!$O$15+'Rent Roll'!$S$15-1),H$4&lt;=EOMONTH(CloseDate,'Rent Roll'!$O$15+'Rent Roll'!$S$15-1+'Rent Roll'!$V$15)),-H113,0)</f>
        <v>0</v>
      </c>
      <c r="I114" s="49">
        <f>IF(AND(I$4&gt;EOMONTH(CloseDate,'Rent Roll'!$O$15+'Rent Roll'!$S$15-1),I$4&lt;=EOMONTH(CloseDate,'Rent Roll'!$O$15+'Rent Roll'!$S$15-1+'Rent Roll'!$V$15)),-I113,0)</f>
        <v>0</v>
      </c>
      <c r="J114" s="49">
        <f>IF(AND(J$4&gt;EOMONTH(CloseDate,'Rent Roll'!$O$15+'Rent Roll'!$S$15-1),J$4&lt;=EOMONTH(CloseDate,'Rent Roll'!$O$15+'Rent Roll'!$S$15-1+'Rent Roll'!$V$15)),-J113,0)</f>
        <v>0</v>
      </c>
      <c r="K114" s="49">
        <f>IF(AND(K$4&gt;EOMONTH(CloseDate,'Rent Roll'!$O$15+'Rent Roll'!$S$15-1),K$4&lt;=EOMONTH(CloseDate,'Rent Roll'!$O$15+'Rent Roll'!$S$15-1+'Rent Roll'!$V$15)),-K113,0)</f>
        <v>0</v>
      </c>
      <c r="L114" s="49">
        <f>IF(AND(L$4&gt;EOMONTH(CloseDate,'Rent Roll'!$O$15+'Rent Roll'!$S$15-1),L$4&lt;=EOMONTH(CloseDate,'Rent Roll'!$O$15+'Rent Roll'!$S$15-1+'Rent Roll'!$V$15)),-L113,0)</f>
        <v>0</v>
      </c>
      <c r="M114" s="49">
        <f>IF(AND(M$4&gt;EOMONTH(CloseDate,'Rent Roll'!$O$15+'Rent Roll'!$S$15-1),M$4&lt;=EOMONTH(CloseDate,'Rent Roll'!$O$15+'Rent Roll'!$S$15-1+'Rent Roll'!$V$15)),-M113,0)</f>
        <v>0</v>
      </c>
      <c r="N114" s="49">
        <f>IF(AND(N$4&gt;EOMONTH(CloseDate,'Rent Roll'!$O$15+'Rent Roll'!$S$15-1),N$4&lt;=EOMONTH(CloseDate,'Rent Roll'!$O$15+'Rent Roll'!$S$15-1+'Rent Roll'!$V$15)),-N113,0)</f>
        <v>0</v>
      </c>
      <c r="O114" s="49">
        <f>IF(AND(O$4&gt;EOMONTH(CloseDate,'Rent Roll'!$O$15+'Rent Roll'!$S$15-1),O$4&lt;=EOMONTH(CloseDate,'Rent Roll'!$O$15+'Rent Roll'!$S$15-1+'Rent Roll'!$V$15)),-O113,0)</f>
        <v>0</v>
      </c>
      <c r="P114" s="49">
        <f>IF(AND(P$4&gt;EOMONTH(CloseDate,'Rent Roll'!$O$15+'Rent Roll'!$S$15-1),P$4&lt;=EOMONTH(CloseDate,'Rent Roll'!$O$15+'Rent Roll'!$S$15-1+'Rent Roll'!$V$15)),-P113,0)</f>
        <v>0</v>
      </c>
      <c r="Q114" s="49">
        <f>IF(AND(Q$4&gt;EOMONTH(CloseDate,'Rent Roll'!$O$15+'Rent Roll'!$S$15-1),Q$4&lt;=EOMONTH(CloseDate,'Rent Roll'!$O$15+'Rent Roll'!$S$15-1+'Rent Roll'!$V$15)),-Q113,0)</f>
        <v>0</v>
      </c>
      <c r="R114" s="49">
        <f>IF(AND(R$4&gt;EOMONTH(CloseDate,'Rent Roll'!$O$15+'Rent Roll'!$S$15-1),R$4&lt;=EOMONTH(CloseDate,'Rent Roll'!$O$15+'Rent Roll'!$S$15-1+'Rent Roll'!$V$15)),-R113,0)</f>
        <v>0</v>
      </c>
      <c r="S114" s="49">
        <f>IF(AND(S$4&gt;EOMONTH(CloseDate,'Rent Roll'!$O$15+'Rent Roll'!$S$15-1),S$4&lt;=EOMONTH(CloseDate,'Rent Roll'!$O$15+'Rent Roll'!$S$15-1+'Rent Roll'!$V$15)),-S113,0)</f>
        <v>0</v>
      </c>
      <c r="T114" s="49">
        <f>IF(AND(T$4&gt;EOMONTH(CloseDate,'Rent Roll'!$O$15+'Rent Roll'!$S$15-1),T$4&lt;=EOMONTH(CloseDate,'Rent Roll'!$O$15+'Rent Roll'!$S$15-1+'Rent Roll'!$V$15)),-T113,0)</f>
        <v>0</v>
      </c>
      <c r="U114" s="49">
        <f>IF(AND(U$4&gt;EOMONTH(CloseDate,'Rent Roll'!$O$15+'Rent Roll'!$S$15-1),U$4&lt;=EOMONTH(CloseDate,'Rent Roll'!$O$15+'Rent Roll'!$S$15-1+'Rent Roll'!$V$15)),-U113,0)</f>
        <v>0</v>
      </c>
      <c r="V114" s="49">
        <f>IF(AND(V$4&gt;EOMONTH(CloseDate,'Rent Roll'!$O$15+'Rent Roll'!$S$15-1),V$4&lt;=EOMONTH(CloseDate,'Rent Roll'!$O$15+'Rent Roll'!$S$15-1+'Rent Roll'!$V$15)),-V113,0)</f>
        <v>0</v>
      </c>
      <c r="W114" s="49">
        <f>IF(AND(W$4&gt;EOMONTH(CloseDate,'Rent Roll'!$O$15+'Rent Roll'!$S$15-1),W$4&lt;=EOMONTH(CloseDate,'Rent Roll'!$O$15+'Rent Roll'!$S$15-1+'Rent Roll'!$V$15)),-W113,0)</f>
        <v>0</v>
      </c>
      <c r="X114" s="49">
        <f>IF(AND(X$4&gt;EOMONTH(CloseDate,'Rent Roll'!$O$15+'Rent Roll'!$S$15-1),X$4&lt;=EOMONTH(CloseDate,'Rent Roll'!$O$15+'Rent Roll'!$S$15-1+'Rent Roll'!$V$15)),-X113,0)</f>
        <v>0</v>
      </c>
      <c r="Y114" s="49">
        <f>IF(AND(Y$4&gt;EOMONTH(CloseDate,'Rent Roll'!$O$15+'Rent Roll'!$S$15-1),Y$4&lt;=EOMONTH(CloseDate,'Rent Roll'!$O$15+'Rent Roll'!$S$15-1+'Rent Roll'!$V$15)),-Y113,0)</f>
        <v>0</v>
      </c>
      <c r="Z114" s="49">
        <f>IF(AND(Z$4&gt;EOMONTH(CloseDate,'Rent Roll'!$O$15+'Rent Roll'!$S$15-1),Z$4&lt;=EOMONTH(CloseDate,'Rent Roll'!$O$15+'Rent Roll'!$S$15-1+'Rent Roll'!$V$15)),-Z113,0)</f>
        <v>0</v>
      </c>
      <c r="AA114" s="49">
        <f>IF(AND(AA$4&gt;EOMONTH(CloseDate,'Rent Roll'!$O$15+'Rent Roll'!$S$15-1),AA$4&lt;=EOMONTH(CloseDate,'Rent Roll'!$O$15+'Rent Roll'!$S$15-1+'Rent Roll'!$V$15)),-AA113,0)</f>
        <v>0</v>
      </c>
      <c r="AB114" s="49">
        <f>IF(AND(AB$4&gt;EOMONTH(CloseDate,'Rent Roll'!$O$15+'Rent Roll'!$S$15-1),AB$4&lt;=EOMONTH(CloseDate,'Rent Roll'!$O$15+'Rent Roll'!$S$15-1+'Rent Roll'!$V$15)),-AB113,0)</f>
        <v>0</v>
      </c>
      <c r="AC114" s="49">
        <f>IF(AND(AC$4&gt;EOMONTH(CloseDate,'Rent Roll'!$O$15+'Rent Roll'!$S$15-1),AC$4&lt;=EOMONTH(CloseDate,'Rent Roll'!$O$15+'Rent Roll'!$S$15-1+'Rent Roll'!$V$15)),-AC113,0)</f>
        <v>0</v>
      </c>
      <c r="AD114" s="49">
        <f>IF(AND(AD$4&gt;EOMONTH(CloseDate,'Rent Roll'!$O$15+'Rent Roll'!$S$15-1),AD$4&lt;=EOMONTH(CloseDate,'Rent Roll'!$O$15+'Rent Roll'!$S$15-1+'Rent Roll'!$V$15)),-AD113,0)</f>
        <v>0</v>
      </c>
      <c r="AE114" s="49">
        <f>IF(AND(AE$4&gt;EOMONTH(CloseDate,'Rent Roll'!$O$15+'Rent Roll'!$S$15-1),AE$4&lt;=EOMONTH(CloseDate,'Rent Roll'!$O$15+'Rent Roll'!$S$15-1+'Rent Roll'!$V$15)),-AE113,0)</f>
        <v>0</v>
      </c>
      <c r="AF114" s="49">
        <f>IF(AND(AF$4&gt;EOMONTH(CloseDate,'Rent Roll'!$O$15+'Rent Roll'!$S$15-1),AF$4&lt;=EOMONTH(CloseDate,'Rent Roll'!$O$15+'Rent Roll'!$S$15-1+'Rent Roll'!$V$15)),-AF113,0)</f>
        <v>0</v>
      </c>
      <c r="AG114" s="49">
        <f>IF(AND(AG$4&gt;EOMONTH(CloseDate,'Rent Roll'!$O$15+'Rent Roll'!$S$15-1),AG$4&lt;=EOMONTH(CloseDate,'Rent Roll'!$O$15+'Rent Roll'!$S$15-1+'Rent Roll'!$V$15)),-AG113,0)</f>
        <v>0</v>
      </c>
      <c r="AH114" s="49">
        <f>IF(AND(AH$4&gt;EOMONTH(CloseDate,'Rent Roll'!$O$15+'Rent Roll'!$S$15-1),AH$4&lt;=EOMONTH(CloseDate,'Rent Roll'!$O$15+'Rent Roll'!$S$15-1+'Rent Roll'!$V$15)),-AH113,0)</f>
        <v>0</v>
      </c>
      <c r="AI114" s="49">
        <f>IF(AND(AI$4&gt;EOMONTH(CloseDate,'Rent Roll'!$O$15+'Rent Roll'!$S$15-1),AI$4&lt;=EOMONTH(CloseDate,'Rent Roll'!$O$15+'Rent Roll'!$S$15-1+'Rent Roll'!$V$15)),-AI113,0)</f>
        <v>0</v>
      </c>
      <c r="AJ114" s="49">
        <f>IF(AND(AJ$4&gt;EOMONTH(CloseDate,'Rent Roll'!$O$15+'Rent Roll'!$S$15-1),AJ$4&lt;=EOMONTH(CloseDate,'Rent Roll'!$O$15+'Rent Roll'!$S$15-1+'Rent Roll'!$V$15)),-AJ113,0)</f>
        <v>0</v>
      </c>
      <c r="AK114" s="49">
        <f>IF(AND(AK$4&gt;EOMONTH(CloseDate,'Rent Roll'!$O$15+'Rent Roll'!$S$15-1),AK$4&lt;=EOMONTH(CloseDate,'Rent Roll'!$O$15+'Rent Roll'!$S$15-1+'Rent Roll'!$V$15)),-AK113,0)</f>
        <v>0</v>
      </c>
      <c r="AL114" s="49">
        <f>IF(AND(AL$4&gt;EOMONTH(CloseDate,'Rent Roll'!$O$15+'Rent Roll'!$S$15-1),AL$4&lt;=EOMONTH(CloseDate,'Rent Roll'!$O$15+'Rent Roll'!$S$15-1+'Rent Roll'!$V$15)),-AL113,0)</f>
        <v>0</v>
      </c>
      <c r="AM114" s="49">
        <f>IF(AND(AM$4&gt;EOMONTH(CloseDate,'Rent Roll'!$O$15+'Rent Roll'!$S$15-1),AM$4&lt;=EOMONTH(CloseDate,'Rent Roll'!$O$15+'Rent Roll'!$S$15-1+'Rent Roll'!$V$15)),-AM113,0)</f>
        <v>0</v>
      </c>
      <c r="AN114" s="49">
        <f>IF(AND(AN$4&gt;EOMONTH(CloseDate,'Rent Roll'!$O$15+'Rent Roll'!$S$15-1),AN$4&lt;=EOMONTH(CloseDate,'Rent Roll'!$O$15+'Rent Roll'!$S$15-1+'Rent Roll'!$V$15)),-AN113,0)</f>
        <v>0</v>
      </c>
      <c r="AO114" s="49">
        <f>IF(AND(AO$4&gt;EOMONTH(CloseDate,'Rent Roll'!$O$15+'Rent Roll'!$S$15-1),AO$4&lt;=EOMONTH(CloseDate,'Rent Roll'!$O$15+'Rent Roll'!$S$15-1+'Rent Roll'!$V$15)),-AO113,0)</f>
        <v>0</v>
      </c>
      <c r="AP114" s="49">
        <f>IF(AND(AP$4&gt;EOMONTH(CloseDate,'Rent Roll'!$O$15+'Rent Roll'!$S$15-1),AP$4&lt;=EOMONTH(CloseDate,'Rent Roll'!$O$15+'Rent Roll'!$S$15-1+'Rent Roll'!$V$15)),-AP113,0)</f>
        <v>0</v>
      </c>
      <c r="AQ114" s="49">
        <f>IF(AND(AQ$4&gt;EOMONTH(CloseDate,'Rent Roll'!$O$15+'Rent Roll'!$S$15-1),AQ$4&lt;=EOMONTH(CloseDate,'Rent Roll'!$O$15+'Rent Roll'!$S$15-1+'Rent Roll'!$V$15)),-AQ113,0)</f>
        <v>0</v>
      </c>
      <c r="AR114" s="49">
        <f>IF(AND(AR$4&gt;EOMONTH(CloseDate,'Rent Roll'!$O$15+'Rent Roll'!$S$15-1),AR$4&lt;=EOMONTH(CloseDate,'Rent Roll'!$O$15+'Rent Roll'!$S$15-1+'Rent Roll'!$V$15)),-AR113,0)</f>
        <v>0</v>
      </c>
      <c r="AS114" s="49">
        <f>IF(AND(AS$4&gt;EOMONTH(CloseDate,'Rent Roll'!$O$15+'Rent Roll'!$S$15-1),AS$4&lt;=EOMONTH(CloseDate,'Rent Roll'!$O$15+'Rent Roll'!$S$15-1+'Rent Roll'!$V$15)),-AS113,0)</f>
        <v>-15552.513792878963</v>
      </c>
      <c r="AT114" s="49">
        <f>IF(AND(AT$4&gt;EOMONTH(CloseDate,'Rent Roll'!$O$15+'Rent Roll'!$S$15-1),AT$4&lt;=EOMONTH(CloseDate,'Rent Roll'!$O$15+'Rent Roll'!$S$15-1+'Rent Roll'!$V$15)),-AT113,0)</f>
        <v>-15552.513792878963</v>
      </c>
      <c r="AU114" s="49">
        <f>IF(AND(AU$4&gt;EOMONTH(CloseDate,'Rent Roll'!$O$15+'Rent Roll'!$S$15-1),AU$4&lt;=EOMONTH(CloseDate,'Rent Roll'!$O$15+'Rent Roll'!$S$15-1+'Rent Roll'!$V$15)),-AU113,0)</f>
        <v>0</v>
      </c>
      <c r="AV114" s="49">
        <f>IF(AND(AV$4&gt;EOMONTH(CloseDate,'Rent Roll'!$O$15+'Rent Roll'!$S$15-1),AV$4&lt;=EOMONTH(CloseDate,'Rent Roll'!$O$15+'Rent Roll'!$S$15-1+'Rent Roll'!$V$15)),-AV113,0)</f>
        <v>0</v>
      </c>
      <c r="AW114" s="49">
        <f>IF(AND(AW$4&gt;EOMONTH(CloseDate,'Rent Roll'!$O$15+'Rent Roll'!$S$15-1),AW$4&lt;=EOMONTH(CloseDate,'Rent Roll'!$O$15+'Rent Roll'!$S$15-1+'Rent Roll'!$V$15)),-AW113,0)</f>
        <v>0</v>
      </c>
      <c r="AX114" s="49">
        <f>IF(AND(AX$4&gt;EOMONTH(CloseDate,'Rent Roll'!$O$15+'Rent Roll'!$S$15-1),AX$4&lt;=EOMONTH(CloseDate,'Rent Roll'!$O$15+'Rent Roll'!$S$15-1+'Rent Roll'!$V$15)),-AX113,0)</f>
        <v>0</v>
      </c>
      <c r="AY114" s="49">
        <f>IF(AND(AY$4&gt;EOMONTH(CloseDate,'Rent Roll'!$O$15+'Rent Roll'!$S$15-1),AY$4&lt;=EOMONTH(CloseDate,'Rent Roll'!$O$15+'Rent Roll'!$S$15-1+'Rent Roll'!$V$15)),-AY113,0)</f>
        <v>0</v>
      </c>
      <c r="AZ114" s="49">
        <f>IF(AND(AZ$4&gt;EOMONTH(CloseDate,'Rent Roll'!$O$15+'Rent Roll'!$S$15-1),AZ$4&lt;=EOMONTH(CloseDate,'Rent Roll'!$O$15+'Rent Roll'!$S$15-1+'Rent Roll'!$V$15)),-AZ113,0)</f>
        <v>0</v>
      </c>
      <c r="BA114" s="49">
        <f>IF(AND(BA$4&gt;EOMONTH(CloseDate,'Rent Roll'!$O$15+'Rent Roll'!$S$15-1),BA$4&lt;=EOMONTH(CloseDate,'Rent Roll'!$O$15+'Rent Roll'!$S$15-1+'Rent Roll'!$V$15)),-BA113,0)</f>
        <v>0</v>
      </c>
      <c r="BB114" s="49">
        <f>IF(AND(BB$4&gt;EOMONTH(CloseDate,'Rent Roll'!$O$15+'Rent Roll'!$S$15-1),BB$4&lt;=EOMONTH(CloseDate,'Rent Roll'!$O$15+'Rent Roll'!$S$15-1+'Rent Roll'!$V$15)),-BB113,0)</f>
        <v>0</v>
      </c>
      <c r="BC114" s="49">
        <f>IF(AND(BC$4&gt;EOMONTH(CloseDate,'Rent Roll'!$O$15+'Rent Roll'!$S$15-1),BC$4&lt;=EOMONTH(CloseDate,'Rent Roll'!$O$15+'Rent Roll'!$S$15-1+'Rent Roll'!$V$15)),-BC113,0)</f>
        <v>0</v>
      </c>
      <c r="BD114" s="49">
        <f>IF(AND(BD$4&gt;EOMONTH(CloseDate,'Rent Roll'!$O$15+'Rent Roll'!$S$15-1),BD$4&lt;=EOMONTH(CloseDate,'Rent Roll'!$O$15+'Rent Roll'!$S$15-1+'Rent Roll'!$V$15)),-BD113,0)</f>
        <v>0</v>
      </c>
      <c r="BE114" s="49">
        <f>IF(AND(BE$4&gt;EOMONTH(CloseDate,'Rent Roll'!$O$15+'Rent Roll'!$S$15-1),BE$4&lt;=EOMONTH(CloseDate,'Rent Roll'!$O$15+'Rent Roll'!$S$15-1+'Rent Roll'!$V$15)),-BE113,0)</f>
        <v>0</v>
      </c>
      <c r="BF114" s="49">
        <f>IF(AND(BF$4&gt;EOMONTH(CloseDate,'Rent Roll'!$O$15+'Rent Roll'!$S$15-1),BF$4&lt;=EOMONTH(CloseDate,'Rent Roll'!$O$15+'Rent Roll'!$S$15-1+'Rent Roll'!$V$15)),-BF113,0)</f>
        <v>0</v>
      </c>
      <c r="BG114" s="49">
        <f>IF(AND(BG$4&gt;EOMONTH(CloseDate,'Rent Roll'!$O$15+'Rent Roll'!$S$15-1),BG$4&lt;=EOMONTH(CloseDate,'Rent Roll'!$O$15+'Rent Roll'!$S$15-1+'Rent Roll'!$V$15)),-BG113,0)</f>
        <v>0</v>
      </c>
      <c r="BH114" s="49">
        <f>IF(AND(BH$4&gt;EOMONTH(CloseDate,'Rent Roll'!$O$15+'Rent Roll'!$S$15-1),BH$4&lt;=EOMONTH(CloseDate,'Rent Roll'!$O$15+'Rent Roll'!$S$15-1+'Rent Roll'!$V$15)),-BH113,0)</f>
        <v>0</v>
      </c>
      <c r="BI114" s="49">
        <f>IF(AND(BI$4&gt;EOMONTH(CloseDate,'Rent Roll'!$O$15+'Rent Roll'!$S$15-1),BI$4&lt;=EOMONTH(CloseDate,'Rent Roll'!$O$15+'Rent Roll'!$S$15-1+'Rent Roll'!$V$15)),-BI113,0)</f>
        <v>0</v>
      </c>
      <c r="BJ114" s="49">
        <f>IF(AND(BJ$4&gt;EOMONTH(CloseDate,'Rent Roll'!$O$15+'Rent Roll'!$S$15-1),BJ$4&lt;=EOMONTH(CloseDate,'Rent Roll'!$O$15+'Rent Roll'!$S$15-1+'Rent Roll'!$V$15)),-BJ113,0)</f>
        <v>0</v>
      </c>
      <c r="BK114" s="49">
        <f>IF(AND(BK$4&gt;EOMONTH(CloseDate,'Rent Roll'!$O$15+'Rent Roll'!$S$15-1),BK$4&lt;=EOMONTH(CloseDate,'Rent Roll'!$O$15+'Rent Roll'!$S$15-1+'Rent Roll'!$V$15)),-BK113,0)</f>
        <v>0</v>
      </c>
      <c r="BL114" s="49">
        <f>IF(AND(BL$4&gt;EOMONTH(CloseDate,'Rent Roll'!$O$15+'Rent Roll'!$S$15-1),BL$4&lt;=EOMONTH(CloseDate,'Rent Roll'!$O$15+'Rent Roll'!$S$15-1+'Rent Roll'!$V$15)),-BL113,0)</f>
        <v>0</v>
      </c>
      <c r="BM114" s="49">
        <f>IF(AND(BM$4&gt;EOMONTH(CloseDate,'Rent Roll'!$O$15+'Rent Roll'!$S$15-1),BM$4&lt;=EOMONTH(CloseDate,'Rent Roll'!$O$15+'Rent Roll'!$S$15-1+'Rent Roll'!$V$15)),-BM113,0)</f>
        <v>0</v>
      </c>
      <c r="BN114" s="49">
        <f>IF(AND(BN$4&gt;EOMONTH(CloseDate,'Rent Roll'!$O$15+'Rent Roll'!$S$15-1),BN$4&lt;=EOMONTH(CloseDate,'Rent Roll'!$O$15+'Rent Roll'!$S$15-1+'Rent Roll'!$V$15)),-BN113,0)</f>
        <v>0</v>
      </c>
      <c r="BO114" s="49">
        <f>IF(AND(BO$4&gt;EOMONTH(CloseDate,'Rent Roll'!$O$15+'Rent Roll'!$S$15-1),BO$4&lt;=EOMONTH(CloseDate,'Rent Roll'!$O$15+'Rent Roll'!$S$15-1+'Rent Roll'!$V$15)),-BO113,0)</f>
        <v>0</v>
      </c>
      <c r="BP114" s="49">
        <f>IF(AND(BP$4&gt;EOMONTH(CloseDate,'Rent Roll'!$O$15+'Rent Roll'!$S$15-1),BP$4&lt;=EOMONTH(CloseDate,'Rent Roll'!$O$15+'Rent Roll'!$S$15-1+'Rent Roll'!$V$15)),-BP113,0)</f>
        <v>0</v>
      </c>
      <c r="BQ114" s="49">
        <f>IF(AND(BQ$4&gt;EOMONTH(CloseDate,'Rent Roll'!$O$15+'Rent Roll'!$S$15-1),BQ$4&lt;=EOMONTH(CloseDate,'Rent Roll'!$O$15+'Rent Roll'!$S$15-1+'Rent Roll'!$V$15)),-BQ113,0)</f>
        <v>0</v>
      </c>
      <c r="BR114" s="49">
        <f>IF(AND(BR$4&gt;EOMONTH(CloseDate,'Rent Roll'!$O$15+'Rent Roll'!$S$15-1),BR$4&lt;=EOMONTH(CloseDate,'Rent Roll'!$O$15+'Rent Roll'!$S$15-1+'Rent Roll'!$V$15)),-BR113,0)</f>
        <v>0</v>
      </c>
      <c r="BS114" s="49">
        <f>IF(AND(BS$4&gt;EOMONTH(CloseDate,'Rent Roll'!$O$15+'Rent Roll'!$S$15-1),BS$4&lt;=EOMONTH(CloseDate,'Rent Roll'!$O$15+'Rent Roll'!$S$15-1+'Rent Roll'!$V$15)),-BS113,0)</f>
        <v>0</v>
      </c>
      <c r="BT114" s="49">
        <f>IF(AND(BT$4&gt;EOMONTH(CloseDate,'Rent Roll'!$O$15+'Rent Roll'!$S$15-1),BT$4&lt;=EOMONTH(CloseDate,'Rent Roll'!$O$15+'Rent Roll'!$S$15-1+'Rent Roll'!$V$15)),-BT113,0)</f>
        <v>0</v>
      </c>
      <c r="BU114" s="49">
        <f>IF(AND(BU$4&gt;EOMONTH(CloseDate,'Rent Roll'!$O$15+'Rent Roll'!$S$15-1),BU$4&lt;=EOMONTH(CloseDate,'Rent Roll'!$O$15+'Rent Roll'!$S$15-1+'Rent Roll'!$V$15)),-BU113,0)</f>
        <v>0</v>
      </c>
      <c r="BV114" s="49">
        <f>IF(AND(BV$4&gt;EOMONTH(CloseDate,'Rent Roll'!$O$15+'Rent Roll'!$S$15-1),BV$4&lt;=EOMONTH(CloseDate,'Rent Roll'!$O$15+'Rent Roll'!$S$15-1+'Rent Roll'!$V$15)),-BV113,0)</f>
        <v>0</v>
      </c>
      <c r="BW114" s="49">
        <f>IF(AND(BW$4&gt;EOMONTH(CloseDate,'Rent Roll'!$O$15+'Rent Roll'!$S$15-1),BW$4&lt;=EOMONTH(CloseDate,'Rent Roll'!$O$15+'Rent Roll'!$S$15-1+'Rent Roll'!$V$15)),-BW113,0)</f>
        <v>0</v>
      </c>
      <c r="BX114" s="49">
        <f>IF(AND(BX$4&gt;EOMONTH(CloseDate,'Rent Roll'!$O$15+'Rent Roll'!$S$15-1),BX$4&lt;=EOMONTH(CloseDate,'Rent Roll'!$O$15+'Rent Roll'!$S$15-1+'Rent Roll'!$V$15)),-BX113,0)</f>
        <v>0</v>
      </c>
    </row>
    <row r="115" spans="1:76" hidden="1" outlineLevel="1">
      <c r="B115" t="s">
        <v>84</v>
      </c>
      <c r="D115" s="49">
        <f>D111+D113+D114</f>
        <v>11050</v>
      </c>
      <c r="E115" s="49">
        <f t="shared" ref="E115:BJ115" si="44">E111+E113+E114</f>
        <v>11050</v>
      </c>
      <c r="F115" s="49">
        <f t="shared" si="44"/>
        <v>11050</v>
      </c>
      <c r="G115" s="49">
        <f t="shared" si="44"/>
        <v>11050</v>
      </c>
      <c r="H115" s="49">
        <f t="shared" si="44"/>
        <v>11050</v>
      </c>
      <c r="I115" s="49">
        <f t="shared" si="44"/>
        <v>11050</v>
      </c>
      <c r="J115" s="49">
        <f t="shared" si="44"/>
        <v>11050</v>
      </c>
      <c r="K115" s="49">
        <f t="shared" si="44"/>
        <v>11050</v>
      </c>
      <c r="L115" s="49">
        <f t="shared" si="44"/>
        <v>11050</v>
      </c>
      <c r="M115" s="49">
        <f t="shared" si="44"/>
        <v>11050</v>
      </c>
      <c r="N115" s="49">
        <f t="shared" si="44"/>
        <v>11050</v>
      </c>
      <c r="O115" s="49">
        <f t="shared" si="44"/>
        <v>11050</v>
      </c>
      <c r="P115" s="49">
        <f t="shared" si="44"/>
        <v>11326.249999999998</v>
      </c>
      <c r="Q115" s="49">
        <f t="shared" si="44"/>
        <v>11326.249999999998</v>
      </c>
      <c r="R115" s="49">
        <f t="shared" si="44"/>
        <v>11326.249999999998</v>
      </c>
      <c r="S115" s="49">
        <f t="shared" si="44"/>
        <v>11326.249999999998</v>
      </c>
      <c r="T115" s="49">
        <f t="shared" si="44"/>
        <v>11326.249999999998</v>
      </c>
      <c r="U115" s="49">
        <f t="shared" si="44"/>
        <v>11609.40625</v>
      </c>
      <c r="V115" s="49">
        <f t="shared" si="44"/>
        <v>11609.40625</v>
      </c>
      <c r="W115" s="49">
        <f t="shared" si="44"/>
        <v>11609.40625</v>
      </c>
      <c r="X115" s="49">
        <f t="shared" si="44"/>
        <v>11609.40625</v>
      </c>
      <c r="Y115" s="49">
        <f t="shared" si="44"/>
        <v>11609.40625</v>
      </c>
      <c r="Z115" s="49">
        <f t="shared" si="44"/>
        <v>11609.40625</v>
      </c>
      <c r="AA115" s="49">
        <f t="shared" si="44"/>
        <v>11609.40625</v>
      </c>
      <c r="AB115" s="49">
        <f t="shared" si="44"/>
        <v>11609.40625</v>
      </c>
      <c r="AC115" s="49">
        <f t="shared" si="44"/>
        <v>11609.40625</v>
      </c>
      <c r="AD115" s="49">
        <f t="shared" si="44"/>
        <v>11609.40625</v>
      </c>
      <c r="AE115" s="49">
        <f t="shared" si="44"/>
        <v>11609.40625</v>
      </c>
      <c r="AF115" s="49">
        <f t="shared" si="44"/>
        <v>11609.40625</v>
      </c>
      <c r="AG115" s="49">
        <f t="shared" si="44"/>
        <v>11899.641406249999</v>
      </c>
      <c r="AH115" s="49">
        <f t="shared" si="44"/>
        <v>11899.641406249999</v>
      </c>
      <c r="AI115" s="49">
        <f t="shared" si="44"/>
        <v>11899.641406249999</v>
      </c>
      <c r="AJ115" s="49">
        <f t="shared" si="44"/>
        <v>11899.641406249999</v>
      </c>
      <c r="AK115" s="49">
        <f t="shared" si="44"/>
        <v>11899.641406249999</v>
      </c>
      <c r="AL115" s="49">
        <f t="shared" si="44"/>
        <v>11899.641406249999</v>
      </c>
      <c r="AM115" s="49">
        <f t="shared" si="44"/>
        <v>11899.641406249999</v>
      </c>
      <c r="AN115" s="49">
        <f t="shared" si="44"/>
        <v>0</v>
      </c>
      <c r="AO115" s="49">
        <f t="shared" si="44"/>
        <v>0</v>
      </c>
      <c r="AP115" s="49">
        <f t="shared" si="44"/>
        <v>0</v>
      </c>
      <c r="AQ115" s="49">
        <f t="shared" si="44"/>
        <v>0</v>
      </c>
      <c r="AR115" s="49">
        <f t="shared" si="44"/>
        <v>0</v>
      </c>
      <c r="AS115" s="49">
        <f t="shared" si="44"/>
        <v>0</v>
      </c>
      <c r="AT115" s="49">
        <f t="shared" si="44"/>
        <v>0</v>
      </c>
      <c r="AU115" s="49">
        <f t="shared" si="44"/>
        <v>15552.513792878963</v>
      </c>
      <c r="AV115" s="49">
        <f t="shared" si="44"/>
        <v>15552.513792878963</v>
      </c>
      <c r="AW115" s="49">
        <f t="shared" si="44"/>
        <v>15552.513792878963</v>
      </c>
      <c r="AX115" s="49">
        <f t="shared" si="44"/>
        <v>15552.513792878963</v>
      </c>
      <c r="AY115" s="49">
        <f t="shared" si="44"/>
        <v>15552.513792878963</v>
      </c>
      <c r="AZ115" s="49">
        <f t="shared" si="44"/>
        <v>15552.513792878963</v>
      </c>
      <c r="BA115" s="49">
        <f t="shared" si="44"/>
        <v>15552.513792878963</v>
      </c>
      <c r="BB115" s="49">
        <f t="shared" si="44"/>
        <v>15552.513792878963</v>
      </c>
      <c r="BC115" s="49">
        <f t="shared" si="44"/>
        <v>15552.513792878963</v>
      </c>
      <c r="BD115" s="49">
        <f t="shared" si="44"/>
        <v>15552.513792878963</v>
      </c>
      <c r="BE115" s="49">
        <f t="shared" si="44"/>
        <v>15972.431665286693</v>
      </c>
      <c r="BF115" s="49">
        <f t="shared" si="44"/>
        <v>15972.431665286693</v>
      </c>
      <c r="BG115" s="49">
        <f t="shared" si="44"/>
        <v>15972.431665286693</v>
      </c>
      <c r="BH115" s="49">
        <f t="shared" si="44"/>
        <v>15972.431665286693</v>
      </c>
      <c r="BI115" s="49">
        <f t="shared" si="44"/>
        <v>15972.431665286693</v>
      </c>
      <c r="BJ115" s="49">
        <f t="shared" si="44"/>
        <v>15972.431665286693</v>
      </c>
      <c r="BK115" s="49">
        <f t="shared" ref="BK115" si="45">BK111+BK113+BK114</f>
        <v>15972.431665286693</v>
      </c>
      <c r="BL115" s="49">
        <f t="shared" ref="BL115:BX115" si="46">BL111+BL113+BL114</f>
        <v>15972.431665286693</v>
      </c>
      <c r="BM115" s="49">
        <f t="shared" si="46"/>
        <v>15972.431665286693</v>
      </c>
      <c r="BN115" s="49">
        <f t="shared" si="46"/>
        <v>15972.431665286693</v>
      </c>
      <c r="BO115" s="49">
        <f t="shared" si="46"/>
        <v>15972.431665286693</v>
      </c>
      <c r="BP115" s="49">
        <f t="shared" si="46"/>
        <v>15972.431665286693</v>
      </c>
      <c r="BQ115" s="49">
        <f t="shared" si="46"/>
        <v>16403.687320249432</v>
      </c>
      <c r="BR115" s="49">
        <f t="shared" si="46"/>
        <v>16403.687320249432</v>
      </c>
      <c r="BS115" s="49">
        <f t="shared" si="46"/>
        <v>16403.687320249432</v>
      </c>
      <c r="BT115" s="49">
        <f t="shared" si="46"/>
        <v>16403.687320249432</v>
      </c>
      <c r="BU115" s="49">
        <f t="shared" si="46"/>
        <v>16403.687320249432</v>
      </c>
      <c r="BV115" s="49">
        <f t="shared" si="46"/>
        <v>16403.687320249432</v>
      </c>
      <c r="BW115" s="49">
        <f t="shared" si="46"/>
        <v>16403.687320249432</v>
      </c>
      <c r="BX115" s="49">
        <f t="shared" si="46"/>
        <v>16403.687320249432</v>
      </c>
    </row>
    <row r="116" spans="1:76" hidden="1" outlineLevel="1">
      <c r="B116" t="s">
        <v>85</v>
      </c>
      <c r="D116" s="49">
        <f>IF(OR(D110=1,D112=1),'Rent Roll'!$F$15/BldgSF*ReimbPool/12*D$7,0)</f>
        <v>5933</v>
      </c>
      <c r="E116" s="49">
        <f>IF(OR(E110=1,E112=1),'Rent Roll'!$F$15/BldgSF*ReimbPool/12*E$7,0)</f>
        <v>5933</v>
      </c>
      <c r="F116" s="49">
        <f>IF(OR(F110=1,F112=1),'Rent Roll'!$F$15/BldgSF*ReimbPool/12*F$7,0)</f>
        <v>5933</v>
      </c>
      <c r="G116" s="49">
        <f>IF(OR(G110=1,G112=1),'Rent Roll'!$F$15/BldgSF*ReimbPool/12*G$7,0)</f>
        <v>5933</v>
      </c>
      <c r="H116" s="49">
        <f>IF(OR(H110=1,H112=1),'Rent Roll'!$F$15/BldgSF*ReimbPool/12*H$7,0)</f>
        <v>5933</v>
      </c>
      <c r="I116" s="49">
        <f>IF(OR(I110=1,I112=1),'Rent Roll'!$F$15/BldgSF*ReimbPool/12*I$7,0)</f>
        <v>6093.1909999999998</v>
      </c>
      <c r="J116" s="49">
        <f>IF(OR(J110=1,J112=1),'Rent Roll'!$F$15/BldgSF*ReimbPool/12*J$7,0)</f>
        <v>6093.1909999999998</v>
      </c>
      <c r="K116" s="49">
        <f>IF(OR(K110=1,K112=1),'Rent Roll'!$F$15/BldgSF*ReimbPool/12*K$7,0)</f>
        <v>6093.1909999999998</v>
      </c>
      <c r="L116" s="49">
        <f>IF(OR(L110=1,L112=1),'Rent Roll'!$F$15/BldgSF*ReimbPool/12*L$7,0)</f>
        <v>6093.1909999999998</v>
      </c>
      <c r="M116" s="49">
        <f>IF(OR(M110=1,M112=1),'Rent Roll'!$F$15/BldgSF*ReimbPool/12*M$7,0)</f>
        <v>6093.1909999999998</v>
      </c>
      <c r="N116" s="49">
        <f>IF(OR(N110=1,N112=1),'Rent Roll'!$F$15/BldgSF*ReimbPool/12*N$7,0)</f>
        <v>6093.1909999999998</v>
      </c>
      <c r="O116" s="49">
        <f>IF(OR(O110=1,O112=1),'Rent Roll'!$F$15/BldgSF*ReimbPool/12*O$7,0)</f>
        <v>6093.1909999999998</v>
      </c>
      <c r="P116" s="49">
        <f>IF(OR(P110=1,P112=1),'Rent Roll'!$F$15/BldgSF*ReimbPool/12*P$7,0)</f>
        <v>6093.1909999999998</v>
      </c>
      <c r="Q116" s="49">
        <f>IF(OR(Q110=1,Q112=1),'Rent Roll'!$F$15/BldgSF*ReimbPool/12*Q$7,0)</f>
        <v>6093.1909999999998</v>
      </c>
      <c r="R116" s="49">
        <f>IF(OR(R110=1,R112=1),'Rent Roll'!$F$15/BldgSF*ReimbPool/12*R$7,0)</f>
        <v>6093.1909999999998</v>
      </c>
      <c r="S116" s="49">
        <f>IF(OR(S110=1,S112=1),'Rent Roll'!$F$15/BldgSF*ReimbPool/12*S$7,0)</f>
        <v>6093.1909999999998</v>
      </c>
      <c r="T116" s="49">
        <f>IF(OR(T110=1,T112=1),'Rent Roll'!$F$15/BldgSF*ReimbPool/12*T$7,0)</f>
        <v>6093.1909999999998</v>
      </c>
      <c r="U116" s="49">
        <f>IF(OR(U110=1,U112=1),'Rent Roll'!$F$15/BldgSF*ReimbPool/12*U$7,0)</f>
        <v>6257.7071569999989</v>
      </c>
      <c r="V116" s="49">
        <f>IF(OR(V110=1,V112=1),'Rent Roll'!$F$15/BldgSF*ReimbPool/12*V$7,0)</f>
        <v>6257.7071569999989</v>
      </c>
      <c r="W116" s="49">
        <f>IF(OR(W110=1,W112=1),'Rent Roll'!$F$15/BldgSF*ReimbPool/12*W$7,0)</f>
        <v>6257.7071569999989</v>
      </c>
      <c r="X116" s="49">
        <f>IF(OR(X110=1,X112=1),'Rent Roll'!$F$15/BldgSF*ReimbPool/12*X$7,0)</f>
        <v>6257.7071569999989</v>
      </c>
      <c r="Y116" s="49">
        <f>IF(OR(Y110=1,Y112=1),'Rent Roll'!$F$15/BldgSF*ReimbPool/12*Y$7,0)</f>
        <v>6257.7071569999989</v>
      </c>
      <c r="Z116" s="49">
        <f>IF(OR(Z110=1,Z112=1),'Rent Roll'!$F$15/BldgSF*ReimbPool/12*Z$7,0)</f>
        <v>6257.7071569999989</v>
      </c>
      <c r="AA116" s="49">
        <f>IF(OR(AA110=1,AA112=1),'Rent Roll'!$F$15/BldgSF*ReimbPool/12*AA$7,0)</f>
        <v>6257.7071569999989</v>
      </c>
      <c r="AB116" s="49">
        <f>IF(OR(AB110=1,AB112=1),'Rent Roll'!$F$15/BldgSF*ReimbPool/12*AB$7,0)</f>
        <v>6257.7071569999989</v>
      </c>
      <c r="AC116" s="49">
        <f>IF(OR(AC110=1,AC112=1),'Rent Roll'!$F$15/BldgSF*ReimbPool/12*AC$7,0)</f>
        <v>6257.7071569999989</v>
      </c>
      <c r="AD116" s="49">
        <f>IF(OR(AD110=1,AD112=1),'Rent Roll'!$F$15/BldgSF*ReimbPool/12*AD$7,0)</f>
        <v>6257.7071569999989</v>
      </c>
      <c r="AE116" s="49">
        <f>IF(OR(AE110=1,AE112=1),'Rent Roll'!$F$15/BldgSF*ReimbPool/12*AE$7,0)</f>
        <v>6257.7071569999989</v>
      </c>
      <c r="AF116" s="49">
        <f>IF(OR(AF110=1,AF112=1),'Rent Roll'!$F$15/BldgSF*ReimbPool/12*AF$7,0)</f>
        <v>6257.7071569999989</v>
      </c>
      <c r="AG116" s="49">
        <f>IF(OR(AG110=1,AG112=1),'Rent Roll'!$F$15/BldgSF*ReimbPool/12*AG$7,0)</f>
        <v>6426.6652502389989</v>
      </c>
      <c r="AH116" s="49">
        <f>IF(OR(AH110=1,AH112=1),'Rent Roll'!$F$15/BldgSF*ReimbPool/12*AH$7,0)</f>
        <v>6426.6652502389989</v>
      </c>
      <c r="AI116" s="49">
        <f>IF(OR(AI110=1,AI112=1),'Rent Roll'!$F$15/BldgSF*ReimbPool/12*AI$7,0)</f>
        <v>6426.6652502389989</v>
      </c>
      <c r="AJ116" s="49">
        <f>IF(OR(AJ110=1,AJ112=1),'Rent Roll'!$F$15/BldgSF*ReimbPool/12*AJ$7,0)</f>
        <v>6426.6652502389989</v>
      </c>
      <c r="AK116" s="49">
        <f>IF(OR(AK110=1,AK112=1),'Rent Roll'!$F$15/BldgSF*ReimbPool/12*AK$7,0)</f>
        <v>6426.6652502389989</v>
      </c>
      <c r="AL116" s="49">
        <f>IF(OR(AL110=1,AL112=1),'Rent Roll'!$F$15/BldgSF*ReimbPool/12*AL$7,0)</f>
        <v>6426.6652502389989</v>
      </c>
      <c r="AM116" s="49">
        <f>IF(OR(AM110=1,AM112=1),'Rent Roll'!$F$15/BldgSF*ReimbPool/12*AM$7,0)</f>
        <v>6426.6652502389989</v>
      </c>
      <c r="AN116" s="49">
        <f>IF(OR(AN110=1,AN112=1),'Rent Roll'!$F$15/BldgSF*ReimbPool/12*AN$7,0)</f>
        <v>0</v>
      </c>
      <c r="AO116" s="49">
        <f>IF(OR(AO110=1,AO112=1),'Rent Roll'!$F$15/BldgSF*ReimbPool/12*AO$7,0)</f>
        <v>0</v>
      </c>
      <c r="AP116" s="49">
        <f>IF(OR(AP110=1,AP112=1),'Rent Roll'!$F$15/BldgSF*ReimbPool/12*AP$7,0)</f>
        <v>0</v>
      </c>
      <c r="AQ116" s="49">
        <f>IF(OR(AQ110=1,AQ112=1),'Rent Roll'!$F$15/BldgSF*ReimbPool/12*AQ$7,0)</f>
        <v>0</v>
      </c>
      <c r="AR116" s="49">
        <f>IF(OR(AR110=1,AR112=1),'Rent Roll'!$F$15/BldgSF*ReimbPool/12*AR$7,0)</f>
        <v>0</v>
      </c>
      <c r="AS116" s="49">
        <f>IF(OR(AS110=1,AS112=1),'Rent Roll'!$F$15/BldgSF*ReimbPool/12*AS$7,0)</f>
        <v>6600.185211995451</v>
      </c>
      <c r="AT116" s="49">
        <f>IF(OR(AT110=1,AT112=1),'Rent Roll'!$F$15/BldgSF*ReimbPool/12*AT$7,0)</f>
        <v>6600.185211995451</v>
      </c>
      <c r="AU116" s="49">
        <f>IF(OR(AU110=1,AU112=1),'Rent Roll'!$F$15/BldgSF*ReimbPool/12*AU$7,0)</f>
        <v>6600.185211995451</v>
      </c>
      <c r="AV116" s="49">
        <f>IF(OR(AV110=1,AV112=1),'Rent Roll'!$F$15/BldgSF*ReimbPool/12*AV$7,0)</f>
        <v>6600.185211995451</v>
      </c>
      <c r="AW116" s="49">
        <f>IF(OR(AW110=1,AW112=1),'Rent Roll'!$F$15/BldgSF*ReimbPool/12*AW$7,0)</f>
        <v>6600.185211995451</v>
      </c>
      <c r="AX116" s="49">
        <f>IF(OR(AX110=1,AX112=1),'Rent Roll'!$F$15/BldgSF*ReimbPool/12*AX$7,0)</f>
        <v>6600.185211995451</v>
      </c>
      <c r="AY116" s="49">
        <f>IF(OR(AY110=1,AY112=1),'Rent Roll'!$F$15/BldgSF*ReimbPool/12*AY$7,0)</f>
        <v>6600.185211995451</v>
      </c>
      <c r="AZ116" s="49">
        <f>IF(OR(AZ110=1,AZ112=1),'Rent Roll'!$F$15/BldgSF*ReimbPool/12*AZ$7,0)</f>
        <v>6600.185211995451</v>
      </c>
      <c r="BA116" s="49">
        <f>IF(OR(BA110=1,BA112=1),'Rent Roll'!$F$15/BldgSF*ReimbPool/12*BA$7,0)</f>
        <v>6600.185211995451</v>
      </c>
      <c r="BB116" s="49">
        <f>IF(OR(BB110=1,BB112=1),'Rent Roll'!$F$15/BldgSF*ReimbPool/12*BB$7,0)</f>
        <v>6600.185211995451</v>
      </c>
      <c r="BC116" s="49">
        <f>IF(OR(BC110=1,BC112=1),'Rent Roll'!$F$15/BldgSF*ReimbPool/12*BC$7,0)</f>
        <v>6600.185211995451</v>
      </c>
      <c r="BD116" s="49">
        <f>IF(OR(BD110=1,BD112=1),'Rent Roll'!$F$15/BldgSF*ReimbPool/12*BD$7,0)</f>
        <v>6600.185211995451</v>
      </c>
      <c r="BE116" s="49">
        <f>IF(OR(BE110=1,BE112=1),'Rent Roll'!$F$15/BldgSF*ReimbPool/12*BE$7,0)</f>
        <v>6778.3902127193269</v>
      </c>
      <c r="BF116" s="49">
        <f>IF(OR(BF110=1,BF112=1),'Rent Roll'!$F$15/BldgSF*ReimbPool/12*BF$7,0)</f>
        <v>6778.3902127193269</v>
      </c>
      <c r="BG116" s="49">
        <f>IF(OR(BG110=1,BG112=1),'Rent Roll'!$F$15/BldgSF*ReimbPool/12*BG$7,0)</f>
        <v>6778.3902127193269</v>
      </c>
      <c r="BH116" s="49">
        <f>IF(OR(BH110=1,BH112=1),'Rent Roll'!$F$15/BldgSF*ReimbPool/12*BH$7,0)</f>
        <v>6778.3902127193269</v>
      </c>
      <c r="BI116" s="49">
        <f>IF(OR(BI110=1,BI112=1),'Rent Roll'!$F$15/BldgSF*ReimbPool/12*BI$7,0)</f>
        <v>6778.3902127193269</v>
      </c>
      <c r="BJ116" s="49">
        <f>IF(OR(BJ110=1,BJ112=1),'Rent Roll'!$F$15/BldgSF*ReimbPool/12*BJ$7,0)</f>
        <v>6778.3902127193269</v>
      </c>
      <c r="BK116" s="49">
        <f>IF(OR(BK110=1,BK112=1),'Rent Roll'!$F$15/BldgSF*ReimbPool/12*BK$7,0)</f>
        <v>6778.3902127193269</v>
      </c>
      <c r="BL116" s="49">
        <f>IF(OR(BL110=1,BL112=1),'Rent Roll'!$F$15/BldgSF*ReimbPool/12*BL$7,0)</f>
        <v>6778.3902127193269</v>
      </c>
      <c r="BM116" s="49">
        <f>IF(OR(BM110=1,BM112=1),'Rent Roll'!$F$15/BldgSF*ReimbPool/12*BM$7,0)</f>
        <v>6778.3902127193269</v>
      </c>
      <c r="BN116" s="49">
        <f>IF(OR(BN110=1,BN112=1),'Rent Roll'!$F$15/BldgSF*ReimbPool/12*BN$7,0)</f>
        <v>6778.3902127193269</v>
      </c>
      <c r="BO116" s="49">
        <f>IF(OR(BO110=1,BO112=1),'Rent Roll'!$F$15/BldgSF*ReimbPool/12*BO$7,0)</f>
        <v>6778.3902127193269</v>
      </c>
      <c r="BP116" s="49">
        <f>IF(OR(BP110=1,BP112=1),'Rent Roll'!$F$15/BldgSF*ReimbPool/12*BP$7,0)</f>
        <v>6778.3902127193269</v>
      </c>
      <c r="BQ116" s="49">
        <f>IF(OR(BQ110=1,BQ112=1),'Rent Roll'!$F$15/BldgSF*ReimbPool/12*BQ$7,0)</f>
        <v>6961.4067484627485</v>
      </c>
      <c r="BR116" s="49">
        <f>IF(OR(BR110=1,BR112=1),'Rent Roll'!$F$15/BldgSF*ReimbPool/12*BR$7,0)</f>
        <v>6961.4067484627485</v>
      </c>
      <c r="BS116" s="49">
        <f>IF(OR(BS110=1,BS112=1),'Rent Roll'!$F$15/BldgSF*ReimbPool/12*BS$7,0)</f>
        <v>6961.4067484627485</v>
      </c>
      <c r="BT116" s="49">
        <f>IF(OR(BT110=1,BT112=1),'Rent Roll'!$F$15/BldgSF*ReimbPool/12*BT$7,0)</f>
        <v>6961.4067484627485</v>
      </c>
      <c r="BU116" s="49">
        <f>IF(OR(BU110=1,BU112=1),'Rent Roll'!$F$15/BldgSF*ReimbPool/12*BU$7,0)</f>
        <v>6961.4067484627485</v>
      </c>
      <c r="BV116" s="49">
        <f>IF(OR(BV110=1,BV112=1),'Rent Roll'!$F$15/BldgSF*ReimbPool/12*BV$7,0)</f>
        <v>6961.4067484627485</v>
      </c>
      <c r="BW116" s="49">
        <f>IF(OR(BW110=1,BW112=1),'Rent Roll'!$F$15/BldgSF*ReimbPool/12*BW$7,0)</f>
        <v>6961.4067484627485</v>
      </c>
      <c r="BX116" s="49">
        <f>IF(OR(BX110=1,BX112=1),'Rent Roll'!$F$15/BldgSF*ReimbPool/12*BX$7,0)</f>
        <v>6961.4067484627485</v>
      </c>
    </row>
    <row r="117" spans="1:76" hidden="1" outlineLevel="1">
      <c r="B117" t="s">
        <v>86</v>
      </c>
      <c r="D117" s="49">
        <f>IF(D$4=EOMONTH(CloseDate,'Rent Roll'!$O$15+'Rent Roll'!$S$15),-'Rent Roll'!$F$15*'Rent Roll'!$T$15,0)</f>
        <v>0</v>
      </c>
      <c r="E117" s="49">
        <f>IF(E$4=EOMONTH(CloseDate,'Rent Roll'!$O$15+'Rent Roll'!$S$15),-'Rent Roll'!$F$15*'Rent Roll'!$T$15,0)</f>
        <v>0</v>
      </c>
      <c r="F117" s="49">
        <f>IF(F$4=EOMONTH(CloseDate,'Rent Roll'!$O$15+'Rent Roll'!$S$15),-'Rent Roll'!$F$15*'Rent Roll'!$T$15,0)</f>
        <v>0</v>
      </c>
      <c r="G117" s="49">
        <f>IF(G$4=EOMONTH(CloseDate,'Rent Roll'!$O$15+'Rent Roll'!$S$15),-'Rent Roll'!$F$15*'Rent Roll'!$T$15,0)</f>
        <v>0</v>
      </c>
      <c r="H117" s="49">
        <f>IF(H$4=EOMONTH(CloseDate,'Rent Roll'!$O$15+'Rent Roll'!$S$15),-'Rent Roll'!$F$15*'Rent Roll'!$T$15,0)</f>
        <v>0</v>
      </c>
      <c r="I117" s="49">
        <f>IF(I$4=EOMONTH(CloseDate,'Rent Roll'!$O$15+'Rent Roll'!$S$15),-'Rent Roll'!$F$15*'Rent Roll'!$T$15,0)</f>
        <v>0</v>
      </c>
      <c r="J117" s="49">
        <f>IF(J$4=EOMONTH(CloseDate,'Rent Roll'!$O$15+'Rent Roll'!$S$15),-'Rent Roll'!$F$15*'Rent Roll'!$T$15,0)</f>
        <v>0</v>
      </c>
      <c r="K117" s="49">
        <f>IF(K$4=EOMONTH(CloseDate,'Rent Roll'!$O$15+'Rent Roll'!$S$15),-'Rent Roll'!$F$15*'Rent Roll'!$T$15,0)</f>
        <v>0</v>
      </c>
      <c r="L117" s="49">
        <f>IF(L$4=EOMONTH(CloseDate,'Rent Roll'!$O$15+'Rent Roll'!$S$15),-'Rent Roll'!$F$15*'Rent Roll'!$T$15,0)</f>
        <v>0</v>
      </c>
      <c r="M117" s="49">
        <f>IF(M$4=EOMONTH(CloseDate,'Rent Roll'!$O$15+'Rent Roll'!$S$15),-'Rent Roll'!$F$15*'Rent Roll'!$T$15,0)</f>
        <v>0</v>
      </c>
      <c r="N117" s="49">
        <f>IF(N$4=EOMONTH(CloseDate,'Rent Roll'!$O$15+'Rent Roll'!$S$15),-'Rent Roll'!$F$15*'Rent Roll'!$T$15,0)</f>
        <v>0</v>
      </c>
      <c r="O117" s="49">
        <f>IF(O$4=EOMONTH(CloseDate,'Rent Roll'!$O$15+'Rent Roll'!$S$15),-'Rent Roll'!$F$15*'Rent Roll'!$T$15,0)</f>
        <v>0</v>
      </c>
      <c r="P117" s="49">
        <f>IF(P$4=EOMONTH(CloseDate,'Rent Roll'!$O$15+'Rent Roll'!$S$15),-'Rent Roll'!$F$15*'Rent Roll'!$T$15,0)</f>
        <v>0</v>
      </c>
      <c r="Q117" s="49">
        <f>IF(Q$4=EOMONTH(CloseDate,'Rent Roll'!$O$15+'Rent Roll'!$S$15),-'Rent Roll'!$F$15*'Rent Roll'!$T$15,0)</f>
        <v>0</v>
      </c>
      <c r="R117" s="49">
        <f>IF(R$4=EOMONTH(CloseDate,'Rent Roll'!$O$15+'Rent Roll'!$S$15),-'Rent Roll'!$F$15*'Rent Roll'!$T$15,0)</f>
        <v>0</v>
      </c>
      <c r="S117" s="49">
        <f>IF(S$4=EOMONTH(CloseDate,'Rent Roll'!$O$15+'Rent Roll'!$S$15),-'Rent Roll'!$F$15*'Rent Roll'!$T$15,0)</f>
        <v>0</v>
      </c>
      <c r="T117" s="49">
        <f>IF(T$4=EOMONTH(CloseDate,'Rent Roll'!$O$15+'Rent Roll'!$S$15),-'Rent Roll'!$F$15*'Rent Roll'!$T$15,0)</f>
        <v>0</v>
      </c>
      <c r="U117" s="49">
        <f>IF(U$4=EOMONTH(CloseDate,'Rent Roll'!$O$15+'Rent Roll'!$S$15),-'Rent Roll'!$F$15*'Rent Roll'!$T$15,0)</f>
        <v>0</v>
      </c>
      <c r="V117" s="49">
        <f>IF(V$4=EOMONTH(CloseDate,'Rent Roll'!$O$15+'Rent Roll'!$S$15),-'Rent Roll'!$F$15*'Rent Roll'!$T$15,0)</f>
        <v>0</v>
      </c>
      <c r="W117" s="49">
        <f>IF(W$4=EOMONTH(CloseDate,'Rent Roll'!$O$15+'Rent Roll'!$S$15),-'Rent Roll'!$F$15*'Rent Roll'!$T$15,0)</f>
        <v>0</v>
      </c>
      <c r="X117" s="49">
        <f>IF(X$4=EOMONTH(CloseDate,'Rent Roll'!$O$15+'Rent Roll'!$S$15),-'Rent Roll'!$F$15*'Rent Roll'!$T$15,0)</f>
        <v>0</v>
      </c>
      <c r="Y117" s="49">
        <f>IF(Y$4=EOMONTH(CloseDate,'Rent Roll'!$O$15+'Rent Roll'!$S$15),-'Rent Roll'!$F$15*'Rent Roll'!$T$15,0)</f>
        <v>0</v>
      </c>
      <c r="Z117" s="49">
        <f>IF(Z$4=EOMONTH(CloseDate,'Rent Roll'!$O$15+'Rent Roll'!$S$15),-'Rent Roll'!$F$15*'Rent Roll'!$T$15,0)</f>
        <v>0</v>
      </c>
      <c r="AA117" s="49">
        <f>IF(AA$4=EOMONTH(CloseDate,'Rent Roll'!$O$15+'Rent Roll'!$S$15),-'Rent Roll'!$F$15*'Rent Roll'!$T$15,0)</f>
        <v>0</v>
      </c>
      <c r="AB117" s="49">
        <f>IF(AB$4=EOMONTH(CloseDate,'Rent Roll'!$O$15+'Rent Roll'!$S$15),-'Rent Roll'!$F$15*'Rent Roll'!$T$15,0)</f>
        <v>0</v>
      </c>
      <c r="AC117" s="49">
        <f>IF(AC$4=EOMONTH(CloseDate,'Rent Roll'!$O$15+'Rent Roll'!$S$15),-'Rent Roll'!$F$15*'Rent Roll'!$T$15,0)</f>
        <v>0</v>
      </c>
      <c r="AD117" s="49">
        <f>IF(AD$4=EOMONTH(CloseDate,'Rent Roll'!$O$15+'Rent Roll'!$S$15),-'Rent Roll'!$F$15*'Rent Roll'!$T$15,0)</f>
        <v>0</v>
      </c>
      <c r="AE117" s="49">
        <f>IF(AE$4=EOMONTH(CloseDate,'Rent Roll'!$O$15+'Rent Roll'!$S$15),-'Rent Roll'!$F$15*'Rent Roll'!$T$15,0)</f>
        <v>0</v>
      </c>
      <c r="AF117" s="49">
        <f>IF(AF$4=EOMONTH(CloseDate,'Rent Roll'!$O$15+'Rent Roll'!$S$15),-'Rent Roll'!$F$15*'Rent Roll'!$T$15,0)</f>
        <v>0</v>
      </c>
      <c r="AG117" s="49">
        <f>IF(AG$4=EOMONTH(CloseDate,'Rent Roll'!$O$15+'Rent Roll'!$S$15),-'Rent Roll'!$F$15*'Rent Roll'!$T$15,0)</f>
        <v>0</v>
      </c>
      <c r="AH117" s="49">
        <f>IF(AH$4=EOMONTH(CloseDate,'Rent Roll'!$O$15+'Rent Roll'!$S$15),-'Rent Roll'!$F$15*'Rent Roll'!$T$15,0)</f>
        <v>0</v>
      </c>
      <c r="AI117" s="49">
        <f>IF(AI$4=EOMONTH(CloseDate,'Rent Roll'!$O$15+'Rent Roll'!$S$15),-'Rent Roll'!$F$15*'Rent Roll'!$T$15,0)</f>
        <v>0</v>
      </c>
      <c r="AJ117" s="49">
        <f>IF(AJ$4=EOMONTH(CloseDate,'Rent Roll'!$O$15+'Rent Roll'!$S$15),-'Rent Roll'!$F$15*'Rent Roll'!$T$15,0)</f>
        <v>0</v>
      </c>
      <c r="AK117" s="49">
        <f>IF(AK$4=EOMONTH(CloseDate,'Rent Roll'!$O$15+'Rent Roll'!$S$15),-'Rent Roll'!$F$15*'Rent Roll'!$T$15,0)</f>
        <v>0</v>
      </c>
      <c r="AL117" s="49">
        <f>IF(AL$4=EOMONTH(CloseDate,'Rent Roll'!$O$15+'Rent Roll'!$S$15),-'Rent Roll'!$F$15*'Rent Roll'!$T$15,0)</f>
        <v>0</v>
      </c>
      <c r="AM117" s="49">
        <f>IF(AM$4=EOMONTH(CloseDate,'Rent Roll'!$O$15+'Rent Roll'!$S$15),-'Rent Roll'!$F$15*'Rent Roll'!$T$15,0)</f>
        <v>0</v>
      </c>
      <c r="AN117" s="49">
        <f>IF(AN$4=EOMONTH(CloseDate,'Rent Roll'!$O$15+'Rent Roll'!$S$15),-'Rent Roll'!$F$15*'Rent Roll'!$T$15,0)</f>
        <v>0</v>
      </c>
      <c r="AO117" s="49">
        <f>IF(AO$4=EOMONTH(CloseDate,'Rent Roll'!$O$15+'Rent Roll'!$S$15),-'Rent Roll'!$F$15*'Rent Roll'!$T$15,0)</f>
        <v>0</v>
      </c>
      <c r="AP117" s="49">
        <f>IF(AP$4=EOMONTH(CloseDate,'Rent Roll'!$O$15+'Rent Roll'!$S$15),-'Rent Roll'!$F$15*'Rent Roll'!$T$15,0)</f>
        <v>0</v>
      </c>
      <c r="AQ117" s="49">
        <f>IF(AQ$4=EOMONTH(CloseDate,'Rent Roll'!$O$15+'Rent Roll'!$S$15),-'Rent Roll'!$F$15*'Rent Roll'!$T$15,0)</f>
        <v>0</v>
      </c>
      <c r="AR117" s="49">
        <f>IF(AR$4=EOMONTH(CloseDate,'Rent Roll'!$O$15+'Rent Roll'!$S$15),-'Rent Roll'!$F$15*'Rent Roll'!$T$15,0)</f>
        <v>0</v>
      </c>
      <c r="AS117" s="49">
        <f>IF(AS$4=EOMONTH(CloseDate,'Rent Roll'!$O$15+'Rent Roll'!$S$15),-'Rent Roll'!$F$15*'Rent Roll'!$T$15,0)</f>
        <v>-244800</v>
      </c>
      <c r="AT117" s="49">
        <f>IF(AT$4=EOMONTH(CloseDate,'Rent Roll'!$O$15+'Rent Roll'!$S$15),-'Rent Roll'!$F$15*'Rent Roll'!$T$15,0)</f>
        <v>0</v>
      </c>
      <c r="AU117" s="49">
        <f>IF(AU$4=EOMONTH(CloseDate,'Rent Roll'!$O$15+'Rent Roll'!$S$15),-'Rent Roll'!$F$15*'Rent Roll'!$T$15,0)</f>
        <v>0</v>
      </c>
      <c r="AV117" s="49">
        <f>IF(AV$4=EOMONTH(CloseDate,'Rent Roll'!$O$15+'Rent Roll'!$S$15),-'Rent Roll'!$F$15*'Rent Roll'!$T$15,0)</f>
        <v>0</v>
      </c>
      <c r="AW117" s="49">
        <f>IF(AW$4=EOMONTH(CloseDate,'Rent Roll'!$O$15+'Rent Roll'!$S$15),-'Rent Roll'!$F$15*'Rent Roll'!$T$15,0)</f>
        <v>0</v>
      </c>
      <c r="AX117" s="49">
        <f>IF(AX$4=EOMONTH(CloseDate,'Rent Roll'!$O$15+'Rent Roll'!$S$15),-'Rent Roll'!$F$15*'Rent Roll'!$T$15,0)</f>
        <v>0</v>
      </c>
      <c r="AY117" s="49">
        <f>IF(AY$4=EOMONTH(CloseDate,'Rent Roll'!$O$15+'Rent Roll'!$S$15),-'Rent Roll'!$F$15*'Rent Roll'!$T$15,0)</f>
        <v>0</v>
      </c>
      <c r="AZ117" s="49">
        <f>IF(AZ$4=EOMONTH(CloseDate,'Rent Roll'!$O$15+'Rent Roll'!$S$15),-'Rent Roll'!$F$15*'Rent Roll'!$T$15,0)</f>
        <v>0</v>
      </c>
      <c r="BA117" s="49">
        <f>IF(BA$4=EOMONTH(CloseDate,'Rent Roll'!$O$15+'Rent Roll'!$S$15),-'Rent Roll'!$F$15*'Rent Roll'!$T$15,0)</f>
        <v>0</v>
      </c>
      <c r="BB117" s="49">
        <f>IF(BB$4=EOMONTH(CloseDate,'Rent Roll'!$O$15+'Rent Roll'!$S$15),-'Rent Roll'!$F$15*'Rent Roll'!$T$15,0)</f>
        <v>0</v>
      </c>
      <c r="BC117" s="49">
        <f>IF(BC$4=EOMONTH(CloseDate,'Rent Roll'!$O$15+'Rent Roll'!$S$15),-'Rent Roll'!$F$15*'Rent Roll'!$T$15,0)</f>
        <v>0</v>
      </c>
      <c r="BD117" s="49">
        <f>IF(BD$4=EOMONTH(CloseDate,'Rent Roll'!$O$15+'Rent Roll'!$S$15),-'Rent Roll'!$F$15*'Rent Roll'!$T$15,0)</f>
        <v>0</v>
      </c>
      <c r="BE117" s="49">
        <f>IF(BE$4=EOMONTH(CloseDate,'Rent Roll'!$O$15+'Rent Roll'!$S$15),-'Rent Roll'!$F$15*'Rent Roll'!$T$15,0)</f>
        <v>0</v>
      </c>
      <c r="BF117" s="49">
        <f>IF(BF$4=EOMONTH(CloseDate,'Rent Roll'!$O$15+'Rent Roll'!$S$15),-'Rent Roll'!$F$15*'Rent Roll'!$T$15,0)</f>
        <v>0</v>
      </c>
      <c r="BG117" s="49">
        <f>IF(BG$4=EOMONTH(CloseDate,'Rent Roll'!$O$15+'Rent Roll'!$S$15),-'Rent Roll'!$F$15*'Rent Roll'!$T$15,0)</f>
        <v>0</v>
      </c>
      <c r="BH117" s="49">
        <f>IF(BH$4=EOMONTH(CloseDate,'Rent Roll'!$O$15+'Rent Roll'!$S$15),-'Rent Roll'!$F$15*'Rent Roll'!$T$15,0)</f>
        <v>0</v>
      </c>
      <c r="BI117" s="49">
        <f>IF(BI$4=EOMONTH(CloseDate,'Rent Roll'!$O$15+'Rent Roll'!$S$15),-'Rent Roll'!$F$15*'Rent Roll'!$T$15,0)</f>
        <v>0</v>
      </c>
      <c r="BJ117" s="49">
        <f>IF(BJ$4=EOMONTH(CloseDate,'Rent Roll'!$O$15+'Rent Roll'!$S$15),-'Rent Roll'!$F$15*'Rent Roll'!$T$15,0)</f>
        <v>0</v>
      </c>
      <c r="BK117" s="49">
        <f>IF(BK$4=EOMONTH(CloseDate,'Rent Roll'!$O$15+'Rent Roll'!$S$15),-'Rent Roll'!$F$15*'Rent Roll'!$T$15,0)</f>
        <v>0</v>
      </c>
      <c r="BL117" s="49">
        <f>IF(BL$4=EOMONTH(CloseDate,'Rent Roll'!$O$15+'Rent Roll'!$S$15),-'Rent Roll'!$F$15*'Rent Roll'!$T$15,0)</f>
        <v>0</v>
      </c>
      <c r="BM117" s="49">
        <f>IF(BM$4=EOMONTH(CloseDate,'Rent Roll'!$O$15+'Rent Roll'!$S$15),-'Rent Roll'!$F$15*'Rent Roll'!$T$15,0)</f>
        <v>0</v>
      </c>
      <c r="BN117" s="49">
        <f>IF(BN$4=EOMONTH(CloseDate,'Rent Roll'!$O$15+'Rent Roll'!$S$15),-'Rent Roll'!$F$15*'Rent Roll'!$T$15,0)</f>
        <v>0</v>
      </c>
      <c r="BO117" s="49">
        <f>IF(BO$4=EOMONTH(CloseDate,'Rent Roll'!$O$15+'Rent Roll'!$S$15),-'Rent Roll'!$F$15*'Rent Roll'!$T$15,0)</f>
        <v>0</v>
      </c>
      <c r="BP117" s="49">
        <f>IF(BP$4=EOMONTH(CloseDate,'Rent Roll'!$O$15+'Rent Roll'!$S$15),-'Rent Roll'!$F$15*'Rent Roll'!$T$15,0)</f>
        <v>0</v>
      </c>
      <c r="BQ117" s="49">
        <f>IF(BQ$4=EOMONTH(CloseDate,'Rent Roll'!$O$15+'Rent Roll'!$S$15),-'Rent Roll'!$F$15*'Rent Roll'!$T$15,0)</f>
        <v>0</v>
      </c>
      <c r="BR117" s="49">
        <f>IF(BR$4=EOMONTH(CloseDate,'Rent Roll'!$O$15+'Rent Roll'!$S$15),-'Rent Roll'!$F$15*'Rent Roll'!$T$15,0)</f>
        <v>0</v>
      </c>
      <c r="BS117" s="49">
        <f>IF(BS$4=EOMONTH(CloseDate,'Rent Roll'!$O$15+'Rent Roll'!$S$15),-'Rent Roll'!$F$15*'Rent Roll'!$T$15,0)</f>
        <v>0</v>
      </c>
      <c r="BT117" s="49">
        <f>IF(BT$4=EOMONTH(CloseDate,'Rent Roll'!$O$15+'Rent Roll'!$S$15),-'Rent Roll'!$F$15*'Rent Roll'!$T$15,0)</f>
        <v>0</v>
      </c>
      <c r="BU117" s="49">
        <f>IF(BU$4=EOMONTH(CloseDate,'Rent Roll'!$O$15+'Rent Roll'!$S$15),-'Rent Roll'!$F$15*'Rent Roll'!$T$15,0)</f>
        <v>0</v>
      </c>
      <c r="BV117" s="49">
        <f>IF(BV$4=EOMONTH(CloseDate,'Rent Roll'!$O$15+'Rent Roll'!$S$15),-'Rent Roll'!$F$15*'Rent Roll'!$T$15,0)</f>
        <v>0</v>
      </c>
      <c r="BW117" s="49">
        <f>IF(BW$4=EOMONTH(CloseDate,'Rent Roll'!$O$15+'Rent Roll'!$S$15),-'Rent Roll'!$F$15*'Rent Roll'!$T$15,0)</f>
        <v>0</v>
      </c>
      <c r="BX117" s="49">
        <f>IF(BX$4=EOMONTH(CloseDate,'Rent Roll'!$O$15+'Rent Roll'!$S$15),-'Rent Roll'!$F$15*'Rent Roll'!$T$15,0)</f>
        <v>0</v>
      </c>
    </row>
    <row r="118" spans="1:76" hidden="1" outlineLevel="1">
      <c r="B118" t="s">
        <v>87</v>
      </c>
      <c r="D118" s="49">
        <f>IF(D$4=EOMONTH(CloseDate,'Rent Roll'!$O$15+'Rent Roll'!$S$15),-'Rent Roll'!$U$15*'Rent Roll'!$F$15*'Rent Roll'!$X$15,0)</f>
        <v>0</v>
      </c>
      <c r="E118" s="49">
        <f>IF(E$4=EOMONTH(CloseDate,'Rent Roll'!$O$15+'Rent Roll'!$S$15),-'Rent Roll'!$U$15*'Rent Roll'!$F$15*'Rent Roll'!$X$15,0)</f>
        <v>0</v>
      </c>
      <c r="F118" s="49">
        <f>IF(F$4=EOMONTH(CloseDate,'Rent Roll'!$O$15+'Rent Roll'!$S$15),-'Rent Roll'!$U$15*'Rent Roll'!$F$15*'Rent Roll'!$X$15,0)</f>
        <v>0</v>
      </c>
      <c r="G118" s="49">
        <f>IF(G$4=EOMONTH(CloseDate,'Rent Roll'!$O$15+'Rent Roll'!$S$15),-'Rent Roll'!$U$15*'Rent Roll'!$F$15*'Rent Roll'!$X$15,0)</f>
        <v>0</v>
      </c>
      <c r="H118" s="49">
        <f>IF(H$4=EOMONTH(CloseDate,'Rent Roll'!$O$15+'Rent Roll'!$S$15),-'Rent Roll'!$U$15*'Rent Roll'!$F$15*'Rent Roll'!$X$15,0)</f>
        <v>0</v>
      </c>
      <c r="I118" s="49">
        <f>IF(I$4=EOMONTH(CloseDate,'Rent Roll'!$O$15+'Rent Roll'!$S$15),-'Rent Roll'!$U$15*'Rent Roll'!$F$15*'Rent Roll'!$X$15,0)</f>
        <v>0</v>
      </c>
      <c r="J118" s="49">
        <f>IF(J$4=EOMONTH(CloseDate,'Rent Roll'!$O$15+'Rent Roll'!$S$15),-'Rent Roll'!$U$15*'Rent Roll'!$F$15*'Rent Roll'!$X$15,0)</f>
        <v>0</v>
      </c>
      <c r="K118" s="49">
        <f>IF(K$4=EOMONTH(CloseDate,'Rent Roll'!$O$15+'Rent Roll'!$S$15),-'Rent Roll'!$U$15*'Rent Roll'!$F$15*'Rent Roll'!$X$15,0)</f>
        <v>0</v>
      </c>
      <c r="L118" s="49">
        <f>IF(L$4=EOMONTH(CloseDate,'Rent Roll'!$O$15+'Rent Roll'!$S$15),-'Rent Roll'!$U$15*'Rent Roll'!$F$15*'Rent Roll'!$X$15,0)</f>
        <v>0</v>
      </c>
      <c r="M118" s="49">
        <f>IF(M$4=EOMONTH(CloseDate,'Rent Roll'!$O$15+'Rent Roll'!$S$15),-'Rent Roll'!$U$15*'Rent Roll'!$F$15*'Rent Roll'!$X$15,0)</f>
        <v>0</v>
      </c>
      <c r="N118" s="49">
        <f>IF(N$4=EOMONTH(CloseDate,'Rent Roll'!$O$15+'Rent Roll'!$S$15),-'Rent Roll'!$U$15*'Rent Roll'!$F$15*'Rent Roll'!$X$15,0)</f>
        <v>0</v>
      </c>
      <c r="O118" s="49">
        <f>IF(O$4=EOMONTH(CloseDate,'Rent Roll'!$O$15+'Rent Roll'!$S$15),-'Rent Roll'!$U$15*'Rent Roll'!$F$15*'Rent Roll'!$X$15,0)</f>
        <v>0</v>
      </c>
      <c r="P118" s="49">
        <f>IF(P$4=EOMONTH(CloseDate,'Rent Roll'!$O$15+'Rent Roll'!$S$15),-'Rent Roll'!$U$15*'Rent Roll'!$F$15*'Rent Roll'!$X$15,0)</f>
        <v>0</v>
      </c>
      <c r="Q118" s="49">
        <f>IF(Q$4=EOMONTH(CloseDate,'Rent Roll'!$O$15+'Rent Roll'!$S$15),-'Rent Roll'!$U$15*'Rent Roll'!$F$15*'Rent Roll'!$X$15,0)</f>
        <v>0</v>
      </c>
      <c r="R118" s="49">
        <f>IF(R$4=EOMONTH(CloseDate,'Rent Roll'!$O$15+'Rent Roll'!$S$15),-'Rent Roll'!$U$15*'Rent Roll'!$F$15*'Rent Roll'!$X$15,0)</f>
        <v>0</v>
      </c>
      <c r="S118" s="49">
        <f>IF(S$4=EOMONTH(CloseDate,'Rent Roll'!$O$15+'Rent Roll'!$S$15),-'Rent Roll'!$U$15*'Rent Roll'!$F$15*'Rent Roll'!$X$15,0)</f>
        <v>0</v>
      </c>
      <c r="T118" s="49">
        <f>IF(T$4=EOMONTH(CloseDate,'Rent Roll'!$O$15+'Rent Roll'!$S$15),-'Rent Roll'!$U$15*'Rent Roll'!$F$15*'Rent Roll'!$X$15,0)</f>
        <v>0</v>
      </c>
      <c r="U118" s="49">
        <f>IF(U$4=EOMONTH(CloseDate,'Rent Roll'!$O$15+'Rent Roll'!$S$15),-'Rent Roll'!$U$15*'Rent Roll'!$F$15*'Rent Roll'!$X$15,0)</f>
        <v>0</v>
      </c>
      <c r="V118" s="49">
        <f>IF(V$4=EOMONTH(CloseDate,'Rent Roll'!$O$15+'Rent Roll'!$S$15),-'Rent Roll'!$U$15*'Rent Roll'!$F$15*'Rent Roll'!$X$15,0)</f>
        <v>0</v>
      </c>
      <c r="W118" s="49">
        <f>IF(W$4=EOMONTH(CloseDate,'Rent Roll'!$O$15+'Rent Roll'!$S$15),-'Rent Roll'!$U$15*'Rent Roll'!$F$15*'Rent Roll'!$X$15,0)</f>
        <v>0</v>
      </c>
      <c r="X118" s="49">
        <f>IF(X$4=EOMONTH(CloseDate,'Rent Roll'!$O$15+'Rent Roll'!$S$15),-'Rent Roll'!$U$15*'Rent Roll'!$F$15*'Rent Roll'!$X$15,0)</f>
        <v>0</v>
      </c>
      <c r="Y118" s="49">
        <f>IF(Y$4=EOMONTH(CloseDate,'Rent Roll'!$O$15+'Rent Roll'!$S$15),-'Rent Roll'!$U$15*'Rent Roll'!$F$15*'Rent Roll'!$X$15,0)</f>
        <v>0</v>
      </c>
      <c r="Z118" s="49">
        <f>IF(Z$4=EOMONTH(CloseDate,'Rent Roll'!$O$15+'Rent Roll'!$S$15),-'Rent Roll'!$U$15*'Rent Roll'!$F$15*'Rent Roll'!$X$15,0)</f>
        <v>0</v>
      </c>
      <c r="AA118" s="49">
        <f>IF(AA$4=EOMONTH(CloseDate,'Rent Roll'!$O$15+'Rent Roll'!$S$15),-'Rent Roll'!$U$15*'Rent Roll'!$F$15*'Rent Roll'!$X$15,0)</f>
        <v>0</v>
      </c>
      <c r="AB118" s="49">
        <f>IF(AB$4=EOMONTH(CloseDate,'Rent Roll'!$O$15+'Rent Roll'!$S$15),-'Rent Roll'!$U$15*'Rent Roll'!$F$15*'Rent Roll'!$X$15,0)</f>
        <v>0</v>
      </c>
      <c r="AC118" s="49">
        <f>IF(AC$4=EOMONTH(CloseDate,'Rent Roll'!$O$15+'Rent Roll'!$S$15),-'Rent Roll'!$U$15*'Rent Roll'!$F$15*'Rent Roll'!$X$15,0)</f>
        <v>0</v>
      </c>
      <c r="AD118" s="49">
        <f>IF(AD$4=EOMONTH(CloseDate,'Rent Roll'!$O$15+'Rent Roll'!$S$15),-'Rent Roll'!$U$15*'Rent Roll'!$F$15*'Rent Roll'!$X$15,0)</f>
        <v>0</v>
      </c>
      <c r="AE118" s="49">
        <f>IF(AE$4=EOMONTH(CloseDate,'Rent Roll'!$O$15+'Rent Roll'!$S$15),-'Rent Roll'!$U$15*'Rent Roll'!$F$15*'Rent Roll'!$X$15,0)</f>
        <v>0</v>
      </c>
      <c r="AF118" s="49">
        <f>IF(AF$4=EOMONTH(CloseDate,'Rent Roll'!$O$15+'Rent Roll'!$S$15),-'Rent Roll'!$U$15*'Rent Roll'!$F$15*'Rent Roll'!$X$15,0)</f>
        <v>0</v>
      </c>
      <c r="AG118" s="49">
        <f>IF(AG$4=EOMONTH(CloseDate,'Rent Roll'!$O$15+'Rent Roll'!$S$15),-'Rent Roll'!$U$15*'Rent Roll'!$F$15*'Rent Roll'!$X$15,0)</f>
        <v>0</v>
      </c>
      <c r="AH118" s="49">
        <f>IF(AH$4=EOMONTH(CloseDate,'Rent Roll'!$O$15+'Rent Roll'!$S$15),-'Rent Roll'!$U$15*'Rent Roll'!$F$15*'Rent Roll'!$X$15,0)</f>
        <v>0</v>
      </c>
      <c r="AI118" s="49">
        <f>IF(AI$4=EOMONTH(CloseDate,'Rent Roll'!$O$15+'Rent Roll'!$S$15),-'Rent Roll'!$U$15*'Rent Roll'!$F$15*'Rent Roll'!$X$15,0)</f>
        <v>0</v>
      </c>
      <c r="AJ118" s="49">
        <f>IF(AJ$4=EOMONTH(CloseDate,'Rent Roll'!$O$15+'Rent Roll'!$S$15),-'Rent Roll'!$U$15*'Rent Roll'!$F$15*'Rent Roll'!$X$15,0)</f>
        <v>0</v>
      </c>
      <c r="AK118" s="49">
        <f>IF(AK$4=EOMONTH(CloseDate,'Rent Roll'!$O$15+'Rent Roll'!$S$15),-'Rent Roll'!$U$15*'Rent Roll'!$F$15*'Rent Roll'!$X$15,0)</f>
        <v>0</v>
      </c>
      <c r="AL118" s="49">
        <f>IF(AL$4=EOMONTH(CloseDate,'Rent Roll'!$O$15+'Rent Roll'!$S$15),-'Rent Roll'!$U$15*'Rent Roll'!$F$15*'Rent Roll'!$X$15,0)</f>
        <v>0</v>
      </c>
      <c r="AM118" s="49">
        <f>IF(AM$4=EOMONTH(CloseDate,'Rent Roll'!$O$15+'Rent Roll'!$S$15),-'Rent Roll'!$U$15*'Rent Roll'!$F$15*'Rent Roll'!$X$15,0)</f>
        <v>0</v>
      </c>
      <c r="AN118" s="49">
        <f>IF(AN$4=EOMONTH(CloseDate,'Rent Roll'!$O$15+'Rent Roll'!$S$15),-'Rent Roll'!$U$15*'Rent Roll'!$F$15*'Rent Roll'!$X$15,0)</f>
        <v>0</v>
      </c>
      <c r="AO118" s="49">
        <f>IF(AO$4=EOMONTH(CloseDate,'Rent Roll'!$O$15+'Rent Roll'!$S$15),-'Rent Roll'!$U$15*'Rent Roll'!$F$15*'Rent Roll'!$X$15,0)</f>
        <v>0</v>
      </c>
      <c r="AP118" s="49">
        <f>IF(AP$4=EOMONTH(CloseDate,'Rent Roll'!$O$15+'Rent Roll'!$S$15),-'Rent Roll'!$U$15*'Rent Roll'!$F$15*'Rent Roll'!$X$15,0)</f>
        <v>0</v>
      </c>
      <c r="AQ118" s="49">
        <f>IF(AQ$4=EOMONTH(CloseDate,'Rent Roll'!$O$15+'Rent Roll'!$S$15),-'Rent Roll'!$U$15*'Rent Roll'!$F$15*'Rent Roll'!$X$15,0)</f>
        <v>0</v>
      </c>
      <c r="AR118" s="49">
        <f>IF(AR$4=EOMONTH(CloseDate,'Rent Roll'!$O$15+'Rent Roll'!$S$15),-'Rent Roll'!$U$15*'Rent Roll'!$F$15*'Rent Roll'!$X$15,0)</f>
        <v>0</v>
      </c>
      <c r="AS118" s="49">
        <f>IF(AS$4=EOMONTH(CloseDate,'Rent Roll'!$O$15+'Rent Roll'!$S$15),-'Rent Roll'!$U$15*'Rent Roll'!$F$15*'Rent Roll'!$X$15,0)</f>
        <v>-8388.2249999999985</v>
      </c>
      <c r="AT118" s="49">
        <f>IF(AT$4=EOMONTH(CloseDate,'Rent Roll'!$O$15+'Rent Roll'!$S$15),-'Rent Roll'!$U$15*'Rent Roll'!$F$15*'Rent Roll'!$X$15,0)</f>
        <v>0</v>
      </c>
      <c r="AU118" s="49">
        <f>IF(AU$4=EOMONTH(CloseDate,'Rent Roll'!$O$15+'Rent Roll'!$S$15),-'Rent Roll'!$U$15*'Rent Roll'!$F$15*'Rent Roll'!$X$15,0)</f>
        <v>0</v>
      </c>
      <c r="AV118" s="49">
        <f>IF(AV$4=EOMONTH(CloseDate,'Rent Roll'!$O$15+'Rent Roll'!$S$15),-'Rent Roll'!$U$15*'Rent Roll'!$F$15*'Rent Roll'!$X$15,0)</f>
        <v>0</v>
      </c>
      <c r="AW118" s="49">
        <f>IF(AW$4=EOMONTH(CloseDate,'Rent Roll'!$O$15+'Rent Roll'!$S$15),-'Rent Roll'!$U$15*'Rent Roll'!$F$15*'Rent Roll'!$X$15,0)</f>
        <v>0</v>
      </c>
      <c r="AX118" s="49">
        <f>IF(AX$4=EOMONTH(CloseDate,'Rent Roll'!$O$15+'Rent Roll'!$S$15),-'Rent Roll'!$U$15*'Rent Roll'!$F$15*'Rent Roll'!$X$15,0)</f>
        <v>0</v>
      </c>
      <c r="AY118" s="49">
        <f>IF(AY$4=EOMONTH(CloseDate,'Rent Roll'!$O$15+'Rent Roll'!$S$15),-'Rent Roll'!$U$15*'Rent Roll'!$F$15*'Rent Roll'!$X$15,0)</f>
        <v>0</v>
      </c>
      <c r="AZ118" s="49">
        <f>IF(AZ$4=EOMONTH(CloseDate,'Rent Roll'!$O$15+'Rent Roll'!$S$15),-'Rent Roll'!$U$15*'Rent Roll'!$F$15*'Rent Roll'!$X$15,0)</f>
        <v>0</v>
      </c>
      <c r="BA118" s="49">
        <f>IF(BA$4=EOMONTH(CloseDate,'Rent Roll'!$O$15+'Rent Roll'!$S$15),-'Rent Roll'!$U$15*'Rent Roll'!$F$15*'Rent Roll'!$X$15,0)</f>
        <v>0</v>
      </c>
      <c r="BB118" s="49">
        <f>IF(BB$4=EOMONTH(CloseDate,'Rent Roll'!$O$15+'Rent Roll'!$S$15),-'Rent Roll'!$U$15*'Rent Roll'!$F$15*'Rent Roll'!$X$15,0)</f>
        <v>0</v>
      </c>
      <c r="BC118" s="49">
        <f>IF(BC$4=EOMONTH(CloseDate,'Rent Roll'!$O$15+'Rent Roll'!$S$15),-'Rent Roll'!$U$15*'Rent Roll'!$F$15*'Rent Roll'!$X$15,0)</f>
        <v>0</v>
      </c>
      <c r="BD118" s="49">
        <f>IF(BD$4=EOMONTH(CloseDate,'Rent Roll'!$O$15+'Rent Roll'!$S$15),-'Rent Roll'!$U$15*'Rent Roll'!$F$15*'Rent Roll'!$X$15,0)</f>
        <v>0</v>
      </c>
      <c r="BE118" s="49">
        <f>IF(BE$4=EOMONTH(CloseDate,'Rent Roll'!$O$15+'Rent Roll'!$S$15),-'Rent Roll'!$U$15*'Rent Roll'!$F$15*'Rent Roll'!$X$15,0)</f>
        <v>0</v>
      </c>
      <c r="BF118" s="49">
        <f>IF(BF$4=EOMONTH(CloseDate,'Rent Roll'!$O$15+'Rent Roll'!$S$15),-'Rent Roll'!$U$15*'Rent Roll'!$F$15*'Rent Roll'!$X$15,0)</f>
        <v>0</v>
      </c>
      <c r="BG118" s="49">
        <f>IF(BG$4=EOMONTH(CloseDate,'Rent Roll'!$O$15+'Rent Roll'!$S$15),-'Rent Roll'!$U$15*'Rent Roll'!$F$15*'Rent Roll'!$X$15,0)</f>
        <v>0</v>
      </c>
      <c r="BH118" s="49">
        <f>IF(BH$4=EOMONTH(CloseDate,'Rent Roll'!$O$15+'Rent Roll'!$S$15),-'Rent Roll'!$U$15*'Rent Roll'!$F$15*'Rent Roll'!$X$15,0)</f>
        <v>0</v>
      </c>
      <c r="BI118" s="49">
        <f>IF(BI$4=EOMONTH(CloseDate,'Rent Roll'!$O$15+'Rent Roll'!$S$15),-'Rent Roll'!$U$15*'Rent Roll'!$F$15*'Rent Roll'!$X$15,0)</f>
        <v>0</v>
      </c>
      <c r="BJ118" s="49">
        <f>IF(BJ$4=EOMONTH(CloseDate,'Rent Roll'!$O$15+'Rent Roll'!$S$15),-'Rent Roll'!$U$15*'Rent Roll'!$F$15*'Rent Roll'!$X$15,0)</f>
        <v>0</v>
      </c>
      <c r="BK118" s="49">
        <f>IF(BK$4=EOMONTH(CloseDate,'Rent Roll'!$O$15+'Rent Roll'!$S$15),-'Rent Roll'!$U$15*'Rent Roll'!$F$15*'Rent Roll'!$X$15,0)</f>
        <v>0</v>
      </c>
      <c r="BL118" s="49">
        <f>IF(BL$4=EOMONTH(CloseDate,'Rent Roll'!$O$15+'Rent Roll'!$S$15),-'Rent Roll'!$U$15*'Rent Roll'!$F$15*'Rent Roll'!$X$15,0)</f>
        <v>0</v>
      </c>
      <c r="BM118" s="49">
        <f>IF(BM$4=EOMONTH(CloseDate,'Rent Roll'!$O$15+'Rent Roll'!$S$15),-'Rent Roll'!$U$15*'Rent Roll'!$F$15*'Rent Roll'!$X$15,0)</f>
        <v>0</v>
      </c>
      <c r="BN118" s="49">
        <f>IF(BN$4=EOMONTH(CloseDate,'Rent Roll'!$O$15+'Rent Roll'!$S$15),-'Rent Roll'!$U$15*'Rent Roll'!$F$15*'Rent Roll'!$X$15,0)</f>
        <v>0</v>
      </c>
      <c r="BO118" s="49">
        <f>IF(BO$4=EOMONTH(CloseDate,'Rent Roll'!$O$15+'Rent Roll'!$S$15),-'Rent Roll'!$U$15*'Rent Roll'!$F$15*'Rent Roll'!$X$15,0)</f>
        <v>0</v>
      </c>
      <c r="BP118" s="49">
        <f>IF(BP$4=EOMONTH(CloseDate,'Rent Roll'!$O$15+'Rent Roll'!$S$15),-'Rent Roll'!$U$15*'Rent Roll'!$F$15*'Rent Roll'!$X$15,0)</f>
        <v>0</v>
      </c>
      <c r="BQ118" s="49">
        <f>IF(BQ$4=EOMONTH(CloseDate,'Rent Roll'!$O$15+'Rent Roll'!$S$15),-'Rent Roll'!$U$15*'Rent Roll'!$F$15*'Rent Roll'!$X$15,0)</f>
        <v>0</v>
      </c>
      <c r="BR118" s="49">
        <f>IF(BR$4=EOMONTH(CloseDate,'Rent Roll'!$O$15+'Rent Roll'!$S$15),-'Rent Roll'!$U$15*'Rent Roll'!$F$15*'Rent Roll'!$X$15,0)</f>
        <v>0</v>
      </c>
      <c r="BS118" s="49">
        <f>IF(BS$4=EOMONTH(CloseDate,'Rent Roll'!$O$15+'Rent Roll'!$S$15),-'Rent Roll'!$U$15*'Rent Roll'!$F$15*'Rent Roll'!$X$15,0)</f>
        <v>0</v>
      </c>
      <c r="BT118" s="49">
        <f>IF(BT$4=EOMONTH(CloseDate,'Rent Roll'!$O$15+'Rent Roll'!$S$15),-'Rent Roll'!$U$15*'Rent Roll'!$F$15*'Rent Roll'!$X$15,0)</f>
        <v>0</v>
      </c>
      <c r="BU118" s="49">
        <f>IF(BU$4=EOMONTH(CloseDate,'Rent Roll'!$O$15+'Rent Roll'!$S$15),-'Rent Roll'!$U$15*'Rent Roll'!$F$15*'Rent Roll'!$X$15,0)</f>
        <v>0</v>
      </c>
      <c r="BV118" s="49">
        <f>IF(BV$4=EOMONTH(CloseDate,'Rent Roll'!$O$15+'Rent Roll'!$S$15),-'Rent Roll'!$U$15*'Rent Roll'!$F$15*'Rent Roll'!$X$15,0)</f>
        <v>0</v>
      </c>
      <c r="BW118" s="49">
        <f>IF(BW$4=EOMONTH(CloseDate,'Rent Roll'!$O$15+'Rent Roll'!$S$15),-'Rent Roll'!$U$15*'Rent Roll'!$F$15*'Rent Roll'!$X$15,0)</f>
        <v>0</v>
      </c>
      <c r="BX118" s="49">
        <f>IF(BX$4=EOMONTH(CloseDate,'Rent Roll'!$O$15+'Rent Roll'!$S$15),-'Rent Roll'!$U$15*'Rent Roll'!$F$15*'Rent Roll'!$X$15,0)</f>
        <v>0</v>
      </c>
    </row>
    <row r="119" spans="1:76" hidden="1" outlineLevel="1">
      <c r="A119" s="17" t="str">
        <f>'Rent Roll'!C16</f>
        <v>Trellis HR Solutions</v>
      </c>
      <c r="B119" s="57">
        <f>INDEX('Rent Roll'!$F$5:$F$46,MATCH('Rent Roll Calc'!A119,'Rent Roll'!$C$5:$C$46,0))</f>
        <v>6200</v>
      </c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  <c r="AA119" s="49"/>
      <c r="AB119" s="49"/>
      <c r="AC119" s="49"/>
      <c r="AD119" s="49"/>
      <c r="AE119" s="49"/>
      <c r="AF119" s="49"/>
      <c r="AG119" s="49"/>
      <c r="AH119" s="49"/>
      <c r="AI119" s="49"/>
      <c r="AJ119" s="49"/>
      <c r="AK119" s="49"/>
      <c r="AL119" s="49"/>
      <c r="AM119" s="49"/>
      <c r="AN119" s="49"/>
      <c r="AO119" s="49"/>
      <c r="AP119" s="49"/>
      <c r="AQ119" s="49"/>
      <c r="AR119" s="49"/>
      <c r="AS119" s="49"/>
      <c r="AT119" s="49"/>
      <c r="AU119" s="49"/>
      <c r="AV119" s="49"/>
      <c r="AW119" s="49"/>
      <c r="AX119" s="49"/>
      <c r="AY119" s="49"/>
      <c r="AZ119" s="49"/>
      <c r="BA119" s="49"/>
      <c r="BB119" s="49"/>
      <c r="BC119" s="49"/>
      <c r="BD119" s="49"/>
      <c r="BE119" s="49"/>
      <c r="BF119" s="49"/>
      <c r="BG119" s="49"/>
      <c r="BH119" s="49"/>
      <c r="BI119" s="49"/>
      <c r="BJ119" s="49"/>
      <c r="BK119" s="49"/>
      <c r="BL119" s="49"/>
      <c r="BM119" s="49"/>
      <c r="BN119" s="49"/>
      <c r="BO119" s="49"/>
      <c r="BP119" s="49"/>
      <c r="BQ119" s="49"/>
      <c r="BR119" s="49"/>
      <c r="BS119" s="49"/>
      <c r="BT119" s="49"/>
      <c r="BU119" s="49"/>
      <c r="BV119" s="49"/>
      <c r="BW119" s="49"/>
      <c r="BX119" s="49"/>
    </row>
    <row r="120" spans="1:76" hidden="1" outlineLevel="1">
      <c r="B120" t="s">
        <v>83</v>
      </c>
      <c r="D120" s="49">
        <f>IF(AND('Rent Roll'!$N$16&lt;&gt;"Ghost",D$4&lt;='Rent Roll'!$L$16),1,0)</f>
        <v>1</v>
      </c>
      <c r="E120" s="49">
        <f>IF(AND('Rent Roll'!$N$16&lt;&gt;"Ghost",E$4&lt;='Rent Roll'!$L$16),1,0)</f>
        <v>1</v>
      </c>
      <c r="F120" s="49">
        <f>IF(AND('Rent Roll'!$N$16&lt;&gt;"Ghost",F$4&lt;='Rent Roll'!$L$16),1,0)</f>
        <v>1</v>
      </c>
      <c r="G120" s="49">
        <f>IF(AND('Rent Roll'!$N$16&lt;&gt;"Ghost",G$4&lt;='Rent Roll'!$L$16),1,0)</f>
        <v>1</v>
      </c>
      <c r="H120" s="49">
        <f>IF(AND('Rent Roll'!$N$16&lt;&gt;"Ghost",H$4&lt;='Rent Roll'!$L$16),1,0)</f>
        <v>1</v>
      </c>
      <c r="I120" s="49">
        <f>IF(AND('Rent Roll'!$N$16&lt;&gt;"Ghost",I$4&lt;='Rent Roll'!$L$16),1,0)</f>
        <v>1</v>
      </c>
      <c r="J120" s="49">
        <f>IF(AND('Rent Roll'!$N$16&lt;&gt;"Ghost",J$4&lt;='Rent Roll'!$L$16),1,0)</f>
        <v>1</v>
      </c>
      <c r="K120" s="49">
        <f>IF(AND('Rent Roll'!$N$16&lt;&gt;"Ghost",K$4&lt;='Rent Roll'!$L$16),1,0)</f>
        <v>1</v>
      </c>
      <c r="L120" s="49">
        <f>IF(AND('Rent Roll'!$N$16&lt;&gt;"Ghost",L$4&lt;='Rent Roll'!$L$16),1,0)</f>
        <v>1</v>
      </c>
      <c r="M120" s="49">
        <f>IF(AND('Rent Roll'!$N$16&lt;&gt;"Ghost",M$4&lt;='Rent Roll'!$L$16),1,0)</f>
        <v>1</v>
      </c>
      <c r="N120" s="49">
        <f>IF(AND('Rent Roll'!$N$16&lt;&gt;"Ghost",N$4&lt;='Rent Roll'!$L$16),1,0)</f>
        <v>1</v>
      </c>
      <c r="O120" s="49">
        <f>IF(AND('Rent Roll'!$N$16&lt;&gt;"Ghost",O$4&lt;='Rent Roll'!$L$16),1,0)</f>
        <v>1</v>
      </c>
      <c r="P120" s="49">
        <f>IF(AND('Rent Roll'!$N$16&lt;&gt;"Ghost",P$4&lt;='Rent Roll'!$L$16),1,0)</f>
        <v>1</v>
      </c>
      <c r="Q120" s="49">
        <f>IF(AND('Rent Roll'!$N$16&lt;&gt;"Ghost",Q$4&lt;='Rent Roll'!$L$16),1,0)</f>
        <v>1</v>
      </c>
      <c r="R120" s="49">
        <f>IF(AND('Rent Roll'!$N$16&lt;&gt;"Ghost",R$4&lt;='Rent Roll'!$L$16),1,0)</f>
        <v>1</v>
      </c>
      <c r="S120" s="49">
        <f>IF(AND('Rent Roll'!$N$16&lt;&gt;"Ghost",S$4&lt;='Rent Roll'!$L$16),1,0)</f>
        <v>1</v>
      </c>
      <c r="T120" s="49">
        <f>IF(AND('Rent Roll'!$N$16&lt;&gt;"Ghost",T$4&lt;='Rent Roll'!$L$16),1,0)</f>
        <v>1</v>
      </c>
      <c r="U120" s="49">
        <f>IF(AND('Rent Roll'!$N$16&lt;&gt;"Ghost",U$4&lt;='Rent Roll'!$L$16),1,0)</f>
        <v>1</v>
      </c>
      <c r="V120" s="49">
        <f>IF(AND('Rent Roll'!$N$16&lt;&gt;"Ghost",V$4&lt;='Rent Roll'!$L$16),1,0)</f>
        <v>1</v>
      </c>
      <c r="W120" s="49">
        <f>IF(AND('Rent Roll'!$N$16&lt;&gt;"Ghost",W$4&lt;='Rent Roll'!$L$16),1,0)</f>
        <v>1</v>
      </c>
      <c r="X120" s="49">
        <f>IF(AND('Rent Roll'!$N$16&lt;&gt;"Ghost",X$4&lt;='Rent Roll'!$L$16),1,0)</f>
        <v>1</v>
      </c>
      <c r="Y120" s="49">
        <f>IF(AND('Rent Roll'!$N$16&lt;&gt;"Ghost",Y$4&lt;='Rent Roll'!$L$16),1,0)</f>
        <v>1</v>
      </c>
      <c r="Z120" s="49">
        <f>IF(AND('Rent Roll'!$N$16&lt;&gt;"Ghost",Z$4&lt;='Rent Roll'!$L$16),1,0)</f>
        <v>1</v>
      </c>
      <c r="AA120" s="49">
        <f>IF(AND('Rent Roll'!$N$16&lt;&gt;"Ghost",AA$4&lt;='Rent Roll'!$L$16),1,0)</f>
        <v>1</v>
      </c>
      <c r="AB120" s="49">
        <f>IF(AND('Rent Roll'!$N$16&lt;&gt;"Ghost",AB$4&lt;='Rent Roll'!$L$16),1,0)</f>
        <v>1</v>
      </c>
      <c r="AC120" s="49">
        <f>IF(AND('Rent Roll'!$N$16&lt;&gt;"Ghost",AC$4&lt;='Rent Roll'!$L$16),1,0)</f>
        <v>1</v>
      </c>
      <c r="AD120" s="49">
        <f>IF(AND('Rent Roll'!$N$16&lt;&gt;"Ghost",AD$4&lt;='Rent Roll'!$L$16),1,0)</f>
        <v>1</v>
      </c>
      <c r="AE120" s="49">
        <f>IF(AND('Rent Roll'!$N$16&lt;&gt;"Ghost",AE$4&lt;='Rent Roll'!$L$16),1,0)</f>
        <v>1</v>
      </c>
      <c r="AF120" s="49">
        <f>IF(AND('Rent Roll'!$N$16&lt;&gt;"Ghost",AF$4&lt;='Rent Roll'!$L$16),1,0)</f>
        <v>1</v>
      </c>
      <c r="AG120" s="49">
        <f>IF(AND('Rent Roll'!$N$16&lt;&gt;"Ghost",AG$4&lt;='Rent Roll'!$L$16),1,0)</f>
        <v>1</v>
      </c>
      <c r="AH120" s="49">
        <f>IF(AND('Rent Roll'!$N$16&lt;&gt;"Ghost",AH$4&lt;='Rent Roll'!$L$16),1,0)</f>
        <v>1</v>
      </c>
      <c r="AI120" s="49">
        <f>IF(AND('Rent Roll'!$N$16&lt;&gt;"Ghost",AI$4&lt;='Rent Roll'!$L$16),1,0)</f>
        <v>1</v>
      </c>
      <c r="AJ120" s="49">
        <f>IF(AND('Rent Roll'!$N$16&lt;&gt;"Ghost",AJ$4&lt;='Rent Roll'!$L$16),1,0)</f>
        <v>1</v>
      </c>
      <c r="AK120" s="49">
        <f>IF(AND('Rent Roll'!$N$16&lt;&gt;"Ghost",AK$4&lt;='Rent Roll'!$L$16),1,0)</f>
        <v>1</v>
      </c>
      <c r="AL120" s="49">
        <f>IF(AND('Rent Roll'!$N$16&lt;&gt;"Ghost",AL$4&lt;='Rent Roll'!$L$16),1,0)</f>
        <v>1</v>
      </c>
      <c r="AM120" s="49">
        <f>IF(AND('Rent Roll'!$N$16&lt;&gt;"Ghost",AM$4&lt;='Rent Roll'!$L$16),1,0)</f>
        <v>1</v>
      </c>
      <c r="AN120" s="49">
        <f>IF(AND('Rent Roll'!$N$16&lt;&gt;"Ghost",AN$4&lt;='Rent Roll'!$L$16),1,0)</f>
        <v>1</v>
      </c>
      <c r="AO120" s="49">
        <f>IF(AND('Rent Roll'!$N$16&lt;&gt;"Ghost",AO$4&lt;='Rent Roll'!$L$16),1,0)</f>
        <v>1</v>
      </c>
      <c r="AP120" s="49">
        <f>IF(AND('Rent Roll'!$N$16&lt;&gt;"Ghost",AP$4&lt;='Rent Roll'!$L$16),1,0)</f>
        <v>1</v>
      </c>
      <c r="AQ120" s="49">
        <f>IF(AND('Rent Roll'!$N$16&lt;&gt;"Ghost",AQ$4&lt;='Rent Roll'!$L$16),1,0)</f>
        <v>1</v>
      </c>
      <c r="AR120" s="49">
        <f>IF(AND('Rent Roll'!$N$16&lt;&gt;"Ghost",AR$4&lt;='Rent Roll'!$L$16),1,0)</f>
        <v>1</v>
      </c>
      <c r="AS120" s="49">
        <f>IF(AND('Rent Roll'!$N$16&lt;&gt;"Ghost",AS$4&lt;='Rent Roll'!$L$16),1,0)</f>
        <v>1</v>
      </c>
      <c r="AT120" s="49">
        <f>IF(AND('Rent Roll'!$N$16&lt;&gt;"Ghost",AT$4&lt;='Rent Roll'!$L$16),1,0)</f>
        <v>1</v>
      </c>
      <c r="AU120" s="49">
        <f>IF(AND('Rent Roll'!$N$16&lt;&gt;"Ghost",AU$4&lt;='Rent Roll'!$L$16),1,0)</f>
        <v>1</v>
      </c>
      <c r="AV120" s="49">
        <f>IF(AND('Rent Roll'!$N$16&lt;&gt;"Ghost",AV$4&lt;='Rent Roll'!$L$16),1,0)</f>
        <v>1</v>
      </c>
      <c r="AW120" s="49">
        <f>IF(AND('Rent Roll'!$N$16&lt;&gt;"Ghost",AW$4&lt;='Rent Roll'!$L$16),1,0)</f>
        <v>1</v>
      </c>
      <c r="AX120" s="49">
        <f>IF(AND('Rent Roll'!$N$16&lt;&gt;"Ghost",AX$4&lt;='Rent Roll'!$L$16),1,0)</f>
        <v>0</v>
      </c>
      <c r="AY120" s="49">
        <f>IF(AND('Rent Roll'!$N$16&lt;&gt;"Ghost",AY$4&lt;='Rent Roll'!$L$16),1,0)</f>
        <v>0</v>
      </c>
      <c r="AZ120" s="49">
        <f>IF(AND('Rent Roll'!$N$16&lt;&gt;"Ghost",AZ$4&lt;='Rent Roll'!$L$16),1,0)</f>
        <v>0</v>
      </c>
      <c r="BA120" s="49">
        <f>IF(AND('Rent Roll'!$N$16&lt;&gt;"Ghost",BA$4&lt;='Rent Roll'!$L$16),1,0)</f>
        <v>0</v>
      </c>
      <c r="BB120" s="49">
        <f>IF(AND('Rent Roll'!$N$16&lt;&gt;"Ghost",BB$4&lt;='Rent Roll'!$L$16),1,0)</f>
        <v>0</v>
      </c>
      <c r="BC120" s="49">
        <f>IF(AND('Rent Roll'!$N$16&lt;&gt;"Ghost",BC$4&lt;='Rent Roll'!$L$16),1,0)</f>
        <v>0</v>
      </c>
      <c r="BD120" s="49">
        <f>IF(AND('Rent Roll'!$N$16&lt;&gt;"Ghost",BD$4&lt;='Rent Roll'!$L$16),1,0)</f>
        <v>0</v>
      </c>
      <c r="BE120" s="49">
        <f>IF(AND('Rent Roll'!$N$16&lt;&gt;"Ghost",BE$4&lt;='Rent Roll'!$L$16),1,0)</f>
        <v>0</v>
      </c>
      <c r="BF120" s="49">
        <f>IF(AND('Rent Roll'!$N$16&lt;&gt;"Ghost",BF$4&lt;='Rent Roll'!$L$16),1,0)</f>
        <v>0</v>
      </c>
      <c r="BG120" s="49">
        <f>IF(AND('Rent Roll'!$N$16&lt;&gt;"Ghost",BG$4&lt;='Rent Roll'!$L$16),1,0)</f>
        <v>0</v>
      </c>
      <c r="BH120" s="49">
        <f>IF(AND('Rent Roll'!$N$16&lt;&gt;"Ghost",BH$4&lt;='Rent Roll'!$L$16),1,0)</f>
        <v>0</v>
      </c>
      <c r="BI120" s="49">
        <f>IF(AND('Rent Roll'!$N$16&lt;&gt;"Ghost",BI$4&lt;='Rent Roll'!$L$16),1,0)</f>
        <v>0</v>
      </c>
      <c r="BJ120" s="49">
        <f>IF(AND('Rent Roll'!$N$16&lt;&gt;"Ghost",BJ$4&lt;='Rent Roll'!$L$16),1,0)</f>
        <v>0</v>
      </c>
      <c r="BK120" s="49">
        <f>IF(AND('Rent Roll'!$N$16&lt;&gt;"Ghost",BK$4&lt;='Rent Roll'!$L$16),1,0)</f>
        <v>0</v>
      </c>
      <c r="BL120" s="49">
        <f>IF(AND('Rent Roll'!$N$16&lt;&gt;"Ghost",BL$4&lt;='Rent Roll'!$L$16),1,0)</f>
        <v>0</v>
      </c>
      <c r="BM120" s="49">
        <f>IF(AND('Rent Roll'!$N$16&lt;&gt;"Ghost",BM$4&lt;='Rent Roll'!$L$16),1,0)</f>
        <v>0</v>
      </c>
      <c r="BN120" s="49">
        <f>IF(AND('Rent Roll'!$N$16&lt;&gt;"Ghost",BN$4&lt;='Rent Roll'!$L$16),1,0)</f>
        <v>0</v>
      </c>
      <c r="BO120" s="49">
        <f>IF(AND('Rent Roll'!$N$16&lt;&gt;"Ghost",BO$4&lt;='Rent Roll'!$L$16),1,0)</f>
        <v>0</v>
      </c>
      <c r="BP120" s="49">
        <f>IF(AND('Rent Roll'!$N$16&lt;&gt;"Ghost",BP$4&lt;='Rent Roll'!$L$16),1,0)</f>
        <v>0</v>
      </c>
      <c r="BQ120" s="49">
        <f>IF(AND('Rent Roll'!$N$16&lt;&gt;"Ghost",BQ$4&lt;='Rent Roll'!$L$16),1,0)</f>
        <v>0</v>
      </c>
      <c r="BR120" s="49">
        <f>IF(AND('Rent Roll'!$N$16&lt;&gt;"Ghost",BR$4&lt;='Rent Roll'!$L$16),1,0)</f>
        <v>0</v>
      </c>
      <c r="BS120" s="49">
        <f>IF(AND('Rent Roll'!$N$16&lt;&gt;"Ghost",BS$4&lt;='Rent Roll'!$L$16),1,0)</f>
        <v>0</v>
      </c>
      <c r="BT120" s="49">
        <f>IF(AND('Rent Roll'!$N$16&lt;&gt;"Ghost",BT$4&lt;='Rent Roll'!$L$16),1,0)</f>
        <v>0</v>
      </c>
      <c r="BU120" s="49">
        <f>IF(AND('Rent Roll'!$N$16&lt;&gt;"Ghost",BU$4&lt;='Rent Roll'!$L$16),1,0)</f>
        <v>0</v>
      </c>
      <c r="BV120" s="49">
        <f>IF(AND('Rent Roll'!$N$16&lt;&gt;"Ghost",BV$4&lt;='Rent Roll'!$L$16),1,0)</f>
        <v>0</v>
      </c>
      <c r="BW120" s="49">
        <f>IF(AND('Rent Roll'!$N$16&lt;&gt;"Ghost",BW$4&lt;='Rent Roll'!$L$16),1,0)</f>
        <v>0</v>
      </c>
      <c r="BX120" s="49">
        <f>IF(AND('Rent Roll'!$N$16&lt;&gt;"Ghost",BX$4&lt;='Rent Roll'!$L$16),1,0)</f>
        <v>0</v>
      </c>
    </row>
    <row r="121" spans="1:76" hidden="1" outlineLevel="1">
      <c r="B121" t="s">
        <v>159</v>
      </c>
      <c r="D121" s="49">
        <f>IF(D120=1,'Rent Roll'!$H$16/12*(1+'Rent Roll'!$I$16)^IF(D$4&lt;'Rent Roll'!$Y$16,0,YEAR(D$4)-YEAR('Rent Roll'!$Y$16)+1),0)</f>
        <v>11495.833333333334</v>
      </c>
      <c r="E121" s="49">
        <f>IF(E120=1,'Rent Roll'!$H$16/12*(1+'Rent Roll'!$I$16)^IF(E$4&lt;'Rent Roll'!$Y$16,0,YEAR(E$4)-YEAR('Rent Roll'!$Y$16)+1),0)</f>
        <v>11495.833333333334</v>
      </c>
      <c r="F121" s="49">
        <f>IF(F120=1,'Rent Roll'!$H$16/12*(1+'Rent Roll'!$I$16)^IF(F$4&lt;'Rent Roll'!$Y$16,0,YEAR(F$4)-YEAR('Rent Roll'!$Y$16)+1),0)</f>
        <v>11495.833333333334</v>
      </c>
      <c r="G121" s="49">
        <f>IF(G120=1,'Rent Roll'!$H$16/12*(1+'Rent Roll'!$I$16)^IF(G$4&lt;'Rent Roll'!$Y$16,0,YEAR(G$4)-YEAR('Rent Roll'!$Y$16)+1),0)</f>
        <v>11495.833333333334</v>
      </c>
      <c r="H121" s="49">
        <f>IF(H120=1,'Rent Roll'!$H$16/12*(1+'Rent Roll'!$I$16)^IF(H$4&lt;'Rent Roll'!$Y$16,0,YEAR(H$4)-YEAR('Rent Roll'!$Y$16)+1),0)</f>
        <v>11495.833333333334</v>
      </c>
      <c r="I121" s="49">
        <f>IF(I120=1,'Rent Roll'!$H$16/12*(1+'Rent Roll'!$I$16)^IF(I$4&lt;'Rent Roll'!$Y$16,0,YEAR(I$4)-YEAR('Rent Roll'!$Y$16)+1),0)</f>
        <v>11495.833333333334</v>
      </c>
      <c r="J121" s="49">
        <f>IF(J120=1,'Rent Roll'!$H$16/12*(1+'Rent Roll'!$I$16)^IF(J$4&lt;'Rent Roll'!$Y$16,0,YEAR(J$4)-YEAR('Rent Roll'!$Y$16)+1),0)</f>
        <v>11495.833333333334</v>
      </c>
      <c r="K121" s="49">
        <f>IF(K120=1,'Rent Roll'!$H$16/12*(1+'Rent Roll'!$I$16)^IF(K$4&lt;'Rent Roll'!$Y$16,0,YEAR(K$4)-YEAR('Rent Roll'!$Y$16)+1),0)</f>
        <v>11495.833333333334</v>
      </c>
      <c r="L121" s="49">
        <f>IF(L120=1,'Rent Roll'!$H$16/12*(1+'Rent Roll'!$I$16)^IF(L$4&lt;'Rent Roll'!$Y$16,0,YEAR(L$4)-YEAR('Rent Roll'!$Y$16)+1),0)</f>
        <v>11495.833333333334</v>
      </c>
      <c r="M121" s="49">
        <f>IF(M120=1,'Rent Roll'!$H$16/12*(1+'Rent Roll'!$I$16)^IF(M$4&lt;'Rent Roll'!$Y$16,0,YEAR(M$4)-YEAR('Rent Roll'!$Y$16)+1),0)</f>
        <v>11495.833333333334</v>
      </c>
      <c r="N121" s="49">
        <f>IF(N120=1,'Rent Roll'!$H$16/12*(1+'Rent Roll'!$I$16)^IF(N$4&lt;'Rent Roll'!$Y$16,0,YEAR(N$4)-YEAR('Rent Roll'!$Y$16)+1),0)</f>
        <v>11783.229166666666</v>
      </c>
      <c r="O121" s="49">
        <f>IF(O120=1,'Rent Roll'!$H$16/12*(1+'Rent Roll'!$I$16)^IF(O$4&lt;'Rent Roll'!$Y$16,0,YEAR(O$4)-YEAR('Rent Roll'!$Y$16)+1),0)</f>
        <v>11783.229166666666</v>
      </c>
      <c r="P121" s="49">
        <f>IF(P120=1,'Rent Roll'!$H$16/12*(1+'Rent Roll'!$I$16)^IF(P$4&lt;'Rent Roll'!$Y$16,0,YEAR(P$4)-YEAR('Rent Roll'!$Y$16)+1),0)</f>
        <v>11783.229166666666</v>
      </c>
      <c r="Q121" s="49">
        <f>IF(Q120=1,'Rent Roll'!$H$16/12*(1+'Rent Roll'!$I$16)^IF(Q$4&lt;'Rent Roll'!$Y$16,0,YEAR(Q$4)-YEAR('Rent Roll'!$Y$16)+1),0)</f>
        <v>11783.229166666666</v>
      </c>
      <c r="R121" s="49">
        <f>IF(R120=1,'Rent Roll'!$H$16/12*(1+'Rent Roll'!$I$16)^IF(R$4&lt;'Rent Roll'!$Y$16,0,YEAR(R$4)-YEAR('Rent Roll'!$Y$16)+1),0)</f>
        <v>11783.229166666666</v>
      </c>
      <c r="S121" s="49">
        <f>IF(S120=1,'Rent Roll'!$H$16/12*(1+'Rent Roll'!$I$16)^IF(S$4&lt;'Rent Roll'!$Y$16,0,YEAR(S$4)-YEAR('Rent Roll'!$Y$16)+1),0)</f>
        <v>11783.229166666666</v>
      </c>
      <c r="T121" s="49">
        <f>IF(T120=1,'Rent Roll'!$H$16/12*(1+'Rent Roll'!$I$16)^IF(T$4&lt;'Rent Roll'!$Y$16,0,YEAR(T$4)-YEAR('Rent Roll'!$Y$16)+1),0)</f>
        <v>11783.229166666666</v>
      </c>
      <c r="U121" s="49">
        <f>IF(U120=1,'Rent Roll'!$H$16/12*(1+'Rent Roll'!$I$16)^IF(U$4&lt;'Rent Roll'!$Y$16,0,YEAR(U$4)-YEAR('Rent Roll'!$Y$16)+1),0)</f>
        <v>12077.809895833334</v>
      </c>
      <c r="V121" s="49">
        <f>IF(V120=1,'Rent Roll'!$H$16/12*(1+'Rent Roll'!$I$16)^IF(V$4&lt;'Rent Roll'!$Y$16,0,YEAR(V$4)-YEAR('Rent Roll'!$Y$16)+1),0)</f>
        <v>12077.809895833334</v>
      </c>
      <c r="W121" s="49">
        <f>IF(W120=1,'Rent Roll'!$H$16/12*(1+'Rent Roll'!$I$16)^IF(W$4&lt;'Rent Roll'!$Y$16,0,YEAR(W$4)-YEAR('Rent Roll'!$Y$16)+1),0)</f>
        <v>12077.809895833334</v>
      </c>
      <c r="X121" s="49">
        <f>IF(X120=1,'Rent Roll'!$H$16/12*(1+'Rent Roll'!$I$16)^IF(X$4&lt;'Rent Roll'!$Y$16,0,YEAR(X$4)-YEAR('Rent Roll'!$Y$16)+1),0)</f>
        <v>12077.809895833334</v>
      </c>
      <c r="Y121" s="49">
        <f>IF(Y120=1,'Rent Roll'!$H$16/12*(1+'Rent Roll'!$I$16)^IF(Y$4&lt;'Rent Roll'!$Y$16,0,YEAR(Y$4)-YEAR('Rent Roll'!$Y$16)+1),0)</f>
        <v>12077.809895833334</v>
      </c>
      <c r="Z121" s="49">
        <f>IF(Z120=1,'Rent Roll'!$H$16/12*(1+'Rent Roll'!$I$16)^IF(Z$4&lt;'Rent Roll'!$Y$16,0,YEAR(Z$4)-YEAR('Rent Roll'!$Y$16)+1),0)</f>
        <v>12077.809895833334</v>
      </c>
      <c r="AA121" s="49">
        <f>IF(AA120=1,'Rent Roll'!$H$16/12*(1+'Rent Roll'!$I$16)^IF(AA$4&lt;'Rent Roll'!$Y$16,0,YEAR(AA$4)-YEAR('Rent Roll'!$Y$16)+1),0)</f>
        <v>12077.809895833334</v>
      </c>
      <c r="AB121" s="49">
        <f>IF(AB120=1,'Rent Roll'!$H$16/12*(1+'Rent Roll'!$I$16)^IF(AB$4&lt;'Rent Roll'!$Y$16,0,YEAR(AB$4)-YEAR('Rent Roll'!$Y$16)+1),0)</f>
        <v>12077.809895833334</v>
      </c>
      <c r="AC121" s="49">
        <f>IF(AC120=1,'Rent Roll'!$H$16/12*(1+'Rent Roll'!$I$16)^IF(AC$4&lt;'Rent Roll'!$Y$16,0,YEAR(AC$4)-YEAR('Rent Roll'!$Y$16)+1),0)</f>
        <v>12077.809895833334</v>
      </c>
      <c r="AD121" s="49">
        <f>IF(AD120=1,'Rent Roll'!$H$16/12*(1+'Rent Roll'!$I$16)^IF(AD$4&lt;'Rent Roll'!$Y$16,0,YEAR(AD$4)-YEAR('Rent Roll'!$Y$16)+1),0)</f>
        <v>12077.809895833334</v>
      </c>
      <c r="AE121" s="49">
        <f>IF(AE120=1,'Rent Roll'!$H$16/12*(1+'Rent Roll'!$I$16)^IF(AE$4&lt;'Rent Roll'!$Y$16,0,YEAR(AE$4)-YEAR('Rent Roll'!$Y$16)+1),0)</f>
        <v>12077.809895833334</v>
      </c>
      <c r="AF121" s="49">
        <f>IF(AF120=1,'Rent Roll'!$H$16/12*(1+'Rent Roll'!$I$16)^IF(AF$4&lt;'Rent Roll'!$Y$16,0,YEAR(AF$4)-YEAR('Rent Roll'!$Y$16)+1),0)</f>
        <v>12077.809895833334</v>
      </c>
      <c r="AG121" s="49">
        <f>IF(AG120=1,'Rent Roll'!$H$16/12*(1+'Rent Roll'!$I$16)^IF(AG$4&lt;'Rent Roll'!$Y$16,0,YEAR(AG$4)-YEAR('Rent Roll'!$Y$16)+1),0)</f>
        <v>12379.755143229166</v>
      </c>
      <c r="AH121" s="49">
        <f>IF(AH120=1,'Rent Roll'!$H$16/12*(1+'Rent Roll'!$I$16)^IF(AH$4&lt;'Rent Roll'!$Y$16,0,YEAR(AH$4)-YEAR('Rent Roll'!$Y$16)+1),0)</f>
        <v>12379.755143229166</v>
      </c>
      <c r="AI121" s="49">
        <f>IF(AI120=1,'Rent Roll'!$H$16/12*(1+'Rent Roll'!$I$16)^IF(AI$4&lt;'Rent Roll'!$Y$16,0,YEAR(AI$4)-YEAR('Rent Roll'!$Y$16)+1),0)</f>
        <v>12379.755143229166</v>
      </c>
      <c r="AJ121" s="49">
        <f>IF(AJ120=1,'Rent Roll'!$H$16/12*(1+'Rent Roll'!$I$16)^IF(AJ$4&lt;'Rent Roll'!$Y$16,0,YEAR(AJ$4)-YEAR('Rent Roll'!$Y$16)+1),0)</f>
        <v>12379.755143229166</v>
      </c>
      <c r="AK121" s="49">
        <f>IF(AK120=1,'Rent Roll'!$H$16/12*(1+'Rent Roll'!$I$16)^IF(AK$4&lt;'Rent Roll'!$Y$16,0,YEAR(AK$4)-YEAR('Rent Roll'!$Y$16)+1),0)</f>
        <v>12379.755143229166</v>
      </c>
      <c r="AL121" s="49">
        <f>IF(AL120=1,'Rent Roll'!$H$16/12*(1+'Rent Roll'!$I$16)^IF(AL$4&lt;'Rent Roll'!$Y$16,0,YEAR(AL$4)-YEAR('Rent Roll'!$Y$16)+1),0)</f>
        <v>12379.755143229166</v>
      </c>
      <c r="AM121" s="49">
        <f>IF(AM120=1,'Rent Roll'!$H$16/12*(1+'Rent Roll'!$I$16)^IF(AM$4&lt;'Rent Roll'!$Y$16,0,YEAR(AM$4)-YEAR('Rent Roll'!$Y$16)+1),0)</f>
        <v>12379.755143229166</v>
      </c>
      <c r="AN121" s="49">
        <f>IF(AN120=1,'Rent Roll'!$H$16/12*(1+'Rent Roll'!$I$16)^IF(AN$4&lt;'Rent Roll'!$Y$16,0,YEAR(AN$4)-YEAR('Rent Roll'!$Y$16)+1),0)</f>
        <v>12379.755143229166</v>
      </c>
      <c r="AO121" s="49">
        <f>IF(AO120=1,'Rent Roll'!$H$16/12*(1+'Rent Roll'!$I$16)^IF(AO$4&lt;'Rent Roll'!$Y$16,0,YEAR(AO$4)-YEAR('Rent Roll'!$Y$16)+1),0)</f>
        <v>12379.755143229166</v>
      </c>
      <c r="AP121" s="49">
        <f>IF(AP120=1,'Rent Roll'!$H$16/12*(1+'Rent Roll'!$I$16)^IF(AP$4&lt;'Rent Roll'!$Y$16,0,YEAR(AP$4)-YEAR('Rent Roll'!$Y$16)+1),0)</f>
        <v>12379.755143229166</v>
      </c>
      <c r="AQ121" s="49">
        <f>IF(AQ120=1,'Rent Roll'!$H$16/12*(1+'Rent Roll'!$I$16)^IF(AQ$4&lt;'Rent Roll'!$Y$16,0,YEAR(AQ$4)-YEAR('Rent Roll'!$Y$16)+1),0)</f>
        <v>12379.755143229166</v>
      </c>
      <c r="AR121" s="49">
        <f>IF(AR120=1,'Rent Roll'!$H$16/12*(1+'Rent Roll'!$I$16)^IF(AR$4&lt;'Rent Roll'!$Y$16,0,YEAR(AR$4)-YEAR('Rent Roll'!$Y$16)+1),0)</f>
        <v>12379.755143229166</v>
      </c>
      <c r="AS121" s="49">
        <f>IF(AS120=1,'Rent Roll'!$H$16/12*(1+'Rent Roll'!$I$16)^IF(AS$4&lt;'Rent Roll'!$Y$16,0,YEAR(AS$4)-YEAR('Rent Roll'!$Y$16)+1),0)</f>
        <v>12689.249021809894</v>
      </c>
      <c r="AT121" s="49">
        <f>IF(AT120=1,'Rent Roll'!$H$16/12*(1+'Rent Roll'!$I$16)^IF(AT$4&lt;'Rent Roll'!$Y$16,0,YEAR(AT$4)-YEAR('Rent Roll'!$Y$16)+1),0)</f>
        <v>12689.249021809894</v>
      </c>
      <c r="AU121" s="49">
        <f>IF(AU120=1,'Rent Roll'!$H$16/12*(1+'Rent Roll'!$I$16)^IF(AU$4&lt;'Rent Roll'!$Y$16,0,YEAR(AU$4)-YEAR('Rent Roll'!$Y$16)+1),0)</f>
        <v>12689.249021809894</v>
      </c>
      <c r="AV121" s="49">
        <f>IF(AV120=1,'Rent Roll'!$H$16/12*(1+'Rent Roll'!$I$16)^IF(AV$4&lt;'Rent Roll'!$Y$16,0,YEAR(AV$4)-YEAR('Rent Roll'!$Y$16)+1),0)</f>
        <v>12689.249021809894</v>
      </c>
      <c r="AW121" s="49">
        <f>IF(AW120=1,'Rent Roll'!$H$16/12*(1+'Rent Roll'!$I$16)^IF(AW$4&lt;'Rent Roll'!$Y$16,0,YEAR(AW$4)-YEAR('Rent Roll'!$Y$16)+1),0)</f>
        <v>12689.249021809894</v>
      </c>
      <c r="AX121" s="49">
        <f>IF(AX120=1,'Rent Roll'!$H$16/12*(1+'Rent Roll'!$I$16)^IF(AX$4&lt;'Rent Roll'!$Y$16,0,YEAR(AX$4)-YEAR('Rent Roll'!$Y$16)+1),0)</f>
        <v>0</v>
      </c>
      <c r="AY121" s="49">
        <f>IF(AY120=1,'Rent Roll'!$H$16/12*(1+'Rent Roll'!$I$16)^IF(AY$4&lt;'Rent Roll'!$Y$16,0,YEAR(AY$4)-YEAR('Rent Roll'!$Y$16)+1),0)</f>
        <v>0</v>
      </c>
      <c r="AZ121" s="49">
        <f>IF(AZ120=1,'Rent Roll'!$H$16/12*(1+'Rent Roll'!$I$16)^IF(AZ$4&lt;'Rent Roll'!$Y$16,0,YEAR(AZ$4)-YEAR('Rent Roll'!$Y$16)+1),0)</f>
        <v>0</v>
      </c>
      <c r="BA121" s="49">
        <f>IF(BA120=1,'Rent Roll'!$H$16/12*(1+'Rent Roll'!$I$16)^IF(BA$4&lt;'Rent Roll'!$Y$16,0,YEAR(BA$4)-YEAR('Rent Roll'!$Y$16)+1),0)</f>
        <v>0</v>
      </c>
      <c r="BB121" s="49">
        <f>IF(BB120=1,'Rent Roll'!$H$16/12*(1+'Rent Roll'!$I$16)^IF(BB$4&lt;'Rent Roll'!$Y$16,0,YEAR(BB$4)-YEAR('Rent Roll'!$Y$16)+1),0)</f>
        <v>0</v>
      </c>
      <c r="BC121" s="49">
        <f>IF(BC120=1,'Rent Roll'!$H$16/12*(1+'Rent Roll'!$I$16)^IF(BC$4&lt;'Rent Roll'!$Y$16,0,YEAR(BC$4)-YEAR('Rent Roll'!$Y$16)+1),0)</f>
        <v>0</v>
      </c>
      <c r="BD121" s="49">
        <f>IF(BD120=1,'Rent Roll'!$H$16/12*(1+'Rent Roll'!$I$16)^IF(BD$4&lt;'Rent Roll'!$Y$16,0,YEAR(BD$4)-YEAR('Rent Roll'!$Y$16)+1),0)</f>
        <v>0</v>
      </c>
      <c r="BE121" s="49">
        <f>IF(BE120=1,'Rent Roll'!$H$16/12*(1+'Rent Roll'!$I$16)^IF(BE$4&lt;'Rent Roll'!$Y$16,0,YEAR(BE$4)-YEAR('Rent Roll'!$Y$16)+1),0)</f>
        <v>0</v>
      </c>
      <c r="BF121" s="49">
        <f>IF(BF120=1,'Rent Roll'!$H$16/12*(1+'Rent Roll'!$I$16)^IF(BF$4&lt;'Rent Roll'!$Y$16,0,YEAR(BF$4)-YEAR('Rent Roll'!$Y$16)+1),0)</f>
        <v>0</v>
      </c>
      <c r="BG121" s="49">
        <f>IF(BG120=1,'Rent Roll'!$H$16/12*(1+'Rent Roll'!$I$16)^IF(BG$4&lt;'Rent Roll'!$Y$16,0,YEAR(BG$4)-YEAR('Rent Roll'!$Y$16)+1),0)</f>
        <v>0</v>
      </c>
      <c r="BH121" s="49">
        <f>IF(BH120=1,'Rent Roll'!$H$16/12*(1+'Rent Roll'!$I$16)^IF(BH$4&lt;'Rent Roll'!$Y$16,0,YEAR(BH$4)-YEAR('Rent Roll'!$Y$16)+1),0)</f>
        <v>0</v>
      </c>
      <c r="BI121" s="49">
        <f>IF(BI120=1,'Rent Roll'!$H$16/12*(1+'Rent Roll'!$I$16)^IF(BI$4&lt;'Rent Roll'!$Y$16,0,YEAR(BI$4)-YEAR('Rent Roll'!$Y$16)+1),0)</f>
        <v>0</v>
      </c>
      <c r="BJ121" s="49">
        <f>IF(BJ120=1,'Rent Roll'!$H$16/12*(1+'Rent Roll'!$I$16)^IF(BJ$4&lt;'Rent Roll'!$Y$16,0,YEAR(BJ$4)-YEAR('Rent Roll'!$Y$16)+1),0)</f>
        <v>0</v>
      </c>
      <c r="BK121" s="49">
        <f>IF(BK120=1,'Rent Roll'!$H$16/12*(1+'Rent Roll'!$I$16)^IF(BK$4&lt;'Rent Roll'!$Y$16,0,YEAR(BK$4)-YEAR('Rent Roll'!$Y$16)+1),0)</f>
        <v>0</v>
      </c>
      <c r="BL121" s="49">
        <f>IF(BL120=1,'Rent Roll'!$H$16/12*(1+'Rent Roll'!$I$16)^IF(BL$4&lt;'Rent Roll'!$Y$16,0,YEAR(BL$4)-YEAR('Rent Roll'!$Y$16)+1),0)</f>
        <v>0</v>
      </c>
      <c r="BM121" s="49">
        <f>IF(BM120=1,'Rent Roll'!$H$16/12*(1+'Rent Roll'!$I$16)^IF(BM$4&lt;'Rent Roll'!$Y$16,0,YEAR(BM$4)-YEAR('Rent Roll'!$Y$16)+1),0)</f>
        <v>0</v>
      </c>
      <c r="BN121" s="49">
        <f>IF(BN120=1,'Rent Roll'!$H$16/12*(1+'Rent Roll'!$I$16)^IF(BN$4&lt;'Rent Roll'!$Y$16,0,YEAR(BN$4)-YEAR('Rent Roll'!$Y$16)+1),0)</f>
        <v>0</v>
      </c>
      <c r="BO121" s="49">
        <f>IF(BO120=1,'Rent Roll'!$H$16/12*(1+'Rent Roll'!$I$16)^IF(BO$4&lt;'Rent Roll'!$Y$16,0,YEAR(BO$4)-YEAR('Rent Roll'!$Y$16)+1),0)</f>
        <v>0</v>
      </c>
      <c r="BP121" s="49">
        <f>IF(BP120=1,'Rent Roll'!$H$16/12*(1+'Rent Roll'!$I$16)^IF(BP$4&lt;'Rent Roll'!$Y$16,0,YEAR(BP$4)-YEAR('Rent Roll'!$Y$16)+1),0)</f>
        <v>0</v>
      </c>
      <c r="BQ121" s="49">
        <f>IF(BQ120=1,'Rent Roll'!$H$16/12*(1+'Rent Roll'!$I$16)^IF(BQ$4&lt;'Rent Roll'!$Y$16,0,YEAR(BQ$4)-YEAR('Rent Roll'!$Y$16)+1),0)</f>
        <v>0</v>
      </c>
      <c r="BR121" s="49">
        <f>IF(BR120=1,'Rent Roll'!$H$16/12*(1+'Rent Roll'!$I$16)^IF(BR$4&lt;'Rent Roll'!$Y$16,0,YEAR(BR$4)-YEAR('Rent Roll'!$Y$16)+1),0)</f>
        <v>0</v>
      </c>
      <c r="BS121" s="49">
        <f>IF(BS120=1,'Rent Roll'!$H$16/12*(1+'Rent Roll'!$I$16)^IF(BS$4&lt;'Rent Roll'!$Y$16,0,YEAR(BS$4)-YEAR('Rent Roll'!$Y$16)+1),0)</f>
        <v>0</v>
      </c>
      <c r="BT121" s="49">
        <f>IF(BT120=1,'Rent Roll'!$H$16/12*(1+'Rent Roll'!$I$16)^IF(BT$4&lt;'Rent Roll'!$Y$16,0,YEAR(BT$4)-YEAR('Rent Roll'!$Y$16)+1),0)</f>
        <v>0</v>
      </c>
      <c r="BU121" s="49">
        <f>IF(BU120=1,'Rent Roll'!$H$16/12*(1+'Rent Roll'!$I$16)^IF(BU$4&lt;'Rent Roll'!$Y$16,0,YEAR(BU$4)-YEAR('Rent Roll'!$Y$16)+1),0)</f>
        <v>0</v>
      </c>
      <c r="BV121" s="49">
        <f>IF(BV120=1,'Rent Roll'!$H$16/12*(1+'Rent Roll'!$I$16)^IF(BV$4&lt;'Rent Roll'!$Y$16,0,YEAR(BV$4)-YEAR('Rent Roll'!$Y$16)+1),0)</f>
        <v>0</v>
      </c>
      <c r="BW121" s="49">
        <f>IF(BW120=1,'Rent Roll'!$H$16/12*(1+'Rent Roll'!$I$16)^IF(BW$4&lt;'Rent Roll'!$Y$16,0,YEAR(BW$4)-YEAR('Rent Roll'!$Y$16)+1),0)</f>
        <v>0</v>
      </c>
      <c r="BX121" s="49">
        <f>IF(BX120=1,'Rent Roll'!$H$16/12*(1+'Rent Roll'!$I$16)^IF(BX$4&lt;'Rent Roll'!$Y$16,0,YEAR(BX$4)-YEAR('Rent Roll'!$Y$16)+1),0)</f>
        <v>0</v>
      </c>
    </row>
    <row r="122" spans="1:76" collapsed="1">
      <c r="B122" t="s">
        <v>160</v>
      </c>
      <c r="D122" s="49">
        <f>IF(D$4&gt;EOMONTH(CloseDate,'Rent Roll'!$O$16+'Rent Roll'!$S$16-1),1,0)</f>
        <v>0</v>
      </c>
      <c r="E122" s="49">
        <f>IF(E$4&gt;EOMONTH(CloseDate,'Rent Roll'!$O$16+'Rent Roll'!$S$16-1),1,0)</f>
        <v>0</v>
      </c>
      <c r="F122" s="49">
        <f>IF(F$4&gt;EOMONTH(CloseDate,'Rent Roll'!$O$16+'Rent Roll'!$S$16-1),1,0)</f>
        <v>0</v>
      </c>
      <c r="G122" s="49">
        <f>IF(G$4&gt;EOMONTH(CloseDate,'Rent Roll'!$O$16+'Rent Roll'!$S$16-1),1,0)</f>
        <v>0</v>
      </c>
      <c r="H122" s="49">
        <f>IF(H$4&gt;EOMONTH(CloseDate,'Rent Roll'!$O$16+'Rent Roll'!$S$16-1),1,0)</f>
        <v>0</v>
      </c>
      <c r="I122" s="49">
        <f>IF(I$4&gt;EOMONTH(CloseDate,'Rent Roll'!$O$16+'Rent Roll'!$S$16-1),1,0)</f>
        <v>0</v>
      </c>
      <c r="J122" s="49">
        <f>IF(J$4&gt;EOMONTH(CloseDate,'Rent Roll'!$O$16+'Rent Roll'!$S$16-1),1,0)</f>
        <v>0</v>
      </c>
      <c r="K122" s="49">
        <f>IF(K$4&gt;EOMONTH(CloseDate,'Rent Roll'!$O$16+'Rent Roll'!$S$16-1),1,0)</f>
        <v>0</v>
      </c>
      <c r="L122" s="49">
        <f>IF(L$4&gt;EOMONTH(CloseDate,'Rent Roll'!$O$16+'Rent Roll'!$S$16-1),1,0)</f>
        <v>0</v>
      </c>
      <c r="M122" s="49">
        <f>IF(M$4&gt;EOMONTH(CloseDate,'Rent Roll'!$O$16+'Rent Roll'!$S$16-1),1,0)</f>
        <v>0</v>
      </c>
      <c r="N122" s="49">
        <f>IF(N$4&gt;EOMONTH(CloseDate,'Rent Roll'!$O$16+'Rent Roll'!$S$16-1),1,0)</f>
        <v>0</v>
      </c>
      <c r="O122" s="49">
        <f>IF(O$4&gt;EOMONTH(CloseDate,'Rent Roll'!$O$16+'Rent Roll'!$S$16-1),1,0)</f>
        <v>0</v>
      </c>
      <c r="P122" s="49">
        <f>IF(P$4&gt;EOMONTH(CloseDate,'Rent Roll'!$O$16+'Rent Roll'!$S$16-1),1,0)</f>
        <v>0</v>
      </c>
      <c r="Q122" s="49">
        <f>IF(Q$4&gt;EOMONTH(CloseDate,'Rent Roll'!$O$16+'Rent Roll'!$S$16-1),1,0)</f>
        <v>0</v>
      </c>
      <c r="R122" s="49">
        <f>IF(R$4&gt;EOMONTH(CloseDate,'Rent Roll'!$O$16+'Rent Roll'!$S$16-1),1,0)</f>
        <v>0</v>
      </c>
      <c r="S122" s="49">
        <f>IF(S$4&gt;EOMONTH(CloseDate,'Rent Roll'!$O$16+'Rent Roll'!$S$16-1),1,0)</f>
        <v>0</v>
      </c>
      <c r="T122" s="49">
        <f>IF(T$4&gt;EOMONTH(CloseDate,'Rent Roll'!$O$16+'Rent Roll'!$S$16-1),1,0)</f>
        <v>0</v>
      </c>
      <c r="U122" s="49">
        <f>IF(U$4&gt;EOMONTH(CloseDate,'Rent Roll'!$O$16+'Rent Roll'!$S$16-1),1,0)</f>
        <v>0</v>
      </c>
      <c r="V122" s="49">
        <f>IF(V$4&gt;EOMONTH(CloseDate,'Rent Roll'!$O$16+'Rent Roll'!$S$16-1),1,0)</f>
        <v>0</v>
      </c>
      <c r="W122" s="49">
        <f>IF(W$4&gt;EOMONTH(CloseDate,'Rent Roll'!$O$16+'Rent Roll'!$S$16-1),1,0)</f>
        <v>0</v>
      </c>
      <c r="X122" s="49">
        <f>IF(X$4&gt;EOMONTH(CloseDate,'Rent Roll'!$O$16+'Rent Roll'!$S$16-1),1,0)</f>
        <v>0</v>
      </c>
      <c r="Y122" s="49">
        <f>IF(Y$4&gt;EOMONTH(CloseDate,'Rent Roll'!$O$16+'Rent Roll'!$S$16-1),1,0)</f>
        <v>0</v>
      </c>
      <c r="Z122" s="49">
        <f>IF(Z$4&gt;EOMONTH(CloseDate,'Rent Roll'!$O$16+'Rent Roll'!$S$16-1),1,0)</f>
        <v>0</v>
      </c>
      <c r="AA122" s="49">
        <f>IF(AA$4&gt;EOMONTH(CloseDate,'Rent Roll'!$O$16+'Rent Roll'!$S$16-1),1,0)</f>
        <v>0</v>
      </c>
      <c r="AB122" s="49">
        <f>IF(AB$4&gt;EOMONTH(CloseDate,'Rent Roll'!$O$16+'Rent Roll'!$S$16-1),1,0)</f>
        <v>0</v>
      </c>
      <c r="AC122" s="49">
        <f>IF(AC$4&gt;EOMONTH(CloseDate,'Rent Roll'!$O$16+'Rent Roll'!$S$16-1),1,0)</f>
        <v>0</v>
      </c>
      <c r="AD122" s="49">
        <f>IF(AD$4&gt;EOMONTH(CloseDate,'Rent Roll'!$O$16+'Rent Roll'!$S$16-1),1,0)</f>
        <v>0</v>
      </c>
      <c r="AE122" s="49">
        <f>IF(AE$4&gt;EOMONTH(CloseDate,'Rent Roll'!$O$16+'Rent Roll'!$S$16-1),1,0)</f>
        <v>0</v>
      </c>
      <c r="AF122" s="49">
        <f>IF(AF$4&gt;EOMONTH(CloseDate,'Rent Roll'!$O$16+'Rent Roll'!$S$16-1),1,0)</f>
        <v>0</v>
      </c>
      <c r="AG122" s="49">
        <f>IF(AG$4&gt;EOMONTH(CloseDate,'Rent Roll'!$O$16+'Rent Roll'!$S$16-1),1,0)</f>
        <v>0</v>
      </c>
      <c r="AH122" s="49">
        <f>IF(AH$4&gt;EOMONTH(CloseDate,'Rent Roll'!$O$16+'Rent Roll'!$S$16-1),1,0)</f>
        <v>0</v>
      </c>
      <c r="AI122" s="49">
        <f>IF(AI$4&gt;EOMONTH(CloseDate,'Rent Roll'!$O$16+'Rent Roll'!$S$16-1),1,0)</f>
        <v>0</v>
      </c>
      <c r="AJ122" s="49">
        <f>IF(AJ$4&gt;EOMONTH(CloseDate,'Rent Roll'!$O$16+'Rent Roll'!$S$16-1),1,0)</f>
        <v>0</v>
      </c>
      <c r="AK122" s="49">
        <f>IF(AK$4&gt;EOMONTH(CloseDate,'Rent Roll'!$O$16+'Rent Roll'!$S$16-1),1,0)</f>
        <v>0</v>
      </c>
      <c r="AL122" s="49">
        <f>IF(AL$4&gt;EOMONTH(CloseDate,'Rent Roll'!$O$16+'Rent Roll'!$S$16-1),1,0)</f>
        <v>0</v>
      </c>
      <c r="AM122" s="49">
        <f>IF(AM$4&gt;EOMONTH(CloseDate,'Rent Roll'!$O$16+'Rent Roll'!$S$16-1),1,0)</f>
        <v>0</v>
      </c>
      <c r="AN122" s="49">
        <f>IF(AN$4&gt;EOMONTH(CloseDate,'Rent Roll'!$O$16+'Rent Roll'!$S$16-1),1,0)</f>
        <v>0</v>
      </c>
      <c r="AO122" s="49">
        <f>IF(AO$4&gt;EOMONTH(CloseDate,'Rent Roll'!$O$16+'Rent Roll'!$S$16-1),1,0)</f>
        <v>0</v>
      </c>
      <c r="AP122" s="49">
        <f>IF(AP$4&gt;EOMONTH(CloseDate,'Rent Roll'!$O$16+'Rent Roll'!$S$16-1),1,0)</f>
        <v>0</v>
      </c>
      <c r="AQ122" s="49">
        <f>IF(AQ$4&gt;EOMONTH(CloseDate,'Rent Roll'!$O$16+'Rent Roll'!$S$16-1),1,0)</f>
        <v>0</v>
      </c>
      <c r="AR122" s="49">
        <f>IF(AR$4&gt;EOMONTH(CloseDate,'Rent Roll'!$O$16+'Rent Roll'!$S$16-1),1,0)</f>
        <v>0</v>
      </c>
      <c r="AS122" s="49">
        <f>IF(AS$4&gt;EOMONTH(CloseDate,'Rent Roll'!$O$16+'Rent Roll'!$S$16-1),1,0)</f>
        <v>0</v>
      </c>
      <c r="AT122" s="49">
        <f>IF(AT$4&gt;EOMONTH(CloseDate,'Rent Roll'!$O$16+'Rent Roll'!$S$16-1),1,0)</f>
        <v>0</v>
      </c>
      <c r="AU122" s="49">
        <f>IF(AU$4&gt;EOMONTH(CloseDate,'Rent Roll'!$O$16+'Rent Roll'!$S$16-1),1,0)</f>
        <v>0</v>
      </c>
      <c r="AV122" s="49">
        <f>IF(AV$4&gt;EOMONTH(CloseDate,'Rent Roll'!$O$16+'Rent Roll'!$S$16-1),1,0)</f>
        <v>0</v>
      </c>
      <c r="AW122" s="49">
        <f>IF(AW$4&gt;EOMONTH(CloseDate,'Rent Roll'!$O$16+'Rent Roll'!$S$16-1),1,0)</f>
        <v>0</v>
      </c>
      <c r="AX122" s="49">
        <f>IF(AX$4&gt;EOMONTH(CloseDate,'Rent Roll'!$O$16+'Rent Roll'!$S$16-1),1,0)</f>
        <v>0</v>
      </c>
      <c r="AY122" s="49">
        <f>IF(AY$4&gt;EOMONTH(CloseDate,'Rent Roll'!$O$16+'Rent Roll'!$S$16-1),1,0)</f>
        <v>0</v>
      </c>
      <c r="AZ122" s="49">
        <f>IF(AZ$4&gt;EOMONTH(CloseDate,'Rent Roll'!$O$16+'Rent Roll'!$S$16-1),1,0)</f>
        <v>0</v>
      </c>
      <c r="BA122" s="49">
        <f>IF(BA$4&gt;EOMONTH(CloseDate,'Rent Roll'!$O$16+'Rent Roll'!$S$16-1),1,0)</f>
        <v>0</v>
      </c>
      <c r="BB122" s="49">
        <f>IF(BB$4&gt;EOMONTH(CloseDate,'Rent Roll'!$O$16+'Rent Roll'!$S$16-1),1,0)</f>
        <v>0</v>
      </c>
      <c r="BC122" s="49">
        <f>IF(BC$4&gt;EOMONTH(CloseDate,'Rent Roll'!$O$16+'Rent Roll'!$S$16-1),1,0)</f>
        <v>1</v>
      </c>
      <c r="BD122" s="49">
        <f>IF(BD$4&gt;EOMONTH(CloseDate,'Rent Roll'!$O$16+'Rent Roll'!$S$16-1),1,0)</f>
        <v>1</v>
      </c>
      <c r="BE122" s="49">
        <f>IF(BE$4&gt;EOMONTH(CloseDate,'Rent Roll'!$O$16+'Rent Roll'!$S$16-1),1,0)</f>
        <v>1</v>
      </c>
      <c r="BF122" s="49">
        <f>IF(BF$4&gt;EOMONTH(CloseDate,'Rent Roll'!$O$16+'Rent Roll'!$S$16-1),1,0)</f>
        <v>1</v>
      </c>
      <c r="BG122" s="49">
        <f>IF(BG$4&gt;EOMONTH(CloseDate,'Rent Roll'!$O$16+'Rent Roll'!$S$16-1),1,0)</f>
        <v>1</v>
      </c>
      <c r="BH122" s="49">
        <f>IF(BH$4&gt;EOMONTH(CloseDate,'Rent Roll'!$O$16+'Rent Roll'!$S$16-1),1,0)</f>
        <v>1</v>
      </c>
      <c r="BI122" s="49">
        <f>IF(BI$4&gt;EOMONTH(CloseDate,'Rent Roll'!$O$16+'Rent Roll'!$S$16-1),1,0)</f>
        <v>1</v>
      </c>
      <c r="BJ122" s="49">
        <f>IF(BJ$4&gt;EOMONTH(CloseDate,'Rent Roll'!$O$16+'Rent Roll'!$S$16-1),1,0)</f>
        <v>1</v>
      </c>
      <c r="BK122" s="49">
        <f>IF(BK$4&gt;EOMONTH(CloseDate,'Rent Roll'!$O$16+'Rent Roll'!$S$16-1),1,0)</f>
        <v>1</v>
      </c>
      <c r="BL122" s="49">
        <f>IF(BL$4&gt;EOMONTH(CloseDate,'Rent Roll'!$O$16+'Rent Roll'!$S$16-1),1,0)</f>
        <v>1</v>
      </c>
      <c r="BM122" s="49">
        <f>IF(BM$4&gt;EOMONTH(CloseDate,'Rent Roll'!$O$16+'Rent Roll'!$S$16-1),1,0)</f>
        <v>1</v>
      </c>
      <c r="BN122" s="49">
        <f>IF(BN$4&gt;EOMONTH(CloseDate,'Rent Roll'!$O$16+'Rent Roll'!$S$16-1),1,0)</f>
        <v>1</v>
      </c>
      <c r="BO122" s="49">
        <f>IF(BO$4&gt;EOMONTH(CloseDate,'Rent Roll'!$O$16+'Rent Roll'!$S$16-1),1,0)</f>
        <v>1</v>
      </c>
      <c r="BP122" s="49">
        <f>IF(BP$4&gt;EOMONTH(CloseDate,'Rent Roll'!$O$16+'Rent Roll'!$S$16-1),1,0)</f>
        <v>1</v>
      </c>
      <c r="BQ122" s="49">
        <f>IF(BQ$4&gt;EOMONTH(CloseDate,'Rent Roll'!$O$16+'Rent Roll'!$S$16-1),1,0)</f>
        <v>1</v>
      </c>
      <c r="BR122" s="49">
        <f>IF(BR$4&gt;EOMONTH(CloseDate,'Rent Roll'!$O$16+'Rent Roll'!$S$16-1),1,0)</f>
        <v>1</v>
      </c>
      <c r="BS122" s="49">
        <f>IF(BS$4&gt;EOMONTH(CloseDate,'Rent Roll'!$O$16+'Rent Roll'!$S$16-1),1,0)</f>
        <v>1</v>
      </c>
      <c r="BT122" s="49">
        <f>IF(BT$4&gt;EOMONTH(CloseDate,'Rent Roll'!$O$16+'Rent Roll'!$S$16-1),1,0)</f>
        <v>1</v>
      </c>
      <c r="BU122" s="49">
        <f>IF(BU$4&gt;EOMONTH(CloseDate,'Rent Roll'!$O$16+'Rent Roll'!$S$16-1),1,0)</f>
        <v>1</v>
      </c>
      <c r="BV122" s="49">
        <f>IF(BV$4&gt;EOMONTH(CloseDate,'Rent Roll'!$O$16+'Rent Roll'!$S$16-1),1,0)</f>
        <v>1</v>
      </c>
      <c r="BW122" s="49">
        <f>IF(BW$4&gt;EOMONTH(CloseDate,'Rent Roll'!$O$16+'Rent Roll'!$S$16-1),1,0)</f>
        <v>1</v>
      </c>
      <c r="BX122" s="49">
        <f>IF(BX$4&gt;EOMONTH(CloseDate,'Rent Roll'!$O$16+'Rent Roll'!$S$16-1),1,0)</f>
        <v>1</v>
      </c>
    </row>
    <row r="123" spans="1:76">
      <c r="B123" t="s">
        <v>162</v>
      </c>
      <c r="D123" s="49">
        <f>IF(D122=1,'Rent Roll'!$F$16*'Rent Roll'!$X$16/12*D$6,0)</f>
        <v>0</v>
      </c>
      <c r="E123" s="49">
        <f>IF(E122=1,'Rent Roll'!$F$16*'Rent Roll'!$X$16/12*E$6,0)</f>
        <v>0</v>
      </c>
      <c r="F123" s="49">
        <f>IF(F122=1,'Rent Roll'!$F$16*'Rent Roll'!$X$16/12*F$6,0)</f>
        <v>0</v>
      </c>
      <c r="G123" s="49">
        <f>IF(G122=1,'Rent Roll'!$F$16*'Rent Roll'!$X$16/12*G$6,0)</f>
        <v>0</v>
      </c>
      <c r="H123" s="49">
        <f>IF(H122=1,'Rent Roll'!$F$16*'Rent Roll'!$X$16/12*H$6,0)</f>
        <v>0</v>
      </c>
      <c r="I123" s="49">
        <f>IF(I122=1,'Rent Roll'!$F$16*'Rent Roll'!$X$16/12*I$6,0)</f>
        <v>0</v>
      </c>
      <c r="J123" s="49">
        <f>IF(J122=1,'Rent Roll'!$F$16*'Rent Roll'!$X$16/12*J$6,0)</f>
        <v>0</v>
      </c>
      <c r="K123" s="49">
        <f>IF(K122=1,'Rent Roll'!$F$16*'Rent Roll'!$X$16/12*K$6,0)</f>
        <v>0</v>
      </c>
      <c r="L123" s="49">
        <f>IF(L122=1,'Rent Roll'!$F$16*'Rent Roll'!$X$16/12*L$6,0)</f>
        <v>0</v>
      </c>
      <c r="M123" s="49">
        <f>IF(M122=1,'Rent Roll'!$F$16*'Rent Roll'!$X$16/12*M$6,0)</f>
        <v>0</v>
      </c>
      <c r="N123" s="49">
        <f>IF(N122=1,'Rent Roll'!$F$16*'Rent Roll'!$X$16/12*N$6,0)</f>
        <v>0</v>
      </c>
      <c r="O123" s="49">
        <f>IF(O122=1,'Rent Roll'!$F$16*'Rent Roll'!$X$16/12*O$6,0)</f>
        <v>0</v>
      </c>
      <c r="P123" s="49">
        <f>IF(P122=1,'Rent Roll'!$F$16*'Rent Roll'!$X$16/12*P$6,0)</f>
        <v>0</v>
      </c>
      <c r="Q123" s="49">
        <f>IF(Q122=1,'Rent Roll'!$F$16*'Rent Roll'!$X$16/12*Q$6,0)</f>
        <v>0</v>
      </c>
      <c r="R123" s="49">
        <f>IF(R122=1,'Rent Roll'!$F$16*'Rent Roll'!$X$16/12*R$6,0)</f>
        <v>0</v>
      </c>
      <c r="S123" s="49">
        <f>IF(S122=1,'Rent Roll'!$F$16*'Rent Roll'!$X$16/12*S$6,0)</f>
        <v>0</v>
      </c>
      <c r="T123" s="49">
        <f>IF(T122=1,'Rent Roll'!$F$16*'Rent Roll'!$X$16/12*T$6,0)</f>
        <v>0</v>
      </c>
      <c r="U123" s="49">
        <f>IF(U122=1,'Rent Roll'!$F$16*'Rent Roll'!$X$16/12*U$6,0)</f>
        <v>0</v>
      </c>
      <c r="V123" s="49">
        <f>IF(V122=1,'Rent Roll'!$F$16*'Rent Roll'!$X$16/12*V$6,0)</f>
        <v>0</v>
      </c>
      <c r="W123" s="49">
        <f>IF(W122=1,'Rent Roll'!$F$16*'Rent Roll'!$X$16/12*W$6,0)</f>
        <v>0</v>
      </c>
      <c r="X123" s="49">
        <f>IF(X122=1,'Rent Roll'!$F$16*'Rent Roll'!$X$16/12*X$6,0)</f>
        <v>0</v>
      </c>
      <c r="Y123" s="49">
        <f>IF(Y122=1,'Rent Roll'!$F$16*'Rent Roll'!$X$16/12*Y$6,0)</f>
        <v>0</v>
      </c>
      <c r="Z123" s="49">
        <f>IF(Z122=1,'Rent Roll'!$F$16*'Rent Roll'!$X$16/12*Z$6,0)</f>
        <v>0</v>
      </c>
      <c r="AA123" s="49">
        <f>IF(AA122=1,'Rent Roll'!$F$16*'Rent Roll'!$X$16/12*AA$6,0)</f>
        <v>0</v>
      </c>
      <c r="AB123" s="49">
        <f>IF(AB122=1,'Rent Roll'!$F$16*'Rent Roll'!$X$16/12*AB$6,0)</f>
        <v>0</v>
      </c>
      <c r="AC123" s="49">
        <f>IF(AC122=1,'Rent Roll'!$F$16*'Rent Roll'!$X$16/12*AC$6,0)</f>
        <v>0</v>
      </c>
      <c r="AD123" s="49">
        <f>IF(AD122=1,'Rent Roll'!$F$16*'Rent Roll'!$X$16/12*AD$6,0)</f>
        <v>0</v>
      </c>
      <c r="AE123" s="49">
        <f>IF(AE122=1,'Rent Roll'!$F$16*'Rent Roll'!$X$16/12*AE$6,0)</f>
        <v>0</v>
      </c>
      <c r="AF123" s="49">
        <f>IF(AF122=1,'Rent Roll'!$F$16*'Rent Roll'!$X$16/12*AF$6,0)</f>
        <v>0</v>
      </c>
      <c r="AG123" s="49">
        <f>IF(AG122=1,'Rent Roll'!$F$16*'Rent Roll'!$X$16/12*AG$6,0)</f>
        <v>0</v>
      </c>
      <c r="AH123" s="49">
        <f>IF(AH122=1,'Rent Roll'!$F$16*'Rent Roll'!$X$16/12*AH$6,0)</f>
        <v>0</v>
      </c>
      <c r="AI123" s="49">
        <f>IF(AI122=1,'Rent Roll'!$F$16*'Rent Roll'!$X$16/12*AI$6,0)</f>
        <v>0</v>
      </c>
      <c r="AJ123" s="49">
        <f>IF(AJ122=1,'Rent Roll'!$F$16*'Rent Roll'!$X$16/12*AJ$6,0)</f>
        <v>0</v>
      </c>
      <c r="AK123" s="49">
        <f>IF(AK122=1,'Rent Roll'!$F$16*'Rent Roll'!$X$16/12*AK$6,0)</f>
        <v>0</v>
      </c>
      <c r="AL123" s="49">
        <f>IF(AL122=1,'Rent Roll'!$F$16*'Rent Roll'!$X$16/12*AL$6,0)</f>
        <v>0</v>
      </c>
      <c r="AM123" s="49">
        <f>IF(AM122=1,'Rent Roll'!$F$16*'Rent Roll'!$X$16/12*AM$6,0)</f>
        <v>0</v>
      </c>
      <c r="AN123" s="49">
        <f>IF(AN122=1,'Rent Roll'!$F$16*'Rent Roll'!$X$16/12*AN$6,0)</f>
        <v>0</v>
      </c>
      <c r="AO123" s="49">
        <f>IF(AO122=1,'Rent Roll'!$F$16*'Rent Roll'!$X$16/12*AO$6,0)</f>
        <v>0</v>
      </c>
      <c r="AP123" s="49">
        <f>IF(AP122=1,'Rent Roll'!$F$16*'Rent Roll'!$X$16/12*AP$6,0)</f>
        <v>0</v>
      </c>
      <c r="AQ123" s="49">
        <f>IF(AQ122=1,'Rent Roll'!$F$16*'Rent Roll'!$X$16/12*AQ$6,0)</f>
        <v>0</v>
      </c>
      <c r="AR123" s="49">
        <f>IF(AR122=1,'Rent Roll'!$F$16*'Rent Roll'!$X$16/12*AR$6,0)</f>
        <v>0</v>
      </c>
      <c r="AS123" s="49">
        <f>IF(AS122=1,'Rent Roll'!$F$16*'Rent Roll'!$X$16/12*AS$6,0)</f>
        <v>0</v>
      </c>
      <c r="AT123" s="49">
        <f>IF(AT122=1,'Rent Roll'!$F$16*'Rent Roll'!$X$16/12*AT$6,0)</f>
        <v>0</v>
      </c>
      <c r="AU123" s="49">
        <f>IF(AU122=1,'Rent Roll'!$F$16*'Rent Roll'!$X$16/12*AU$6,0)</f>
        <v>0</v>
      </c>
      <c r="AV123" s="49">
        <f>IF(AV122=1,'Rent Roll'!$F$16*'Rent Roll'!$X$16/12*AV$6,0)</f>
        <v>0</v>
      </c>
      <c r="AW123" s="49">
        <f>IF(AW122=1,'Rent Roll'!$F$16*'Rent Roll'!$X$16/12*AW$6,0)</f>
        <v>0</v>
      </c>
      <c r="AX123" s="49">
        <f>IF(AX122=1,'Rent Roll'!$F$16*'Rent Roll'!$X$16/12*AX$6,0)</f>
        <v>0</v>
      </c>
      <c r="AY123" s="49">
        <f>IF(AY122=1,'Rent Roll'!$F$16*'Rent Roll'!$X$16/12*AY$6,0)</f>
        <v>0</v>
      </c>
      <c r="AZ123" s="49">
        <f>IF(AZ122=1,'Rent Roll'!$F$16*'Rent Roll'!$X$16/12*AZ$6,0)</f>
        <v>0</v>
      </c>
      <c r="BA123" s="49">
        <f>IF(BA122=1,'Rent Roll'!$F$16*'Rent Roll'!$X$16/12*BA$6,0)</f>
        <v>0</v>
      </c>
      <c r="BB123" s="49">
        <f>IF(BB122=1,'Rent Roll'!$F$16*'Rent Roll'!$X$16/12*BB$6,0)</f>
        <v>0</v>
      </c>
      <c r="BC123" s="49">
        <f>IF(BC122=1,'Rent Roll'!$F$16*'Rent Roll'!$X$16/12*BC$6,0)</f>
        <v>14180.233164095525</v>
      </c>
      <c r="BD123" s="49">
        <f>IF(BD122=1,'Rent Roll'!$F$16*'Rent Roll'!$X$16/12*BD$6,0)</f>
        <v>14180.233164095525</v>
      </c>
      <c r="BE123" s="49">
        <f>IF(BE122=1,'Rent Roll'!$F$16*'Rent Roll'!$X$16/12*BE$6,0)</f>
        <v>14563.099459526102</v>
      </c>
      <c r="BF123" s="49">
        <f>IF(BF122=1,'Rent Roll'!$F$16*'Rent Roll'!$X$16/12*BF$6,0)</f>
        <v>14563.099459526102</v>
      </c>
      <c r="BG123" s="49">
        <f>IF(BG122=1,'Rent Roll'!$F$16*'Rent Roll'!$X$16/12*BG$6,0)</f>
        <v>14563.099459526102</v>
      </c>
      <c r="BH123" s="49">
        <f>IF(BH122=1,'Rent Roll'!$F$16*'Rent Roll'!$X$16/12*BH$6,0)</f>
        <v>14563.099459526102</v>
      </c>
      <c r="BI123" s="49">
        <f>IF(BI122=1,'Rent Roll'!$F$16*'Rent Roll'!$X$16/12*BI$6,0)</f>
        <v>14563.099459526102</v>
      </c>
      <c r="BJ123" s="49">
        <f>IF(BJ122=1,'Rent Roll'!$F$16*'Rent Roll'!$X$16/12*BJ$6,0)</f>
        <v>14563.099459526102</v>
      </c>
      <c r="BK123" s="49">
        <f>IF(BK122=1,'Rent Roll'!$F$16*'Rent Roll'!$X$16/12*BK$6,0)</f>
        <v>14563.099459526102</v>
      </c>
      <c r="BL123" s="49">
        <f>IF(BL122=1,'Rent Roll'!$F$16*'Rent Roll'!$X$16/12*BL$6,0)</f>
        <v>14563.099459526102</v>
      </c>
      <c r="BM123" s="49">
        <f>IF(BM122=1,'Rent Roll'!$F$16*'Rent Roll'!$X$16/12*BM$6,0)</f>
        <v>14563.099459526102</v>
      </c>
      <c r="BN123" s="49">
        <f>IF(BN122=1,'Rent Roll'!$F$16*'Rent Roll'!$X$16/12*BN$6,0)</f>
        <v>14563.099459526102</v>
      </c>
      <c r="BO123" s="49">
        <f>IF(BO122=1,'Rent Roll'!$F$16*'Rent Roll'!$X$16/12*BO$6,0)</f>
        <v>14563.099459526102</v>
      </c>
      <c r="BP123" s="49">
        <f>IF(BP122=1,'Rent Roll'!$F$16*'Rent Roll'!$X$16/12*BP$6,0)</f>
        <v>14563.099459526102</v>
      </c>
      <c r="BQ123" s="49">
        <f>IF(BQ122=1,'Rent Roll'!$F$16*'Rent Roll'!$X$16/12*BQ$6,0)</f>
        <v>14956.303144933305</v>
      </c>
      <c r="BR123" s="49">
        <f>IF(BR122=1,'Rent Roll'!$F$16*'Rent Roll'!$X$16/12*BR$6,0)</f>
        <v>14956.303144933305</v>
      </c>
      <c r="BS123" s="49">
        <f>IF(BS122=1,'Rent Roll'!$F$16*'Rent Roll'!$X$16/12*BS$6,0)</f>
        <v>14956.303144933305</v>
      </c>
      <c r="BT123" s="49">
        <f>IF(BT122=1,'Rent Roll'!$F$16*'Rent Roll'!$X$16/12*BT$6,0)</f>
        <v>14956.303144933305</v>
      </c>
      <c r="BU123" s="49">
        <f>IF(BU122=1,'Rent Roll'!$F$16*'Rent Roll'!$X$16/12*BU$6,0)</f>
        <v>14956.303144933305</v>
      </c>
      <c r="BV123" s="49">
        <f>IF(BV122=1,'Rent Roll'!$F$16*'Rent Roll'!$X$16/12*BV$6,0)</f>
        <v>14956.303144933305</v>
      </c>
      <c r="BW123" s="49">
        <f>IF(BW122=1,'Rent Roll'!$F$16*'Rent Roll'!$X$16/12*BW$6,0)</f>
        <v>14956.303144933305</v>
      </c>
      <c r="BX123" s="49">
        <f>IF(BX122=1,'Rent Roll'!$F$16*'Rent Roll'!$X$16/12*BX$6,0)</f>
        <v>14956.303144933305</v>
      </c>
    </row>
    <row r="124" spans="1:76" hidden="1" outlineLevel="1">
      <c r="B124" t="s">
        <v>163</v>
      </c>
      <c r="D124" s="49">
        <f>IF(AND(D$4&gt;EOMONTH(CloseDate,'Rent Roll'!$O$16+'Rent Roll'!$S$16-1),D$4&lt;=EOMONTH(CloseDate,'Rent Roll'!$O$16+'Rent Roll'!$S$16-1+'Rent Roll'!$V$16)),-D123,0)</f>
        <v>0</v>
      </c>
      <c r="E124" s="49">
        <f>IF(AND(E$4&gt;EOMONTH(CloseDate,'Rent Roll'!$O$16+'Rent Roll'!$S$16-1),E$4&lt;=EOMONTH(CloseDate,'Rent Roll'!$O$16+'Rent Roll'!$S$16-1+'Rent Roll'!$V$16)),-E123,0)</f>
        <v>0</v>
      </c>
      <c r="F124" s="49">
        <f>IF(AND(F$4&gt;EOMONTH(CloseDate,'Rent Roll'!$O$16+'Rent Roll'!$S$16-1),F$4&lt;=EOMONTH(CloseDate,'Rent Roll'!$O$16+'Rent Roll'!$S$16-1+'Rent Roll'!$V$16)),-F123,0)</f>
        <v>0</v>
      </c>
      <c r="G124" s="49">
        <f>IF(AND(G$4&gt;EOMONTH(CloseDate,'Rent Roll'!$O$16+'Rent Roll'!$S$16-1),G$4&lt;=EOMONTH(CloseDate,'Rent Roll'!$O$16+'Rent Roll'!$S$16-1+'Rent Roll'!$V$16)),-G123,0)</f>
        <v>0</v>
      </c>
      <c r="H124" s="49">
        <f>IF(AND(H$4&gt;EOMONTH(CloseDate,'Rent Roll'!$O$16+'Rent Roll'!$S$16-1),H$4&lt;=EOMONTH(CloseDate,'Rent Roll'!$O$16+'Rent Roll'!$S$16-1+'Rent Roll'!$V$16)),-H123,0)</f>
        <v>0</v>
      </c>
      <c r="I124" s="49">
        <f>IF(AND(I$4&gt;EOMONTH(CloseDate,'Rent Roll'!$O$16+'Rent Roll'!$S$16-1),I$4&lt;=EOMONTH(CloseDate,'Rent Roll'!$O$16+'Rent Roll'!$S$16-1+'Rent Roll'!$V$16)),-I123,0)</f>
        <v>0</v>
      </c>
      <c r="J124" s="49">
        <f>IF(AND(J$4&gt;EOMONTH(CloseDate,'Rent Roll'!$O$16+'Rent Roll'!$S$16-1),J$4&lt;=EOMONTH(CloseDate,'Rent Roll'!$O$16+'Rent Roll'!$S$16-1+'Rent Roll'!$V$16)),-J123,0)</f>
        <v>0</v>
      </c>
      <c r="K124" s="49">
        <f>IF(AND(K$4&gt;EOMONTH(CloseDate,'Rent Roll'!$O$16+'Rent Roll'!$S$16-1),K$4&lt;=EOMONTH(CloseDate,'Rent Roll'!$O$16+'Rent Roll'!$S$16-1+'Rent Roll'!$V$16)),-K123,0)</f>
        <v>0</v>
      </c>
      <c r="L124" s="49">
        <f>IF(AND(L$4&gt;EOMONTH(CloseDate,'Rent Roll'!$O$16+'Rent Roll'!$S$16-1),L$4&lt;=EOMONTH(CloseDate,'Rent Roll'!$O$16+'Rent Roll'!$S$16-1+'Rent Roll'!$V$16)),-L123,0)</f>
        <v>0</v>
      </c>
      <c r="M124" s="49">
        <f>IF(AND(M$4&gt;EOMONTH(CloseDate,'Rent Roll'!$O$16+'Rent Roll'!$S$16-1),M$4&lt;=EOMONTH(CloseDate,'Rent Roll'!$O$16+'Rent Roll'!$S$16-1+'Rent Roll'!$V$16)),-M123,0)</f>
        <v>0</v>
      </c>
      <c r="N124" s="49">
        <f>IF(AND(N$4&gt;EOMONTH(CloseDate,'Rent Roll'!$O$16+'Rent Roll'!$S$16-1),N$4&lt;=EOMONTH(CloseDate,'Rent Roll'!$O$16+'Rent Roll'!$S$16-1+'Rent Roll'!$V$16)),-N123,0)</f>
        <v>0</v>
      </c>
      <c r="O124" s="49">
        <f>IF(AND(O$4&gt;EOMONTH(CloseDate,'Rent Roll'!$O$16+'Rent Roll'!$S$16-1),O$4&lt;=EOMONTH(CloseDate,'Rent Roll'!$O$16+'Rent Roll'!$S$16-1+'Rent Roll'!$V$16)),-O123,0)</f>
        <v>0</v>
      </c>
      <c r="P124" s="49">
        <f>IF(AND(P$4&gt;EOMONTH(CloseDate,'Rent Roll'!$O$16+'Rent Roll'!$S$16-1),P$4&lt;=EOMONTH(CloseDate,'Rent Roll'!$O$16+'Rent Roll'!$S$16-1+'Rent Roll'!$V$16)),-P123,0)</f>
        <v>0</v>
      </c>
      <c r="Q124" s="49">
        <f>IF(AND(Q$4&gt;EOMONTH(CloseDate,'Rent Roll'!$O$16+'Rent Roll'!$S$16-1),Q$4&lt;=EOMONTH(CloseDate,'Rent Roll'!$O$16+'Rent Roll'!$S$16-1+'Rent Roll'!$V$16)),-Q123,0)</f>
        <v>0</v>
      </c>
      <c r="R124" s="49">
        <f>IF(AND(R$4&gt;EOMONTH(CloseDate,'Rent Roll'!$O$16+'Rent Roll'!$S$16-1),R$4&lt;=EOMONTH(CloseDate,'Rent Roll'!$O$16+'Rent Roll'!$S$16-1+'Rent Roll'!$V$16)),-R123,0)</f>
        <v>0</v>
      </c>
      <c r="S124" s="49">
        <f>IF(AND(S$4&gt;EOMONTH(CloseDate,'Rent Roll'!$O$16+'Rent Roll'!$S$16-1),S$4&lt;=EOMONTH(CloseDate,'Rent Roll'!$O$16+'Rent Roll'!$S$16-1+'Rent Roll'!$V$16)),-S123,0)</f>
        <v>0</v>
      </c>
      <c r="T124" s="49">
        <f>IF(AND(T$4&gt;EOMONTH(CloseDate,'Rent Roll'!$O$16+'Rent Roll'!$S$16-1),T$4&lt;=EOMONTH(CloseDate,'Rent Roll'!$O$16+'Rent Roll'!$S$16-1+'Rent Roll'!$V$16)),-T123,0)</f>
        <v>0</v>
      </c>
      <c r="U124" s="49">
        <f>IF(AND(U$4&gt;EOMONTH(CloseDate,'Rent Roll'!$O$16+'Rent Roll'!$S$16-1),U$4&lt;=EOMONTH(CloseDate,'Rent Roll'!$O$16+'Rent Roll'!$S$16-1+'Rent Roll'!$V$16)),-U123,0)</f>
        <v>0</v>
      </c>
      <c r="V124" s="49">
        <f>IF(AND(V$4&gt;EOMONTH(CloseDate,'Rent Roll'!$O$16+'Rent Roll'!$S$16-1),V$4&lt;=EOMONTH(CloseDate,'Rent Roll'!$O$16+'Rent Roll'!$S$16-1+'Rent Roll'!$V$16)),-V123,0)</f>
        <v>0</v>
      </c>
      <c r="W124" s="49">
        <f>IF(AND(W$4&gt;EOMONTH(CloseDate,'Rent Roll'!$O$16+'Rent Roll'!$S$16-1),W$4&lt;=EOMONTH(CloseDate,'Rent Roll'!$O$16+'Rent Roll'!$S$16-1+'Rent Roll'!$V$16)),-W123,0)</f>
        <v>0</v>
      </c>
      <c r="X124" s="49">
        <f>IF(AND(X$4&gt;EOMONTH(CloseDate,'Rent Roll'!$O$16+'Rent Roll'!$S$16-1),X$4&lt;=EOMONTH(CloseDate,'Rent Roll'!$O$16+'Rent Roll'!$S$16-1+'Rent Roll'!$V$16)),-X123,0)</f>
        <v>0</v>
      </c>
      <c r="Y124" s="49">
        <f>IF(AND(Y$4&gt;EOMONTH(CloseDate,'Rent Roll'!$O$16+'Rent Roll'!$S$16-1),Y$4&lt;=EOMONTH(CloseDate,'Rent Roll'!$O$16+'Rent Roll'!$S$16-1+'Rent Roll'!$V$16)),-Y123,0)</f>
        <v>0</v>
      </c>
      <c r="Z124" s="49">
        <f>IF(AND(Z$4&gt;EOMONTH(CloseDate,'Rent Roll'!$O$16+'Rent Roll'!$S$16-1),Z$4&lt;=EOMONTH(CloseDate,'Rent Roll'!$O$16+'Rent Roll'!$S$16-1+'Rent Roll'!$V$16)),-Z123,0)</f>
        <v>0</v>
      </c>
      <c r="AA124" s="49">
        <f>IF(AND(AA$4&gt;EOMONTH(CloseDate,'Rent Roll'!$O$16+'Rent Roll'!$S$16-1),AA$4&lt;=EOMONTH(CloseDate,'Rent Roll'!$O$16+'Rent Roll'!$S$16-1+'Rent Roll'!$V$16)),-AA123,0)</f>
        <v>0</v>
      </c>
      <c r="AB124" s="49">
        <f>IF(AND(AB$4&gt;EOMONTH(CloseDate,'Rent Roll'!$O$16+'Rent Roll'!$S$16-1),AB$4&lt;=EOMONTH(CloseDate,'Rent Roll'!$O$16+'Rent Roll'!$S$16-1+'Rent Roll'!$V$16)),-AB123,0)</f>
        <v>0</v>
      </c>
      <c r="AC124" s="49">
        <f>IF(AND(AC$4&gt;EOMONTH(CloseDate,'Rent Roll'!$O$16+'Rent Roll'!$S$16-1),AC$4&lt;=EOMONTH(CloseDate,'Rent Roll'!$O$16+'Rent Roll'!$S$16-1+'Rent Roll'!$V$16)),-AC123,0)</f>
        <v>0</v>
      </c>
      <c r="AD124" s="49">
        <f>IF(AND(AD$4&gt;EOMONTH(CloseDate,'Rent Roll'!$O$16+'Rent Roll'!$S$16-1),AD$4&lt;=EOMONTH(CloseDate,'Rent Roll'!$O$16+'Rent Roll'!$S$16-1+'Rent Roll'!$V$16)),-AD123,0)</f>
        <v>0</v>
      </c>
      <c r="AE124" s="49">
        <f>IF(AND(AE$4&gt;EOMONTH(CloseDate,'Rent Roll'!$O$16+'Rent Roll'!$S$16-1),AE$4&lt;=EOMONTH(CloseDate,'Rent Roll'!$O$16+'Rent Roll'!$S$16-1+'Rent Roll'!$V$16)),-AE123,0)</f>
        <v>0</v>
      </c>
      <c r="AF124" s="49">
        <f>IF(AND(AF$4&gt;EOMONTH(CloseDate,'Rent Roll'!$O$16+'Rent Roll'!$S$16-1),AF$4&lt;=EOMONTH(CloseDate,'Rent Roll'!$O$16+'Rent Roll'!$S$16-1+'Rent Roll'!$V$16)),-AF123,0)</f>
        <v>0</v>
      </c>
      <c r="AG124" s="49">
        <f>IF(AND(AG$4&gt;EOMONTH(CloseDate,'Rent Roll'!$O$16+'Rent Roll'!$S$16-1),AG$4&lt;=EOMONTH(CloseDate,'Rent Roll'!$O$16+'Rent Roll'!$S$16-1+'Rent Roll'!$V$16)),-AG123,0)</f>
        <v>0</v>
      </c>
      <c r="AH124" s="49">
        <f>IF(AND(AH$4&gt;EOMONTH(CloseDate,'Rent Roll'!$O$16+'Rent Roll'!$S$16-1),AH$4&lt;=EOMONTH(CloseDate,'Rent Roll'!$O$16+'Rent Roll'!$S$16-1+'Rent Roll'!$V$16)),-AH123,0)</f>
        <v>0</v>
      </c>
      <c r="AI124" s="49">
        <f>IF(AND(AI$4&gt;EOMONTH(CloseDate,'Rent Roll'!$O$16+'Rent Roll'!$S$16-1),AI$4&lt;=EOMONTH(CloseDate,'Rent Roll'!$O$16+'Rent Roll'!$S$16-1+'Rent Roll'!$V$16)),-AI123,0)</f>
        <v>0</v>
      </c>
      <c r="AJ124" s="49">
        <f>IF(AND(AJ$4&gt;EOMONTH(CloseDate,'Rent Roll'!$O$16+'Rent Roll'!$S$16-1),AJ$4&lt;=EOMONTH(CloseDate,'Rent Roll'!$O$16+'Rent Roll'!$S$16-1+'Rent Roll'!$V$16)),-AJ123,0)</f>
        <v>0</v>
      </c>
      <c r="AK124" s="49">
        <f>IF(AND(AK$4&gt;EOMONTH(CloseDate,'Rent Roll'!$O$16+'Rent Roll'!$S$16-1),AK$4&lt;=EOMONTH(CloseDate,'Rent Roll'!$O$16+'Rent Roll'!$S$16-1+'Rent Roll'!$V$16)),-AK123,0)</f>
        <v>0</v>
      </c>
      <c r="AL124" s="49">
        <f>IF(AND(AL$4&gt;EOMONTH(CloseDate,'Rent Roll'!$O$16+'Rent Roll'!$S$16-1),AL$4&lt;=EOMONTH(CloseDate,'Rent Roll'!$O$16+'Rent Roll'!$S$16-1+'Rent Roll'!$V$16)),-AL123,0)</f>
        <v>0</v>
      </c>
      <c r="AM124" s="49">
        <f>IF(AND(AM$4&gt;EOMONTH(CloseDate,'Rent Roll'!$O$16+'Rent Roll'!$S$16-1),AM$4&lt;=EOMONTH(CloseDate,'Rent Roll'!$O$16+'Rent Roll'!$S$16-1+'Rent Roll'!$V$16)),-AM123,0)</f>
        <v>0</v>
      </c>
      <c r="AN124" s="49">
        <f>IF(AND(AN$4&gt;EOMONTH(CloseDate,'Rent Roll'!$O$16+'Rent Roll'!$S$16-1),AN$4&lt;=EOMONTH(CloseDate,'Rent Roll'!$O$16+'Rent Roll'!$S$16-1+'Rent Roll'!$V$16)),-AN123,0)</f>
        <v>0</v>
      </c>
      <c r="AO124" s="49">
        <f>IF(AND(AO$4&gt;EOMONTH(CloseDate,'Rent Roll'!$O$16+'Rent Roll'!$S$16-1),AO$4&lt;=EOMONTH(CloseDate,'Rent Roll'!$O$16+'Rent Roll'!$S$16-1+'Rent Roll'!$V$16)),-AO123,0)</f>
        <v>0</v>
      </c>
      <c r="AP124" s="49">
        <f>IF(AND(AP$4&gt;EOMONTH(CloseDate,'Rent Roll'!$O$16+'Rent Roll'!$S$16-1),AP$4&lt;=EOMONTH(CloseDate,'Rent Roll'!$O$16+'Rent Roll'!$S$16-1+'Rent Roll'!$V$16)),-AP123,0)</f>
        <v>0</v>
      </c>
      <c r="AQ124" s="49">
        <f>IF(AND(AQ$4&gt;EOMONTH(CloseDate,'Rent Roll'!$O$16+'Rent Roll'!$S$16-1),AQ$4&lt;=EOMONTH(CloseDate,'Rent Roll'!$O$16+'Rent Roll'!$S$16-1+'Rent Roll'!$V$16)),-AQ123,0)</f>
        <v>0</v>
      </c>
      <c r="AR124" s="49">
        <f>IF(AND(AR$4&gt;EOMONTH(CloseDate,'Rent Roll'!$O$16+'Rent Roll'!$S$16-1),AR$4&lt;=EOMONTH(CloseDate,'Rent Roll'!$O$16+'Rent Roll'!$S$16-1+'Rent Roll'!$V$16)),-AR123,0)</f>
        <v>0</v>
      </c>
      <c r="AS124" s="49">
        <f>IF(AND(AS$4&gt;EOMONTH(CloseDate,'Rent Roll'!$O$16+'Rent Roll'!$S$16-1),AS$4&lt;=EOMONTH(CloseDate,'Rent Roll'!$O$16+'Rent Roll'!$S$16-1+'Rent Roll'!$V$16)),-AS123,0)</f>
        <v>0</v>
      </c>
      <c r="AT124" s="49">
        <f>IF(AND(AT$4&gt;EOMONTH(CloseDate,'Rent Roll'!$O$16+'Rent Roll'!$S$16-1),AT$4&lt;=EOMONTH(CloseDate,'Rent Roll'!$O$16+'Rent Roll'!$S$16-1+'Rent Roll'!$V$16)),-AT123,0)</f>
        <v>0</v>
      </c>
      <c r="AU124" s="49">
        <f>IF(AND(AU$4&gt;EOMONTH(CloseDate,'Rent Roll'!$O$16+'Rent Roll'!$S$16-1),AU$4&lt;=EOMONTH(CloseDate,'Rent Roll'!$O$16+'Rent Roll'!$S$16-1+'Rent Roll'!$V$16)),-AU123,0)</f>
        <v>0</v>
      </c>
      <c r="AV124" s="49">
        <f>IF(AND(AV$4&gt;EOMONTH(CloseDate,'Rent Roll'!$O$16+'Rent Roll'!$S$16-1),AV$4&lt;=EOMONTH(CloseDate,'Rent Roll'!$O$16+'Rent Roll'!$S$16-1+'Rent Roll'!$V$16)),-AV123,0)</f>
        <v>0</v>
      </c>
      <c r="AW124" s="49">
        <f>IF(AND(AW$4&gt;EOMONTH(CloseDate,'Rent Roll'!$O$16+'Rent Roll'!$S$16-1),AW$4&lt;=EOMONTH(CloseDate,'Rent Roll'!$O$16+'Rent Roll'!$S$16-1+'Rent Roll'!$V$16)),-AW123,0)</f>
        <v>0</v>
      </c>
      <c r="AX124" s="49">
        <f>IF(AND(AX$4&gt;EOMONTH(CloseDate,'Rent Roll'!$O$16+'Rent Roll'!$S$16-1),AX$4&lt;=EOMONTH(CloseDate,'Rent Roll'!$O$16+'Rent Roll'!$S$16-1+'Rent Roll'!$V$16)),-AX123,0)</f>
        <v>0</v>
      </c>
      <c r="AY124" s="49">
        <f>IF(AND(AY$4&gt;EOMONTH(CloseDate,'Rent Roll'!$O$16+'Rent Roll'!$S$16-1),AY$4&lt;=EOMONTH(CloseDate,'Rent Roll'!$O$16+'Rent Roll'!$S$16-1+'Rent Roll'!$V$16)),-AY123,0)</f>
        <v>0</v>
      </c>
      <c r="AZ124" s="49">
        <f>IF(AND(AZ$4&gt;EOMONTH(CloseDate,'Rent Roll'!$O$16+'Rent Roll'!$S$16-1),AZ$4&lt;=EOMONTH(CloseDate,'Rent Roll'!$O$16+'Rent Roll'!$S$16-1+'Rent Roll'!$V$16)),-AZ123,0)</f>
        <v>0</v>
      </c>
      <c r="BA124" s="49">
        <f>IF(AND(BA$4&gt;EOMONTH(CloseDate,'Rent Roll'!$O$16+'Rent Roll'!$S$16-1),BA$4&lt;=EOMONTH(CloseDate,'Rent Roll'!$O$16+'Rent Roll'!$S$16-1+'Rent Roll'!$V$16)),-BA123,0)</f>
        <v>0</v>
      </c>
      <c r="BB124" s="49">
        <f>IF(AND(BB$4&gt;EOMONTH(CloseDate,'Rent Roll'!$O$16+'Rent Roll'!$S$16-1),BB$4&lt;=EOMONTH(CloseDate,'Rent Roll'!$O$16+'Rent Roll'!$S$16-1+'Rent Roll'!$V$16)),-BB123,0)</f>
        <v>0</v>
      </c>
      <c r="BC124" s="49">
        <f>IF(AND(BC$4&gt;EOMONTH(CloseDate,'Rent Roll'!$O$16+'Rent Roll'!$S$16-1),BC$4&lt;=EOMONTH(CloseDate,'Rent Roll'!$O$16+'Rent Roll'!$S$16-1+'Rent Roll'!$V$16)),-BC123,0)</f>
        <v>-14180.233164095525</v>
      </c>
      <c r="BD124" s="49">
        <f>IF(AND(BD$4&gt;EOMONTH(CloseDate,'Rent Roll'!$O$16+'Rent Roll'!$S$16-1),BD$4&lt;=EOMONTH(CloseDate,'Rent Roll'!$O$16+'Rent Roll'!$S$16-1+'Rent Roll'!$V$16)),-BD123,0)</f>
        <v>-14180.233164095525</v>
      </c>
      <c r="BE124" s="49">
        <f>IF(AND(BE$4&gt;EOMONTH(CloseDate,'Rent Roll'!$O$16+'Rent Roll'!$S$16-1),BE$4&lt;=EOMONTH(CloseDate,'Rent Roll'!$O$16+'Rent Roll'!$S$16-1+'Rent Roll'!$V$16)),-BE123,0)</f>
        <v>0</v>
      </c>
      <c r="BF124" s="49">
        <f>IF(AND(BF$4&gt;EOMONTH(CloseDate,'Rent Roll'!$O$16+'Rent Roll'!$S$16-1),BF$4&lt;=EOMONTH(CloseDate,'Rent Roll'!$O$16+'Rent Roll'!$S$16-1+'Rent Roll'!$V$16)),-BF123,0)</f>
        <v>0</v>
      </c>
      <c r="BG124" s="49">
        <f>IF(AND(BG$4&gt;EOMONTH(CloseDate,'Rent Roll'!$O$16+'Rent Roll'!$S$16-1),BG$4&lt;=EOMONTH(CloseDate,'Rent Roll'!$O$16+'Rent Roll'!$S$16-1+'Rent Roll'!$V$16)),-BG123,0)</f>
        <v>0</v>
      </c>
      <c r="BH124" s="49">
        <f>IF(AND(BH$4&gt;EOMONTH(CloseDate,'Rent Roll'!$O$16+'Rent Roll'!$S$16-1),BH$4&lt;=EOMONTH(CloseDate,'Rent Roll'!$O$16+'Rent Roll'!$S$16-1+'Rent Roll'!$V$16)),-BH123,0)</f>
        <v>0</v>
      </c>
      <c r="BI124" s="49">
        <f>IF(AND(BI$4&gt;EOMONTH(CloseDate,'Rent Roll'!$O$16+'Rent Roll'!$S$16-1),BI$4&lt;=EOMONTH(CloseDate,'Rent Roll'!$O$16+'Rent Roll'!$S$16-1+'Rent Roll'!$V$16)),-BI123,0)</f>
        <v>0</v>
      </c>
      <c r="BJ124" s="49">
        <f>IF(AND(BJ$4&gt;EOMONTH(CloseDate,'Rent Roll'!$O$16+'Rent Roll'!$S$16-1),BJ$4&lt;=EOMONTH(CloseDate,'Rent Roll'!$O$16+'Rent Roll'!$S$16-1+'Rent Roll'!$V$16)),-BJ123,0)</f>
        <v>0</v>
      </c>
      <c r="BK124" s="49">
        <f>IF(AND(BK$4&gt;EOMONTH(CloseDate,'Rent Roll'!$O$16+'Rent Roll'!$S$16-1),BK$4&lt;=EOMONTH(CloseDate,'Rent Roll'!$O$16+'Rent Roll'!$S$16-1+'Rent Roll'!$V$16)),-BK123,0)</f>
        <v>0</v>
      </c>
      <c r="BL124" s="49">
        <f>IF(AND(BL$4&gt;EOMONTH(CloseDate,'Rent Roll'!$O$16+'Rent Roll'!$S$16-1),BL$4&lt;=EOMONTH(CloseDate,'Rent Roll'!$O$16+'Rent Roll'!$S$16-1+'Rent Roll'!$V$16)),-BL123,0)</f>
        <v>0</v>
      </c>
      <c r="BM124" s="49">
        <f>IF(AND(BM$4&gt;EOMONTH(CloseDate,'Rent Roll'!$O$16+'Rent Roll'!$S$16-1),BM$4&lt;=EOMONTH(CloseDate,'Rent Roll'!$O$16+'Rent Roll'!$S$16-1+'Rent Roll'!$V$16)),-BM123,0)</f>
        <v>0</v>
      </c>
      <c r="BN124" s="49">
        <f>IF(AND(BN$4&gt;EOMONTH(CloseDate,'Rent Roll'!$O$16+'Rent Roll'!$S$16-1),BN$4&lt;=EOMONTH(CloseDate,'Rent Roll'!$O$16+'Rent Roll'!$S$16-1+'Rent Roll'!$V$16)),-BN123,0)</f>
        <v>0</v>
      </c>
      <c r="BO124" s="49">
        <f>IF(AND(BO$4&gt;EOMONTH(CloseDate,'Rent Roll'!$O$16+'Rent Roll'!$S$16-1),BO$4&lt;=EOMONTH(CloseDate,'Rent Roll'!$O$16+'Rent Roll'!$S$16-1+'Rent Roll'!$V$16)),-BO123,0)</f>
        <v>0</v>
      </c>
      <c r="BP124" s="49">
        <f>IF(AND(BP$4&gt;EOMONTH(CloseDate,'Rent Roll'!$O$16+'Rent Roll'!$S$16-1),BP$4&lt;=EOMONTH(CloseDate,'Rent Roll'!$O$16+'Rent Roll'!$S$16-1+'Rent Roll'!$V$16)),-BP123,0)</f>
        <v>0</v>
      </c>
      <c r="BQ124" s="49">
        <f>IF(AND(BQ$4&gt;EOMONTH(CloseDate,'Rent Roll'!$O$16+'Rent Roll'!$S$16-1),BQ$4&lt;=EOMONTH(CloseDate,'Rent Roll'!$O$16+'Rent Roll'!$S$16-1+'Rent Roll'!$V$16)),-BQ123,0)</f>
        <v>0</v>
      </c>
      <c r="BR124" s="49">
        <f>IF(AND(BR$4&gt;EOMONTH(CloseDate,'Rent Roll'!$O$16+'Rent Roll'!$S$16-1),BR$4&lt;=EOMONTH(CloseDate,'Rent Roll'!$O$16+'Rent Roll'!$S$16-1+'Rent Roll'!$V$16)),-BR123,0)</f>
        <v>0</v>
      </c>
      <c r="BS124" s="49">
        <f>IF(AND(BS$4&gt;EOMONTH(CloseDate,'Rent Roll'!$O$16+'Rent Roll'!$S$16-1),BS$4&lt;=EOMONTH(CloseDate,'Rent Roll'!$O$16+'Rent Roll'!$S$16-1+'Rent Roll'!$V$16)),-BS123,0)</f>
        <v>0</v>
      </c>
      <c r="BT124" s="49">
        <f>IF(AND(BT$4&gt;EOMONTH(CloseDate,'Rent Roll'!$O$16+'Rent Roll'!$S$16-1),BT$4&lt;=EOMONTH(CloseDate,'Rent Roll'!$O$16+'Rent Roll'!$S$16-1+'Rent Roll'!$V$16)),-BT123,0)</f>
        <v>0</v>
      </c>
      <c r="BU124" s="49">
        <f>IF(AND(BU$4&gt;EOMONTH(CloseDate,'Rent Roll'!$O$16+'Rent Roll'!$S$16-1),BU$4&lt;=EOMONTH(CloseDate,'Rent Roll'!$O$16+'Rent Roll'!$S$16-1+'Rent Roll'!$V$16)),-BU123,0)</f>
        <v>0</v>
      </c>
      <c r="BV124" s="49">
        <f>IF(AND(BV$4&gt;EOMONTH(CloseDate,'Rent Roll'!$O$16+'Rent Roll'!$S$16-1),BV$4&lt;=EOMONTH(CloseDate,'Rent Roll'!$O$16+'Rent Roll'!$S$16-1+'Rent Roll'!$V$16)),-BV123,0)</f>
        <v>0</v>
      </c>
      <c r="BW124" s="49">
        <f>IF(AND(BW$4&gt;EOMONTH(CloseDate,'Rent Roll'!$O$16+'Rent Roll'!$S$16-1),BW$4&lt;=EOMONTH(CloseDate,'Rent Roll'!$O$16+'Rent Roll'!$S$16-1+'Rent Roll'!$V$16)),-BW123,0)</f>
        <v>0</v>
      </c>
      <c r="BX124" s="49">
        <f>IF(AND(BX$4&gt;EOMONTH(CloseDate,'Rent Roll'!$O$16+'Rent Roll'!$S$16-1),BX$4&lt;=EOMONTH(CloseDate,'Rent Roll'!$O$16+'Rent Roll'!$S$16-1+'Rent Roll'!$V$16)),-BX123,0)</f>
        <v>0</v>
      </c>
    </row>
    <row r="125" spans="1:76" hidden="1" outlineLevel="1">
      <c r="B125" t="s">
        <v>84</v>
      </c>
      <c r="D125" s="49">
        <f>D121+D123+D124</f>
        <v>11495.833333333334</v>
      </c>
      <c r="E125" s="49">
        <f t="shared" ref="E125:BJ125" si="47">E121+E123+E124</f>
        <v>11495.833333333334</v>
      </c>
      <c r="F125" s="49">
        <f t="shared" si="47"/>
        <v>11495.833333333334</v>
      </c>
      <c r="G125" s="49">
        <f t="shared" si="47"/>
        <v>11495.833333333334</v>
      </c>
      <c r="H125" s="49">
        <f t="shared" si="47"/>
        <v>11495.833333333334</v>
      </c>
      <c r="I125" s="49">
        <f t="shared" si="47"/>
        <v>11495.833333333334</v>
      </c>
      <c r="J125" s="49">
        <f t="shared" si="47"/>
        <v>11495.833333333334</v>
      </c>
      <c r="K125" s="49">
        <f t="shared" si="47"/>
        <v>11495.833333333334</v>
      </c>
      <c r="L125" s="49">
        <f t="shared" si="47"/>
        <v>11495.833333333334</v>
      </c>
      <c r="M125" s="49">
        <f t="shared" si="47"/>
        <v>11495.833333333334</v>
      </c>
      <c r="N125" s="49">
        <f t="shared" si="47"/>
        <v>11783.229166666666</v>
      </c>
      <c r="O125" s="49">
        <f t="shared" si="47"/>
        <v>11783.229166666666</v>
      </c>
      <c r="P125" s="49">
        <f t="shared" si="47"/>
        <v>11783.229166666666</v>
      </c>
      <c r="Q125" s="49">
        <f t="shared" si="47"/>
        <v>11783.229166666666</v>
      </c>
      <c r="R125" s="49">
        <f t="shared" si="47"/>
        <v>11783.229166666666</v>
      </c>
      <c r="S125" s="49">
        <f t="shared" si="47"/>
        <v>11783.229166666666</v>
      </c>
      <c r="T125" s="49">
        <f t="shared" si="47"/>
        <v>11783.229166666666</v>
      </c>
      <c r="U125" s="49">
        <f t="shared" si="47"/>
        <v>12077.809895833334</v>
      </c>
      <c r="V125" s="49">
        <f t="shared" si="47"/>
        <v>12077.809895833334</v>
      </c>
      <c r="W125" s="49">
        <f t="shared" si="47"/>
        <v>12077.809895833334</v>
      </c>
      <c r="X125" s="49">
        <f t="shared" si="47"/>
        <v>12077.809895833334</v>
      </c>
      <c r="Y125" s="49">
        <f t="shared" si="47"/>
        <v>12077.809895833334</v>
      </c>
      <c r="Z125" s="49">
        <f t="shared" si="47"/>
        <v>12077.809895833334</v>
      </c>
      <c r="AA125" s="49">
        <f t="shared" si="47"/>
        <v>12077.809895833334</v>
      </c>
      <c r="AB125" s="49">
        <f t="shared" si="47"/>
        <v>12077.809895833334</v>
      </c>
      <c r="AC125" s="49">
        <f t="shared" si="47"/>
        <v>12077.809895833334</v>
      </c>
      <c r="AD125" s="49">
        <f t="shared" si="47"/>
        <v>12077.809895833334</v>
      </c>
      <c r="AE125" s="49">
        <f t="shared" si="47"/>
        <v>12077.809895833334</v>
      </c>
      <c r="AF125" s="49">
        <f t="shared" si="47"/>
        <v>12077.809895833334</v>
      </c>
      <c r="AG125" s="49">
        <f t="shared" si="47"/>
        <v>12379.755143229166</v>
      </c>
      <c r="AH125" s="49">
        <f t="shared" si="47"/>
        <v>12379.755143229166</v>
      </c>
      <c r="AI125" s="49">
        <f t="shared" si="47"/>
        <v>12379.755143229166</v>
      </c>
      <c r="AJ125" s="49">
        <f t="shared" si="47"/>
        <v>12379.755143229166</v>
      </c>
      <c r="AK125" s="49">
        <f t="shared" si="47"/>
        <v>12379.755143229166</v>
      </c>
      <c r="AL125" s="49">
        <f t="shared" si="47"/>
        <v>12379.755143229166</v>
      </c>
      <c r="AM125" s="49">
        <f t="shared" si="47"/>
        <v>12379.755143229166</v>
      </c>
      <c r="AN125" s="49">
        <f t="shared" si="47"/>
        <v>12379.755143229166</v>
      </c>
      <c r="AO125" s="49">
        <f t="shared" si="47"/>
        <v>12379.755143229166</v>
      </c>
      <c r="AP125" s="49">
        <f t="shared" si="47"/>
        <v>12379.755143229166</v>
      </c>
      <c r="AQ125" s="49">
        <f t="shared" si="47"/>
        <v>12379.755143229166</v>
      </c>
      <c r="AR125" s="49">
        <f t="shared" si="47"/>
        <v>12379.755143229166</v>
      </c>
      <c r="AS125" s="49">
        <f t="shared" si="47"/>
        <v>12689.249021809894</v>
      </c>
      <c r="AT125" s="49">
        <f t="shared" si="47"/>
        <v>12689.249021809894</v>
      </c>
      <c r="AU125" s="49">
        <f t="shared" si="47"/>
        <v>12689.249021809894</v>
      </c>
      <c r="AV125" s="49">
        <f t="shared" si="47"/>
        <v>12689.249021809894</v>
      </c>
      <c r="AW125" s="49">
        <f t="shared" si="47"/>
        <v>12689.249021809894</v>
      </c>
      <c r="AX125" s="49">
        <f t="shared" si="47"/>
        <v>0</v>
      </c>
      <c r="AY125" s="49">
        <f t="shared" si="47"/>
        <v>0</v>
      </c>
      <c r="AZ125" s="49">
        <f t="shared" si="47"/>
        <v>0</v>
      </c>
      <c r="BA125" s="49">
        <f t="shared" si="47"/>
        <v>0</v>
      </c>
      <c r="BB125" s="49">
        <f t="shared" si="47"/>
        <v>0</v>
      </c>
      <c r="BC125" s="49">
        <f t="shared" si="47"/>
        <v>0</v>
      </c>
      <c r="BD125" s="49">
        <f t="shared" si="47"/>
        <v>0</v>
      </c>
      <c r="BE125" s="49">
        <f t="shared" si="47"/>
        <v>14563.099459526102</v>
      </c>
      <c r="BF125" s="49">
        <f t="shared" si="47"/>
        <v>14563.099459526102</v>
      </c>
      <c r="BG125" s="49">
        <f t="shared" si="47"/>
        <v>14563.099459526102</v>
      </c>
      <c r="BH125" s="49">
        <f t="shared" si="47"/>
        <v>14563.099459526102</v>
      </c>
      <c r="BI125" s="49">
        <f t="shared" si="47"/>
        <v>14563.099459526102</v>
      </c>
      <c r="BJ125" s="49">
        <f t="shared" si="47"/>
        <v>14563.099459526102</v>
      </c>
      <c r="BK125" s="49">
        <f t="shared" ref="BK125" si="48">BK121+BK123+BK124</f>
        <v>14563.099459526102</v>
      </c>
      <c r="BL125" s="49">
        <f t="shared" ref="BL125:BX125" si="49">BL121+BL123+BL124</f>
        <v>14563.099459526102</v>
      </c>
      <c r="BM125" s="49">
        <f t="shared" si="49"/>
        <v>14563.099459526102</v>
      </c>
      <c r="BN125" s="49">
        <f t="shared" si="49"/>
        <v>14563.099459526102</v>
      </c>
      <c r="BO125" s="49">
        <f t="shared" si="49"/>
        <v>14563.099459526102</v>
      </c>
      <c r="BP125" s="49">
        <f t="shared" si="49"/>
        <v>14563.099459526102</v>
      </c>
      <c r="BQ125" s="49">
        <f t="shared" si="49"/>
        <v>14956.303144933305</v>
      </c>
      <c r="BR125" s="49">
        <f t="shared" si="49"/>
        <v>14956.303144933305</v>
      </c>
      <c r="BS125" s="49">
        <f t="shared" si="49"/>
        <v>14956.303144933305</v>
      </c>
      <c r="BT125" s="49">
        <f t="shared" si="49"/>
        <v>14956.303144933305</v>
      </c>
      <c r="BU125" s="49">
        <f t="shared" si="49"/>
        <v>14956.303144933305</v>
      </c>
      <c r="BV125" s="49">
        <f t="shared" si="49"/>
        <v>14956.303144933305</v>
      </c>
      <c r="BW125" s="49">
        <f t="shared" si="49"/>
        <v>14956.303144933305</v>
      </c>
      <c r="BX125" s="49">
        <f t="shared" si="49"/>
        <v>14956.303144933305</v>
      </c>
    </row>
    <row r="126" spans="1:76" hidden="1" outlineLevel="1">
      <c r="B126" t="s">
        <v>85</v>
      </c>
      <c r="D126" s="49">
        <f>IF(OR(D120=1,D122=1),'Rent Roll'!$F$16/BldgSF*ReimbPool/12*D$7,0)</f>
        <v>5409.4999999999991</v>
      </c>
      <c r="E126" s="49">
        <f>IF(OR(E120=1,E122=1),'Rent Roll'!$F$16/BldgSF*ReimbPool/12*E$7,0)</f>
        <v>5409.4999999999991</v>
      </c>
      <c r="F126" s="49">
        <f>IF(OR(F120=1,F122=1),'Rent Roll'!$F$16/BldgSF*ReimbPool/12*F$7,0)</f>
        <v>5409.4999999999991</v>
      </c>
      <c r="G126" s="49">
        <f>IF(OR(G120=1,G122=1),'Rent Roll'!$F$16/BldgSF*ReimbPool/12*G$7,0)</f>
        <v>5409.4999999999991</v>
      </c>
      <c r="H126" s="49">
        <f>IF(OR(H120=1,H122=1),'Rent Roll'!$F$16/BldgSF*ReimbPool/12*H$7,0)</f>
        <v>5409.4999999999991</v>
      </c>
      <c r="I126" s="49">
        <f>IF(OR(I120=1,I122=1),'Rent Roll'!$F$16/BldgSF*ReimbPool/12*I$7,0)</f>
        <v>5555.5564999999988</v>
      </c>
      <c r="J126" s="49">
        <f>IF(OR(J120=1,J122=1),'Rent Roll'!$F$16/BldgSF*ReimbPool/12*J$7,0)</f>
        <v>5555.5564999999988</v>
      </c>
      <c r="K126" s="49">
        <f>IF(OR(K120=1,K122=1),'Rent Roll'!$F$16/BldgSF*ReimbPool/12*K$7,0)</f>
        <v>5555.5564999999988</v>
      </c>
      <c r="L126" s="49">
        <f>IF(OR(L120=1,L122=1),'Rent Roll'!$F$16/BldgSF*ReimbPool/12*L$7,0)</f>
        <v>5555.5564999999988</v>
      </c>
      <c r="M126" s="49">
        <f>IF(OR(M120=1,M122=1),'Rent Roll'!$F$16/BldgSF*ReimbPool/12*M$7,0)</f>
        <v>5555.5564999999988</v>
      </c>
      <c r="N126" s="49">
        <f>IF(OR(N120=1,N122=1),'Rent Roll'!$F$16/BldgSF*ReimbPool/12*N$7,0)</f>
        <v>5555.5564999999988</v>
      </c>
      <c r="O126" s="49">
        <f>IF(OR(O120=1,O122=1),'Rent Roll'!$F$16/BldgSF*ReimbPool/12*O$7,0)</f>
        <v>5555.5564999999988</v>
      </c>
      <c r="P126" s="49">
        <f>IF(OR(P120=1,P122=1),'Rent Roll'!$F$16/BldgSF*ReimbPool/12*P$7,0)</f>
        <v>5555.5564999999988</v>
      </c>
      <c r="Q126" s="49">
        <f>IF(OR(Q120=1,Q122=1),'Rent Roll'!$F$16/BldgSF*ReimbPool/12*Q$7,0)</f>
        <v>5555.5564999999988</v>
      </c>
      <c r="R126" s="49">
        <f>IF(OR(R120=1,R122=1),'Rent Roll'!$F$16/BldgSF*ReimbPool/12*R$7,0)</f>
        <v>5555.5564999999988</v>
      </c>
      <c r="S126" s="49">
        <f>IF(OR(S120=1,S122=1),'Rent Roll'!$F$16/BldgSF*ReimbPool/12*S$7,0)</f>
        <v>5555.5564999999988</v>
      </c>
      <c r="T126" s="49">
        <f>IF(OR(T120=1,T122=1),'Rent Roll'!$F$16/BldgSF*ReimbPool/12*T$7,0)</f>
        <v>5555.5564999999988</v>
      </c>
      <c r="U126" s="49">
        <f>IF(OR(U120=1,U122=1),'Rent Roll'!$F$16/BldgSF*ReimbPool/12*U$7,0)</f>
        <v>5705.5565254999983</v>
      </c>
      <c r="V126" s="49">
        <f>IF(OR(V120=1,V122=1),'Rent Roll'!$F$16/BldgSF*ReimbPool/12*V$7,0)</f>
        <v>5705.5565254999983</v>
      </c>
      <c r="W126" s="49">
        <f>IF(OR(W120=1,W122=1),'Rent Roll'!$F$16/BldgSF*ReimbPool/12*W$7,0)</f>
        <v>5705.5565254999983</v>
      </c>
      <c r="X126" s="49">
        <f>IF(OR(X120=1,X122=1),'Rent Roll'!$F$16/BldgSF*ReimbPool/12*X$7,0)</f>
        <v>5705.5565254999983</v>
      </c>
      <c r="Y126" s="49">
        <f>IF(OR(Y120=1,Y122=1),'Rent Roll'!$F$16/BldgSF*ReimbPool/12*Y$7,0)</f>
        <v>5705.5565254999983</v>
      </c>
      <c r="Z126" s="49">
        <f>IF(OR(Z120=1,Z122=1),'Rent Roll'!$F$16/BldgSF*ReimbPool/12*Z$7,0)</f>
        <v>5705.5565254999983</v>
      </c>
      <c r="AA126" s="49">
        <f>IF(OR(AA120=1,AA122=1),'Rent Roll'!$F$16/BldgSF*ReimbPool/12*AA$7,0)</f>
        <v>5705.5565254999983</v>
      </c>
      <c r="AB126" s="49">
        <f>IF(OR(AB120=1,AB122=1),'Rent Roll'!$F$16/BldgSF*ReimbPool/12*AB$7,0)</f>
        <v>5705.5565254999983</v>
      </c>
      <c r="AC126" s="49">
        <f>IF(OR(AC120=1,AC122=1),'Rent Roll'!$F$16/BldgSF*ReimbPool/12*AC$7,0)</f>
        <v>5705.5565254999983</v>
      </c>
      <c r="AD126" s="49">
        <f>IF(OR(AD120=1,AD122=1),'Rent Roll'!$F$16/BldgSF*ReimbPool/12*AD$7,0)</f>
        <v>5705.5565254999983</v>
      </c>
      <c r="AE126" s="49">
        <f>IF(OR(AE120=1,AE122=1),'Rent Roll'!$F$16/BldgSF*ReimbPool/12*AE$7,0)</f>
        <v>5705.5565254999983</v>
      </c>
      <c r="AF126" s="49">
        <f>IF(OR(AF120=1,AF122=1),'Rent Roll'!$F$16/BldgSF*ReimbPool/12*AF$7,0)</f>
        <v>5705.5565254999983</v>
      </c>
      <c r="AG126" s="49">
        <f>IF(OR(AG120=1,AG122=1),'Rent Roll'!$F$16/BldgSF*ReimbPool/12*AG$7,0)</f>
        <v>5859.6065516884983</v>
      </c>
      <c r="AH126" s="49">
        <f>IF(OR(AH120=1,AH122=1),'Rent Roll'!$F$16/BldgSF*ReimbPool/12*AH$7,0)</f>
        <v>5859.6065516884983</v>
      </c>
      <c r="AI126" s="49">
        <f>IF(OR(AI120=1,AI122=1),'Rent Roll'!$F$16/BldgSF*ReimbPool/12*AI$7,0)</f>
        <v>5859.6065516884983</v>
      </c>
      <c r="AJ126" s="49">
        <f>IF(OR(AJ120=1,AJ122=1),'Rent Roll'!$F$16/BldgSF*ReimbPool/12*AJ$7,0)</f>
        <v>5859.6065516884983</v>
      </c>
      <c r="AK126" s="49">
        <f>IF(OR(AK120=1,AK122=1),'Rent Roll'!$F$16/BldgSF*ReimbPool/12*AK$7,0)</f>
        <v>5859.6065516884983</v>
      </c>
      <c r="AL126" s="49">
        <f>IF(OR(AL120=1,AL122=1),'Rent Roll'!$F$16/BldgSF*ReimbPool/12*AL$7,0)</f>
        <v>5859.6065516884983</v>
      </c>
      <c r="AM126" s="49">
        <f>IF(OR(AM120=1,AM122=1),'Rent Roll'!$F$16/BldgSF*ReimbPool/12*AM$7,0)</f>
        <v>5859.6065516884983</v>
      </c>
      <c r="AN126" s="49">
        <f>IF(OR(AN120=1,AN122=1),'Rent Roll'!$F$16/BldgSF*ReimbPool/12*AN$7,0)</f>
        <v>5859.6065516884983</v>
      </c>
      <c r="AO126" s="49">
        <f>IF(OR(AO120=1,AO122=1),'Rent Roll'!$F$16/BldgSF*ReimbPool/12*AO$7,0)</f>
        <v>5859.6065516884983</v>
      </c>
      <c r="AP126" s="49">
        <f>IF(OR(AP120=1,AP122=1),'Rent Roll'!$F$16/BldgSF*ReimbPool/12*AP$7,0)</f>
        <v>5859.6065516884983</v>
      </c>
      <c r="AQ126" s="49">
        <f>IF(OR(AQ120=1,AQ122=1),'Rent Roll'!$F$16/BldgSF*ReimbPool/12*AQ$7,0)</f>
        <v>5859.6065516884983</v>
      </c>
      <c r="AR126" s="49">
        <f>IF(OR(AR120=1,AR122=1),'Rent Roll'!$F$16/BldgSF*ReimbPool/12*AR$7,0)</f>
        <v>5859.6065516884983</v>
      </c>
      <c r="AS126" s="49">
        <f>IF(OR(AS120=1,AS122=1),'Rent Roll'!$F$16/BldgSF*ReimbPool/12*AS$7,0)</f>
        <v>6017.8159285840866</v>
      </c>
      <c r="AT126" s="49">
        <f>IF(OR(AT120=1,AT122=1),'Rent Roll'!$F$16/BldgSF*ReimbPool/12*AT$7,0)</f>
        <v>6017.8159285840866</v>
      </c>
      <c r="AU126" s="49">
        <f>IF(OR(AU120=1,AU122=1),'Rent Roll'!$F$16/BldgSF*ReimbPool/12*AU$7,0)</f>
        <v>6017.8159285840866</v>
      </c>
      <c r="AV126" s="49">
        <f>IF(OR(AV120=1,AV122=1),'Rent Roll'!$F$16/BldgSF*ReimbPool/12*AV$7,0)</f>
        <v>6017.8159285840866</v>
      </c>
      <c r="AW126" s="49">
        <f>IF(OR(AW120=1,AW122=1),'Rent Roll'!$F$16/BldgSF*ReimbPool/12*AW$7,0)</f>
        <v>6017.8159285840866</v>
      </c>
      <c r="AX126" s="49">
        <f>IF(OR(AX120=1,AX122=1),'Rent Roll'!$F$16/BldgSF*ReimbPool/12*AX$7,0)</f>
        <v>0</v>
      </c>
      <c r="AY126" s="49">
        <f>IF(OR(AY120=1,AY122=1),'Rent Roll'!$F$16/BldgSF*ReimbPool/12*AY$7,0)</f>
        <v>0</v>
      </c>
      <c r="AZ126" s="49">
        <f>IF(OR(AZ120=1,AZ122=1),'Rent Roll'!$F$16/BldgSF*ReimbPool/12*AZ$7,0)</f>
        <v>0</v>
      </c>
      <c r="BA126" s="49">
        <f>IF(OR(BA120=1,BA122=1),'Rent Roll'!$F$16/BldgSF*ReimbPool/12*BA$7,0)</f>
        <v>0</v>
      </c>
      <c r="BB126" s="49">
        <f>IF(OR(BB120=1,BB122=1),'Rent Roll'!$F$16/BldgSF*ReimbPool/12*BB$7,0)</f>
        <v>0</v>
      </c>
      <c r="BC126" s="49">
        <f>IF(OR(BC120=1,BC122=1),'Rent Roll'!$F$16/BldgSF*ReimbPool/12*BC$7,0)</f>
        <v>6017.8159285840866</v>
      </c>
      <c r="BD126" s="49">
        <f>IF(OR(BD120=1,BD122=1),'Rent Roll'!$F$16/BldgSF*ReimbPool/12*BD$7,0)</f>
        <v>6017.8159285840866</v>
      </c>
      <c r="BE126" s="49">
        <f>IF(OR(BE120=1,BE122=1),'Rent Roll'!$F$16/BldgSF*ReimbPool/12*BE$7,0)</f>
        <v>6180.2969586558565</v>
      </c>
      <c r="BF126" s="49">
        <f>IF(OR(BF120=1,BF122=1),'Rent Roll'!$F$16/BldgSF*ReimbPool/12*BF$7,0)</f>
        <v>6180.2969586558565</v>
      </c>
      <c r="BG126" s="49">
        <f>IF(OR(BG120=1,BG122=1),'Rent Roll'!$F$16/BldgSF*ReimbPool/12*BG$7,0)</f>
        <v>6180.2969586558565</v>
      </c>
      <c r="BH126" s="49">
        <f>IF(OR(BH120=1,BH122=1),'Rent Roll'!$F$16/BldgSF*ReimbPool/12*BH$7,0)</f>
        <v>6180.2969586558565</v>
      </c>
      <c r="BI126" s="49">
        <f>IF(OR(BI120=1,BI122=1),'Rent Roll'!$F$16/BldgSF*ReimbPool/12*BI$7,0)</f>
        <v>6180.2969586558565</v>
      </c>
      <c r="BJ126" s="49">
        <f>IF(OR(BJ120=1,BJ122=1),'Rent Roll'!$F$16/BldgSF*ReimbPool/12*BJ$7,0)</f>
        <v>6180.2969586558565</v>
      </c>
      <c r="BK126" s="49">
        <f>IF(OR(BK120=1,BK122=1),'Rent Roll'!$F$16/BldgSF*ReimbPool/12*BK$7,0)</f>
        <v>6180.2969586558565</v>
      </c>
      <c r="BL126" s="49">
        <f>IF(OR(BL120=1,BL122=1),'Rent Roll'!$F$16/BldgSF*ReimbPool/12*BL$7,0)</f>
        <v>6180.2969586558565</v>
      </c>
      <c r="BM126" s="49">
        <f>IF(OR(BM120=1,BM122=1),'Rent Roll'!$F$16/BldgSF*ReimbPool/12*BM$7,0)</f>
        <v>6180.2969586558565</v>
      </c>
      <c r="BN126" s="49">
        <f>IF(OR(BN120=1,BN122=1),'Rent Roll'!$F$16/BldgSF*ReimbPool/12*BN$7,0)</f>
        <v>6180.2969586558565</v>
      </c>
      <c r="BO126" s="49">
        <f>IF(OR(BO120=1,BO122=1),'Rent Roll'!$F$16/BldgSF*ReimbPool/12*BO$7,0)</f>
        <v>6180.2969586558565</v>
      </c>
      <c r="BP126" s="49">
        <f>IF(OR(BP120=1,BP122=1),'Rent Roll'!$F$16/BldgSF*ReimbPool/12*BP$7,0)</f>
        <v>6180.2969586558565</v>
      </c>
      <c r="BQ126" s="49">
        <f>IF(OR(BQ120=1,BQ122=1),'Rent Roll'!$F$16/BldgSF*ReimbPool/12*BQ$7,0)</f>
        <v>6347.1649765395632</v>
      </c>
      <c r="BR126" s="49">
        <f>IF(OR(BR120=1,BR122=1),'Rent Roll'!$F$16/BldgSF*ReimbPool/12*BR$7,0)</f>
        <v>6347.1649765395632</v>
      </c>
      <c r="BS126" s="49">
        <f>IF(OR(BS120=1,BS122=1),'Rent Roll'!$F$16/BldgSF*ReimbPool/12*BS$7,0)</f>
        <v>6347.1649765395632</v>
      </c>
      <c r="BT126" s="49">
        <f>IF(OR(BT120=1,BT122=1),'Rent Roll'!$F$16/BldgSF*ReimbPool/12*BT$7,0)</f>
        <v>6347.1649765395632</v>
      </c>
      <c r="BU126" s="49">
        <f>IF(OR(BU120=1,BU122=1),'Rent Roll'!$F$16/BldgSF*ReimbPool/12*BU$7,0)</f>
        <v>6347.1649765395632</v>
      </c>
      <c r="BV126" s="49">
        <f>IF(OR(BV120=1,BV122=1),'Rent Roll'!$F$16/BldgSF*ReimbPool/12*BV$7,0)</f>
        <v>6347.1649765395632</v>
      </c>
      <c r="BW126" s="49">
        <f>IF(OR(BW120=1,BW122=1),'Rent Roll'!$F$16/BldgSF*ReimbPool/12*BW$7,0)</f>
        <v>6347.1649765395632</v>
      </c>
      <c r="BX126" s="49">
        <f>IF(OR(BX120=1,BX122=1),'Rent Roll'!$F$16/BldgSF*ReimbPool/12*BX$7,0)</f>
        <v>6347.1649765395632</v>
      </c>
    </row>
    <row r="127" spans="1:76" hidden="1" outlineLevel="1">
      <c r="B127" t="s">
        <v>86</v>
      </c>
      <c r="D127" s="49">
        <f>IF(D$4=EOMONTH(CloseDate,'Rent Roll'!$O$16+'Rent Roll'!$S$16),-'Rent Roll'!$F$16*'Rent Roll'!$T$16,0)</f>
        <v>0</v>
      </c>
      <c r="E127" s="49">
        <f>IF(E$4=EOMONTH(CloseDate,'Rent Roll'!$O$16+'Rent Roll'!$S$16),-'Rent Roll'!$F$16*'Rent Roll'!$T$16,0)</f>
        <v>0</v>
      </c>
      <c r="F127" s="49">
        <f>IF(F$4=EOMONTH(CloseDate,'Rent Roll'!$O$16+'Rent Roll'!$S$16),-'Rent Roll'!$F$16*'Rent Roll'!$T$16,0)</f>
        <v>0</v>
      </c>
      <c r="G127" s="49">
        <f>IF(G$4=EOMONTH(CloseDate,'Rent Roll'!$O$16+'Rent Roll'!$S$16),-'Rent Roll'!$F$16*'Rent Roll'!$T$16,0)</f>
        <v>0</v>
      </c>
      <c r="H127" s="49">
        <f>IF(H$4=EOMONTH(CloseDate,'Rent Roll'!$O$16+'Rent Roll'!$S$16),-'Rent Roll'!$F$16*'Rent Roll'!$T$16,0)</f>
        <v>0</v>
      </c>
      <c r="I127" s="49">
        <f>IF(I$4=EOMONTH(CloseDate,'Rent Roll'!$O$16+'Rent Roll'!$S$16),-'Rent Roll'!$F$16*'Rent Roll'!$T$16,0)</f>
        <v>0</v>
      </c>
      <c r="J127" s="49">
        <f>IF(J$4=EOMONTH(CloseDate,'Rent Roll'!$O$16+'Rent Roll'!$S$16),-'Rent Roll'!$F$16*'Rent Roll'!$T$16,0)</f>
        <v>0</v>
      </c>
      <c r="K127" s="49">
        <f>IF(K$4=EOMONTH(CloseDate,'Rent Roll'!$O$16+'Rent Roll'!$S$16),-'Rent Roll'!$F$16*'Rent Roll'!$T$16,0)</f>
        <v>0</v>
      </c>
      <c r="L127" s="49">
        <f>IF(L$4=EOMONTH(CloseDate,'Rent Roll'!$O$16+'Rent Roll'!$S$16),-'Rent Roll'!$F$16*'Rent Roll'!$T$16,0)</f>
        <v>0</v>
      </c>
      <c r="M127" s="49">
        <f>IF(M$4=EOMONTH(CloseDate,'Rent Roll'!$O$16+'Rent Roll'!$S$16),-'Rent Roll'!$F$16*'Rent Roll'!$T$16,0)</f>
        <v>0</v>
      </c>
      <c r="N127" s="49">
        <f>IF(N$4=EOMONTH(CloseDate,'Rent Roll'!$O$16+'Rent Roll'!$S$16),-'Rent Roll'!$F$16*'Rent Roll'!$T$16,0)</f>
        <v>0</v>
      </c>
      <c r="O127" s="49">
        <f>IF(O$4=EOMONTH(CloseDate,'Rent Roll'!$O$16+'Rent Roll'!$S$16),-'Rent Roll'!$F$16*'Rent Roll'!$T$16,0)</f>
        <v>0</v>
      </c>
      <c r="P127" s="49">
        <f>IF(P$4=EOMONTH(CloseDate,'Rent Roll'!$O$16+'Rent Roll'!$S$16),-'Rent Roll'!$F$16*'Rent Roll'!$T$16,0)</f>
        <v>0</v>
      </c>
      <c r="Q127" s="49">
        <f>IF(Q$4=EOMONTH(CloseDate,'Rent Roll'!$O$16+'Rent Roll'!$S$16),-'Rent Roll'!$F$16*'Rent Roll'!$T$16,0)</f>
        <v>0</v>
      </c>
      <c r="R127" s="49">
        <f>IF(R$4=EOMONTH(CloseDate,'Rent Roll'!$O$16+'Rent Roll'!$S$16),-'Rent Roll'!$F$16*'Rent Roll'!$T$16,0)</f>
        <v>0</v>
      </c>
      <c r="S127" s="49">
        <f>IF(S$4=EOMONTH(CloseDate,'Rent Roll'!$O$16+'Rent Roll'!$S$16),-'Rent Roll'!$F$16*'Rent Roll'!$T$16,0)</f>
        <v>0</v>
      </c>
      <c r="T127" s="49">
        <f>IF(T$4=EOMONTH(CloseDate,'Rent Roll'!$O$16+'Rent Roll'!$S$16),-'Rent Roll'!$F$16*'Rent Roll'!$T$16,0)</f>
        <v>0</v>
      </c>
      <c r="U127" s="49">
        <f>IF(U$4=EOMONTH(CloseDate,'Rent Roll'!$O$16+'Rent Roll'!$S$16),-'Rent Roll'!$F$16*'Rent Roll'!$T$16,0)</f>
        <v>0</v>
      </c>
      <c r="V127" s="49">
        <f>IF(V$4=EOMONTH(CloseDate,'Rent Roll'!$O$16+'Rent Roll'!$S$16),-'Rent Roll'!$F$16*'Rent Roll'!$T$16,0)</f>
        <v>0</v>
      </c>
      <c r="W127" s="49">
        <f>IF(W$4=EOMONTH(CloseDate,'Rent Roll'!$O$16+'Rent Roll'!$S$16),-'Rent Roll'!$F$16*'Rent Roll'!$T$16,0)</f>
        <v>0</v>
      </c>
      <c r="X127" s="49">
        <f>IF(X$4=EOMONTH(CloseDate,'Rent Roll'!$O$16+'Rent Roll'!$S$16),-'Rent Roll'!$F$16*'Rent Roll'!$T$16,0)</f>
        <v>0</v>
      </c>
      <c r="Y127" s="49">
        <f>IF(Y$4=EOMONTH(CloseDate,'Rent Roll'!$O$16+'Rent Roll'!$S$16),-'Rent Roll'!$F$16*'Rent Roll'!$T$16,0)</f>
        <v>0</v>
      </c>
      <c r="Z127" s="49">
        <f>IF(Z$4=EOMONTH(CloseDate,'Rent Roll'!$O$16+'Rent Roll'!$S$16),-'Rent Roll'!$F$16*'Rent Roll'!$T$16,0)</f>
        <v>0</v>
      </c>
      <c r="AA127" s="49">
        <f>IF(AA$4=EOMONTH(CloseDate,'Rent Roll'!$O$16+'Rent Roll'!$S$16),-'Rent Roll'!$F$16*'Rent Roll'!$T$16,0)</f>
        <v>0</v>
      </c>
      <c r="AB127" s="49">
        <f>IF(AB$4=EOMONTH(CloseDate,'Rent Roll'!$O$16+'Rent Roll'!$S$16),-'Rent Roll'!$F$16*'Rent Roll'!$T$16,0)</f>
        <v>0</v>
      </c>
      <c r="AC127" s="49">
        <f>IF(AC$4=EOMONTH(CloseDate,'Rent Roll'!$O$16+'Rent Roll'!$S$16),-'Rent Roll'!$F$16*'Rent Roll'!$T$16,0)</f>
        <v>0</v>
      </c>
      <c r="AD127" s="49">
        <f>IF(AD$4=EOMONTH(CloseDate,'Rent Roll'!$O$16+'Rent Roll'!$S$16),-'Rent Roll'!$F$16*'Rent Roll'!$T$16,0)</f>
        <v>0</v>
      </c>
      <c r="AE127" s="49">
        <f>IF(AE$4=EOMONTH(CloseDate,'Rent Roll'!$O$16+'Rent Roll'!$S$16),-'Rent Roll'!$F$16*'Rent Roll'!$T$16,0)</f>
        <v>0</v>
      </c>
      <c r="AF127" s="49">
        <f>IF(AF$4=EOMONTH(CloseDate,'Rent Roll'!$O$16+'Rent Roll'!$S$16),-'Rent Roll'!$F$16*'Rent Roll'!$T$16,0)</f>
        <v>0</v>
      </c>
      <c r="AG127" s="49">
        <f>IF(AG$4=EOMONTH(CloseDate,'Rent Roll'!$O$16+'Rent Roll'!$S$16),-'Rent Roll'!$F$16*'Rent Roll'!$T$16,0)</f>
        <v>0</v>
      </c>
      <c r="AH127" s="49">
        <f>IF(AH$4=EOMONTH(CloseDate,'Rent Roll'!$O$16+'Rent Roll'!$S$16),-'Rent Roll'!$F$16*'Rent Roll'!$T$16,0)</f>
        <v>0</v>
      </c>
      <c r="AI127" s="49">
        <f>IF(AI$4=EOMONTH(CloseDate,'Rent Roll'!$O$16+'Rent Roll'!$S$16),-'Rent Roll'!$F$16*'Rent Roll'!$T$16,0)</f>
        <v>0</v>
      </c>
      <c r="AJ127" s="49">
        <f>IF(AJ$4=EOMONTH(CloseDate,'Rent Roll'!$O$16+'Rent Roll'!$S$16),-'Rent Roll'!$F$16*'Rent Roll'!$T$16,0)</f>
        <v>0</v>
      </c>
      <c r="AK127" s="49">
        <f>IF(AK$4=EOMONTH(CloseDate,'Rent Roll'!$O$16+'Rent Roll'!$S$16),-'Rent Roll'!$F$16*'Rent Roll'!$T$16,0)</f>
        <v>0</v>
      </c>
      <c r="AL127" s="49">
        <f>IF(AL$4=EOMONTH(CloseDate,'Rent Roll'!$O$16+'Rent Roll'!$S$16),-'Rent Roll'!$F$16*'Rent Roll'!$T$16,0)</f>
        <v>0</v>
      </c>
      <c r="AM127" s="49">
        <f>IF(AM$4=EOMONTH(CloseDate,'Rent Roll'!$O$16+'Rent Roll'!$S$16),-'Rent Roll'!$F$16*'Rent Roll'!$T$16,0)</f>
        <v>0</v>
      </c>
      <c r="AN127" s="49">
        <f>IF(AN$4=EOMONTH(CloseDate,'Rent Roll'!$O$16+'Rent Roll'!$S$16),-'Rent Roll'!$F$16*'Rent Roll'!$T$16,0)</f>
        <v>0</v>
      </c>
      <c r="AO127" s="49">
        <f>IF(AO$4=EOMONTH(CloseDate,'Rent Roll'!$O$16+'Rent Roll'!$S$16),-'Rent Roll'!$F$16*'Rent Roll'!$T$16,0)</f>
        <v>0</v>
      </c>
      <c r="AP127" s="49">
        <f>IF(AP$4=EOMONTH(CloseDate,'Rent Roll'!$O$16+'Rent Roll'!$S$16),-'Rent Roll'!$F$16*'Rent Roll'!$T$16,0)</f>
        <v>0</v>
      </c>
      <c r="AQ127" s="49">
        <f>IF(AQ$4=EOMONTH(CloseDate,'Rent Roll'!$O$16+'Rent Roll'!$S$16),-'Rent Roll'!$F$16*'Rent Roll'!$T$16,0)</f>
        <v>0</v>
      </c>
      <c r="AR127" s="49">
        <f>IF(AR$4=EOMONTH(CloseDate,'Rent Roll'!$O$16+'Rent Roll'!$S$16),-'Rent Roll'!$F$16*'Rent Roll'!$T$16,0)</f>
        <v>0</v>
      </c>
      <c r="AS127" s="49">
        <f>IF(AS$4=EOMONTH(CloseDate,'Rent Roll'!$O$16+'Rent Roll'!$S$16),-'Rent Roll'!$F$16*'Rent Roll'!$T$16,0)</f>
        <v>0</v>
      </c>
      <c r="AT127" s="49">
        <f>IF(AT$4=EOMONTH(CloseDate,'Rent Roll'!$O$16+'Rent Roll'!$S$16),-'Rent Roll'!$F$16*'Rent Roll'!$T$16,0)</f>
        <v>0</v>
      </c>
      <c r="AU127" s="49">
        <f>IF(AU$4=EOMONTH(CloseDate,'Rent Roll'!$O$16+'Rent Roll'!$S$16),-'Rent Roll'!$F$16*'Rent Roll'!$T$16,0)</f>
        <v>0</v>
      </c>
      <c r="AV127" s="49">
        <f>IF(AV$4=EOMONTH(CloseDate,'Rent Roll'!$O$16+'Rent Roll'!$S$16),-'Rent Roll'!$F$16*'Rent Roll'!$T$16,0)</f>
        <v>0</v>
      </c>
      <c r="AW127" s="49">
        <f>IF(AW$4=EOMONTH(CloseDate,'Rent Roll'!$O$16+'Rent Roll'!$S$16),-'Rent Roll'!$F$16*'Rent Roll'!$T$16,0)</f>
        <v>0</v>
      </c>
      <c r="AX127" s="49">
        <f>IF(AX$4=EOMONTH(CloseDate,'Rent Roll'!$O$16+'Rent Roll'!$S$16),-'Rent Roll'!$F$16*'Rent Roll'!$T$16,0)</f>
        <v>0</v>
      </c>
      <c r="AY127" s="49">
        <f>IF(AY$4=EOMONTH(CloseDate,'Rent Roll'!$O$16+'Rent Roll'!$S$16),-'Rent Roll'!$F$16*'Rent Roll'!$T$16,0)</f>
        <v>0</v>
      </c>
      <c r="AZ127" s="49">
        <f>IF(AZ$4=EOMONTH(CloseDate,'Rent Roll'!$O$16+'Rent Roll'!$S$16),-'Rent Roll'!$F$16*'Rent Roll'!$T$16,0)</f>
        <v>0</v>
      </c>
      <c r="BA127" s="49">
        <f>IF(BA$4=EOMONTH(CloseDate,'Rent Roll'!$O$16+'Rent Roll'!$S$16),-'Rent Roll'!$F$16*'Rent Roll'!$T$16,0)</f>
        <v>0</v>
      </c>
      <c r="BB127" s="49">
        <f>IF(BB$4=EOMONTH(CloseDate,'Rent Roll'!$O$16+'Rent Roll'!$S$16),-'Rent Roll'!$F$16*'Rent Roll'!$T$16,0)</f>
        <v>0</v>
      </c>
      <c r="BC127" s="49">
        <f>IF(BC$4=EOMONTH(CloseDate,'Rent Roll'!$O$16+'Rent Roll'!$S$16),-'Rent Roll'!$F$16*'Rent Roll'!$T$16,0)</f>
        <v>-223200</v>
      </c>
      <c r="BD127" s="49">
        <f>IF(BD$4=EOMONTH(CloseDate,'Rent Roll'!$O$16+'Rent Roll'!$S$16),-'Rent Roll'!$F$16*'Rent Roll'!$T$16,0)</f>
        <v>0</v>
      </c>
      <c r="BE127" s="49">
        <f>IF(BE$4=EOMONTH(CloseDate,'Rent Roll'!$O$16+'Rent Roll'!$S$16),-'Rent Roll'!$F$16*'Rent Roll'!$T$16,0)</f>
        <v>0</v>
      </c>
      <c r="BF127" s="49">
        <f>IF(BF$4=EOMONTH(CloseDate,'Rent Roll'!$O$16+'Rent Roll'!$S$16),-'Rent Roll'!$F$16*'Rent Roll'!$T$16,0)</f>
        <v>0</v>
      </c>
      <c r="BG127" s="49">
        <f>IF(BG$4=EOMONTH(CloseDate,'Rent Roll'!$O$16+'Rent Roll'!$S$16),-'Rent Roll'!$F$16*'Rent Roll'!$T$16,0)</f>
        <v>0</v>
      </c>
      <c r="BH127" s="49">
        <f>IF(BH$4=EOMONTH(CloseDate,'Rent Roll'!$O$16+'Rent Roll'!$S$16),-'Rent Roll'!$F$16*'Rent Roll'!$T$16,0)</f>
        <v>0</v>
      </c>
      <c r="BI127" s="49">
        <f>IF(BI$4=EOMONTH(CloseDate,'Rent Roll'!$O$16+'Rent Roll'!$S$16),-'Rent Roll'!$F$16*'Rent Roll'!$T$16,0)</f>
        <v>0</v>
      </c>
      <c r="BJ127" s="49">
        <f>IF(BJ$4=EOMONTH(CloseDate,'Rent Roll'!$O$16+'Rent Roll'!$S$16),-'Rent Roll'!$F$16*'Rent Roll'!$T$16,0)</f>
        <v>0</v>
      </c>
      <c r="BK127" s="49">
        <f>IF(BK$4=EOMONTH(CloseDate,'Rent Roll'!$O$16+'Rent Roll'!$S$16),-'Rent Roll'!$F$16*'Rent Roll'!$T$16,0)</f>
        <v>0</v>
      </c>
      <c r="BL127" s="49">
        <f>IF(BL$4=EOMONTH(CloseDate,'Rent Roll'!$O$16+'Rent Roll'!$S$16),-'Rent Roll'!$F$16*'Rent Roll'!$T$16,0)</f>
        <v>0</v>
      </c>
      <c r="BM127" s="49">
        <f>IF(BM$4=EOMONTH(CloseDate,'Rent Roll'!$O$16+'Rent Roll'!$S$16),-'Rent Roll'!$F$16*'Rent Roll'!$T$16,0)</f>
        <v>0</v>
      </c>
      <c r="BN127" s="49">
        <f>IF(BN$4=EOMONTH(CloseDate,'Rent Roll'!$O$16+'Rent Roll'!$S$16),-'Rent Roll'!$F$16*'Rent Roll'!$T$16,0)</f>
        <v>0</v>
      </c>
      <c r="BO127" s="49">
        <f>IF(BO$4=EOMONTH(CloseDate,'Rent Roll'!$O$16+'Rent Roll'!$S$16),-'Rent Roll'!$F$16*'Rent Roll'!$T$16,0)</f>
        <v>0</v>
      </c>
      <c r="BP127" s="49">
        <f>IF(BP$4=EOMONTH(CloseDate,'Rent Roll'!$O$16+'Rent Roll'!$S$16),-'Rent Roll'!$F$16*'Rent Roll'!$T$16,0)</f>
        <v>0</v>
      </c>
      <c r="BQ127" s="49">
        <f>IF(BQ$4=EOMONTH(CloseDate,'Rent Roll'!$O$16+'Rent Roll'!$S$16),-'Rent Roll'!$F$16*'Rent Roll'!$T$16,0)</f>
        <v>0</v>
      </c>
      <c r="BR127" s="49">
        <f>IF(BR$4=EOMONTH(CloseDate,'Rent Roll'!$O$16+'Rent Roll'!$S$16),-'Rent Roll'!$F$16*'Rent Roll'!$T$16,0)</f>
        <v>0</v>
      </c>
      <c r="BS127" s="49">
        <f>IF(BS$4=EOMONTH(CloseDate,'Rent Roll'!$O$16+'Rent Roll'!$S$16),-'Rent Roll'!$F$16*'Rent Roll'!$T$16,0)</f>
        <v>0</v>
      </c>
      <c r="BT127" s="49">
        <f>IF(BT$4=EOMONTH(CloseDate,'Rent Roll'!$O$16+'Rent Roll'!$S$16),-'Rent Roll'!$F$16*'Rent Roll'!$T$16,0)</f>
        <v>0</v>
      </c>
      <c r="BU127" s="49">
        <f>IF(BU$4=EOMONTH(CloseDate,'Rent Roll'!$O$16+'Rent Roll'!$S$16),-'Rent Roll'!$F$16*'Rent Roll'!$T$16,0)</f>
        <v>0</v>
      </c>
      <c r="BV127" s="49">
        <f>IF(BV$4=EOMONTH(CloseDate,'Rent Roll'!$O$16+'Rent Roll'!$S$16),-'Rent Roll'!$F$16*'Rent Roll'!$T$16,0)</f>
        <v>0</v>
      </c>
      <c r="BW127" s="49">
        <f>IF(BW$4=EOMONTH(CloseDate,'Rent Roll'!$O$16+'Rent Roll'!$S$16),-'Rent Roll'!$F$16*'Rent Roll'!$T$16,0)</f>
        <v>0</v>
      </c>
      <c r="BX127" s="49">
        <f>IF(BX$4=EOMONTH(CloseDate,'Rent Roll'!$O$16+'Rent Roll'!$S$16),-'Rent Roll'!$F$16*'Rent Roll'!$T$16,0)</f>
        <v>0</v>
      </c>
    </row>
    <row r="128" spans="1:76" hidden="1" outlineLevel="1">
      <c r="B128" t="s">
        <v>87</v>
      </c>
      <c r="D128" s="49">
        <f>IF(D$4=EOMONTH(CloseDate,'Rent Roll'!$O$16+'Rent Roll'!$S$16),-'Rent Roll'!$U$16*'Rent Roll'!$F$16*'Rent Roll'!$X$16,0)</f>
        <v>0</v>
      </c>
      <c r="E128" s="49">
        <f>IF(E$4=EOMONTH(CloseDate,'Rent Roll'!$O$16+'Rent Roll'!$S$16),-'Rent Roll'!$U$16*'Rent Roll'!$F$16*'Rent Roll'!$X$16,0)</f>
        <v>0</v>
      </c>
      <c r="F128" s="49">
        <f>IF(F$4=EOMONTH(CloseDate,'Rent Roll'!$O$16+'Rent Roll'!$S$16),-'Rent Roll'!$U$16*'Rent Roll'!$F$16*'Rent Roll'!$X$16,0)</f>
        <v>0</v>
      </c>
      <c r="G128" s="49">
        <f>IF(G$4=EOMONTH(CloseDate,'Rent Roll'!$O$16+'Rent Roll'!$S$16),-'Rent Roll'!$U$16*'Rent Roll'!$F$16*'Rent Roll'!$X$16,0)</f>
        <v>0</v>
      </c>
      <c r="H128" s="49">
        <f>IF(H$4=EOMONTH(CloseDate,'Rent Roll'!$O$16+'Rent Roll'!$S$16),-'Rent Roll'!$U$16*'Rent Roll'!$F$16*'Rent Roll'!$X$16,0)</f>
        <v>0</v>
      </c>
      <c r="I128" s="49">
        <f>IF(I$4=EOMONTH(CloseDate,'Rent Roll'!$O$16+'Rent Roll'!$S$16),-'Rent Roll'!$U$16*'Rent Roll'!$F$16*'Rent Roll'!$X$16,0)</f>
        <v>0</v>
      </c>
      <c r="J128" s="49">
        <f>IF(J$4=EOMONTH(CloseDate,'Rent Roll'!$O$16+'Rent Roll'!$S$16),-'Rent Roll'!$U$16*'Rent Roll'!$F$16*'Rent Roll'!$X$16,0)</f>
        <v>0</v>
      </c>
      <c r="K128" s="49">
        <f>IF(K$4=EOMONTH(CloseDate,'Rent Roll'!$O$16+'Rent Roll'!$S$16),-'Rent Roll'!$U$16*'Rent Roll'!$F$16*'Rent Roll'!$X$16,0)</f>
        <v>0</v>
      </c>
      <c r="L128" s="49">
        <f>IF(L$4=EOMONTH(CloseDate,'Rent Roll'!$O$16+'Rent Roll'!$S$16),-'Rent Roll'!$U$16*'Rent Roll'!$F$16*'Rent Roll'!$X$16,0)</f>
        <v>0</v>
      </c>
      <c r="M128" s="49">
        <f>IF(M$4=EOMONTH(CloseDate,'Rent Roll'!$O$16+'Rent Roll'!$S$16),-'Rent Roll'!$U$16*'Rent Roll'!$F$16*'Rent Roll'!$X$16,0)</f>
        <v>0</v>
      </c>
      <c r="N128" s="49">
        <f>IF(N$4=EOMONTH(CloseDate,'Rent Roll'!$O$16+'Rent Roll'!$S$16),-'Rent Roll'!$U$16*'Rent Roll'!$F$16*'Rent Roll'!$X$16,0)</f>
        <v>0</v>
      </c>
      <c r="O128" s="49">
        <f>IF(O$4=EOMONTH(CloseDate,'Rent Roll'!$O$16+'Rent Roll'!$S$16),-'Rent Roll'!$U$16*'Rent Roll'!$F$16*'Rent Roll'!$X$16,0)</f>
        <v>0</v>
      </c>
      <c r="P128" s="49">
        <f>IF(P$4=EOMONTH(CloseDate,'Rent Roll'!$O$16+'Rent Roll'!$S$16),-'Rent Roll'!$U$16*'Rent Roll'!$F$16*'Rent Roll'!$X$16,0)</f>
        <v>0</v>
      </c>
      <c r="Q128" s="49">
        <f>IF(Q$4=EOMONTH(CloseDate,'Rent Roll'!$O$16+'Rent Roll'!$S$16),-'Rent Roll'!$U$16*'Rent Roll'!$F$16*'Rent Roll'!$X$16,0)</f>
        <v>0</v>
      </c>
      <c r="R128" s="49">
        <f>IF(R$4=EOMONTH(CloseDate,'Rent Roll'!$O$16+'Rent Roll'!$S$16),-'Rent Roll'!$U$16*'Rent Roll'!$F$16*'Rent Roll'!$X$16,0)</f>
        <v>0</v>
      </c>
      <c r="S128" s="49">
        <f>IF(S$4=EOMONTH(CloseDate,'Rent Roll'!$O$16+'Rent Roll'!$S$16),-'Rent Roll'!$U$16*'Rent Roll'!$F$16*'Rent Roll'!$X$16,0)</f>
        <v>0</v>
      </c>
      <c r="T128" s="49">
        <f>IF(T$4=EOMONTH(CloseDate,'Rent Roll'!$O$16+'Rent Roll'!$S$16),-'Rent Roll'!$U$16*'Rent Roll'!$F$16*'Rent Roll'!$X$16,0)</f>
        <v>0</v>
      </c>
      <c r="U128" s="49">
        <f>IF(U$4=EOMONTH(CloseDate,'Rent Roll'!$O$16+'Rent Roll'!$S$16),-'Rent Roll'!$U$16*'Rent Roll'!$F$16*'Rent Roll'!$X$16,0)</f>
        <v>0</v>
      </c>
      <c r="V128" s="49">
        <f>IF(V$4=EOMONTH(CloseDate,'Rent Roll'!$O$16+'Rent Roll'!$S$16),-'Rent Roll'!$U$16*'Rent Roll'!$F$16*'Rent Roll'!$X$16,0)</f>
        <v>0</v>
      </c>
      <c r="W128" s="49">
        <f>IF(W$4=EOMONTH(CloseDate,'Rent Roll'!$O$16+'Rent Roll'!$S$16),-'Rent Roll'!$U$16*'Rent Roll'!$F$16*'Rent Roll'!$X$16,0)</f>
        <v>0</v>
      </c>
      <c r="X128" s="49">
        <f>IF(X$4=EOMONTH(CloseDate,'Rent Roll'!$O$16+'Rent Roll'!$S$16),-'Rent Roll'!$U$16*'Rent Roll'!$F$16*'Rent Roll'!$X$16,0)</f>
        <v>0</v>
      </c>
      <c r="Y128" s="49">
        <f>IF(Y$4=EOMONTH(CloseDate,'Rent Roll'!$O$16+'Rent Roll'!$S$16),-'Rent Roll'!$U$16*'Rent Roll'!$F$16*'Rent Roll'!$X$16,0)</f>
        <v>0</v>
      </c>
      <c r="Z128" s="49">
        <f>IF(Z$4=EOMONTH(CloseDate,'Rent Roll'!$O$16+'Rent Roll'!$S$16),-'Rent Roll'!$U$16*'Rent Roll'!$F$16*'Rent Roll'!$X$16,0)</f>
        <v>0</v>
      </c>
      <c r="AA128" s="49">
        <f>IF(AA$4=EOMONTH(CloseDate,'Rent Roll'!$O$16+'Rent Roll'!$S$16),-'Rent Roll'!$U$16*'Rent Roll'!$F$16*'Rent Roll'!$X$16,0)</f>
        <v>0</v>
      </c>
      <c r="AB128" s="49">
        <f>IF(AB$4=EOMONTH(CloseDate,'Rent Roll'!$O$16+'Rent Roll'!$S$16),-'Rent Roll'!$U$16*'Rent Roll'!$F$16*'Rent Roll'!$X$16,0)</f>
        <v>0</v>
      </c>
      <c r="AC128" s="49">
        <f>IF(AC$4=EOMONTH(CloseDate,'Rent Roll'!$O$16+'Rent Roll'!$S$16),-'Rent Roll'!$U$16*'Rent Roll'!$F$16*'Rent Roll'!$X$16,0)</f>
        <v>0</v>
      </c>
      <c r="AD128" s="49">
        <f>IF(AD$4=EOMONTH(CloseDate,'Rent Roll'!$O$16+'Rent Roll'!$S$16),-'Rent Roll'!$U$16*'Rent Roll'!$F$16*'Rent Roll'!$X$16,0)</f>
        <v>0</v>
      </c>
      <c r="AE128" s="49">
        <f>IF(AE$4=EOMONTH(CloseDate,'Rent Roll'!$O$16+'Rent Roll'!$S$16),-'Rent Roll'!$U$16*'Rent Roll'!$F$16*'Rent Roll'!$X$16,0)</f>
        <v>0</v>
      </c>
      <c r="AF128" s="49">
        <f>IF(AF$4=EOMONTH(CloseDate,'Rent Roll'!$O$16+'Rent Roll'!$S$16),-'Rent Roll'!$U$16*'Rent Roll'!$F$16*'Rent Roll'!$X$16,0)</f>
        <v>0</v>
      </c>
      <c r="AG128" s="49">
        <f>IF(AG$4=EOMONTH(CloseDate,'Rent Roll'!$O$16+'Rent Roll'!$S$16),-'Rent Roll'!$U$16*'Rent Roll'!$F$16*'Rent Roll'!$X$16,0)</f>
        <v>0</v>
      </c>
      <c r="AH128" s="49">
        <f>IF(AH$4=EOMONTH(CloseDate,'Rent Roll'!$O$16+'Rent Roll'!$S$16),-'Rent Roll'!$U$16*'Rent Roll'!$F$16*'Rent Roll'!$X$16,0)</f>
        <v>0</v>
      </c>
      <c r="AI128" s="49">
        <f>IF(AI$4=EOMONTH(CloseDate,'Rent Roll'!$O$16+'Rent Roll'!$S$16),-'Rent Roll'!$U$16*'Rent Roll'!$F$16*'Rent Roll'!$X$16,0)</f>
        <v>0</v>
      </c>
      <c r="AJ128" s="49">
        <f>IF(AJ$4=EOMONTH(CloseDate,'Rent Roll'!$O$16+'Rent Roll'!$S$16),-'Rent Roll'!$U$16*'Rent Roll'!$F$16*'Rent Roll'!$X$16,0)</f>
        <v>0</v>
      </c>
      <c r="AK128" s="49">
        <f>IF(AK$4=EOMONTH(CloseDate,'Rent Roll'!$O$16+'Rent Roll'!$S$16),-'Rent Roll'!$U$16*'Rent Roll'!$F$16*'Rent Roll'!$X$16,0)</f>
        <v>0</v>
      </c>
      <c r="AL128" s="49">
        <f>IF(AL$4=EOMONTH(CloseDate,'Rent Roll'!$O$16+'Rent Roll'!$S$16),-'Rent Roll'!$U$16*'Rent Roll'!$F$16*'Rent Roll'!$X$16,0)</f>
        <v>0</v>
      </c>
      <c r="AM128" s="49">
        <f>IF(AM$4=EOMONTH(CloseDate,'Rent Roll'!$O$16+'Rent Roll'!$S$16),-'Rent Roll'!$U$16*'Rent Roll'!$F$16*'Rent Roll'!$X$16,0)</f>
        <v>0</v>
      </c>
      <c r="AN128" s="49">
        <f>IF(AN$4=EOMONTH(CloseDate,'Rent Roll'!$O$16+'Rent Roll'!$S$16),-'Rent Roll'!$U$16*'Rent Roll'!$F$16*'Rent Roll'!$X$16,0)</f>
        <v>0</v>
      </c>
      <c r="AO128" s="49">
        <f>IF(AO$4=EOMONTH(CloseDate,'Rent Roll'!$O$16+'Rent Roll'!$S$16),-'Rent Roll'!$U$16*'Rent Roll'!$F$16*'Rent Roll'!$X$16,0)</f>
        <v>0</v>
      </c>
      <c r="AP128" s="49">
        <f>IF(AP$4=EOMONTH(CloseDate,'Rent Roll'!$O$16+'Rent Roll'!$S$16),-'Rent Roll'!$U$16*'Rent Roll'!$F$16*'Rent Roll'!$X$16,0)</f>
        <v>0</v>
      </c>
      <c r="AQ128" s="49">
        <f>IF(AQ$4=EOMONTH(CloseDate,'Rent Roll'!$O$16+'Rent Roll'!$S$16),-'Rent Roll'!$U$16*'Rent Roll'!$F$16*'Rent Roll'!$X$16,0)</f>
        <v>0</v>
      </c>
      <c r="AR128" s="49">
        <f>IF(AR$4=EOMONTH(CloseDate,'Rent Roll'!$O$16+'Rent Roll'!$S$16),-'Rent Roll'!$U$16*'Rent Roll'!$F$16*'Rent Roll'!$X$16,0)</f>
        <v>0</v>
      </c>
      <c r="AS128" s="49">
        <f>IF(AS$4=EOMONTH(CloseDate,'Rent Roll'!$O$16+'Rent Roll'!$S$16),-'Rent Roll'!$U$16*'Rent Roll'!$F$16*'Rent Roll'!$X$16,0)</f>
        <v>0</v>
      </c>
      <c r="AT128" s="49">
        <f>IF(AT$4=EOMONTH(CloseDate,'Rent Roll'!$O$16+'Rent Roll'!$S$16),-'Rent Roll'!$U$16*'Rent Roll'!$F$16*'Rent Roll'!$X$16,0)</f>
        <v>0</v>
      </c>
      <c r="AU128" s="49">
        <f>IF(AU$4=EOMONTH(CloseDate,'Rent Roll'!$O$16+'Rent Roll'!$S$16),-'Rent Roll'!$U$16*'Rent Roll'!$F$16*'Rent Roll'!$X$16,0)</f>
        <v>0</v>
      </c>
      <c r="AV128" s="49">
        <f>IF(AV$4=EOMONTH(CloseDate,'Rent Roll'!$O$16+'Rent Roll'!$S$16),-'Rent Roll'!$U$16*'Rent Roll'!$F$16*'Rent Roll'!$X$16,0)</f>
        <v>0</v>
      </c>
      <c r="AW128" s="49">
        <f>IF(AW$4=EOMONTH(CloseDate,'Rent Roll'!$O$16+'Rent Roll'!$S$16),-'Rent Roll'!$U$16*'Rent Roll'!$F$16*'Rent Roll'!$X$16,0)</f>
        <v>0</v>
      </c>
      <c r="AX128" s="49">
        <f>IF(AX$4=EOMONTH(CloseDate,'Rent Roll'!$O$16+'Rent Roll'!$S$16),-'Rent Roll'!$U$16*'Rent Roll'!$F$16*'Rent Roll'!$X$16,0)</f>
        <v>0</v>
      </c>
      <c r="AY128" s="49">
        <f>IF(AY$4=EOMONTH(CloseDate,'Rent Roll'!$O$16+'Rent Roll'!$S$16),-'Rent Roll'!$U$16*'Rent Roll'!$F$16*'Rent Roll'!$X$16,0)</f>
        <v>0</v>
      </c>
      <c r="AZ128" s="49">
        <f>IF(AZ$4=EOMONTH(CloseDate,'Rent Roll'!$O$16+'Rent Roll'!$S$16),-'Rent Roll'!$U$16*'Rent Roll'!$F$16*'Rent Roll'!$X$16,0)</f>
        <v>0</v>
      </c>
      <c r="BA128" s="49">
        <f>IF(BA$4=EOMONTH(CloseDate,'Rent Roll'!$O$16+'Rent Roll'!$S$16),-'Rent Roll'!$U$16*'Rent Roll'!$F$16*'Rent Roll'!$X$16,0)</f>
        <v>0</v>
      </c>
      <c r="BB128" s="49">
        <f>IF(BB$4=EOMONTH(CloseDate,'Rent Roll'!$O$16+'Rent Roll'!$S$16),-'Rent Roll'!$U$16*'Rent Roll'!$F$16*'Rent Roll'!$X$16,0)</f>
        <v>0</v>
      </c>
      <c r="BC128" s="49">
        <f>IF(BC$4=EOMONTH(CloseDate,'Rent Roll'!$O$16+'Rent Roll'!$S$16),-'Rent Roll'!$U$16*'Rent Roll'!$F$16*'Rent Roll'!$X$16,0)</f>
        <v>-7648.0874999999987</v>
      </c>
      <c r="BD128" s="49">
        <f>IF(BD$4=EOMONTH(CloseDate,'Rent Roll'!$O$16+'Rent Roll'!$S$16),-'Rent Roll'!$U$16*'Rent Roll'!$F$16*'Rent Roll'!$X$16,0)</f>
        <v>0</v>
      </c>
      <c r="BE128" s="49">
        <f>IF(BE$4=EOMONTH(CloseDate,'Rent Roll'!$O$16+'Rent Roll'!$S$16),-'Rent Roll'!$U$16*'Rent Roll'!$F$16*'Rent Roll'!$X$16,0)</f>
        <v>0</v>
      </c>
      <c r="BF128" s="49">
        <f>IF(BF$4=EOMONTH(CloseDate,'Rent Roll'!$O$16+'Rent Roll'!$S$16),-'Rent Roll'!$U$16*'Rent Roll'!$F$16*'Rent Roll'!$X$16,0)</f>
        <v>0</v>
      </c>
      <c r="BG128" s="49">
        <f>IF(BG$4=EOMONTH(CloseDate,'Rent Roll'!$O$16+'Rent Roll'!$S$16),-'Rent Roll'!$U$16*'Rent Roll'!$F$16*'Rent Roll'!$X$16,0)</f>
        <v>0</v>
      </c>
      <c r="BH128" s="49">
        <f>IF(BH$4=EOMONTH(CloseDate,'Rent Roll'!$O$16+'Rent Roll'!$S$16),-'Rent Roll'!$U$16*'Rent Roll'!$F$16*'Rent Roll'!$X$16,0)</f>
        <v>0</v>
      </c>
      <c r="BI128" s="49">
        <f>IF(BI$4=EOMONTH(CloseDate,'Rent Roll'!$O$16+'Rent Roll'!$S$16),-'Rent Roll'!$U$16*'Rent Roll'!$F$16*'Rent Roll'!$X$16,0)</f>
        <v>0</v>
      </c>
      <c r="BJ128" s="49">
        <f>IF(BJ$4=EOMONTH(CloseDate,'Rent Roll'!$O$16+'Rent Roll'!$S$16),-'Rent Roll'!$U$16*'Rent Roll'!$F$16*'Rent Roll'!$X$16,0)</f>
        <v>0</v>
      </c>
      <c r="BK128" s="49">
        <f>IF(BK$4=EOMONTH(CloseDate,'Rent Roll'!$O$16+'Rent Roll'!$S$16),-'Rent Roll'!$U$16*'Rent Roll'!$F$16*'Rent Roll'!$X$16,0)</f>
        <v>0</v>
      </c>
      <c r="BL128" s="49">
        <f>IF(BL$4=EOMONTH(CloseDate,'Rent Roll'!$O$16+'Rent Roll'!$S$16),-'Rent Roll'!$U$16*'Rent Roll'!$F$16*'Rent Roll'!$X$16,0)</f>
        <v>0</v>
      </c>
      <c r="BM128" s="49">
        <f>IF(BM$4=EOMONTH(CloseDate,'Rent Roll'!$O$16+'Rent Roll'!$S$16),-'Rent Roll'!$U$16*'Rent Roll'!$F$16*'Rent Roll'!$X$16,0)</f>
        <v>0</v>
      </c>
      <c r="BN128" s="49">
        <f>IF(BN$4=EOMONTH(CloseDate,'Rent Roll'!$O$16+'Rent Roll'!$S$16),-'Rent Roll'!$U$16*'Rent Roll'!$F$16*'Rent Roll'!$X$16,0)</f>
        <v>0</v>
      </c>
      <c r="BO128" s="49">
        <f>IF(BO$4=EOMONTH(CloseDate,'Rent Roll'!$O$16+'Rent Roll'!$S$16),-'Rent Roll'!$U$16*'Rent Roll'!$F$16*'Rent Roll'!$X$16,0)</f>
        <v>0</v>
      </c>
      <c r="BP128" s="49">
        <f>IF(BP$4=EOMONTH(CloseDate,'Rent Roll'!$O$16+'Rent Roll'!$S$16),-'Rent Roll'!$U$16*'Rent Roll'!$F$16*'Rent Roll'!$X$16,0)</f>
        <v>0</v>
      </c>
      <c r="BQ128" s="49">
        <f>IF(BQ$4=EOMONTH(CloseDate,'Rent Roll'!$O$16+'Rent Roll'!$S$16),-'Rent Roll'!$U$16*'Rent Roll'!$F$16*'Rent Roll'!$X$16,0)</f>
        <v>0</v>
      </c>
      <c r="BR128" s="49">
        <f>IF(BR$4=EOMONTH(CloseDate,'Rent Roll'!$O$16+'Rent Roll'!$S$16),-'Rent Roll'!$U$16*'Rent Roll'!$F$16*'Rent Roll'!$X$16,0)</f>
        <v>0</v>
      </c>
      <c r="BS128" s="49">
        <f>IF(BS$4=EOMONTH(CloseDate,'Rent Roll'!$O$16+'Rent Roll'!$S$16),-'Rent Roll'!$U$16*'Rent Roll'!$F$16*'Rent Roll'!$X$16,0)</f>
        <v>0</v>
      </c>
      <c r="BT128" s="49">
        <f>IF(BT$4=EOMONTH(CloseDate,'Rent Roll'!$O$16+'Rent Roll'!$S$16),-'Rent Roll'!$U$16*'Rent Roll'!$F$16*'Rent Roll'!$X$16,0)</f>
        <v>0</v>
      </c>
      <c r="BU128" s="49">
        <f>IF(BU$4=EOMONTH(CloseDate,'Rent Roll'!$O$16+'Rent Roll'!$S$16),-'Rent Roll'!$U$16*'Rent Roll'!$F$16*'Rent Roll'!$X$16,0)</f>
        <v>0</v>
      </c>
      <c r="BV128" s="49">
        <f>IF(BV$4=EOMONTH(CloseDate,'Rent Roll'!$O$16+'Rent Roll'!$S$16),-'Rent Roll'!$U$16*'Rent Roll'!$F$16*'Rent Roll'!$X$16,0)</f>
        <v>0</v>
      </c>
      <c r="BW128" s="49">
        <f>IF(BW$4=EOMONTH(CloseDate,'Rent Roll'!$O$16+'Rent Roll'!$S$16),-'Rent Roll'!$U$16*'Rent Roll'!$F$16*'Rent Roll'!$X$16,0)</f>
        <v>0</v>
      </c>
      <c r="BX128" s="49">
        <f>IF(BX$4=EOMONTH(CloseDate,'Rent Roll'!$O$16+'Rent Roll'!$S$16),-'Rent Roll'!$U$16*'Rent Roll'!$F$16*'Rent Roll'!$X$16,0)</f>
        <v>0</v>
      </c>
    </row>
    <row r="129" spans="1:76" hidden="1" outlineLevel="1">
      <c r="A129" s="17" t="str">
        <f>'Rent Roll'!C17</f>
        <v>Summit Digital Media</v>
      </c>
      <c r="B129" s="57">
        <f>INDEX('Rent Roll'!$F$5:$F$46,MATCH('Rent Roll Calc'!A129,'Rent Roll'!$C$5:$C$46,0))</f>
        <v>5400</v>
      </c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  <c r="AA129" s="49"/>
      <c r="AB129" s="49"/>
      <c r="AC129" s="49"/>
      <c r="AD129" s="49"/>
      <c r="AE129" s="49"/>
      <c r="AF129" s="49"/>
      <c r="AG129" s="49"/>
      <c r="AH129" s="49"/>
      <c r="AI129" s="49"/>
      <c r="AJ129" s="49"/>
      <c r="AK129" s="49"/>
      <c r="AL129" s="49"/>
      <c r="AM129" s="49"/>
      <c r="AN129" s="49"/>
      <c r="AO129" s="49"/>
      <c r="AP129" s="49"/>
      <c r="AQ129" s="49"/>
      <c r="AR129" s="49"/>
      <c r="AS129" s="49"/>
      <c r="AT129" s="49"/>
      <c r="AU129" s="49"/>
      <c r="AV129" s="49"/>
      <c r="AW129" s="49"/>
      <c r="AX129" s="49"/>
      <c r="AY129" s="49"/>
      <c r="AZ129" s="49"/>
      <c r="BA129" s="49"/>
      <c r="BB129" s="49"/>
      <c r="BC129" s="49"/>
      <c r="BD129" s="49"/>
      <c r="BE129" s="49"/>
      <c r="BF129" s="49"/>
      <c r="BG129" s="49"/>
      <c r="BH129" s="49"/>
      <c r="BI129" s="49"/>
      <c r="BJ129" s="49"/>
      <c r="BK129" s="49"/>
      <c r="BL129" s="49"/>
      <c r="BM129" s="49"/>
      <c r="BN129" s="49"/>
      <c r="BO129" s="49"/>
      <c r="BP129" s="49"/>
      <c r="BQ129" s="49"/>
      <c r="BR129" s="49"/>
      <c r="BS129" s="49"/>
      <c r="BT129" s="49"/>
      <c r="BU129" s="49"/>
      <c r="BV129" s="49"/>
      <c r="BW129" s="49"/>
      <c r="BX129" s="49"/>
    </row>
    <row r="130" spans="1:76" hidden="1" outlineLevel="1">
      <c r="B130" t="s">
        <v>83</v>
      </c>
      <c r="D130" s="49">
        <f>IF(AND('Rent Roll'!$N$17&lt;&gt;"Ghost",D$4&lt;='Rent Roll'!$L$17),1,0)</f>
        <v>1</v>
      </c>
      <c r="E130" s="49">
        <f>IF(AND('Rent Roll'!$N$17&lt;&gt;"Ghost",E$4&lt;='Rent Roll'!$L$17),1,0)</f>
        <v>1</v>
      </c>
      <c r="F130" s="49">
        <f>IF(AND('Rent Roll'!$N$17&lt;&gt;"Ghost",F$4&lt;='Rent Roll'!$L$17),1,0)</f>
        <v>1</v>
      </c>
      <c r="G130" s="49">
        <f>IF(AND('Rent Roll'!$N$17&lt;&gt;"Ghost",G$4&lt;='Rent Roll'!$L$17),1,0)</f>
        <v>1</v>
      </c>
      <c r="H130" s="49">
        <f>IF(AND('Rent Roll'!$N$17&lt;&gt;"Ghost",H$4&lt;='Rent Roll'!$L$17),1,0)</f>
        <v>1</v>
      </c>
      <c r="I130" s="49">
        <f>IF(AND('Rent Roll'!$N$17&lt;&gt;"Ghost",I$4&lt;='Rent Roll'!$L$17),1,0)</f>
        <v>1</v>
      </c>
      <c r="J130" s="49">
        <f>IF(AND('Rent Roll'!$N$17&lt;&gt;"Ghost",J$4&lt;='Rent Roll'!$L$17),1,0)</f>
        <v>1</v>
      </c>
      <c r="K130" s="49">
        <f>IF(AND('Rent Roll'!$N$17&lt;&gt;"Ghost",K$4&lt;='Rent Roll'!$L$17),1,0)</f>
        <v>1</v>
      </c>
      <c r="L130" s="49">
        <f>IF(AND('Rent Roll'!$N$17&lt;&gt;"Ghost",L$4&lt;='Rent Roll'!$L$17),1,0)</f>
        <v>1</v>
      </c>
      <c r="M130" s="49">
        <f>IF(AND('Rent Roll'!$N$17&lt;&gt;"Ghost",M$4&lt;='Rent Roll'!$L$17),1,0)</f>
        <v>1</v>
      </c>
      <c r="N130" s="49">
        <f>IF(AND('Rent Roll'!$N$17&lt;&gt;"Ghost",N$4&lt;='Rent Roll'!$L$17),1,0)</f>
        <v>1</v>
      </c>
      <c r="O130" s="49">
        <f>IF(AND('Rent Roll'!$N$17&lt;&gt;"Ghost",O$4&lt;='Rent Roll'!$L$17),1,0)</f>
        <v>1</v>
      </c>
      <c r="P130" s="49">
        <f>IF(AND('Rent Roll'!$N$17&lt;&gt;"Ghost",P$4&lt;='Rent Roll'!$L$17),1,0)</f>
        <v>1</v>
      </c>
      <c r="Q130" s="49">
        <f>IF(AND('Rent Roll'!$N$17&lt;&gt;"Ghost",Q$4&lt;='Rent Roll'!$L$17),1,0)</f>
        <v>1</v>
      </c>
      <c r="R130" s="49">
        <f>IF(AND('Rent Roll'!$N$17&lt;&gt;"Ghost",R$4&lt;='Rent Roll'!$L$17),1,0)</f>
        <v>1</v>
      </c>
      <c r="S130" s="49">
        <f>IF(AND('Rent Roll'!$N$17&lt;&gt;"Ghost",S$4&lt;='Rent Roll'!$L$17),1,0)</f>
        <v>1</v>
      </c>
      <c r="T130" s="49">
        <f>IF(AND('Rent Roll'!$N$17&lt;&gt;"Ghost",T$4&lt;='Rent Roll'!$L$17),1,0)</f>
        <v>1</v>
      </c>
      <c r="U130" s="49">
        <f>IF(AND('Rent Roll'!$N$17&lt;&gt;"Ghost",U$4&lt;='Rent Roll'!$L$17),1,0)</f>
        <v>1</v>
      </c>
      <c r="V130" s="49">
        <f>IF(AND('Rent Roll'!$N$17&lt;&gt;"Ghost",V$4&lt;='Rent Roll'!$L$17),1,0)</f>
        <v>1</v>
      </c>
      <c r="W130" s="49">
        <f>IF(AND('Rent Roll'!$N$17&lt;&gt;"Ghost",W$4&lt;='Rent Roll'!$L$17),1,0)</f>
        <v>1</v>
      </c>
      <c r="X130" s="49">
        <f>IF(AND('Rent Roll'!$N$17&lt;&gt;"Ghost",X$4&lt;='Rent Roll'!$L$17),1,0)</f>
        <v>1</v>
      </c>
      <c r="Y130" s="49">
        <f>IF(AND('Rent Roll'!$N$17&lt;&gt;"Ghost",Y$4&lt;='Rent Roll'!$L$17),1,0)</f>
        <v>1</v>
      </c>
      <c r="Z130" s="49">
        <f>IF(AND('Rent Roll'!$N$17&lt;&gt;"Ghost",Z$4&lt;='Rent Roll'!$L$17),1,0)</f>
        <v>1</v>
      </c>
      <c r="AA130" s="49">
        <f>IF(AND('Rent Roll'!$N$17&lt;&gt;"Ghost",AA$4&lt;='Rent Roll'!$L$17),1,0)</f>
        <v>1</v>
      </c>
      <c r="AB130" s="49">
        <f>IF(AND('Rent Roll'!$N$17&lt;&gt;"Ghost",AB$4&lt;='Rent Roll'!$L$17),1,0)</f>
        <v>1</v>
      </c>
      <c r="AC130" s="49">
        <f>IF(AND('Rent Roll'!$N$17&lt;&gt;"Ghost",AC$4&lt;='Rent Roll'!$L$17),1,0)</f>
        <v>1</v>
      </c>
      <c r="AD130" s="49">
        <f>IF(AND('Rent Roll'!$N$17&lt;&gt;"Ghost",AD$4&lt;='Rent Roll'!$L$17),1,0)</f>
        <v>1</v>
      </c>
      <c r="AE130" s="49">
        <f>IF(AND('Rent Roll'!$N$17&lt;&gt;"Ghost",AE$4&lt;='Rent Roll'!$L$17),1,0)</f>
        <v>0</v>
      </c>
      <c r="AF130" s="49">
        <f>IF(AND('Rent Roll'!$N$17&lt;&gt;"Ghost",AF$4&lt;='Rent Roll'!$L$17),1,0)</f>
        <v>0</v>
      </c>
      <c r="AG130" s="49">
        <f>IF(AND('Rent Roll'!$N$17&lt;&gt;"Ghost",AG$4&lt;='Rent Roll'!$L$17),1,0)</f>
        <v>0</v>
      </c>
      <c r="AH130" s="49">
        <f>IF(AND('Rent Roll'!$N$17&lt;&gt;"Ghost",AH$4&lt;='Rent Roll'!$L$17),1,0)</f>
        <v>0</v>
      </c>
      <c r="AI130" s="49">
        <f>IF(AND('Rent Roll'!$N$17&lt;&gt;"Ghost",AI$4&lt;='Rent Roll'!$L$17),1,0)</f>
        <v>0</v>
      </c>
      <c r="AJ130" s="49">
        <f>IF(AND('Rent Roll'!$N$17&lt;&gt;"Ghost",AJ$4&lt;='Rent Roll'!$L$17),1,0)</f>
        <v>0</v>
      </c>
      <c r="AK130" s="49">
        <f>IF(AND('Rent Roll'!$N$17&lt;&gt;"Ghost",AK$4&lt;='Rent Roll'!$L$17),1,0)</f>
        <v>0</v>
      </c>
      <c r="AL130" s="49">
        <f>IF(AND('Rent Roll'!$N$17&lt;&gt;"Ghost",AL$4&lt;='Rent Roll'!$L$17),1,0)</f>
        <v>0</v>
      </c>
      <c r="AM130" s="49">
        <f>IF(AND('Rent Roll'!$N$17&lt;&gt;"Ghost",AM$4&lt;='Rent Roll'!$L$17),1,0)</f>
        <v>0</v>
      </c>
      <c r="AN130" s="49">
        <f>IF(AND('Rent Roll'!$N$17&lt;&gt;"Ghost",AN$4&lt;='Rent Roll'!$L$17),1,0)</f>
        <v>0</v>
      </c>
      <c r="AO130" s="49">
        <f>IF(AND('Rent Roll'!$N$17&lt;&gt;"Ghost",AO$4&lt;='Rent Roll'!$L$17),1,0)</f>
        <v>0</v>
      </c>
      <c r="AP130" s="49">
        <f>IF(AND('Rent Roll'!$N$17&lt;&gt;"Ghost",AP$4&lt;='Rent Roll'!$L$17),1,0)</f>
        <v>0</v>
      </c>
      <c r="AQ130" s="49">
        <f>IF(AND('Rent Roll'!$N$17&lt;&gt;"Ghost",AQ$4&lt;='Rent Roll'!$L$17),1,0)</f>
        <v>0</v>
      </c>
      <c r="AR130" s="49">
        <f>IF(AND('Rent Roll'!$N$17&lt;&gt;"Ghost",AR$4&lt;='Rent Roll'!$L$17),1,0)</f>
        <v>0</v>
      </c>
      <c r="AS130" s="49">
        <f>IF(AND('Rent Roll'!$N$17&lt;&gt;"Ghost",AS$4&lt;='Rent Roll'!$L$17),1,0)</f>
        <v>0</v>
      </c>
      <c r="AT130" s="49">
        <f>IF(AND('Rent Roll'!$N$17&lt;&gt;"Ghost",AT$4&lt;='Rent Roll'!$L$17),1,0)</f>
        <v>0</v>
      </c>
      <c r="AU130" s="49">
        <f>IF(AND('Rent Roll'!$N$17&lt;&gt;"Ghost",AU$4&lt;='Rent Roll'!$L$17),1,0)</f>
        <v>0</v>
      </c>
      <c r="AV130" s="49">
        <f>IF(AND('Rent Roll'!$N$17&lt;&gt;"Ghost",AV$4&lt;='Rent Roll'!$L$17),1,0)</f>
        <v>0</v>
      </c>
      <c r="AW130" s="49">
        <f>IF(AND('Rent Roll'!$N$17&lt;&gt;"Ghost",AW$4&lt;='Rent Roll'!$L$17),1,0)</f>
        <v>0</v>
      </c>
      <c r="AX130" s="49">
        <f>IF(AND('Rent Roll'!$N$17&lt;&gt;"Ghost",AX$4&lt;='Rent Roll'!$L$17),1,0)</f>
        <v>0</v>
      </c>
      <c r="AY130" s="49">
        <f>IF(AND('Rent Roll'!$N$17&lt;&gt;"Ghost",AY$4&lt;='Rent Roll'!$L$17),1,0)</f>
        <v>0</v>
      </c>
      <c r="AZ130" s="49">
        <f>IF(AND('Rent Roll'!$N$17&lt;&gt;"Ghost",AZ$4&lt;='Rent Roll'!$L$17),1,0)</f>
        <v>0</v>
      </c>
      <c r="BA130" s="49">
        <f>IF(AND('Rent Roll'!$N$17&lt;&gt;"Ghost",BA$4&lt;='Rent Roll'!$L$17),1,0)</f>
        <v>0</v>
      </c>
      <c r="BB130" s="49">
        <f>IF(AND('Rent Roll'!$N$17&lt;&gt;"Ghost",BB$4&lt;='Rent Roll'!$L$17),1,0)</f>
        <v>0</v>
      </c>
      <c r="BC130" s="49">
        <f>IF(AND('Rent Roll'!$N$17&lt;&gt;"Ghost",BC$4&lt;='Rent Roll'!$L$17),1,0)</f>
        <v>0</v>
      </c>
      <c r="BD130" s="49">
        <f>IF(AND('Rent Roll'!$N$17&lt;&gt;"Ghost",BD$4&lt;='Rent Roll'!$L$17),1,0)</f>
        <v>0</v>
      </c>
      <c r="BE130" s="49">
        <f>IF(AND('Rent Roll'!$N$17&lt;&gt;"Ghost",BE$4&lt;='Rent Roll'!$L$17),1,0)</f>
        <v>0</v>
      </c>
      <c r="BF130" s="49">
        <f>IF(AND('Rent Roll'!$N$17&lt;&gt;"Ghost",BF$4&lt;='Rent Roll'!$L$17),1,0)</f>
        <v>0</v>
      </c>
      <c r="BG130" s="49">
        <f>IF(AND('Rent Roll'!$N$17&lt;&gt;"Ghost",BG$4&lt;='Rent Roll'!$L$17),1,0)</f>
        <v>0</v>
      </c>
      <c r="BH130" s="49">
        <f>IF(AND('Rent Roll'!$N$17&lt;&gt;"Ghost",BH$4&lt;='Rent Roll'!$L$17),1,0)</f>
        <v>0</v>
      </c>
      <c r="BI130" s="49">
        <f>IF(AND('Rent Roll'!$N$17&lt;&gt;"Ghost",BI$4&lt;='Rent Roll'!$L$17),1,0)</f>
        <v>0</v>
      </c>
      <c r="BJ130" s="49">
        <f>IF(AND('Rent Roll'!$N$17&lt;&gt;"Ghost",BJ$4&lt;='Rent Roll'!$L$17),1,0)</f>
        <v>0</v>
      </c>
      <c r="BK130" s="49">
        <f>IF(AND('Rent Roll'!$N$17&lt;&gt;"Ghost",BK$4&lt;='Rent Roll'!$L$17),1,0)</f>
        <v>0</v>
      </c>
      <c r="BL130" s="49">
        <f>IF(AND('Rent Roll'!$N$17&lt;&gt;"Ghost",BL$4&lt;='Rent Roll'!$L$17),1,0)</f>
        <v>0</v>
      </c>
      <c r="BM130" s="49">
        <f>IF(AND('Rent Roll'!$N$17&lt;&gt;"Ghost",BM$4&lt;='Rent Roll'!$L$17),1,0)</f>
        <v>0</v>
      </c>
      <c r="BN130" s="49">
        <f>IF(AND('Rent Roll'!$N$17&lt;&gt;"Ghost",BN$4&lt;='Rent Roll'!$L$17),1,0)</f>
        <v>0</v>
      </c>
      <c r="BO130" s="49">
        <f>IF(AND('Rent Roll'!$N$17&lt;&gt;"Ghost",BO$4&lt;='Rent Roll'!$L$17),1,0)</f>
        <v>0</v>
      </c>
      <c r="BP130" s="49">
        <f>IF(AND('Rent Roll'!$N$17&lt;&gt;"Ghost",BP$4&lt;='Rent Roll'!$L$17),1,0)</f>
        <v>0</v>
      </c>
      <c r="BQ130" s="49">
        <f>IF(AND('Rent Roll'!$N$17&lt;&gt;"Ghost",BQ$4&lt;='Rent Roll'!$L$17),1,0)</f>
        <v>0</v>
      </c>
      <c r="BR130" s="49">
        <f>IF(AND('Rent Roll'!$N$17&lt;&gt;"Ghost",BR$4&lt;='Rent Roll'!$L$17),1,0)</f>
        <v>0</v>
      </c>
      <c r="BS130" s="49">
        <f>IF(AND('Rent Roll'!$N$17&lt;&gt;"Ghost",BS$4&lt;='Rent Roll'!$L$17),1,0)</f>
        <v>0</v>
      </c>
      <c r="BT130" s="49">
        <f>IF(AND('Rent Roll'!$N$17&lt;&gt;"Ghost",BT$4&lt;='Rent Roll'!$L$17),1,0)</f>
        <v>0</v>
      </c>
      <c r="BU130" s="49">
        <f>IF(AND('Rent Roll'!$N$17&lt;&gt;"Ghost",BU$4&lt;='Rent Roll'!$L$17),1,0)</f>
        <v>0</v>
      </c>
      <c r="BV130" s="49">
        <f>IF(AND('Rent Roll'!$N$17&lt;&gt;"Ghost",BV$4&lt;='Rent Roll'!$L$17),1,0)</f>
        <v>0</v>
      </c>
      <c r="BW130" s="49">
        <f>IF(AND('Rent Roll'!$N$17&lt;&gt;"Ghost",BW$4&lt;='Rent Roll'!$L$17),1,0)</f>
        <v>0</v>
      </c>
      <c r="BX130" s="49">
        <f>IF(AND('Rent Roll'!$N$17&lt;&gt;"Ghost",BX$4&lt;='Rent Roll'!$L$17),1,0)</f>
        <v>0</v>
      </c>
    </row>
    <row r="131" spans="1:76" hidden="1" outlineLevel="1">
      <c r="B131" t="s">
        <v>159</v>
      </c>
      <c r="D131" s="49">
        <f>IF(D130=1,'Rent Roll'!$H$17/12*(1+'Rent Roll'!$I$17)^IF(D$4&lt;'Rent Roll'!$Y$17,0,YEAR(D$4)-YEAR('Rent Roll'!$Y$17)+1),0)</f>
        <v>9675</v>
      </c>
      <c r="E131" s="49">
        <f>IF(E130=1,'Rent Roll'!$H$17/12*(1+'Rent Roll'!$I$17)^IF(E$4&lt;'Rent Roll'!$Y$17,0,YEAR(E$4)-YEAR('Rent Roll'!$Y$17)+1),0)</f>
        <v>9675</v>
      </c>
      <c r="F131" s="49">
        <f>IF(F130=1,'Rent Roll'!$H$17/12*(1+'Rent Roll'!$I$17)^IF(F$4&lt;'Rent Roll'!$Y$17,0,YEAR(F$4)-YEAR('Rent Roll'!$Y$17)+1),0)</f>
        <v>9675</v>
      </c>
      <c r="G131" s="49">
        <f>IF(G130=1,'Rent Roll'!$H$17/12*(1+'Rent Roll'!$I$17)^IF(G$4&lt;'Rent Roll'!$Y$17,0,YEAR(G$4)-YEAR('Rent Roll'!$Y$17)+1),0)</f>
        <v>9965.25</v>
      </c>
      <c r="H131" s="49">
        <f>IF(H130=1,'Rent Roll'!$H$17/12*(1+'Rent Roll'!$I$17)^IF(H$4&lt;'Rent Roll'!$Y$17,0,YEAR(H$4)-YEAR('Rent Roll'!$Y$17)+1),0)</f>
        <v>9965.25</v>
      </c>
      <c r="I131" s="49">
        <f>IF(I130=1,'Rent Roll'!$H$17/12*(1+'Rent Roll'!$I$17)^IF(I$4&lt;'Rent Roll'!$Y$17,0,YEAR(I$4)-YEAR('Rent Roll'!$Y$17)+1),0)</f>
        <v>10264.2075</v>
      </c>
      <c r="J131" s="49">
        <f>IF(J130=1,'Rent Roll'!$H$17/12*(1+'Rent Roll'!$I$17)^IF(J$4&lt;'Rent Roll'!$Y$17,0,YEAR(J$4)-YEAR('Rent Roll'!$Y$17)+1),0)</f>
        <v>10264.2075</v>
      </c>
      <c r="K131" s="49">
        <f>IF(K130=1,'Rent Roll'!$H$17/12*(1+'Rent Roll'!$I$17)^IF(K$4&lt;'Rent Roll'!$Y$17,0,YEAR(K$4)-YEAR('Rent Roll'!$Y$17)+1),0)</f>
        <v>10264.2075</v>
      </c>
      <c r="L131" s="49">
        <f>IF(L130=1,'Rent Roll'!$H$17/12*(1+'Rent Roll'!$I$17)^IF(L$4&lt;'Rent Roll'!$Y$17,0,YEAR(L$4)-YEAR('Rent Roll'!$Y$17)+1),0)</f>
        <v>10264.2075</v>
      </c>
      <c r="M131" s="49">
        <f>IF(M130=1,'Rent Roll'!$H$17/12*(1+'Rent Roll'!$I$17)^IF(M$4&lt;'Rent Roll'!$Y$17,0,YEAR(M$4)-YEAR('Rent Roll'!$Y$17)+1),0)</f>
        <v>10264.2075</v>
      </c>
      <c r="N131" s="49">
        <f>IF(N130=1,'Rent Roll'!$H$17/12*(1+'Rent Roll'!$I$17)^IF(N$4&lt;'Rent Roll'!$Y$17,0,YEAR(N$4)-YEAR('Rent Roll'!$Y$17)+1),0)</f>
        <v>10264.2075</v>
      </c>
      <c r="O131" s="49">
        <f>IF(O130=1,'Rent Roll'!$H$17/12*(1+'Rent Roll'!$I$17)^IF(O$4&lt;'Rent Roll'!$Y$17,0,YEAR(O$4)-YEAR('Rent Roll'!$Y$17)+1),0)</f>
        <v>10264.2075</v>
      </c>
      <c r="P131" s="49">
        <f>IF(P130=1,'Rent Roll'!$H$17/12*(1+'Rent Roll'!$I$17)^IF(P$4&lt;'Rent Roll'!$Y$17,0,YEAR(P$4)-YEAR('Rent Roll'!$Y$17)+1),0)</f>
        <v>10264.2075</v>
      </c>
      <c r="Q131" s="49">
        <f>IF(Q130=1,'Rent Roll'!$H$17/12*(1+'Rent Roll'!$I$17)^IF(Q$4&lt;'Rent Roll'!$Y$17,0,YEAR(Q$4)-YEAR('Rent Roll'!$Y$17)+1),0)</f>
        <v>10264.2075</v>
      </c>
      <c r="R131" s="49">
        <f>IF(R130=1,'Rent Roll'!$H$17/12*(1+'Rent Roll'!$I$17)^IF(R$4&lt;'Rent Roll'!$Y$17,0,YEAR(R$4)-YEAR('Rent Roll'!$Y$17)+1),0)</f>
        <v>10264.2075</v>
      </c>
      <c r="S131" s="49">
        <f>IF(S130=1,'Rent Roll'!$H$17/12*(1+'Rent Roll'!$I$17)^IF(S$4&lt;'Rent Roll'!$Y$17,0,YEAR(S$4)-YEAR('Rent Roll'!$Y$17)+1),0)</f>
        <v>10264.2075</v>
      </c>
      <c r="T131" s="49">
        <f>IF(T130=1,'Rent Roll'!$H$17/12*(1+'Rent Roll'!$I$17)^IF(T$4&lt;'Rent Roll'!$Y$17,0,YEAR(T$4)-YEAR('Rent Roll'!$Y$17)+1),0)</f>
        <v>10264.2075</v>
      </c>
      <c r="U131" s="49">
        <f>IF(U130=1,'Rent Roll'!$H$17/12*(1+'Rent Roll'!$I$17)^IF(U$4&lt;'Rent Roll'!$Y$17,0,YEAR(U$4)-YEAR('Rent Roll'!$Y$17)+1),0)</f>
        <v>10572.133725</v>
      </c>
      <c r="V131" s="49">
        <f>IF(V130=1,'Rent Roll'!$H$17/12*(1+'Rent Roll'!$I$17)^IF(V$4&lt;'Rent Roll'!$Y$17,0,YEAR(V$4)-YEAR('Rent Roll'!$Y$17)+1),0)</f>
        <v>10572.133725</v>
      </c>
      <c r="W131" s="49">
        <f>IF(W130=1,'Rent Roll'!$H$17/12*(1+'Rent Roll'!$I$17)^IF(W$4&lt;'Rent Roll'!$Y$17,0,YEAR(W$4)-YEAR('Rent Roll'!$Y$17)+1),0)</f>
        <v>10572.133725</v>
      </c>
      <c r="X131" s="49">
        <f>IF(X130=1,'Rent Roll'!$H$17/12*(1+'Rent Roll'!$I$17)^IF(X$4&lt;'Rent Roll'!$Y$17,0,YEAR(X$4)-YEAR('Rent Roll'!$Y$17)+1),0)</f>
        <v>10572.133725</v>
      </c>
      <c r="Y131" s="49">
        <f>IF(Y130=1,'Rent Roll'!$H$17/12*(1+'Rent Roll'!$I$17)^IF(Y$4&lt;'Rent Roll'!$Y$17,0,YEAR(Y$4)-YEAR('Rent Roll'!$Y$17)+1),0)</f>
        <v>10572.133725</v>
      </c>
      <c r="Z131" s="49">
        <f>IF(Z130=1,'Rent Roll'!$H$17/12*(1+'Rent Roll'!$I$17)^IF(Z$4&lt;'Rent Roll'!$Y$17,0,YEAR(Z$4)-YEAR('Rent Roll'!$Y$17)+1),0)</f>
        <v>10572.133725</v>
      </c>
      <c r="AA131" s="49">
        <f>IF(AA130=1,'Rent Roll'!$H$17/12*(1+'Rent Roll'!$I$17)^IF(AA$4&lt;'Rent Roll'!$Y$17,0,YEAR(AA$4)-YEAR('Rent Roll'!$Y$17)+1),0)</f>
        <v>10572.133725</v>
      </c>
      <c r="AB131" s="49">
        <f>IF(AB130=1,'Rent Roll'!$H$17/12*(1+'Rent Roll'!$I$17)^IF(AB$4&lt;'Rent Roll'!$Y$17,0,YEAR(AB$4)-YEAR('Rent Roll'!$Y$17)+1),0)</f>
        <v>10572.133725</v>
      </c>
      <c r="AC131" s="49">
        <f>IF(AC130=1,'Rent Roll'!$H$17/12*(1+'Rent Roll'!$I$17)^IF(AC$4&lt;'Rent Roll'!$Y$17,0,YEAR(AC$4)-YEAR('Rent Roll'!$Y$17)+1),0)</f>
        <v>10572.133725</v>
      </c>
      <c r="AD131" s="49">
        <f>IF(AD130=1,'Rent Roll'!$H$17/12*(1+'Rent Roll'!$I$17)^IF(AD$4&lt;'Rent Roll'!$Y$17,0,YEAR(AD$4)-YEAR('Rent Roll'!$Y$17)+1),0)</f>
        <v>10572.133725</v>
      </c>
      <c r="AE131" s="49">
        <f>IF(AE130=1,'Rent Roll'!$H$17/12*(1+'Rent Roll'!$I$17)^IF(AE$4&lt;'Rent Roll'!$Y$17,0,YEAR(AE$4)-YEAR('Rent Roll'!$Y$17)+1),0)</f>
        <v>0</v>
      </c>
      <c r="AF131" s="49">
        <f>IF(AF130=1,'Rent Roll'!$H$17/12*(1+'Rent Roll'!$I$17)^IF(AF$4&lt;'Rent Roll'!$Y$17,0,YEAR(AF$4)-YEAR('Rent Roll'!$Y$17)+1),0)</f>
        <v>0</v>
      </c>
      <c r="AG131" s="49">
        <f>IF(AG130=1,'Rent Roll'!$H$17/12*(1+'Rent Roll'!$I$17)^IF(AG$4&lt;'Rent Roll'!$Y$17,0,YEAR(AG$4)-YEAR('Rent Roll'!$Y$17)+1),0)</f>
        <v>0</v>
      </c>
      <c r="AH131" s="49">
        <f>IF(AH130=1,'Rent Roll'!$H$17/12*(1+'Rent Roll'!$I$17)^IF(AH$4&lt;'Rent Roll'!$Y$17,0,YEAR(AH$4)-YEAR('Rent Roll'!$Y$17)+1),0)</f>
        <v>0</v>
      </c>
      <c r="AI131" s="49">
        <f>IF(AI130=1,'Rent Roll'!$H$17/12*(1+'Rent Roll'!$I$17)^IF(AI$4&lt;'Rent Roll'!$Y$17,0,YEAR(AI$4)-YEAR('Rent Roll'!$Y$17)+1),0)</f>
        <v>0</v>
      </c>
      <c r="AJ131" s="49">
        <f>IF(AJ130=1,'Rent Roll'!$H$17/12*(1+'Rent Roll'!$I$17)^IF(AJ$4&lt;'Rent Roll'!$Y$17,0,YEAR(AJ$4)-YEAR('Rent Roll'!$Y$17)+1),0)</f>
        <v>0</v>
      </c>
      <c r="AK131" s="49">
        <f>IF(AK130=1,'Rent Roll'!$H$17/12*(1+'Rent Roll'!$I$17)^IF(AK$4&lt;'Rent Roll'!$Y$17,0,YEAR(AK$4)-YEAR('Rent Roll'!$Y$17)+1),0)</f>
        <v>0</v>
      </c>
      <c r="AL131" s="49">
        <f>IF(AL130=1,'Rent Roll'!$H$17/12*(1+'Rent Roll'!$I$17)^IF(AL$4&lt;'Rent Roll'!$Y$17,0,YEAR(AL$4)-YEAR('Rent Roll'!$Y$17)+1),0)</f>
        <v>0</v>
      </c>
      <c r="AM131" s="49">
        <f>IF(AM130=1,'Rent Roll'!$H$17/12*(1+'Rent Roll'!$I$17)^IF(AM$4&lt;'Rent Roll'!$Y$17,0,YEAR(AM$4)-YEAR('Rent Roll'!$Y$17)+1),0)</f>
        <v>0</v>
      </c>
      <c r="AN131" s="49">
        <f>IF(AN130=1,'Rent Roll'!$H$17/12*(1+'Rent Roll'!$I$17)^IF(AN$4&lt;'Rent Roll'!$Y$17,0,YEAR(AN$4)-YEAR('Rent Roll'!$Y$17)+1),0)</f>
        <v>0</v>
      </c>
      <c r="AO131" s="49">
        <f>IF(AO130=1,'Rent Roll'!$H$17/12*(1+'Rent Roll'!$I$17)^IF(AO$4&lt;'Rent Roll'!$Y$17,0,YEAR(AO$4)-YEAR('Rent Roll'!$Y$17)+1),0)</f>
        <v>0</v>
      </c>
      <c r="AP131" s="49">
        <f>IF(AP130=1,'Rent Roll'!$H$17/12*(1+'Rent Roll'!$I$17)^IF(AP$4&lt;'Rent Roll'!$Y$17,0,YEAR(AP$4)-YEAR('Rent Roll'!$Y$17)+1),0)</f>
        <v>0</v>
      </c>
      <c r="AQ131" s="49">
        <f>IF(AQ130=1,'Rent Roll'!$H$17/12*(1+'Rent Roll'!$I$17)^IF(AQ$4&lt;'Rent Roll'!$Y$17,0,YEAR(AQ$4)-YEAR('Rent Roll'!$Y$17)+1),0)</f>
        <v>0</v>
      </c>
      <c r="AR131" s="49">
        <f>IF(AR130=1,'Rent Roll'!$H$17/12*(1+'Rent Roll'!$I$17)^IF(AR$4&lt;'Rent Roll'!$Y$17,0,YEAR(AR$4)-YEAR('Rent Roll'!$Y$17)+1),0)</f>
        <v>0</v>
      </c>
      <c r="AS131" s="49">
        <f>IF(AS130=1,'Rent Roll'!$H$17/12*(1+'Rent Roll'!$I$17)^IF(AS$4&lt;'Rent Roll'!$Y$17,0,YEAR(AS$4)-YEAR('Rent Roll'!$Y$17)+1),0)</f>
        <v>0</v>
      </c>
      <c r="AT131" s="49">
        <f>IF(AT130=1,'Rent Roll'!$H$17/12*(1+'Rent Roll'!$I$17)^IF(AT$4&lt;'Rent Roll'!$Y$17,0,YEAR(AT$4)-YEAR('Rent Roll'!$Y$17)+1),0)</f>
        <v>0</v>
      </c>
      <c r="AU131" s="49">
        <f>IF(AU130=1,'Rent Roll'!$H$17/12*(1+'Rent Roll'!$I$17)^IF(AU$4&lt;'Rent Roll'!$Y$17,0,YEAR(AU$4)-YEAR('Rent Roll'!$Y$17)+1),0)</f>
        <v>0</v>
      </c>
      <c r="AV131" s="49">
        <f>IF(AV130=1,'Rent Roll'!$H$17/12*(1+'Rent Roll'!$I$17)^IF(AV$4&lt;'Rent Roll'!$Y$17,0,YEAR(AV$4)-YEAR('Rent Roll'!$Y$17)+1),0)</f>
        <v>0</v>
      </c>
      <c r="AW131" s="49">
        <f>IF(AW130=1,'Rent Roll'!$H$17/12*(1+'Rent Roll'!$I$17)^IF(AW$4&lt;'Rent Roll'!$Y$17,0,YEAR(AW$4)-YEAR('Rent Roll'!$Y$17)+1),0)</f>
        <v>0</v>
      </c>
      <c r="AX131" s="49">
        <f>IF(AX130=1,'Rent Roll'!$H$17/12*(1+'Rent Roll'!$I$17)^IF(AX$4&lt;'Rent Roll'!$Y$17,0,YEAR(AX$4)-YEAR('Rent Roll'!$Y$17)+1),0)</f>
        <v>0</v>
      </c>
      <c r="AY131" s="49">
        <f>IF(AY130=1,'Rent Roll'!$H$17/12*(1+'Rent Roll'!$I$17)^IF(AY$4&lt;'Rent Roll'!$Y$17,0,YEAR(AY$4)-YEAR('Rent Roll'!$Y$17)+1),0)</f>
        <v>0</v>
      </c>
      <c r="AZ131" s="49">
        <f>IF(AZ130=1,'Rent Roll'!$H$17/12*(1+'Rent Roll'!$I$17)^IF(AZ$4&lt;'Rent Roll'!$Y$17,0,YEAR(AZ$4)-YEAR('Rent Roll'!$Y$17)+1),0)</f>
        <v>0</v>
      </c>
      <c r="BA131" s="49">
        <f>IF(BA130=1,'Rent Roll'!$H$17/12*(1+'Rent Roll'!$I$17)^IF(BA$4&lt;'Rent Roll'!$Y$17,0,YEAR(BA$4)-YEAR('Rent Roll'!$Y$17)+1),0)</f>
        <v>0</v>
      </c>
      <c r="BB131" s="49">
        <f>IF(BB130=1,'Rent Roll'!$H$17/12*(1+'Rent Roll'!$I$17)^IF(BB$4&lt;'Rent Roll'!$Y$17,0,YEAR(BB$4)-YEAR('Rent Roll'!$Y$17)+1),0)</f>
        <v>0</v>
      </c>
      <c r="BC131" s="49">
        <f>IF(BC130=1,'Rent Roll'!$H$17/12*(1+'Rent Roll'!$I$17)^IF(BC$4&lt;'Rent Roll'!$Y$17,0,YEAR(BC$4)-YEAR('Rent Roll'!$Y$17)+1),0)</f>
        <v>0</v>
      </c>
      <c r="BD131" s="49">
        <f>IF(BD130=1,'Rent Roll'!$H$17/12*(1+'Rent Roll'!$I$17)^IF(BD$4&lt;'Rent Roll'!$Y$17,0,YEAR(BD$4)-YEAR('Rent Roll'!$Y$17)+1),0)</f>
        <v>0</v>
      </c>
      <c r="BE131" s="49">
        <f>IF(BE130=1,'Rent Roll'!$H$17/12*(1+'Rent Roll'!$I$17)^IF(BE$4&lt;'Rent Roll'!$Y$17,0,YEAR(BE$4)-YEAR('Rent Roll'!$Y$17)+1),0)</f>
        <v>0</v>
      </c>
      <c r="BF131" s="49">
        <f>IF(BF130=1,'Rent Roll'!$H$17/12*(1+'Rent Roll'!$I$17)^IF(BF$4&lt;'Rent Roll'!$Y$17,0,YEAR(BF$4)-YEAR('Rent Roll'!$Y$17)+1),0)</f>
        <v>0</v>
      </c>
      <c r="BG131" s="49">
        <f>IF(BG130=1,'Rent Roll'!$H$17/12*(1+'Rent Roll'!$I$17)^IF(BG$4&lt;'Rent Roll'!$Y$17,0,YEAR(BG$4)-YEAR('Rent Roll'!$Y$17)+1),0)</f>
        <v>0</v>
      </c>
      <c r="BH131" s="49">
        <f>IF(BH130=1,'Rent Roll'!$H$17/12*(1+'Rent Roll'!$I$17)^IF(BH$4&lt;'Rent Roll'!$Y$17,0,YEAR(BH$4)-YEAR('Rent Roll'!$Y$17)+1),0)</f>
        <v>0</v>
      </c>
      <c r="BI131" s="49">
        <f>IF(BI130=1,'Rent Roll'!$H$17/12*(1+'Rent Roll'!$I$17)^IF(BI$4&lt;'Rent Roll'!$Y$17,0,YEAR(BI$4)-YEAR('Rent Roll'!$Y$17)+1),0)</f>
        <v>0</v>
      </c>
      <c r="BJ131" s="49">
        <f>IF(BJ130=1,'Rent Roll'!$H$17/12*(1+'Rent Roll'!$I$17)^IF(BJ$4&lt;'Rent Roll'!$Y$17,0,YEAR(BJ$4)-YEAR('Rent Roll'!$Y$17)+1),0)</f>
        <v>0</v>
      </c>
      <c r="BK131" s="49">
        <f>IF(BK130=1,'Rent Roll'!$H$17/12*(1+'Rent Roll'!$I$17)^IF(BK$4&lt;'Rent Roll'!$Y$17,0,YEAR(BK$4)-YEAR('Rent Roll'!$Y$17)+1),0)</f>
        <v>0</v>
      </c>
      <c r="BL131" s="49">
        <f>IF(BL130=1,'Rent Roll'!$H$17/12*(1+'Rent Roll'!$I$17)^IF(BL$4&lt;'Rent Roll'!$Y$17,0,YEAR(BL$4)-YEAR('Rent Roll'!$Y$17)+1),0)</f>
        <v>0</v>
      </c>
      <c r="BM131" s="49">
        <f>IF(BM130=1,'Rent Roll'!$H$17/12*(1+'Rent Roll'!$I$17)^IF(BM$4&lt;'Rent Roll'!$Y$17,0,YEAR(BM$4)-YEAR('Rent Roll'!$Y$17)+1),0)</f>
        <v>0</v>
      </c>
      <c r="BN131" s="49">
        <f>IF(BN130=1,'Rent Roll'!$H$17/12*(1+'Rent Roll'!$I$17)^IF(BN$4&lt;'Rent Roll'!$Y$17,0,YEAR(BN$4)-YEAR('Rent Roll'!$Y$17)+1),0)</f>
        <v>0</v>
      </c>
      <c r="BO131" s="49">
        <f>IF(BO130=1,'Rent Roll'!$H$17/12*(1+'Rent Roll'!$I$17)^IF(BO$4&lt;'Rent Roll'!$Y$17,0,YEAR(BO$4)-YEAR('Rent Roll'!$Y$17)+1),0)</f>
        <v>0</v>
      </c>
      <c r="BP131" s="49">
        <f>IF(BP130=1,'Rent Roll'!$H$17/12*(1+'Rent Roll'!$I$17)^IF(BP$4&lt;'Rent Roll'!$Y$17,0,YEAR(BP$4)-YEAR('Rent Roll'!$Y$17)+1),0)</f>
        <v>0</v>
      </c>
      <c r="BQ131" s="49">
        <f>IF(BQ130=1,'Rent Roll'!$H$17/12*(1+'Rent Roll'!$I$17)^IF(BQ$4&lt;'Rent Roll'!$Y$17,0,YEAR(BQ$4)-YEAR('Rent Roll'!$Y$17)+1),0)</f>
        <v>0</v>
      </c>
      <c r="BR131" s="49">
        <f>IF(BR130=1,'Rent Roll'!$H$17/12*(1+'Rent Roll'!$I$17)^IF(BR$4&lt;'Rent Roll'!$Y$17,0,YEAR(BR$4)-YEAR('Rent Roll'!$Y$17)+1),0)</f>
        <v>0</v>
      </c>
      <c r="BS131" s="49">
        <f>IF(BS130=1,'Rent Roll'!$H$17/12*(1+'Rent Roll'!$I$17)^IF(BS$4&lt;'Rent Roll'!$Y$17,0,YEAR(BS$4)-YEAR('Rent Roll'!$Y$17)+1),0)</f>
        <v>0</v>
      </c>
      <c r="BT131" s="49">
        <f>IF(BT130=1,'Rent Roll'!$H$17/12*(1+'Rent Roll'!$I$17)^IF(BT$4&lt;'Rent Roll'!$Y$17,0,YEAR(BT$4)-YEAR('Rent Roll'!$Y$17)+1),0)</f>
        <v>0</v>
      </c>
      <c r="BU131" s="49">
        <f>IF(BU130=1,'Rent Roll'!$H$17/12*(1+'Rent Roll'!$I$17)^IF(BU$4&lt;'Rent Roll'!$Y$17,0,YEAR(BU$4)-YEAR('Rent Roll'!$Y$17)+1),0)</f>
        <v>0</v>
      </c>
      <c r="BV131" s="49">
        <f>IF(BV130=1,'Rent Roll'!$H$17/12*(1+'Rent Roll'!$I$17)^IF(BV$4&lt;'Rent Roll'!$Y$17,0,YEAR(BV$4)-YEAR('Rent Roll'!$Y$17)+1),0)</f>
        <v>0</v>
      </c>
      <c r="BW131" s="49">
        <f>IF(BW130=1,'Rent Roll'!$H$17/12*(1+'Rent Roll'!$I$17)^IF(BW$4&lt;'Rent Roll'!$Y$17,0,YEAR(BW$4)-YEAR('Rent Roll'!$Y$17)+1),0)</f>
        <v>0</v>
      </c>
      <c r="BX131" s="49">
        <f>IF(BX130=1,'Rent Roll'!$H$17/12*(1+'Rent Roll'!$I$17)^IF(BX$4&lt;'Rent Roll'!$Y$17,0,YEAR(BX$4)-YEAR('Rent Roll'!$Y$17)+1),0)</f>
        <v>0</v>
      </c>
    </row>
    <row r="132" spans="1:76" hidden="1" outlineLevel="1">
      <c r="B132" t="s">
        <v>160</v>
      </c>
      <c r="D132" s="49">
        <f>IF(D$4&gt;EOMONTH(CloseDate,'Rent Roll'!$O$17+'Rent Roll'!$S$17-1),1,0)</f>
        <v>0</v>
      </c>
      <c r="E132" s="49">
        <f>IF(E$4&gt;EOMONTH(CloseDate,'Rent Roll'!$O$17+'Rent Roll'!$S$17-1),1,0)</f>
        <v>0</v>
      </c>
      <c r="F132" s="49">
        <f>IF(F$4&gt;EOMONTH(CloseDate,'Rent Roll'!$O$17+'Rent Roll'!$S$17-1),1,0)</f>
        <v>0</v>
      </c>
      <c r="G132" s="49">
        <f>IF(G$4&gt;EOMONTH(CloseDate,'Rent Roll'!$O$17+'Rent Roll'!$S$17-1),1,0)</f>
        <v>0</v>
      </c>
      <c r="H132" s="49">
        <f>IF(H$4&gt;EOMONTH(CloseDate,'Rent Roll'!$O$17+'Rent Roll'!$S$17-1),1,0)</f>
        <v>0</v>
      </c>
      <c r="I132" s="49">
        <f>IF(I$4&gt;EOMONTH(CloseDate,'Rent Roll'!$O$17+'Rent Roll'!$S$17-1),1,0)</f>
        <v>0</v>
      </c>
      <c r="J132" s="49">
        <f>IF(J$4&gt;EOMONTH(CloseDate,'Rent Roll'!$O$17+'Rent Roll'!$S$17-1),1,0)</f>
        <v>0</v>
      </c>
      <c r="K132" s="49">
        <f>IF(K$4&gt;EOMONTH(CloseDate,'Rent Roll'!$O$17+'Rent Roll'!$S$17-1),1,0)</f>
        <v>0</v>
      </c>
      <c r="L132" s="49">
        <f>IF(L$4&gt;EOMONTH(CloseDate,'Rent Roll'!$O$17+'Rent Roll'!$S$17-1),1,0)</f>
        <v>0</v>
      </c>
      <c r="M132" s="49">
        <f>IF(M$4&gt;EOMONTH(CloseDate,'Rent Roll'!$O$17+'Rent Roll'!$S$17-1),1,0)</f>
        <v>0</v>
      </c>
      <c r="N132" s="49">
        <f>IF(N$4&gt;EOMONTH(CloseDate,'Rent Roll'!$O$17+'Rent Roll'!$S$17-1),1,0)</f>
        <v>0</v>
      </c>
      <c r="O132" s="49">
        <f>IF(O$4&gt;EOMONTH(CloseDate,'Rent Roll'!$O$17+'Rent Roll'!$S$17-1),1,0)</f>
        <v>0</v>
      </c>
      <c r="P132" s="49">
        <f>IF(P$4&gt;EOMONTH(CloseDate,'Rent Roll'!$O$17+'Rent Roll'!$S$17-1),1,0)</f>
        <v>0</v>
      </c>
      <c r="Q132" s="49">
        <f>IF(Q$4&gt;EOMONTH(CloseDate,'Rent Roll'!$O$17+'Rent Roll'!$S$17-1),1,0)</f>
        <v>0</v>
      </c>
      <c r="R132" s="49">
        <f>IF(R$4&gt;EOMONTH(CloseDate,'Rent Roll'!$O$17+'Rent Roll'!$S$17-1),1,0)</f>
        <v>0</v>
      </c>
      <c r="S132" s="49">
        <f>IF(S$4&gt;EOMONTH(CloseDate,'Rent Roll'!$O$17+'Rent Roll'!$S$17-1),1,0)</f>
        <v>0</v>
      </c>
      <c r="T132" s="49">
        <f>IF(T$4&gt;EOMONTH(CloseDate,'Rent Roll'!$O$17+'Rent Roll'!$S$17-1),1,0)</f>
        <v>0</v>
      </c>
      <c r="U132" s="49">
        <f>IF(U$4&gt;EOMONTH(CloseDate,'Rent Roll'!$O$17+'Rent Roll'!$S$17-1),1,0)</f>
        <v>0</v>
      </c>
      <c r="V132" s="49">
        <f>IF(V$4&gt;EOMONTH(CloseDate,'Rent Roll'!$O$17+'Rent Roll'!$S$17-1),1,0)</f>
        <v>0</v>
      </c>
      <c r="W132" s="49">
        <f>IF(W$4&gt;EOMONTH(CloseDate,'Rent Roll'!$O$17+'Rent Roll'!$S$17-1),1,0)</f>
        <v>0</v>
      </c>
      <c r="X132" s="49">
        <f>IF(X$4&gt;EOMONTH(CloseDate,'Rent Roll'!$O$17+'Rent Roll'!$S$17-1),1,0)</f>
        <v>0</v>
      </c>
      <c r="Y132" s="49">
        <f>IF(Y$4&gt;EOMONTH(CloseDate,'Rent Roll'!$O$17+'Rent Roll'!$S$17-1),1,0)</f>
        <v>0</v>
      </c>
      <c r="Z132" s="49">
        <f>IF(Z$4&gt;EOMONTH(CloseDate,'Rent Roll'!$O$17+'Rent Roll'!$S$17-1),1,0)</f>
        <v>0</v>
      </c>
      <c r="AA132" s="49">
        <f>IF(AA$4&gt;EOMONTH(CloseDate,'Rent Roll'!$O$17+'Rent Roll'!$S$17-1),1,0)</f>
        <v>0</v>
      </c>
      <c r="AB132" s="49">
        <f>IF(AB$4&gt;EOMONTH(CloseDate,'Rent Roll'!$O$17+'Rent Roll'!$S$17-1),1,0)</f>
        <v>0</v>
      </c>
      <c r="AC132" s="49">
        <f>IF(AC$4&gt;EOMONTH(CloseDate,'Rent Roll'!$O$17+'Rent Roll'!$S$17-1),1,0)</f>
        <v>0</v>
      </c>
      <c r="AD132" s="49">
        <f>IF(AD$4&gt;EOMONTH(CloseDate,'Rent Roll'!$O$17+'Rent Roll'!$S$17-1),1,0)</f>
        <v>0</v>
      </c>
      <c r="AE132" s="49">
        <f>IF(AE$4&gt;EOMONTH(CloseDate,'Rent Roll'!$O$17+'Rent Roll'!$S$17-1),1,0)</f>
        <v>0</v>
      </c>
      <c r="AF132" s="49">
        <f>IF(AF$4&gt;EOMONTH(CloseDate,'Rent Roll'!$O$17+'Rent Roll'!$S$17-1),1,0)</f>
        <v>0</v>
      </c>
      <c r="AG132" s="49">
        <f>IF(AG$4&gt;EOMONTH(CloseDate,'Rent Roll'!$O$17+'Rent Roll'!$S$17-1),1,0)</f>
        <v>0</v>
      </c>
      <c r="AH132" s="49">
        <f>IF(AH$4&gt;EOMONTH(CloseDate,'Rent Roll'!$O$17+'Rent Roll'!$S$17-1),1,0)</f>
        <v>0</v>
      </c>
      <c r="AI132" s="49">
        <f>IF(AI$4&gt;EOMONTH(CloseDate,'Rent Roll'!$O$17+'Rent Roll'!$S$17-1),1,0)</f>
        <v>0</v>
      </c>
      <c r="AJ132" s="49">
        <f>IF(AJ$4&gt;EOMONTH(CloseDate,'Rent Roll'!$O$17+'Rent Roll'!$S$17-1),1,0)</f>
        <v>1</v>
      </c>
      <c r="AK132" s="49">
        <f>IF(AK$4&gt;EOMONTH(CloseDate,'Rent Roll'!$O$17+'Rent Roll'!$S$17-1),1,0)</f>
        <v>1</v>
      </c>
      <c r="AL132" s="49">
        <f>IF(AL$4&gt;EOMONTH(CloseDate,'Rent Roll'!$O$17+'Rent Roll'!$S$17-1),1,0)</f>
        <v>1</v>
      </c>
      <c r="AM132" s="49">
        <f>IF(AM$4&gt;EOMONTH(CloseDate,'Rent Roll'!$O$17+'Rent Roll'!$S$17-1),1,0)</f>
        <v>1</v>
      </c>
      <c r="AN132" s="49">
        <f>IF(AN$4&gt;EOMONTH(CloseDate,'Rent Roll'!$O$17+'Rent Roll'!$S$17-1),1,0)</f>
        <v>1</v>
      </c>
      <c r="AO132" s="49">
        <f>IF(AO$4&gt;EOMONTH(CloseDate,'Rent Roll'!$O$17+'Rent Roll'!$S$17-1),1,0)</f>
        <v>1</v>
      </c>
      <c r="AP132" s="49">
        <f>IF(AP$4&gt;EOMONTH(CloseDate,'Rent Roll'!$O$17+'Rent Roll'!$S$17-1),1,0)</f>
        <v>1</v>
      </c>
      <c r="AQ132" s="49">
        <f>IF(AQ$4&gt;EOMONTH(CloseDate,'Rent Roll'!$O$17+'Rent Roll'!$S$17-1),1,0)</f>
        <v>1</v>
      </c>
      <c r="AR132" s="49">
        <f>IF(AR$4&gt;EOMONTH(CloseDate,'Rent Roll'!$O$17+'Rent Roll'!$S$17-1),1,0)</f>
        <v>1</v>
      </c>
      <c r="AS132" s="49">
        <f>IF(AS$4&gt;EOMONTH(CloseDate,'Rent Roll'!$O$17+'Rent Roll'!$S$17-1),1,0)</f>
        <v>1</v>
      </c>
      <c r="AT132" s="49">
        <f>IF(AT$4&gt;EOMONTH(CloseDate,'Rent Roll'!$O$17+'Rent Roll'!$S$17-1),1,0)</f>
        <v>1</v>
      </c>
      <c r="AU132" s="49">
        <f>IF(AU$4&gt;EOMONTH(CloseDate,'Rent Roll'!$O$17+'Rent Roll'!$S$17-1),1,0)</f>
        <v>1</v>
      </c>
      <c r="AV132" s="49">
        <f>IF(AV$4&gt;EOMONTH(CloseDate,'Rent Roll'!$O$17+'Rent Roll'!$S$17-1),1,0)</f>
        <v>1</v>
      </c>
      <c r="AW132" s="49">
        <f>IF(AW$4&gt;EOMONTH(CloseDate,'Rent Roll'!$O$17+'Rent Roll'!$S$17-1),1,0)</f>
        <v>1</v>
      </c>
      <c r="AX132" s="49">
        <f>IF(AX$4&gt;EOMONTH(CloseDate,'Rent Roll'!$O$17+'Rent Roll'!$S$17-1),1,0)</f>
        <v>1</v>
      </c>
      <c r="AY132" s="49">
        <f>IF(AY$4&gt;EOMONTH(CloseDate,'Rent Roll'!$O$17+'Rent Roll'!$S$17-1),1,0)</f>
        <v>1</v>
      </c>
      <c r="AZ132" s="49">
        <f>IF(AZ$4&gt;EOMONTH(CloseDate,'Rent Roll'!$O$17+'Rent Roll'!$S$17-1),1,0)</f>
        <v>1</v>
      </c>
      <c r="BA132" s="49">
        <f>IF(BA$4&gt;EOMONTH(CloseDate,'Rent Roll'!$O$17+'Rent Roll'!$S$17-1),1,0)</f>
        <v>1</v>
      </c>
      <c r="BB132" s="49">
        <f>IF(BB$4&gt;EOMONTH(CloseDate,'Rent Roll'!$O$17+'Rent Roll'!$S$17-1),1,0)</f>
        <v>1</v>
      </c>
      <c r="BC132" s="49">
        <f>IF(BC$4&gt;EOMONTH(CloseDate,'Rent Roll'!$O$17+'Rent Roll'!$S$17-1),1,0)</f>
        <v>1</v>
      </c>
      <c r="BD132" s="49">
        <f>IF(BD$4&gt;EOMONTH(CloseDate,'Rent Roll'!$O$17+'Rent Roll'!$S$17-1),1,0)</f>
        <v>1</v>
      </c>
      <c r="BE132" s="49">
        <f>IF(BE$4&gt;EOMONTH(CloseDate,'Rent Roll'!$O$17+'Rent Roll'!$S$17-1),1,0)</f>
        <v>1</v>
      </c>
      <c r="BF132" s="49">
        <f>IF(BF$4&gt;EOMONTH(CloseDate,'Rent Roll'!$O$17+'Rent Roll'!$S$17-1),1,0)</f>
        <v>1</v>
      </c>
      <c r="BG132" s="49">
        <f>IF(BG$4&gt;EOMONTH(CloseDate,'Rent Roll'!$O$17+'Rent Roll'!$S$17-1),1,0)</f>
        <v>1</v>
      </c>
      <c r="BH132" s="49">
        <f>IF(BH$4&gt;EOMONTH(CloseDate,'Rent Roll'!$O$17+'Rent Roll'!$S$17-1),1,0)</f>
        <v>1</v>
      </c>
      <c r="BI132" s="49">
        <f>IF(BI$4&gt;EOMONTH(CloseDate,'Rent Roll'!$O$17+'Rent Roll'!$S$17-1),1,0)</f>
        <v>1</v>
      </c>
      <c r="BJ132" s="49">
        <f>IF(BJ$4&gt;EOMONTH(CloseDate,'Rent Roll'!$O$17+'Rent Roll'!$S$17-1),1,0)</f>
        <v>1</v>
      </c>
      <c r="BK132" s="49">
        <f>IF(BK$4&gt;EOMONTH(CloseDate,'Rent Roll'!$O$17+'Rent Roll'!$S$17-1),1,0)</f>
        <v>1</v>
      </c>
      <c r="BL132" s="49">
        <f>IF(BL$4&gt;EOMONTH(CloseDate,'Rent Roll'!$O$17+'Rent Roll'!$S$17-1),1,0)</f>
        <v>1</v>
      </c>
      <c r="BM132" s="49">
        <f>IF(BM$4&gt;EOMONTH(CloseDate,'Rent Roll'!$O$17+'Rent Roll'!$S$17-1),1,0)</f>
        <v>1</v>
      </c>
      <c r="BN132" s="49">
        <f>IF(BN$4&gt;EOMONTH(CloseDate,'Rent Roll'!$O$17+'Rent Roll'!$S$17-1),1,0)</f>
        <v>1</v>
      </c>
      <c r="BO132" s="49">
        <f>IF(BO$4&gt;EOMONTH(CloseDate,'Rent Roll'!$O$17+'Rent Roll'!$S$17-1),1,0)</f>
        <v>1</v>
      </c>
      <c r="BP132" s="49">
        <f>IF(BP$4&gt;EOMONTH(CloseDate,'Rent Roll'!$O$17+'Rent Roll'!$S$17-1),1,0)</f>
        <v>1</v>
      </c>
      <c r="BQ132" s="49">
        <f>IF(BQ$4&gt;EOMONTH(CloseDate,'Rent Roll'!$O$17+'Rent Roll'!$S$17-1),1,0)</f>
        <v>1</v>
      </c>
      <c r="BR132" s="49">
        <f>IF(BR$4&gt;EOMONTH(CloseDate,'Rent Roll'!$O$17+'Rent Roll'!$S$17-1),1,0)</f>
        <v>1</v>
      </c>
      <c r="BS132" s="49">
        <f>IF(BS$4&gt;EOMONTH(CloseDate,'Rent Roll'!$O$17+'Rent Roll'!$S$17-1),1,0)</f>
        <v>1</v>
      </c>
      <c r="BT132" s="49">
        <f>IF(BT$4&gt;EOMONTH(CloseDate,'Rent Roll'!$O$17+'Rent Roll'!$S$17-1),1,0)</f>
        <v>1</v>
      </c>
      <c r="BU132" s="49">
        <f>IF(BU$4&gt;EOMONTH(CloseDate,'Rent Roll'!$O$17+'Rent Roll'!$S$17-1),1,0)</f>
        <v>1</v>
      </c>
      <c r="BV132" s="49">
        <f>IF(BV$4&gt;EOMONTH(CloseDate,'Rent Roll'!$O$17+'Rent Roll'!$S$17-1),1,0)</f>
        <v>1</v>
      </c>
      <c r="BW132" s="49">
        <f>IF(BW$4&gt;EOMONTH(CloseDate,'Rent Roll'!$O$17+'Rent Roll'!$S$17-1),1,0)</f>
        <v>1</v>
      </c>
      <c r="BX132" s="49">
        <f>IF(BX$4&gt;EOMONTH(CloseDate,'Rent Roll'!$O$17+'Rent Roll'!$S$17-1),1,0)</f>
        <v>1</v>
      </c>
    </row>
    <row r="133" spans="1:76" hidden="1" outlineLevel="1">
      <c r="B133" t="s">
        <v>162</v>
      </c>
      <c r="D133" s="49">
        <f>IF(D132=1,'Rent Roll'!$F$17*'Rent Roll'!$X$17/12*D$6,0)</f>
        <v>0</v>
      </c>
      <c r="E133" s="49">
        <f>IF(E132=1,'Rent Roll'!$F$17*'Rent Roll'!$X$17/12*E$6,0)</f>
        <v>0</v>
      </c>
      <c r="F133" s="49">
        <f>IF(F132=1,'Rent Roll'!$F$17*'Rent Roll'!$X$17/12*F$6,0)</f>
        <v>0</v>
      </c>
      <c r="G133" s="49">
        <f>IF(G132=1,'Rent Roll'!$F$17*'Rent Roll'!$X$17/12*G$6,0)</f>
        <v>0</v>
      </c>
      <c r="H133" s="49">
        <f>IF(H132=1,'Rent Roll'!$F$17*'Rent Roll'!$X$17/12*H$6,0)</f>
        <v>0</v>
      </c>
      <c r="I133" s="49">
        <f>IF(I132=1,'Rent Roll'!$F$17*'Rent Roll'!$X$17/12*I$6,0)</f>
        <v>0</v>
      </c>
      <c r="J133" s="49">
        <f>IF(J132=1,'Rent Roll'!$F$17*'Rent Roll'!$X$17/12*J$6,0)</f>
        <v>0</v>
      </c>
      <c r="K133" s="49">
        <f>IF(K132=1,'Rent Roll'!$F$17*'Rent Roll'!$X$17/12*K$6,0)</f>
        <v>0</v>
      </c>
      <c r="L133" s="49">
        <f>IF(L132=1,'Rent Roll'!$F$17*'Rent Roll'!$X$17/12*L$6,0)</f>
        <v>0</v>
      </c>
      <c r="M133" s="49">
        <f>IF(M132=1,'Rent Roll'!$F$17*'Rent Roll'!$X$17/12*M$6,0)</f>
        <v>0</v>
      </c>
      <c r="N133" s="49">
        <f>IF(N132=1,'Rent Roll'!$F$17*'Rent Roll'!$X$17/12*N$6,0)</f>
        <v>0</v>
      </c>
      <c r="O133" s="49">
        <f>IF(O132=1,'Rent Roll'!$F$17*'Rent Roll'!$X$17/12*O$6,0)</f>
        <v>0</v>
      </c>
      <c r="P133" s="49">
        <f>IF(P132=1,'Rent Roll'!$F$17*'Rent Roll'!$X$17/12*P$6,0)</f>
        <v>0</v>
      </c>
      <c r="Q133" s="49">
        <f>IF(Q132=1,'Rent Roll'!$F$17*'Rent Roll'!$X$17/12*Q$6,0)</f>
        <v>0</v>
      </c>
      <c r="R133" s="49">
        <f>IF(R132=1,'Rent Roll'!$F$17*'Rent Roll'!$X$17/12*R$6,0)</f>
        <v>0</v>
      </c>
      <c r="S133" s="49">
        <f>IF(S132=1,'Rent Roll'!$F$17*'Rent Roll'!$X$17/12*S$6,0)</f>
        <v>0</v>
      </c>
      <c r="T133" s="49">
        <f>IF(T132=1,'Rent Roll'!$F$17*'Rent Roll'!$X$17/12*T$6,0)</f>
        <v>0</v>
      </c>
      <c r="U133" s="49">
        <f>IF(U132=1,'Rent Roll'!$F$17*'Rent Roll'!$X$17/12*U$6,0)</f>
        <v>0</v>
      </c>
      <c r="V133" s="49">
        <f>IF(V132=1,'Rent Roll'!$F$17*'Rent Roll'!$X$17/12*V$6,0)</f>
        <v>0</v>
      </c>
      <c r="W133" s="49">
        <f>IF(W132=1,'Rent Roll'!$F$17*'Rent Roll'!$X$17/12*W$6,0)</f>
        <v>0</v>
      </c>
      <c r="X133" s="49">
        <f>IF(X132=1,'Rent Roll'!$F$17*'Rent Roll'!$X$17/12*X$6,0)</f>
        <v>0</v>
      </c>
      <c r="Y133" s="49">
        <f>IF(Y132=1,'Rent Roll'!$F$17*'Rent Roll'!$X$17/12*Y$6,0)</f>
        <v>0</v>
      </c>
      <c r="Z133" s="49">
        <f>IF(Z132=1,'Rent Roll'!$F$17*'Rent Roll'!$X$17/12*Z$6,0)</f>
        <v>0</v>
      </c>
      <c r="AA133" s="49">
        <f>IF(AA132=1,'Rent Roll'!$F$17*'Rent Roll'!$X$17/12*AA$6,0)</f>
        <v>0</v>
      </c>
      <c r="AB133" s="49">
        <f>IF(AB132=1,'Rent Roll'!$F$17*'Rent Roll'!$X$17/12*AB$6,0)</f>
        <v>0</v>
      </c>
      <c r="AC133" s="49">
        <f>IF(AC132=1,'Rent Roll'!$F$17*'Rent Roll'!$X$17/12*AC$6,0)</f>
        <v>0</v>
      </c>
      <c r="AD133" s="49">
        <f>IF(AD132=1,'Rent Roll'!$F$17*'Rent Roll'!$X$17/12*AD$6,0)</f>
        <v>0</v>
      </c>
      <c r="AE133" s="49">
        <f>IF(AE132=1,'Rent Roll'!$F$17*'Rent Roll'!$X$17/12*AE$6,0)</f>
        <v>0</v>
      </c>
      <c r="AF133" s="49">
        <f>IF(AF132=1,'Rent Roll'!$F$17*'Rent Roll'!$X$17/12*AF$6,0)</f>
        <v>0</v>
      </c>
      <c r="AG133" s="49">
        <f>IF(AG132=1,'Rent Roll'!$F$17*'Rent Roll'!$X$17/12*AG$6,0)</f>
        <v>0</v>
      </c>
      <c r="AH133" s="49">
        <f>IF(AH132=1,'Rent Roll'!$F$17*'Rent Roll'!$X$17/12*AH$6,0)</f>
        <v>0</v>
      </c>
      <c r="AI133" s="49">
        <f>IF(AI132=1,'Rent Roll'!$F$17*'Rent Roll'!$X$17/12*AI$6,0)</f>
        <v>0</v>
      </c>
      <c r="AJ133" s="49">
        <f>IF(AJ132=1,'Rent Roll'!$F$17*'Rent Roll'!$X$17/12*AJ$6,0)</f>
        <v>12025.828295083684</v>
      </c>
      <c r="AK133" s="49">
        <f>IF(AK132=1,'Rent Roll'!$F$17*'Rent Roll'!$X$17/12*AK$6,0)</f>
        <v>12025.828295083684</v>
      </c>
      <c r="AL133" s="49">
        <f>IF(AL132=1,'Rent Roll'!$F$17*'Rent Roll'!$X$17/12*AL$6,0)</f>
        <v>12025.828295083684</v>
      </c>
      <c r="AM133" s="49">
        <f>IF(AM132=1,'Rent Roll'!$F$17*'Rent Roll'!$X$17/12*AM$6,0)</f>
        <v>12025.828295083684</v>
      </c>
      <c r="AN133" s="49">
        <f>IF(AN132=1,'Rent Roll'!$F$17*'Rent Roll'!$X$17/12*AN$6,0)</f>
        <v>12025.828295083684</v>
      </c>
      <c r="AO133" s="49">
        <f>IF(AO132=1,'Rent Roll'!$F$17*'Rent Roll'!$X$17/12*AO$6,0)</f>
        <v>12025.828295083684</v>
      </c>
      <c r="AP133" s="49">
        <f>IF(AP132=1,'Rent Roll'!$F$17*'Rent Roll'!$X$17/12*AP$6,0)</f>
        <v>12025.828295083684</v>
      </c>
      <c r="AQ133" s="49">
        <f>IF(AQ132=1,'Rent Roll'!$F$17*'Rent Roll'!$X$17/12*AQ$6,0)</f>
        <v>12025.828295083684</v>
      </c>
      <c r="AR133" s="49">
        <f>IF(AR132=1,'Rent Roll'!$F$17*'Rent Roll'!$X$17/12*AR$6,0)</f>
        <v>12025.828295083684</v>
      </c>
      <c r="AS133" s="49">
        <f>IF(AS132=1,'Rent Roll'!$F$17*'Rent Roll'!$X$17/12*AS$6,0)</f>
        <v>12350.52565905094</v>
      </c>
      <c r="AT133" s="49">
        <f>IF(AT132=1,'Rent Roll'!$F$17*'Rent Roll'!$X$17/12*AT$6,0)</f>
        <v>12350.52565905094</v>
      </c>
      <c r="AU133" s="49">
        <f>IF(AU132=1,'Rent Roll'!$F$17*'Rent Roll'!$X$17/12*AU$6,0)</f>
        <v>12350.52565905094</v>
      </c>
      <c r="AV133" s="49">
        <f>IF(AV132=1,'Rent Roll'!$F$17*'Rent Roll'!$X$17/12*AV$6,0)</f>
        <v>12350.52565905094</v>
      </c>
      <c r="AW133" s="49">
        <f>IF(AW132=1,'Rent Roll'!$F$17*'Rent Roll'!$X$17/12*AW$6,0)</f>
        <v>12350.52565905094</v>
      </c>
      <c r="AX133" s="49">
        <f>IF(AX132=1,'Rent Roll'!$F$17*'Rent Roll'!$X$17/12*AX$6,0)</f>
        <v>12350.52565905094</v>
      </c>
      <c r="AY133" s="49">
        <f>IF(AY132=1,'Rent Roll'!$F$17*'Rent Roll'!$X$17/12*AY$6,0)</f>
        <v>12350.52565905094</v>
      </c>
      <c r="AZ133" s="49">
        <f>IF(AZ132=1,'Rent Roll'!$F$17*'Rent Roll'!$X$17/12*AZ$6,0)</f>
        <v>12350.52565905094</v>
      </c>
      <c r="BA133" s="49">
        <f>IF(BA132=1,'Rent Roll'!$F$17*'Rent Roll'!$X$17/12*BA$6,0)</f>
        <v>12350.52565905094</v>
      </c>
      <c r="BB133" s="49">
        <f>IF(BB132=1,'Rent Roll'!$F$17*'Rent Roll'!$X$17/12*BB$6,0)</f>
        <v>12350.52565905094</v>
      </c>
      <c r="BC133" s="49">
        <f>IF(BC132=1,'Rent Roll'!$F$17*'Rent Roll'!$X$17/12*BC$6,0)</f>
        <v>12350.52565905094</v>
      </c>
      <c r="BD133" s="49">
        <f>IF(BD132=1,'Rent Roll'!$F$17*'Rent Roll'!$X$17/12*BD$6,0)</f>
        <v>12350.52565905094</v>
      </c>
      <c r="BE133" s="49">
        <f>IF(BE132=1,'Rent Roll'!$F$17*'Rent Roll'!$X$17/12*BE$6,0)</f>
        <v>12683.989851845316</v>
      </c>
      <c r="BF133" s="49">
        <f>IF(BF132=1,'Rent Roll'!$F$17*'Rent Roll'!$X$17/12*BF$6,0)</f>
        <v>12683.989851845316</v>
      </c>
      <c r="BG133" s="49">
        <f>IF(BG132=1,'Rent Roll'!$F$17*'Rent Roll'!$X$17/12*BG$6,0)</f>
        <v>12683.989851845316</v>
      </c>
      <c r="BH133" s="49">
        <f>IF(BH132=1,'Rent Roll'!$F$17*'Rent Roll'!$X$17/12*BH$6,0)</f>
        <v>12683.989851845316</v>
      </c>
      <c r="BI133" s="49">
        <f>IF(BI132=1,'Rent Roll'!$F$17*'Rent Roll'!$X$17/12*BI$6,0)</f>
        <v>12683.989851845316</v>
      </c>
      <c r="BJ133" s="49">
        <f>IF(BJ132=1,'Rent Roll'!$F$17*'Rent Roll'!$X$17/12*BJ$6,0)</f>
        <v>12683.989851845316</v>
      </c>
      <c r="BK133" s="49">
        <f>IF(BK132=1,'Rent Roll'!$F$17*'Rent Roll'!$X$17/12*BK$6,0)</f>
        <v>12683.989851845316</v>
      </c>
      <c r="BL133" s="49">
        <f>IF(BL132=1,'Rent Roll'!$F$17*'Rent Roll'!$X$17/12*BL$6,0)</f>
        <v>12683.989851845316</v>
      </c>
      <c r="BM133" s="49">
        <f>IF(BM132=1,'Rent Roll'!$F$17*'Rent Roll'!$X$17/12*BM$6,0)</f>
        <v>12683.989851845316</v>
      </c>
      <c r="BN133" s="49">
        <f>IF(BN132=1,'Rent Roll'!$F$17*'Rent Roll'!$X$17/12*BN$6,0)</f>
        <v>12683.989851845316</v>
      </c>
      <c r="BO133" s="49">
        <f>IF(BO132=1,'Rent Roll'!$F$17*'Rent Roll'!$X$17/12*BO$6,0)</f>
        <v>12683.989851845316</v>
      </c>
      <c r="BP133" s="49">
        <f>IF(BP132=1,'Rent Roll'!$F$17*'Rent Roll'!$X$17/12*BP$6,0)</f>
        <v>12683.989851845316</v>
      </c>
      <c r="BQ133" s="49">
        <f>IF(BQ132=1,'Rent Roll'!$F$17*'Rent Roll'!$X$17/12*BQ$6,0)</f>
        <v>13026.457577845136</v>
      </c>
      <c r="BR133" s="49">
        <f>IF(BR132=1,'Rent Roll'!$F$17*'Rent Roll'!$X$17/12*BR$6,0)</f>
        <v>13026.457577845136</v>
      </c>
      <c r="BS133" s="49">
        <f>IF(BS132=1,'Rent Roll'!$F$17*'Rent Roll'!$X$17/12*BS$6,0)</f>
        <v>13026.457577845136</v>
      </c>
      <c r="BT133" s="49">
        <f>IF(BT132=1,'Rent Roll'!$F$17*'Rent Roll'!$X$17/12*BT$6,0)</f>
        <v>13026.457577845136</v>
      </c>
      <c r="BU133" s="49">
        <f>IF(BU132=1,'Rent Roll'!$F$17*'Rent Roll'!$X$17/12*BU$6,0)</f>
        <v>13026.457577845136</v>
      </c>
      <c r="BV133" s="49">
        <f>IF(BV132=1,'Rent Roll'!$F$17*'Rent Roll'!$X$17/12*BV$6,0)</f>
        <v>13026.457577845136</v>
      </c>
      <c r="BW133" s="49">
        <f>IF(BW132=1,'Rent Roll'!$F$17*'Rent Roll'!$X$17/12*BW$6,0)</f>
        <v>13026.457577845136</v>
      </c>
      <c r="BX133" s="49">
        <f>IF(BX132=1,'Rent Roll'!$F$17*'Rent Roll'!$X$17/12*BX$6,0)</f>
        <v>13026.457577845136</v>
      </c>
    </row>
    <row r="134" spans="1:76" hidden="1" outlineLevel="1">
      <c r="B134" t="s">
        <v>163</v>
      </c>
      <c r="D134" s="49">
        <f>IF(AND(D$4&gt;EOMONTH(CloseDate,'Rent Roll'!$O$17+'Rent Roll'!$S$17-1),D$4&lt;=EOMONTH(CloseDate,'Rent Roll'!$O$17+'Rent Roll'!$S$17-1+'Rent Roll'!$V$17)),-D133,0)</f>
        <v>0</v>
      </c>
      <c r="E134" s="49">
        <f>IF(AND(E$4&gt;EOMONTH(CloseDate,'Rent Roll'!$O$17+'Rent Roll'!$S$17-1),E$4&lt;=EOMONTH(CloseDate,'Rent Roll'!$O$17+'Rent Roll'!$S$17-1+'Rent Roll'!$V$17)),-E133,0)</f>
        <v>0</v>
      </c>
      <c r="F134" s="49">
        <f>IF(AND(F$4&gt;EOMONTH(CloseDate,'Rent Roll'!$O$17+'Rent Roll'!$S$17-1),F$4&lt;=EOMONTH(CloseDate,'Rent Roll'!$O$17+'Rent Roll'!$S$17-1+'Rent Roll'!$V$17)),-F133,0)</f>
        <v>0</v>
      </c>
      <c r="G134" s="49">
        <f>IF(AND(G$4&gt;EOMONTH(CloseDate,'Rent Roll'!$O$17+'Rent Roll'!$S$17-1),G$4&lt;=EOMONTH(CloseDate,'Rent Roll'!$O$17+'Rent Roll'!$S$17-1+'Rent Roll'!$V$17)),-G133,0)</f>
        <v>0</v>
      </c>
      <c r="H134" s="49">
        <f>IF(AND(H$4&gt;EOMONTH(CloseDate,'Rent Roll'!$O$17+'Rent Roll'!$S$17-1),H$4&lt;=EOMONTH(CloseDate,'Rent Roll'!$O$17+'Rent Roll'!$S$17-1+'Rent Roll'!$V$17)),-H133,0)</f>
        <v>0</v>
      </c>
      <c r="I134" s="49">
        <f>IF(AND(I$4&gt;EOMONTH(CloseDate,'Rent Roll'!$O$17+'Rent Roll'!$S$17-1),I$4&lt;=EOMONTH(CloseDate,'Rent Roll'!$O$17+'Rent Roll'!$S$17-1+'Rent Roll'!$V$17)),-I133,0)</f>
        <v>0</v>
      </c>
      <c r="J134" s="49">
        <f>IF(AND(J$4&gt;EOMONTH(CloseDate,'Rent Roll'!$O$17+'Rent Roll'!$S$17-1),J$4&lt;=EOMONTH(CloseDate,'Rent Roll'!$O$17+'Rent Roll'!$S$17-1+'Rent Roll'!$V$17)),-J133,0)</f>
        <v>0</v>
      </c>
      <c r="K134" s="49">
        <f>IF(AND(K$4&gt;EOMONTH(CloseDate,'Rent Roll'!$O$17+'Rent Roll'!$S$17-1),K$4&lt;=EOMONTH(CloseDate,'Rent Roll'!$O$17+'Rent Roll'!$S$17-1+'Rent Roll'!$V$17)),-K133,0)</f>
        <v>0</v>
      </c>
      <c r="L134" s="49">
        <f>IF(AND(L$4&gt;EOMONTH(CloseDate,'Rent Roll'!$O$17+'Rent Roll'!$S$17-1),L$4&lt;=EOMONTH(CloseDate,'Rent Roll'!$O$17+'Rent Roll'!$S$17-1+'Rent Roll'!$V$17)),-L133,0)</f>
        <v>0</v>
      </c>
      <c r="M134" s="49">
        <f>IF(AND(M$4&gt;EOMONTH(CloseDate,'Rent Roll'!$O$17+'Rent Roll'!$S$17-1),M$4&lt;=EOMONTH(CloseDate,'Rent Roll'!$O$17+'Rent Roll'!$S$17-1+'Rent Roll'!$V$17)),-M133,0)</f>
        <v>0</v>
      </c>
      <c r="N134" s="49">
        <f>IF(AND(N$4&gt;EOMONTH(CloseDate,'Rent Roll'!$O$17+'Rent Roll'!$S$17-1),N$4&lt;=EOMONTH(CloseDate,'Rent Roll'!$O$17+'Rent Roll'!$S$17-1+'Rent Roll'!$V$17)),-N133,0)</f>
        <v>0</v>
      </c>
      <c r="O134" s="49">
        <f>IF(AND(O$4&gt;EOMONTH(CloseDate,'Rent Roll'!$O$17+'Rent Roll'!$S$17-1),O$4&lt;=EOMONTH(CloseDate,'Rent Roll'!$O$17+'Rent Roll'!$S$17-1+'Rent Roll'!$V$17)),-O133,0)</f>
        <v>0</v>
      </c>
      <c r="P134" s="49">
        <f>IF(AND(P$4&gt;EOMONTH(CloseDate,'Rent Roll'!$O$17+'Rent Roll'!$S$17-1),P$4&lt;=EOMONTH(CloseDate,'Rent Roll'!$O$17+'Rent Roll'!$S$17-1+'Rent Roll'!$V$17)),-P133,0)</f>
        <v>0</v>
      </c>
      <c r="Q134" s="49">
        <f>IF(AND(Q$4&gt;EOMONTH(CloseDate,'Rent Roll'!$O$17+'Rent Roll'!$S$17-1),Q$4&lt;=EOMONTH(CloseDate,'Rent Roll'!$O$17+'Rent Roll'!$S$17-1+'Rent Roll'!$V$17)),-Q133,0)</f>
        <v>0</v>
      </c>
      <c r="R134" s="49">
        <f>IF(AND(R$4&gt;EOMONTH(CloseDate,'Rent Roll'!$O$17+'Rent Roll'!$S$17-1),R$4&lt;=EOMONTH(CloseDate,'Rent Roll'!$O$17+'Rent Roll'!$S$17-1+'Rent Roll'!$V$17)),-R133,0)</f>
        <v>0</v>
      </c>
      <c r="S134" s="49">
        <f>IF(AND(S$4&gt;EOMONTH(CloseDate,'Rent Roll'!$O$17+'Rent Roll'!$S$17-1),S$4&lt;=EOMONTH(CloseDate,'Rent Roll'!$O$17+'Rent Roll'!$S$17-1+'Rent Roll'!$V$17)),-S133,0)</f>
        <v>0</v>
      </c>
      <c r="T134" s="49">
        <f>IF(AND(T$4&gt;EOMONTH(CloseDate,'Rent Roll'!$O$17+'Rent Roll'!$S$17-1),T$4&lt;=EOMONTH(CloseDate,'Rent Roll'!$O$17+'Rent Roll'!$S$17-1+'Rent Roll'!$V$17)),-T133,0)</f>
        <v>0</v>
      </c>
      <c r="U134" s="49">
        <f>IF(AND(U$4&gt;EOMONTH(CloseDate,'Rent Roll'!$O$17+'Rent Roll'!$S$17-1),U$4&lt;=EOMONTH(CloseDate,'Rent Roll'!$O$17+'Rent Roll'!$S$17-1+'Rent Roll'!$V$17)),-U133,0)</f>
        <v>0</v>
      </c>
      <c r="V134" s="49">
        <f>IF(AND(V$4&gt;EOMONTH(CloseDate,'Rent Roll'!$O$17+'Rent Roll'!$S$17-1),V$4&lt;=EOMONTH(CloseDate,'Rent Roll'!$O$17+'Rent Roll'!$S$17-1+'Rent Roll'!$V$17)),-V133,0)</f>
        <v>0</v>
      </c>
      <c r="W134" s="49">
        <f>IF(AND(W$4&gt;EOMONTH(CloseDate,'Rent Roll'!$O$17+'Rent Roll'!$S$17-1),W$4&lt;=EOMONTH(CloseDate,'Rent Roll'!$O$17+'Rent Roll'!$S$17-1+'Rent Roll'!$V$17)),-W133,0)</f>
        <v>0</v>
      </c>
      <c r="X134" s="49">
        <f>IF(AND(X$4&gt;EOMONTH(CloseDate,'Rent Roll'!$O$17+'Rent Roll'!$S$17-1),X$4&lt;=EOMONTH(CloseDate,'Rent Roll'!$O$17+'Rent Roll'!$S$17-1+'Rent Roll'!$V$17)),-X133,0)</f>
        <v>0</v>
      </c>
      <c r="Y134" s="49">
        <f>IF(AND(Y$4&gt;EOMONTH(CloseDate,'Rent Roll'!$O$17+'Rent Roll'!$S$17-1),Y$4&lt;=EOMONTH(CloseDate,'Rent Roll'!$O$17+'Rent Roll'!$S$17-1+'Rent Roll'!$V$17)),-Y133,0)</f>
        <v>0</v>
      </c>
      <c r="Z134" s="49">
        <f>IF(AND(Z$4&gt;EOMONTH(CloseDate,'Rent Roll'!$O$17+'Rent Roll'!$S$17-1),Z$4&lt;=EOMONTH(CloseDate,'Rent Roll'!$O$17+'Rent Roll'!$S$17-1+'Rent Roll'!$V$17)),-Z133,0)</f>
        <v>0</v>
      </c>
      <c r="AA134" s="49">
        <f>IF(AND(AA$4&gt;EOMONTH(CloseDate,'Rent Roll'!$O$17+'Rent Roll'!$S$17-1),AA$4&lt;=EOMONTH(CloseDate,'Rent Roll'!$O$17+'Rent Roll'!$S$17-1+'Rent Roll'!$V$17)),-AA133,0)</f>
        <v>0</v>
      </c>
      <c r="AB134" s="49">
        <f>IF(AND(AB$4&gt;EOMONTH(CloseDate,'Rent Roll'!$O$17+'Rent Roll'!$S$17-1),AB$4&lt;=EOMONTH(CloseDate,'Rent Roll'!$O$17+'Rent Roll'!$S$17-1+'Rent Roll'!$V$17)),-AB133,0)</f>
        <v>0</v>
      </c>
      <c r="AC134" s="49">
        <f>IF(AND(AC$4&gt;EOMONTH(CloseDate,'Rent Roll'!$O$17+'Rent Roll'!$S$17-1),AC$4&lt;=EOMONTH(CloseDate,'Rent Roll'!$O$17+'Rent Roll'!$S$17-1+'Rent Roll'!$V$17)),-AC133,0)</f>
        <v>0</v>
      </c>
      <c r="AD134" s="49">
        <f>IF(AND(AD$4&gt;EOMONTH(CloseDate,'Rent Roll'!$O$17+'Rent Roll'!$S$17-1),AD$4&lt;=EOMONTH(CloseDate,'Rent Roll'!$O$17+'Rent Roll'!$S$17-1+'Rent Roll'!$V$17)),-AD133,0)</f>
        <v>0</v>
      </c>
      <c r="AE134" s="49">
        <f>IF(AND(AE$4&gt;EOMONTH(CloseDate,'Rent Roll'!$O$17+'Rent Roll'!$S$17-1),AE$4&lt;=EOMONTH(CloseDate,'Rent Roll'!$O$17+'Rent Roll'!$S$17-1+'Rent Roll'!$V$17)),-AE133,0)</f>
        <v>0</v>
      </c>
      <c r="AF134" s="49">
        <f>IF(AND(AF$4&gt;EOMONTH(CloseDate,'Rent Roll'!$O$17+'Rent Roll'!$S$17-1),AF$4&lt;=EOMONTH(CloseDate,'Rent Roll'!$O$17+'Rent Roll'!$S$17-1+'Rent Roll'!$V$17)),-AF133,0)</f>
        <v>0</v>
      </c>
      <c r="AG134" s="49">
        <f>IF(AND(AG$4&gt;EOMONTH(CloseDate,'Rent Roll'!$O$17+'Rent Roll'!$S$17-1),AG$4&lt;=EOMONTH(CloseDate,'Rent Roll'!$O$17+'Rent Roll'!$S$17-1+'Rent Roll'!$V$17)),-AG133,0)</f>
        <v>0</v>
      </c>
      <c r="AH134" s="49">
        <f>IF(AND(AH$4&gt;EOMONTH(CloseDate,'Rent Roll'!$O$17+'Rent Roll'!$S$17-1),AH$4&lt;=EOMONTH(CloseDate,'Rent Roll'!$O$17+'Rent Roll'!$S$17-1+'Rent Roll'!$V$17)),-AH133,0)</f>
        <v>0</v>
      </c>
      <c r="AI134" s="49">
        <f>IF(AND(AI$4&gt;EOMONTH(CloseDate,'Rent Roll'!$O$17+'Rent Roll'!$S$17-1),AI$4&lt;=EOMONTH(CloseDate,'Rent Roll'!$O$17+'Rent Roll'!$S$17-1+'Rent Roll'!$V$17)),-AI133,0)</f>
        <v>0</v>
      </c>
      <c r="AJ134" s="49">
        <f>IF(AND(AJ$4&gt;EOMONTH(CloseDate,'Rent Roll'!$O$17+'Rent Roll'!$S$17-1),AJ$4&lt;=EOMONTH(CloseDate,'Rent Roll'!$O$17+'Rent Roll'!$S$17-1+'Rent Roll'!$V$17)),-AJ133,0)</f>
        <v>-12025.828295083684</v>
      </c>
      <c r="AK134" s="49">
        <f>IF(AND(AK$4&gt;EOMONTH(CloseDate,'Rent Roll'!$O$17+'Rent Roll'!$S$17-1),AK$4&lt;=EOMONTH(CloseDate,'Rent Roll'!$O$17+'Rent Roll'!$S$17-1+'Rent Roll'!$V$17)),-AK133,0)</f>
        <v>-12025.828295083684</v>
      </c>
      <c r="AL134" s="49">
        <f>IF(AND(AL$4&gt;EOMONTH(CloseDate,'Rent Roll'!$O$17+'Rent Roll'!$S$17-1),AL$4&lt;=EOMONTH(CloseDate,'Rent Roll'!$O$17+'Rent Roll'!$S$17-1+'Rent Roll'!$V$17)),-AL133,0)</f>
        <v>0</v>
      </c>
      <c r="AM134" s="49">
        <f>IF(AND(AM$4&gt;EOMONTH(CloseDate,'Rent Roll'!$O$17+'Rent Roll'!$S$17-1),AM$4&lt;=EOMONTH(CloseDate,'Rent Roll'!$O$17+'Rent Roll'!$S$17-1+'Rent Roll'!$V$17)),-AM133,0)</f>
        <v>0</v>
      </c>
      <c r="AN134" s="49">
        <f>IF(AND(AN$4&gt;EOMONTH(CloseDate,'Rent Roll'!$O$17+'Rent Roll'!$S$17-1),AN$4&lt;=EOMONTH(CloseDate,'Rent Roll'!$O$17+'Rent Roll'!$S$17-1+'Rent Roll'!$V$17)),-AN133,0)</f>
        <v>0</v>
      </c>
      <c r="AO134" s="49">
        <f>IF(AND(AO$4&gt;EOMONTH(CloseDate,'Rent Roll'!$O$17+'Rent Roll'!$S$17-1),AO$4&lt;=EOMONTH(CloseDate,'Rent Roll'!$O$17+'Rent Roll'!$S$17-1+'Rent Roll'!$V$17)),-AO133,0)</f>
        <v>0</v>
      </c>
      <c r="AP134" s="49">
        <f>IF(AND(AP$4&gt;EOMONTH(CloseDate,'Rent Roll'!$O$17+'Rent Roll'!$S$17-1),AP$4&lt;=EOMONTH(CloseDate,'Rent Roll'!$O$17+'Rent Roll'!$S$17-1+'Rent Roll'!$V$17)),-AP133,0)</f>
        <v>0</v>
      </c>
      <c r="AQ134" s="49">
        <f>IF(AND(AQ$4&gt;EOMONTH(CloseDate,'Rent Roll'!$O$17+'Rent Roll'!$S$17-1),AQ$4&lt;=EOMONTH(CloseDate,'Rent Roll'!$O$17+'Rent Roll'!$S$17-1+'Rent Roll'!$V$17)),-AQ133,0)</f>
        <v>0</v>
      </c>
      <c r="AR134" s="49">
        <f>IF(AND(AR$4&gt;EOMONTH(CloseDate,'Rent Roll'!$O$17+'Rent Roll'!$S$17-1),AR$4&lt;=EOMONTH(CloseDate,'Rent Roll'!$O$17+'Rent Roll'!$S$17-1+'Rent Roll'!$V$17)),-AR133,0)</f>
        <v>0</v>
      </c>
      <c r="AS134" s="49">
        <f>IF(AND(AS$4&gt;EOMONTH(CloseDate,'Rent Roll'!$O$17+'Rent Roll'!$S$17-1),AS$4&lt;=EOMONTH(CloseDate,'Rent Roll'!$O$17+'Rent Roll'!$S$17-1+'Rent Roll'!$V$17)),-AS133,0)</f>
        <v>0</v>
      </c>
      <c r="AT134" s="49">
        <f>IF(AND(AT$4&gt;EOMONTH(CloseDate,'Rent Roll'!$O$17+'Rent Roll'!$S$17-1),AT$4&lt;=EOMONTH(CloseDate,'Rent Roll'!$O$17+'Rent Roll'!$S$17-1+'Rent Roll'!$V$17)),-AT133,0)</f>
        <v>0</v>
      </c>
      <c r="AU134" s="49">
        <f>IF(AND(AU$4&gt;EOMONTH(CloseDate,'Rent Roll'!$O$17+'Rent Roll'!$S$17-1),AU$4&lt;=EOMONTH(CloseDate,'Rent Roll'!$O$17+'Rent Roll'!$S$17-1+'Rent Roll'!$V$17)),-AU133,0)</f>
        <v>0</v>
      </c>
      <c r="AV134" s="49">
        <f>IF(AND(AV$4&gt;EOMONTH(CloseDate,'Rent Roll'!$O$17+'Rent Roll'!$S$17-1),AV$4&lt;=EOMONTH(CloseDate,'Rent Roll'!$O$17+'Rent Roll'!$S$17-1+'Rent Roll'!$V$17)),-AV133,0)</f>
        <v>0</v>
      </c>
      <c r="AW134" s="49">
        <f>IF(AND(AW$4&gt;EOMONTH(CloseDate,'Rent Roll'!$O$17+'Rent Roll'!$S$17-1),AW$4&lt;=EOMONTH(CloseDate,'Rent Roll'!$O$17+'Rent Roll'!$S$17-1+'Rent Roll'!$V$17)),-AW133,0)</f>
        <v>0</v>
      </c>
      <c r="AX134" s="49">
        <f>IF(AND(AX$4&gt;EOMONTH(CloseDate,'Rent Roll'!$O$17+'Rent Roll'!$S$17-1),AX$4&lt;=EOMONTH(CloseDate,'Rent Roll'!$O$17+'Rent Roll'!$S$17-1+'Rent Roll'!$V$17)),-AX133,0)</f>
        <v>0</v>
      </c>
      <c r="AY134" s="49">
        <f>IF(AND(AY$4&gt;EOMONTH(CloseDate,'Rent Roll'!$O$17+'Rent Roll'!$S$17-1),AY$4&lt;=EOMONTH(CloseDate,'Rent Roll'!$O$17+'Rent Roll'!$S$17-1+'Rent Roll'!$V$17)),-AY133,0)</f>
        <v>0</v>
      </c>
      <c r="AZ134" s="49">
        <f>IF(AND(AZ$4&gt;EOMONTH(CloseDate,'Rent Roll'!$O$17+'Rent Roll'!$S$17-1),AZ$4&lt;=EOMONTH(CloseDate,'Rent Roll'!$O$17+'Rent Roll'!$S$17-1+'Rent Roll'!$V$17)),-AZ133,0)</f>
        <v>0</v>
      </c>
      <c r="BA134" s="49">
        <f>IF(AND(BA$4&gt;EOMONTH(CloseDate,'Rent Roll'!$O$17+'Rent Roll'!$S$17-1),BA$4&lt;=EOMONTH(CloseDate,'Rent Roll'!$O$17+'Rent Roll'!$S$17-1+'Rent Roll'!$V$17)),-BA133,0)</f>
        <v>0</v>
      </c>
      <c r="BB134" s="49">
        <f>IF(AND(BB$4&gt;EOMONTH(CloseDate,'Rent Roll'!$O$17+'Rent Roll'!$S$17-1),BB$4&lt;=EOMONTH(CloseDate,'Rent Roll'!$O$17+'Rent Roll'!$S$17-1+'Rent Roll'!$V$17)),-BB133,0)</f>
        <v>0</v>
      </c>
      <c r="BC134" s="49">
        <f>IF(AND(BC$4&gt;EOMONTH(CloseDate,'Rent Roll'!$O$17+'Rent Roll'!$S$17-1),BC$4&lt;=EOMONTH(CloseDate,'Rent Roll'!$O$17+'Rent Roll'!$S$17-1+'Rent Roll'!$V$17)),-BC133,0)</f>
        <v>0</v>
      </c>
      <c r="BD134" s="49">
        <f>IF(AND(BD$4&gt;EOMONTH(CloseDate,'Rent Roll'!$O$17+'Rent Roll'!$S$17-1),BD$4&lt;=EOMONTH(CloseDate,'Rent Roll'!$O$17+'Rent Roll'!$S$17-1+'Rent Roll'!$V$17)),-BD133,0)</f>
        <v>0</v>
      </c>
      <c r="BE134" s="49">
        <f>IF(AND(BE$4&gt;EOMONTH(CloseDate,'Rent Roll'!$O$17+'Rent Roll'!$S$17-1),BE$4&lt;=EOMONTH(CloseDate,'Rent Roll'!$O$17+'Rent Roll'!$S$17-1+'Rent Roll'!$V$17)),-BE133,0)</f>
        <v>0</v>
      </c>
      <c r="BF134" s="49">
        <f>IF(AND(BF$4&gt;EOMONTH(CloseDate,'Rent Roll'!$O$17+'Rent Roll'!$S$17-1),BF$4&lt;=EOMONTH(CloseDate,'Rent Roll'!$O$17+'Rent Roll'!$S$17-1+'Rent Roll'!$V$17)),-BF133,0)</f>
        <v>0</v>
      </c>
      <c r="BG134" s="49">
        <f>IF(AND(BG$4&gt;EOMONTH(CloseDate,'Rent Roll'!$O$17+'Rent Roll'!$S$17-1),BG$4&lt;=EOMONTH(CloseDate,'Rent Roll'!$O$17+'Rent Roll'!$S$17-1+'Rent Roll'!$V$17)),-BG133,0)</f>
        <v>0</v>
      </c>
      <c r="BH134" s="49">
        <f>IF(AND(BH$4&gt;EOMONTH(CloseDate,'Rent Roll'!$O$17+'Rent Roll'!$S$17-1),BH$4&lt;=EOMONTH(CloseDate,'Rent Roll'!$O$17+'Rent Roll'!$S$17-1+'Rent Roll'!$V$17)),-BH133,0)</f>
        <v>0</v>
      </c>
      <c r="BI134" s="49">
        <f>IF(AND(BI$4&gt;EOMONTH(CloseDate,'Rent Roll'!$O$17+'Rent Roll'!$S$17-1),BI$4&lt;=EOMONTH(CloseDate,'Rent Roll'!$O$17+'Rent Roll'!$S$17-1+'Rent Roll'!$V$17)),-BI133,0)</f>
        <v>0</v>
      </c>
      <c r="BJ134" s="49">
        <f>IF(AND(BJ$4&gt;EOMONTH(CloseDate,'Rent Roll'!$O$17+'Rent Roll'!$S$17-1),BJ$4&lt;=EOMONTH(CloseDate,'Rent Roll'!$O$17+'Rent Roll'!$S$17-1+'Rent Roll'!$V$17)),-BJ133,0)</f>
        <v>0</v>
      </c>
      <c r="BK134" s="49">
        <f>IF(AND(BK$4&gt;EOMONTH(CloseDate,'Rent Roll'!$O$17+'Rent Roll'!$S$17-1),BK$4&lt;=EOMONTH(CloseDate,'Rent Roll'!$O$17+'Rent Roll'!$S$17-1+'Rent Roll'!$V$17)),-BK133,0)</f>
        <v>0</v>
      </c>
      <c r="BL134" s="49">
        <f>IF(AND(BL$4&gt;EOMONTH(CloseDate,'Rent Roll'!$O$17+'Rent Roll'!$S$17-1),BL$4&lt;=EOMONTH(CloseDate,'Rent Roll'!$O$17+'Rent Roll'!$S$17-1+'Rent Roll'!$V$17)),-BL133,0)</f>
        <v>0</v>
      </c>
      <c r="BM134" s="49">
        <f>IF(AND(BM$4&gt;EOMONTH(CloseDate,'Rent Roll'!$O$17+'Rent Roll'!$S$17-1),BM$4&lt;=EOMONTH(CloseDate,'Rent Roll'!$O$17+'Rent Roll'!$S$17-1+'Rent Roll'!$V$17)),-BM133,0)</f>
        <v>0</v>
      </c>
      <c r="BN134" s="49">
        <f>IF(AND(BN$4&gt;EOMONTH(CloseDate,'Rent Roll'!$O$17+'Rent Roll'!$S$17-1),BN$4&lt;=EOMONTH(CloseDate,'Rent Roll'!$O$17+'Rent Roll'!$S$17-1+'Rent Roll'!$V$17)),-BN133,0)</f>
        <v>0</v>
      </c>
      <c r="BO134" s="49">
        <f>IF(AND(BO$4&gt;EOMONTH(CloseDate,'Rent Roll'!$O$17+'Rent Roll'!$S$17-1),BO$4&lt;=EOMONTH(CloseDate,'Rent Roll'!$O$17+'Rent Roll'!$S$17-1+'Rent Roll'!$V$17)),-BO133,0)</f>
        <v>0</v>
      </c>
      <c r="BP134" s="49">
        <f>IF(AND(BP$4&gt;EOMONTH(CloseDate,'Rent Roll'!$O$17+'Rent Roll'!$S$17-1),BP$4&lt;=EOMONTH(CloseDate,'Rent Roll'!$O$17+'Rent Roll'!$S$17-1+'Rent Roll'!$V$17)),-BP133,0)</f>
        <v>0</v>
      </c>
      <c r="BQ134" s="49">
        <f>IF(AND(BQ$4&gt;EOMONTH(CloseDate,'Rent Roll'!$O$17+'Rent Roll'!$S$17-1),BQ$4&lt;=EOMONTH(CloseDate,'Rent Roll'!$O$17+'Rent Roll'!$S$17-1+'Rent Roll'!$V$17)),-BQ133,0)</f>
        <v>0</v>
      </c>
      <c r="BR134" s="49">
        <f>IF(AND(BR$4&gt;EOMONTH(CloseDate,'Rent Roll'!$O$17+'Rent Roll'!$S$17-1),BR$4&lt;=EOMONTH(CloseDate,'Rent Roll'!$O$17+'Rent Roll'!$S$17-1+'Rent Roll'!$V$17)),-BR133,0)</f>
        <v>0</v>
      </c>
      <c r="BS134" s="49">
        <f>IF(AND(BS$4&gt;EOMONTH(CloseDate,'Rent Roll'!$O$17+'Rent Roll'!$S$17-1),BS$4&lt;=EOMONTH(CloseDate,'Rent Roll'!$O$17+'Rent Roll'!$S$17-1+'Rent Roll'!$V$17)),-BS133,0)</f>
        <v>0</v>
      </c>
      <c r="BT134" s="49">
        <f>IF(AND(BT$4&gt;EOMONTH(CloseDate,'Rent Roll'!$O$17+'Rent Roll'!$S$17-1),BT$4&lt;=EOMONTH(CloseDate,'Rent Roll'!$O$17+'Rent Roll'!$S$17-1+'Rent Roll'!$V$17)),-BT133,0)</f>
        <v>0</v>
      </c>
      <c r="BU134" s="49">
        <f>IF(AND(BU$4&gt;EOMONTH(CloseDate,'Rent Roll'!$O$17+'Rent Roll'!$S$17-1),BU$4&lt;=EOMONTH(CloseDate,'Rent Roll'!$O$17+'Rent Roll'!$S$17-1+'Rent Roll'!$V$17)),-BU133,0)</f>
        <v>0</v>
      </c>
      <c r="BV134" s="49">
        <f>IF(AND(BV$4&gt;EOMONTH(CloseDate,'Rent Roll'!$O$17+'Rent Roll'!$S$17-1),BV$4&lt;=EOMONTH(CloseDate,'Rent Roll'!$O$17+'Rent Roll'!$S$17-1+'Rent Roll'!$V$17)),-BV133,0)</f>
        <v>0</v>
      </c>
      <c r="BW134" s="49">
        <f>IF(AND(BW$4&gt;EOMONTH(CloseDate,'Rent Roll'!$O$17+'Rent Roll'!$S$17-1),BW$4&lt;=EOMONTH(CloseDate,'Rent Roll'!$O$17+'Rent Roll'!$S$17-1+'Rent Roll'!$V$17)),-BW133,0)</f>
        <v>0</v>
      </c>
      <c r="BX134" s="49">
        <f>IF(AND(BX$4&gt;EOMONTH(CloseDate,'Rent Roll'!$O$17+'Rent Roll'!$S$17-1),BX$4&lt;=EOMONTH(CloseDate,'Rent Roll'!$O$17+'Rent Roll'!$S$17-1+'Rent Roll'!$V$17)),-BX133,0)</f>
        <v>0</v>
      </c>
    </row>
    <row r="135" spans="1:76" collapsed="1">
      <c r="B135" t="s">
        <v>84</v>
      </c>
      <c r="D135" s="49">
        <f>D131+D133+D134</f>
        <v>9675</v>
      </c>
      <c r="E135" s="49">
        <f t="shared" ref="E135:BJ135" si="50">E131+E133+E134</f>
        <v>9675</v>
      </c>
      <c r="F135" s="49">
        <f t="shared" si="50"/>
        <v>9675</v>
      </c>
      <c r="G135" s="49">
        <f t="shared" si="50"/>
        <v>9965.25</v>
      </c>
      <c r="H135" s="49">
        <f t="shared" si="50"/>
        <v>9965.25</v>
      </c>
      <c r="I135" s="49">
        <f t="shared" si="50"/>
        <v>10264.2075</v>
      </c>
      <c r="J135" s="49">
        <f t="shared" si="50"/>
        <v>10264.2075</v>
      </c>
      <c r="K135" s="49">
        <f t="shared" si="50"/>
        <v>10264.2075</v>
      </c>
      <c r="L135" s="49">
        <f t="shared" si="50"/>
        <v>10264.2075</v>
      </c>
      <c r="M135" s="49">
        <f t="shared" si="50"/>
        <v>10264.2075</v>
      </c>
      <c r="N135" s="49">
        <f t="shared" si="50"/>
        <v>10264.2075</v>
      </c>
      <c r="O135" s="49">
        <f t="shared" si="50"/>
        <v>10264.2075</v>
      </c>
      <c r="P135" s="49">
        <f t="shared" si="50"/>
        <v>10264.2075</v>
      </c>
      <c r="Q135" s="49">
        <f t="shared" si="50"/>
        <v>10264.2075</v>
      </c>
      <c r="R135" s="49">
        <f t="shared" si="50"/>
        <v>10264.2075</v>
      </c>
      <c r="S135" s="49">
        <f t="shared" si="50"/>
        <v>10264.2075</v>
      </c>
      <c r="T135" s="49">
        <f t="shared" si="50"/>
        <v>10264.2075</v>
      </c>
      <c r="U135" s="49">
        <f t="shared" si="50"/>
        <v>10572.133725</v>
      </c>
      <c r="V135" s="49">
        <f t="shared" si="50"/>
        <v>10572.133725</v>
      </c>
      <c r="W135" s="49">
        <f t="shared" si="50"/>
        <v>10572.133725</v>
      </c>
      <c r="X135" s="49">
        <f t="shared" si="50"/>
        <v>10572.133725</v>
      </c>
      <c r="Y135" s="49">
        <f t="shared" si="50"/>
        <v>10572.133725</v>
      </c>
      <c r="Z135" s="49">
        <f t="shared" si="50"/>
        <v>10572.133725</v>
      </c>
      <c r="AA135" s="49">
        <f t="shared" si="50"/>
        <v>10572.133725</v>
      </c>
      <c r="AB135" s="49">
        <f t="shared" si="50"/>
        <v>10572.133725</v>
      </c>
      <c r="AC135" s="49">
        <f t="shared" si="50"/>
        <v>10572.133725</v>
      </c>
      <c r="AD135" s="49">
        <f t="shared" si="50"/>
        <v>10572.133725</v>
      </c>
      <c r="AE135" s="49">
        <f t="shared" si="50"/>
        <v>0</v>
      </c>
      <c r="AF135" s="49">
        <f t="shared" si="50"/>
        <v>0</v>
      </c>
      <c r="AG135" s="49">
        <f t="shared" si="50"/>
        <v>0</v>
      </c>
      <c r="AH135" s="49">
        <f t="shared" si="50"/>
        <v>0</v>
      </c>
      <c r="AI135" s="49">
        <f t="shared" si="50"/>
        <v>0</v>
      </c>
      <c r="AJ135" s="49">
        <f t="shared" si="50"/>
        <v>0</v>
      </c>
      <c r="AK135" s="49">
        <f t="shared" si="50"/>
        <v>0</v>
      </c>
      <c r="AL135" s="49">
        <f t="shared" si="50"/>
        <v>12025.828295083684</v>
      </c>
      <c r="AM135" s="49">
        <f t="shared" si="50"/>
        <v>12025.828295083684</v>
      </c>
      <c r="AN135" s="49">
        <f t="shared" si="50"/>
        <v>12025.828295083684</v>
      </c>
      <c r="AO135" s="49">
        <f t="shared" si="50"/>
        <v>12025.828295083684</v>
      </c>
      <c r="AP135" s="49">
        <f t="shared" si="50"/>
        <v>12025.828295083684</v>
      </c>
      <c r="AQ135" s="49">
        <f t="shared" si="50"/>
        <v>12025.828295083684</v>
      </c>
      <c r="AR135" s="49">
        <f t="shared" si="50"/>
        <v>12025.828295083684</v>
      </c>
      <c r="AS135" s="49">
        <f t="shared" si="50"/>
        <v>12350.52565905094</v>
      </c>
      <c r="AT135" s="49">
        <f t="shared" si="50"/>
        <v>12350.52565905094</v>
      </c>
      <c r="AU135" s="49">
        <f t="shared" si="50"/>
        <v>12350.52565905094</v>
      </c>
      <c r="AV135" s="49">
        <f t="shared" si="50"/>
        <v>12350.52565905094</v>
      </c>
      <c r="AW135" s="49">
        <f t="shared" si="50"/>
        <v>12350.52565905094</v>
      </c>
      <c r="AX135" s="49">
        <f t="shared" si="50"/>
        <v>12350.52565905094</v>
      </c>
      <c r="AY135" s="49">
        <f t="shared" si="50"/>
        <v>12350.52565905094</v>
      </c>
      <c r="AZ135" s="49">
        <f t="shared" si="50"/>
        <v>12350.52565905094</v>
      </c>
      <c r="BA135" s="49">
        <f t="shared" si="50"/>
        <v>12350.52565905094</v>
      </c>
      <c r="BB135" s="49">
        <f t="shared" si="50"/>
        <v>12350.52565905094</v>
      </c>
      <c r="BC135" s="49">
        <f t="shared" si="50"/>
        <v>12350.52565905094</v>
      </c>
      <c r="BD135" s="49">
        <f t="shared" si="50"/>
        <v>12350.52565905094</v>
      </c>
      <c r="BE135" s="49">
        <f t="shared" si="50"/>
        <v>12683.989851845316</v>
      </c>
      <c r="BF135" s="49">
        <f t="shared" si="50"/>
        <v>12683.989851845316</v>
      </c>
      <c r="BG135" s="49">
        <f t="shared" si="50"/>
        <v>12683.989851845316</v>
      </c>
      <c r="BH135" s="49">
        <f t="shared" si="50"/>
        <v>12683.989851845316</v>
      </c>
      <c r="BI135" s="49">
        <f t="shared" si="50"/>
        <v>12683.989851845316</v>
      </c>
      <c r="BJ135" s="49">
        <f t="shared" si="50"/>
        <v>12683.989851845316</v>
      </c>
      <c r="BK135" s="49">
        <f t="shared" ref="BK135" si="51">BK131+BK133+BK134</f>
        <v>12683.989851845316</v>
      </c>
      <c r="BL135" s="49">
        <f t="shared" ref="BL135:BX135" si="52">BL131+BL133+BL134</f>
        <v>12683.989851845316</v>
      </c>
      <c r="BM135" s="49">
        <f t="shared" si="52"/>
        <v>12683.989851845316</v>
      </c>
      <c r="BN135" s="49">
        <f t="shared" si="52"/>
        <v>12683.989851845316</v>
      </c>
      <c r="BO135" s="49">
        <f t="shared" si="52"/>
        <v>12683.989851845316</v>
      </c>
      <c r="BP135" s="49">
        <f t="shared" si="52"/>
        <v>12683.989851845316</v>
      </c>
      <c r="BQ135" s="49">
        <f t="shared" si="52"/>
        <v>13026.457577845136</v>
      </c>
      <c r="BR135" s="49">
        <f t="shared" si="52"/>
        <v>13026.457577845136</v>
      </c>
      <c r="BS135" s="49">
        <f t="shared" si="52"/>
        <v>13026.457577845136</v>
      </c>
      <c r="BT135" s="49">
        <f t="shared" si="52"/>
        <v>13026.457577845136</v>
      </c>
      <c r="BU135" s="49">
        <f t="shared" si="52"/>
        <v>13026.457577845136</v>
      </c>
      <c r="BV135" s="49">
        <f t="shared" si="52"/>
        <v>13026.457577845136</v>
      </c>
      <c r="BW135" s="49">
        <f t="shared" si="52"/>
        <v>13026.457577845136</v>
      </c>
      <c r="BX135" s="49">
        <f t="shared" si="52"/>
        <v>13026.457577845136</v>
      </c>
    </row>
    <row r="136" spans="1:76">
      <c r="B136" t="s">
        <v>85</v>
      </c>
      <c r="D136" s="49">
        <f>IF(OR(D130=1,D132=1),'Rent Roll'!$F$17/BldgSF*ReimbPool/12*D$7,0)</f>
        <v>4711.5</v>
      </c>
      <c r="E136" s="49">
        <f>IF(OR(E130=1,E132=1),'Rent Roll'!$F$17/BldgSF*ReimbPool/12*E$7,0)</f>
        <v>4711.5</v>
      </c>
      <c r="F136" s="49">
        <f>IF(OR(F130=1,F132=1),'Rent Roll'!$F$17/BldgSF*ReimbPool/12*F$7,0)</f>
        <v>4711.5</v>
      </c>
      <c r="G136" s="49">
        <f>IF(OR(G130=1,G132=1),'Rent Roll'!$F$17/BldgSF*ReimbPool/12*G$7,0)</f>
        <v>4711.5</v>
      </c>
      <c r="H136" s="49">
        <f>IF(OR(H130=1,H132=1),'Rent Roll'!$F$17/BldgSF*ReimbPool/12*H$7,0)</f>
        <v>4711.5</v>
      </c>
      <c r="I136" s="49">
        <f>IF(OR(I130=1,I132=1),'Rent Roll'!$F$17/BldgSF*ReimbPool/12*I$7,0)</f>
        <v>4838.7104999999992</v>
      </c>
      <c r="J136" s="49">
        <f>IF(OR(J130=1,J132=1),'Rent Roll'!$F$17/BldgSF*ReimbPool/12*J$7,0)</f>
        <v>4838.7104999999992</v>
      </c>
      <c r="K136" s="49">
        <f>IF(OR(K130=1,K132=1),'Rent Roll'!$F$17/BldgSF*ReimbPool/12*K$7,0)</f>
        <v>4838.7104999999992</v>
      </c>
      <c r="L136" s="49">
        <f>IF(OR(L130=1,L132=1),'Rent Roll'!$F$17/BldgSF*ReimbPool/12*L$7,0)</f>
        <v>4838.7104999999992</v>
      </c>
      <c r="M136" s="49">
        <f>IF(OR(M130=1,M132=1),'Rent Roll'!$F$17/BldgSF*ReimbPool/12*M$7,0)</f>
        <v>4838.7104999999992</v>
      </c>
      <c r="N136" s="49">
        <f>IF(OR(N130=1,N132=1),'Rent Roll'!$F$17/BldgSF*ReimbPool/12*N$7,0)</f>
        <v>4838.7104999999992</v>
      </c>
      <c r="O136" s="49">
        <f>IF(OR(O130=1,O132=1),'Rent Roll'!$F$17/BldgSF*ReimbPool/12*O$7,0)</f>
        <v>4838.7104999999992</v>
      </c>
      <c r="P136" s="49">
        <f>IF(OR(P130=1,P132=1),'Rent Roll'!$F$17/BldgSF*ReimbPool/12*P$7,0)</f>
        <v>4838.7104999999992</v>
      </c>
      <c r="Q136" s="49">
        <f>IF(OR(Q130=1,Q132=1),'Rent Roll'!$F$17/BldgSF*ReimbPool/12*Q$7,0)</f>
        <v>4838.7104999999992</v>
      </c>
      <c r="R136" s="49">
        <f>IF(OR(R130=1,R132=1),'Rent Roll'!$F$17/BldgSF*ReimbPool/12*R$7,0)</f>
        <v>4838.7104999999992</v>
      </c>
      <c r="S136" s="49">
        <f>IF(OR(S130=1,S132=1),'Rent Roll'!$F$17/BldgSF*ReimbPool/12*S$7,0)</f>
        <v>4838.7104999999992</v>
      </c>
      <c r="T136" s="49">
        <f>IF(OR(T130=1,T132=1),'Rent Roll'!$F$17/BldgSF*ReimbPool/12*T$7,0)</f>
        <v>4838.7104999999992</v>
      </c>
      <c r="U136" s="49">
        <f>IF(OR(U130=1,U132=1),'Rent Roll'!$F$17/BldgSF*ReimbPool/12*U$7,0)</f>
        <v>4969.355683499999</v>
      </c>
      <c r="V136" s="49">
        <f>IF(OR(V130=1,V132=1),'Rent Roll'!$F$17/BldgSF*ReimbPool/12*V$7,0)</f>
        <v>4969.355683499999</v>
      </c>
      <c r="W136" s="49">
        <f>IF(OR(W130=1,W132=1),'Rent Roll'!$F$17/BldgSF*ReimbPool/12*W$7,0)</f>
        <v>4969.355683499999</v>
      </c>
      <c r="X136" s="49">
        <f>IF(OR(X130=1,X132=1),'Rent Roll'!$F$17/BldgSF*ReimbPool/12*X$7,0)</f>
        <v>4969.355683499999</v>
      </c>
      <c r="Y136" s="49">
        <f>IF(OR(Y130=1,Y132=1),'Rent Roll'!$F$17/BldgSF*ReimbPool/12*Y$7,0)</f>
        <v>4969.355683499999</v>
      </c>
      <c r="Z136" s="49">
        <f>IF(OR(Z130=1,Z132=1),'Rent Roll'!$F$17/BldgSF*ReimbPool/12*Z$7,0)</f>
        <v>4969.355683499999</v>
      </c>
      <c r="AA136" s="49">
        <f>IF(OR(AA130=1,AA132=1),'Rent Roll'!$F$17/BldgSF*ReimbPool/12*AA$7,0)</f>
        <v>4969.355683499999</v>
      </c>
      <c r="AB136" s="49">
        <f>IF(OR(AB130=1,AB132=1),'Rent Roll'!$F$17/BldgSF*ReimbPool/12*AB$7,0)</f>
        <v>4969.355683499999</v>
      </c>
      <c r="AC136" s="49">
        <f>IF(OR(AC130=1,AC132=1),'Rent Roll'!$F$17/BldgSF*ReimbPool/12*AC$7,0)</f>
        <v>4969.355683499999</v>
      </c>
      <c r="AD136" s="49">
        <f>IF(OR(AD130=1,AD132=1),'Rent Roll'!$F$17/BldgSF*ReimbPool/12*AD$7,0)</f>
        <v>4969.355683499999</v>
      </c>
      <c r="AE136" s="49">
        <f>IF(OR(AE130=1,AE132=1),'Rent Roll'!$F$17/BldgSF*ReimbPool/12*AE$7,0)</f>
        <v>0</v>
      </c>
      <c r="AF136" s="49">
        <f>IF(OR(AF130=1,AF132=1),'Rent Roll'!$F$17/BldgSF*ReimbPool/12*AF$7,0)</f>
        <v>0</v>
      </c>
      <c r="AG136" s="49">
        <f>IF(OR(AG130=1,AG132=1),'Rent Roll'!$F$17/BldgSF*ReimbPool/12*AG$7,0)</f>
        <v>0</v>
      </c>
      <c r="AH136" s="49">
        <f>IF(OR(AH130=1,AH132=1),'Rent Roll'!$F$17/BldgSF*ReimbPool/12*AH$7,0)</f>
        <v>0</v>
      </c>
      <c r="AI136" s="49">
        <f>IF(OR(AI130=1,AI132=1),'Rent Roll'!$F$17/BldgSF*ReimbPool/12*AI$7,0)</f>
        <v>0</v>
      </c>
      <c r="AJ136" s="49">
        <f>IF(OR(AJ130=1,AJ132=1),'Rent Roll'!$F$17/BldgSF*ReimbPool/12*AJ$7,0)</f>
        <v>5103.528286954499</v>
      </c>
      <c r="AK136" s="49">
        <f>IF(OR(AK130=1,AK132=1),'Rent Roll'!$F$17/BldgSF*ReimbPool/12*AK$7,0)</f>
        <v>5103.528286954499</v>
      </c>
      <c r="AL136" s="49">
        <f>IF(OR(AL130=1,AL132=1),'Rent Roll'!$F$17/BldgSF*ReimbPool/12*AL$7,0)</f>
        <v>5103.528286954499</v>
      </c>
      <c r="AM136" s="49">
        <f>IF(OR(AM130=1,AM132=1),'Rent Roll'!$F$17/BldgSF*ReimbPool/12*AM$7,0)</f>
        <v>5103.528286954499</v>
      </c>
      <c r="AN136" s="49">
        <f>IF(OR(AN130=1,AN132=1),'Rent Roll'!$F$17/BldgSF*ReimbPool/12*AN$7,0)</f>
        <v>5103.528286954499</v>
      </c>
      <c r="AO136" s="49">
        <f>IF(OR(AO130=1,AO132=1),'Rent Roll'!$F$17/BldgSF*ReimbPool/12*AO$7,0)</f>
        <v>5103.528286954499</v>
      </c>
      <c r="AP136" s="49">
        <f>IF(OR(AP130=1,AP132=1),'Rent Roll'!$F$17/BldgSF*ReimbPool/12*AP$7,0)</f>
        <v>5103.528286954499</v>
      </c>
      <c r="AQ136" s="49">
        <f>IF(OR(AQ130=1,AQ132=1),'Rent Roll'!$F$17/BldgSF*ReimbPool/12*AQ$7,0)</f>
        <v>5103.528286954499</v>
      </c>
      <c r="AR136" s="49">
        <f>IF(OR(AR130=1,AR132=1),'Rent Roll'!$F$17/BldgSF*ReimbPool/12*AR$7,0)</f>
        <v>5103.528286954499</v>
      </c>
      <c r="AS136" s="49">
        <f>IF(OR(AS130=1,AS132=1),'Rent Roll'!$F$17/BldgSF*ReimbPool/12*AS$7,0)</f>
        <v>5241.32355070227</v>
      </c>
      <c r="AT136" s="49">
        <f>IF(OR(AT130=1,AT132=1),'Rent Roll'!$F$17/BldgSF*ReimbPool/12*AT$7,0)</f>
        <v>5241.32355070227</v>
      </c>
      <c r="AU136" s="49">
        <f>IF(OR(AU130=1,AU132=1),'Rent Roll'!$F$17/BldgSF*ReimbPool/12*AU$7,0)</f>
        <v>5241.32355070227</v>
      </c>
      <c r="AV136" s="49">
        <f>IF(OR(AV130=1,AV132=1),'Rent Roll'!$F$17/BldgSF*ReimbPool/12*AV$7,0)</f>
        <v>5241.32355070227</v>
      </c>
      <c r="AW136" s="49">
        <f>IF(OR(AW130=1,AW132=1),'Rent Roll'!$F$17/BldgSF*ReimbPool/12*AW$7,0)</f>
        <v>5241.32355070227</v>
      </c>
      <c r="AX136" s="49">
        <f>IF(OR(AX130=1,AX132=1),'Rent Roll'!$F$17/BldgSF*ReimbPool/12*AX$7,0)</f>
        <v>5241.32355070227</v>
      </c>
      <c r="AY136" s="49">
        <f>IF(OR(AY130=1,AY132=1),'Rent Roll'!$F$17/BldgSF*ReimbPool/12*AY$7,0)</f>
        <v>5241.32355070227</v>
      </c>
      <c r="AZ136" s="49">
        <f>IF(OR(AZ130=1,AZ132=1),'Rent Roll'!$F$17/BldgSF*ReimbPool/12*AZ$7,0)</f>
        <v>5241.32355070227</v>
      </c>
      <c r="BA136" s="49">
        <f>IF(OR(BA130=1,BA132=1),'Rent Roll'!$F$17/BldgSF*ReimbPool/12*BA$7,0)</f>
        <v>5241.32355070227</v>
      </c>
      <c r="BB136" s="49">
        <f>IF(OR(BB130=1,BB132=1),'Rent Roll'!$F$17/BldgSF*ReimbPool/12*BB$7,0)</f>
        <v>5241.32355070227</v>
      </c>
      <c r="BC136" s="49">
        <f>IF(OR(BC130=1,BC132=1),'Rent Roll'!$F$17/BldgSF*ReimbPool/12*BC$7,0)</f>
        <v>5241.32355070227</v>
      </c>
      <c r="BD136" s="49">
        <f>IF(OR(BD130=1,BD132=1),'Rent Roll'!$F$17/BldgSF*ReimbPool/12*BD$7,0)</f>
        <v>5241.32355070227</v>
      </c>
      <c r="BE136" s="49">
        <f>IF(OR(BE130=1,BE132=1),'Rent Roll'!$F$17/BldgSF*ReimbPool/12*BE$7,0)</f>
        <v>5382.8392865712303</v>
      </c>
      <c r="BF136" s="49">
        <f>IF(OR(BF130=1,BF132=1),'Rent Roll'!$F$17/BldgSF*ReimbPool/12*BF$7,0)</f>
        <v>5382.8392865712303</v>
      </c>
      <c r="BG136" s="49">
        <f>IF(OR(BG130=1,BG132=1),'Rent Roll'!$F$17/BldgSF*ReimbPool/12*BG$7,0)</f>
        <v>5382.8392865712303</v>
      </c>
      <c r="BH136" s="49">
        <f>IF(OR(BH130=1,BH132=1),'Rent Roll'!$F$17/BldgSF*ReimbPool/12*BH$7,0)</f>
        <v>5382.8392865712303</v>
      </c>
      <c r="BI136" s="49">
        <f>IF(OR(BI130=1,BI132=1),'Rent Roll'!$F$17/BldgSF*ReimbPool/12*BI$7,0)</f>
        <v>5382.8392865712303</v>
      </c>
      <c r="BJ136" s="49">
        <f>IF(OR(BJ130=1,BJ132=1),'Rent Roll'!$F$17/BldgSF*ReimbPool/12*BJ$7,0)</f>
        <v>5382.8392865712303</v>
      </c>
      <c r="BK136" s="49">
        <f>IF(OR(BK130=1,BK132=1),'Rent Roll'!$F$17/BldgSF*ReimbPool/12*BK$7,0)</f>
        <v>5382.8392865712303</v>
      </c>
      <c r="BL136" s="49">
        <f>IF(OR(BL130=1,BL132=1),'Rent Roll'!$F$17/BldgSF*ReimbPool/12*BL$7,0)</f>
        <v>5382.8392865712303</v>
      </c>
      <c r="BM136" s="49">
        <f>IF(OR(BM130=1,BM132=1),'Rent Roll'!$F$17/BldgSF*ReimbPool/12*BM$7,0)</f>
        <v>5382.8392865712303</v>
      </c>
      <c r="BN136" s="49">
        <f>IF(OR(BN130=1,BN132=1),'Rent Roll'!$F$17/BldgSF*ReimbPool/12*BN$7,0)</f>
        <v>5382.8392865712303</v>
      </c>
      <c r="BO136" s="49">
        <f>IF(OR(BO130=1,BO132=1),'Rent Roll'!$F$17/BldgSF*ReimbPool/12*BO$7,0)</f>
        <v>5382.8392865712303</v>
      </c>
      <c r="BP136" s="49">
        <f>IF(OR(BP130=1,BP132=1),'Rent Roll'!$F$17/BldgSF*ReimbPool/12*BP$7,0)</f>
        <v>5382.8392865712303</v>
      </c>
      <c r="BQ136" s="49">
        <f>IF(OR(BQ130=1,BQ132=1),'Rent Roll'!$F$17/BldgSF*ReimbPool/12*BQ$7,0)</f>
        <v>5528.1759473086531</v>
      </c>
      <c r="BR136" s="49">
        <f>IF(OR(BR130=1,BR132=1),'Rent Roll'!$F$17/BldgSF*ReimbPool/12*BR$7,0)</f>
        <v>5528.1759473086531</v>
      </c>
      <c r="BS136" s="49">
        <f>IF(OR(BS130=1,BS132=1),'Rent Roll'!$F$17/BldgSF*ReimbPool/12*BS$7,0)</f>
        <v>5528.1759473086531</v>
      </c>
      <c r="BT136" s="49">
        <f>IF(OR(BT130=1,BT132=1),'Rent Roll'!$F$17/BldgSF*ReimbPool/12*BT$7,0)</f>
        <v>5528.1759473086531</v>
      </c>
      <c r="BU136" s="49">
        <f>IF(OR(BU130=1,BU132=1),'Rent Roll'!$F$17/BldgSF*ReimbPool/12*BU$7,0)</f>
        <v>5528.1759473086531</v>
      </c>
      <c r="BV136" s="49">
        <f>IF(OR(BV130=1,BV132=1),'Rent Roll'!$F$17/BldgSF*ReimbPool/12*BV$7,0)</f>
        <v>5528.1759473086531</v>
      </c>
      <c r="BW136" s="49">
        <f>IF(OR(BW130=1,BW132=1),'Rent Roll'!$F$17/BldgSF*ReimbPool/12*BW$7,0)</f>
        <v>5528.1759473086531</v>
      </c>
      <c r="BX136" s="49">
        <f>IF(OR(BX130=1,BX132=1),'Rent Roll'!$F$17/BldgSF*ReimbPool/12*BX$7,0)</f>
        <v>5528.1759473086531</v>
      </c>
    </row>
    <row r="137" spans="1:76" hidden="1" outlineLevel="1">
      <c r="B137" t="s">
        <v>86</v>
      </c>
      <c r="D137" s="49">
        <f>IF(D$4=EOMONTH(CloseDate,'Rent Roll'!$O$17+'Rent Roll'!$S$17),-'Rent Roll'!$F$17*'Rent Roll'!$T$17,0)</f>
        <v>0</v>
      </c>
      <c r="E137" s="49">
        <f>IF(E$4=EOMONTH(CloseDate,'Rent Roll'!$O$17+'Rent Roll'!$S$17),-'Rent Roll'!$F$17*'Rent Roll'!$T$17,0)</f>
        <v>0</v>
      </c>
      <c r="F137" s="49">
        <f>IF(F$4=EOMONTH(CloseDate,'Rent Roll'!$O$17+'Rent Roll'!$S$17),-'Rent Roll'!$F$17*'Rent Roll'!$T$17,0)</f>
        <v>0</v>
      </c>
      <c r="G137" s="49">
        <f>IF(G$4=EOMONTH(CloseDate,'Rent Roll'!$O$17+'Rent Roll'!$S$17),-'Rent Roll'!$F$17*'Rent Roll'!$T$17,0)</f>
        <v>0</v>
      </c>
      <c r="H137" s="49">
        <f>IF(H$4=EOMONTH(CloseDate,'Rent Roll'!$O$17+'Rent Roll'!$S$17),-'Rent Roll'!$F$17*'Rent Roll'!$T$17,0)</f>
        <v>0</v>
      </c>
      <c r="I137" s="49">
        <f>IF(I$4=EOMONTH(CloseDate,'Rent Roll'!$O$17+'Rent Roll'!$S$17),-'Rent Roll'!$F$17*'Rent Roll'!$T$17,0)</f>
        <v>0</v>
      </c>
      <c r="J137" s="49">
        <f>IF(J$4=EOMONTH(CloseDate,'Rent Roll'!$O$17+'Rent Roll'!$S$17),-'Rent Roll'!$F$17*'Rent Roll'!$T$17,0)</f>
        <v>0</v>
      </c>
      <c r="K137" s="49">
        <f>IF(K$4=EOMONTH(CloseDate,'Rent Roll'!$O$17+'Rent Roll'!$S$17),-'Rent Roll'!$F$17*'Rent Roll'!$T$17,0)</f>
        <v>0</v>
      </c>
      <c r="L137" s="49">
        <f>IF(L$4=EOMONTH(CloseDate,'Rent Roll'!$O$17+'Rent Roll'!$S$17),-'Rent Roll'!$F$17*'Rent Roll'!$T$17,0)</f>
        <v>0</v>
      </c>
      <c r="M137" s="49">
        <f>IF(M$4=EOMONTH(CloseDate,'Rent Roll'!$O$17+'Rent Roll'!$S$17),-'Rent Roll'!$F$17*'Rent Roll'!$T$17,0)</f>
        <v>0</v>
      </c>
      <c r="N137" s="49">
        <f>IF(N$4=EOMONTH(CloseDate,'Rent Roll'!$O$17+'Rent Roll'!$S$17),-'Rent Roll'!$F$17*'Rent Roll'!$T$17,0)</f>
        <v>0</v>
      </c>
      <c r="O137" s="49">
        <f>IF(O$4=EOMONTH(CloseDate,'Rent Roll'!$O$17+'Rent Roll'!$S$17),-'Rent Roll'!$F$17*'Rent Roll'!$T$17,0)</f>
        <v>0</v>
      </c>
      <c r="P137" s="49">
        <f>IF(P$4=EOMONTH(CloseDate,'Rent Roll'!$O$17+'Rent Roll'!$S$17),-'Rent Roll'!$F$17*'Rent Roll'!$T$17,0)</f>
        <v>0</v>
      </c>
      <c r="Q137" s="49">
        <f>IF(Q$4=EOMONTH(CloseDate,'Rent Roll'!$O$17+'Rent Roll'!$S$17),-'Rent Roll'!$F$17*'Rent Roll'!$T$17,0)</f>
        <v>0</v>
      </c>
      <c r="R137" s="49">
        <f>IF(R$4=EOMONTH(CloseDate,'Rent Roll'!$O$17+'Rent Roll'!$S$17),-'Rent Roll'!$F$17*'Rent Roll'!$T$17,0)</f>
        <v>0</v>
      </c>
      <c r="S137" s="49">
        <f>IF(S$4=EOMONTH(CloseDate,'Rent Roll'!$O$17+'Rent Roll'!$S$17),-'Rent Roll'!$F$17*'Rent Roll'!$T$17,0)</f>
        <v>0</v>
      </c>
      <c r="T137" s="49">
        <f>IF(T$4=EOMONTH(CloseDate,'Rent Roll'!$O$17+'Rent Roll'!$S$17),-'Rent Roll'!$F$17*'Rent Roll'!$T$17,0)</f>
        <v>0</v>
      </c>
      <c r="U137" s="49">
        <f>IF(U$4=EOMONTH(CloseDate,'Rent Roll'!$O$17+'Rent Roll'!$S$17),-'Rent Roll'!$F$17*'Rent Roll'!$T$17,0)</f>
        <v>0</v>
      </c>
      <c r="V137" s="49">
        <f>IF(V$4=EOMONTH(CloseDate,'Rent Roll'!$O$17+'Rent Roll'!$S$17),-'Rent Roll'!$F$17*'Rent Roll'!$T$17,0)</f>
        <v>0</v>
      </c>
      <c r="W137" s="49">
        <f>IF(W$4=EOMONTH(CloseDate,'Rent Roll'!$O$17+'Rent Roll'!$S$17),-'Rent Roll'!$F$17*'Rent Roll'!$T$17,0)</f>
        <v>0</v>
      </c>
      <c r="X137" s="49">
        <f>IF(X$4=EOMONTH(CloseDate,'Rent Roll'!$O$17+'Rent Roll'!$S$17),-'Rent Roll'!$F$17*'Rent Roll'!$T$17,0)</f>
        <v>0</v>
      </c>
      <c r="Y137" s="49">
        <f>IF(Y$4=EOMONTH(CloseDate,'Rent Roll'!$O$17+'Rent Roll'!$S$17),-'Rent Roll'!$F$17*'Rent Roll'!$T$17,0)</f>
        <v>0</v>
      </c>
      <c r="Z137" s="49">
        <f>IF(Z$4=EOMONTH(CloseDate,'Rent Roll'!$O$17+'Rent Roll'!$S$17),-'Rent Roll'!$F$17*'Rent Roll'!$T$17,0)</f>
        <v>0</v>
      </c>
      <c r="AA137" s="49">
        <f>IF(AA$4=EOMONTH(CloseDate,'Rent Roll'!$O$17+'Rent Roll'!$S$17),-'Rent Roll'!$F$17*'Rent Roll'!$T$17,0)</f>
        <v>0</v>
      </c>
      <c r="AB137" s="49">
        <f>IF(AB$4=EOMONTH(CloseDate,'Rent Roll'!$O$17+'Rent Roll'!$S$17),-'Rent Roll'!$F$17*'Rent Roll'!$T$17,0)</f>
        <v>0</v>
      </c>
      <c r="AC137" s="49">
        <f>IF(AC$4=EOMONTH(CloseDate,'Rent Roll'!$O$17+'Rent Roll'!$S$17),-'Rent Roll'!$F$17*'Rent Roll'!$T$17,0)</f>
        <v>0</v>
      </c>
      <c r="AD137" s="49">
        <f>IF(AD$4=EOMONTH(CloseDate,'Rent Roll'!$O$17+'Rent Roll'!$S$17),-'Rent Roll'!$F$17*'Rent Roll'!$T$17,0)</f>
        <v>0</v>
      </c>
      <c r="AE137" s="49">
        <f>IF(AE$4=EOMONTH(CloseDate,'Rent Roll'!$O$17+'Rent Roll'!$S$17),-'Rent Roll'!$F$17*'Rent Roll'!$T$17,0)</f>
        <v>0</v>
      </c>
      <c r="AF137" s="49">
        <f>IF(AF$4=EOMONTH(CloseDate,'Rent Roll'!$O$17+'Rent Roll'!$S$17),-'Rent Roll'!$F$17*'Rent Roll'!$T$17,0)</f>
        <v>0</v>
      </c>
      <c r="AG137" s="49">
        <f>IF(AG$4=EOMONTH(CloseDate,'Rent Roll'!$O$17+'Rent Roll'!$S$17),-'Rent Roll'!$F$17*'Rent Roll'!$T$17,0)</f>
        <v>0</v>
      </c>
      <c r="AH137" s="49">
        <f>IF(AH$4=EOMONTH(CloseDate,'Rent Roll'!$O$17+'Rent Roll'!$S$17),-'Rent Roll'!$F$17*'Rent Roll'!$T$17,0)</f>
        <v>0</v>
      </c>
      <c r="AI137" s="49">
        <f>IF(AI$4=EOMONTH(CloseDate,'Rent Roll'!$O$17+'Rent Roll'!$S$17),-'Rent Roll'!$F$17*'Rent Roll'!$T$17,0)</f>
        <v>0</v>
      </c>
      <c r="AJ137" s="49">
        <f>IF(AJ$4=EOMONTH(CloseDate,'Rent Roll'!$O$17+'Rent Roll'!$S$17),-'Rent Roll'!$F$17*'Rent Roll'!$T$17,0)</f>
        <v>-194400</v>
      </c>
      <c r="AK137" s="49">
        <f>IF(AK$4=EOMONTH(CloseDate,'Rent Roll'!$O$17+'Rent Roll'!$S$17),-'Rent Roll'!$F$17*'Rent Roll'!$T$17,0)</f>
        <v>0</v>
      </c>
      <c r="AL137" s="49">
        <f>IF(AL$4=EOMONTH(CloseDate,'Rent Roll'!$O$17+'Rent Roll'!$S$17),-'Rent Roll'!$F$17*'Rent Roll'!$T$17,0)</f>
        <v>0</v>
      </c>
      <c r="AM137" s="49">
        <f>IF(AM$4=EOMONTH(CloseDate,'Rent Roll'!$O$17+'Rent Roll'!$S$17),-'Rent Roll'!$F$17*'Rent Roll'!$T$17,0)</f>
        <v>0</v>
      </c>
      <c r="AN137" s="49">
        <f>IF(AN$4=EOMONTH(CloseDate,'Rent Roll'!$O$17+'Rent Roll'!$S$17),-'Rent Roll'!$F$17*'Rent Roll'!$T$17,0)</f>
        <v>0</v>
      </c>
      <c r="AO137" s="49">
        <f>IF(AO$4=EOMONTH(CloseDate,'Rent Roll'!$O$17+'Rent Roll'!$S$17),-'Rent Roll'!$F$17*'Rent Roll'!$T$17,0)</f>
        <v>0</v>
      </c>
      <c r="AP137" s="49">
        <f>IF(AP$4=EOMONTH(CloseDate,'Rent Roll'!$O$17+'Rent Roll'!$S$17),-'Rent Roll'!$F$17*'Rent Roll'!$T$17,0)</f>
        <v>0</v>
      </c>
      <c r="AQ137" s="49">
        <f>IF(AQ$4=EOMONTH(CloseDate,'Rent Roll'!$O$17+'Rent Roll'!$S$17),-'Rent Roll'!$F$17*'Rent Roll'!$T$17,0)</f>
        <v>0</v>
      </c>
      <c r="AR137" s="49">
        <f>IF(AR$4=EOMONTH(CloseDate,'Rent Roll'!$O$17+'Rent Roll'!$S$17),-'Rent Roll'!$F$17*'Rent Roll'!$T$17,0)</f>
        <v>0</v>
      </c>
      <c r="AS137" s="49">
        <f>IF(AS$4=EOMONTH(CloseDate,'Rent Roll'!$O$17+'Rent Roll'!$S$17),-'Rent Roll'!$F$17*'Rent Roll'!$T$17,0)</f>
        <v>0</v>
      </c>
      <c r="AT137" s="49">
        <f>IF(AT$4=EOMONTH(CloseDate,'Rent Roll'!$O$17+'Rent Roll'!$S$17),-'Rent Roll'!$F$17*'Rent Roll'!$T$17,0)</f>
        <v>0</v>
      </c>
      <c r="AU137" s="49">
        <f>IF(AU$4=EOMONTH(CloseDate,'Rent Roll'!$O$17+'Rent Roll'!$S$17),-'Rent Roll'!$F$17*'Rent Roll'!$T$17,0)</f>
        <v>0</v>
      </c>
      <c r="AV137" s="49">
        <f>IF(AV$4=EOMONTH(CloseDate,'Rent Roll'!$O$17+'Rent Roll'!$S$17),-'Rent Roll'!$F$17*'Rent Roll'!$T$17,0)</f>
        <v>0</v>
      </c>
      <c r="AW137" s="49">
        <f>IF(AW$4=EOMONTH(CloseDate,'Rent Roll'!$O$17+'Rent Roll'!$S$17),-'Rent Roll'!$F$17*'Rent Roll'!$T$17,0)</f>
        <v>0</v>
      </c>
      <c r="AX137" s="49">
        <f>IF(AX$4=EOMONTH(CloseDate,'Rent Roll'!$O$17+'Rent Roll'!$S$17),-'Rent Roll'!$F$17*'Rent Roll'!$T$17,0)</f>
        <v>0</v>
      </c>
      <c r="AY137" s="49">
        <f>IF(AY$4=EOMONTH(CloseDate,'Rent Roll'!$O$17+'Rent Roll'!$S$17),-'Rent Roll'!$F$17*'Rent Roll'!$T$17,0)</f>
        <v>0</v>
      </c>
      <c r="AZ137" s="49">
        <f>IF(AZ$4=EOMONTH(CloseDate,'Rent Roll'!$O$17+'Rent Roll'!$S$17),-'Rent Roll'!$F$17*'Rent Roll'!$T$17,0)</f>
        <v>0</v>
      </c>
      <c r="BA137" s="49">
        <f>IF(BA$4=EOMONTH(CloseDate,'Rent Roll'!$O$17+'Rent Roll'!$S$17),-'Rent Roll'!$F$17*'Rent Roll'!$T$17,0)</f>
        <v>0</v>
      </c>
      <c r="BB137" s="49">
        <f>IF(BB$4=EOMONTH(CloseDate,'Rent Roll'!$O$17+'Rent Roll'!$S$17),-'Rent Roll'!$F$17*'Rent Roll'!$T$17,0)</f>
        <v>0</v>
      </c>
      <c r="BC137" s="49">
        <f>IF(BC$4=EOMONTH(CloseDate,'Rent Roll'!$O$17+'Rent Roll'!$S$17),-'Rent Roll'!$F$17*'Rent Roll'!$T$17,0)</f>
        <v>0</v>
      </c>
      <c r="BD137" s="49">
        <f>IF(BD$4=EOMONTH(CloseDate,'Rent Roll'!$O$17+'Rent Roll'!$S$17),-'Rent Roll'!$F$17*'Rent Roll'!$T$17,0)</f>
        <v>0</v>
      </c>
      <c r="BE137" s="49">
        <f>IF(BE$4=EOMONTH(CloseDate,'Rent Roll'!$O$17+'Rent Roll'!$S$17),-'Rent Roll'!$F$17*'Rent Roll'!$T$17,0)</f>
        <v>0</v>
      </c>
      <c r="BF137" s="49">
        <f>IF(BF$4=EOMONTH(CloseDate,'Rent Roll'!$O$17+'Rent Roll'!$S$17),-'Rent Roll'!$F$17*'Rent Roll'!$T$17,0)</f>
        <v>0</v>
      </c>
      <c r="BG137" s="49">
        <f>IF(BG$4=EOMONTH(CloseDate,'Rent Roll'!$O$17+'Rent Roll'!$S$17),-'Rent Roll'!$F$17*'Rent Roll'!$T$17,0)</f>
        <v>0</v>
      </c>
      <c r="BH137" s="49">
        <f>IF(BH$4=EOMONTH(CloseDate,'Rent Roll'!$O$17+'Rent Roll'!$S$17),-'Rent Roll'!$F$17*'Rent Roll'!$T$17,0)</f>
        <v>0</v>
      </c>
      <c r="BI137" s="49">
        <f>IF(BI$4=EOMONTH(CloseDate,'Rent Roll'!$O$17+'Rent Roll'!$S$17),-'Rent Roll'!$F$17*'Rent Roll'!$T$17,0)</f>
        <v>0</v>
      </c>
      <c r="BJ137" s="49">
        <f>IF(BJ$4=EOMONTH(CloseDate,'Rent Roll'!$O$17+'Rent Roll'!$S$17),-'Rent Roll'!$F$17*'Rent Roll'!$T$17,0)</f>
        <v>0</v>
      </c>
      <c r="BK137" s="49">
        <f>IF(BK$4=EOMONTH(CloseDate,'Rent Roll'!$O$17+'Rent Roll'!$S$17),-'Rent Roll'!$F$17*'Rent Roll'!$T$17,0)</f>
        <v>0</v>
      </c>
      <c r="BL137" s="49">
        <f>IF(BL$4=EOMONTH(CloseDate,'Rent Roll'!$O$17+'Rent Roll'!$S$17),-'Rent Roll'!$F$17*'Rent Roll'!$T$17,0)</f>
        <v>0</v>
      </c>
      <c r="BM137" s="49">
        <f>IF(BM$4=EOMONTH(CloseDate,'Rent Roll'!$O$17+'Rent Roll'!$S$17),-'Rent Roll'!$F$17*'Rent Roll'!$T$17,0)</f>
        <v>0</v>
      </c>
      <c r="BN137" s="49">
        <f>IF(BN$4=EOMONTH(CloseDate,'Rent Roll'!$O$17+'Rent Roll'!$S$17),-'Rent Roll'!$F$17*'Rent Roll'!$T$17,0)</f>
        <v>0</v>
      </c>
      <c r="BO137" s="49">
        <f>IF(BO$4=EOMONTH(CloseDate,'Rent Roll'!$O$17+'Rent Roll'!$S$17),-'Rent Roll'!$F$17*'Rent Roll'!$T$17,0)</f>
        <v>0</v>
      </c>
      <c r="BP137" s="49">
        <f>IF(BP$4=EOMONTH(CloseDate,'Rent Roll'!$O$17+'Rent Roll'!$S$17),-'Rent Roll'!$F$17*'Rent Roll'!$T$17,0)</f>
        <v>0</v>
      </c>
      <c r="BQ137" s="49">
        <f>IF(BQ$4=EOMONTH(CloseDate,'Rent Roll'!$O$17+'Rent Roll'!$S$17),-'Rent Roll'!$F$17*'Rent Roll'!$T$17,0)</f>
        <v>0</v>
      </c>
      <c r="BR137" s="49">
        <f>IF(BR$4=EOMONTH(CloseDate,'Rent Roll'!$O$17+'Rent Roll'!$S$17),-'Rent Roll'!$F$17*'Rent Roll'!$T$17,0)</f>
        <v>0</v>
      </c>
      <c r="BS137" s="49">
        <f>IF(BS$4=EOMONTH(CloseDate,'Rent Roll'!$O$17+'Rent Roll'!$S$17),-'Rent Roll'!$F$17*'Rent Roll'!$T$17,0)</f>
        <v>0</v>
      </c>
      <c r="BT137" s="49">
        <f>IF(BT$4=EOMONTH(CloseDate,'Rent Roll'!$O$17+'Rent Roll'!$S$17),-'Rent Roll'!$F$17*'Rent Roll'!$T$17,0)</f>
        <v>0</v>
      </c>
      <c r="BU137" s="49">
        <f>IF(BU$4=EOMONTH(CloseDate,'Rent Roll'!$O$17+'Rent Roll'!$S$17),-'Rent Roll'!$F$17*'Rent Roll'!$T$17,0)</f>
        <v>0</v>
      </c>
      <c r="BV137" s="49">
        <f>IF(BV$4=EOMONTH(CloseDate,'Rent Roll'!$O$17+'Rent Roll'!$S$17),-'Rent Roll'!$F$17*'Rent Roll'!$T$17,0)</f>
        <v>0</v>
      </c>
      <c r="BW137" s="49">
        <f>IF(BW$4=EOMONTH(CloseDate,'Rent Roll'!$O$17+'Rent Roll'!$S$17),-'Rent Roll'!$F$17*'Rent Roll'!$T$17,0)</f>
        <v>0</v>
      </c>
      <c r="BX137" s="49">
        <f>IF(BX$4=EOMONTH(CloseDate,'Rent Roll'!$O$17+'Rent Roll'!$S$17),-'Rent Roll'!$F$17*'Rent Roll'!$T$17,0)</f>
        <v>0</v>
      </c>
    </row>
    <row r="138" spans="1:76" hidden="1" outlineLevel="1">
      <c r="B138" t="s">
        <v>87</v>
      </c>
      <c r="D138" s="49">
        <f>IF(D$4=EOMONTH(CloseDate,'Rent Roll'!$O$17+'Rent Roll'!$S$17),-'Rent Roll'!$U$17*'Rent Roll'!$F$17*'Rent Roll'!$X$17,0)</f>
        <v>0</v>
      </c>
      <c r="E138" s="49">
        <f>IF(E$4=EOMONTH(CloseDate,'Rent Roll'!$O$17+'Rent Roll'!$S$17),-'Rent Roll'!$U$17*'Rent Roll'!$F$17*'Rent Roll'!$X$17,0)</f>
        <v>0</v>
      </c>
      <c r="F138" s="49">
        <f>IF(F$4=EOMONTH(CloseDate,'Rent Roll'!$O$17+'Rent Roll'!$S$17),-'Rent Roll'!$U$17*'Rent Roll'!$F$17*'Rent Roll'!$X$17,0)</f>
        <v>0</v>
      </c>
      <c r="G138" s="49">
        <f>IF(G$4=EOMONTH(CloseDate,'Rent Roll'!$O$17+'Rent Roll'!$S$17),-'Rent Roll'!$U$17*'Rent Roll'!$F$17*'Rent Roll'!$X$17,0)</f>
        <v>0</v>
      </c>
      <c r="H138" s="49">
        <f>IF(H$4=EOMONTH(CloseDate,'Rent Roll'!$O$17+'Rent Roll'!$S$17),-'Rent Roll'!$U$17*'Rent Roll'!$F$17*'Rent Roll'!$X$17,0)</f>
        <v>0</v>
      </c>
      <c r="I138" s="49">
        <f>IF(I$4=EOMONTH(CloseDate,'Rent Roll'!$O$17+'Rent Roll'!$S$17),-'Rent Roll'!$U$17*'Rent Roll'!$F$17*'Rent Roll'!$X$17,0)</f>
        <v>0</v>
      </c>
      <c r="J138" s="49">
        <f>IF(J$4=EOMONTH(CloseDate,'Rent Roll'!$O$17+'Rent Roll'!$S$17),-'Rent Roll'!$U$17*'Rent Roll'!$F$17*'Rent Roll'!$X$17,0)</f>
        <v>0</v>
      </c>
      <c r="K138" s="49">
        <f>IF(K$4=EOMONTH(CloseDate,'Rent Roll'!$O$17+'Rent Roll'!$S$17),-'Rent Roll'!$U$17*'Rent Roll'!$F$17*'Rent Roll'!$X$17,0)</f>
        <v>0</v>
      </c>
      <c r="L138" s="49">
        <f>IF(L$4=EOMONTH(CloseDate,'Rent Roll'!$O$17+'Rent Roll'!$S$17),-'Rent Roll'!$U$17*'Rent Roll'!$F$17*'Rent Roll'!$X$17,0)</f>
        <v>0</v>
      </c>
      <c r="M138" s="49">
        <f>IF(M$4=EOMONTH(CloseDate,'Rent Roll'!$O$17+'Rent Roll'!$S$17),-'Rent Roll'!$U$17*'Rent Roll'!$F$17*'Rent Roll'!$X$17,0)</f>
        <v>0</v>
      </c>
      <c r="N138" s="49">
        <f>IF(N$4=EOMONTH(CloseDate,'Rent Roll'!$O$17+'Rent Roll'!$S$17),-'Rent Roll'!$U$17*'Rent Roll'!$F$17*'Rent Roll'!$X$17,0)</f>
        <v>0</v>
      </c>
      <c r="O138" s="49">
        <f>IF(O$4=EOMONTH(CloseDate,'Rent Roll'!$O$17+'Rent Roll'!$S$17),-'Rent Roll'!$U$17*'Rent Roll'!$F$17*'Rent Roll'!$X$17,0)</f>
        <v>0</v>
      </c>
      <c r="P138" s="49">
        <f>IF(P$4=EOMONTH(CloseDate,'Rent Roll'!$O$17+'Rent Roll'!$S$17),-'Rent Roll'!$U$17*'Rent Roll'!$F$17*'Rent Roll'!$X$17,0)</f>
        <v>0</v>
      </c>
      <c r="Q138" s="49">
        <f>IF(Q$4=EOMONTH(CloseDate,'Rent Roll'!$O$17+'Rent Roll'!$S$17),-'Rent Roll'!$U$17*'Rent Roll'!$F$17*'Rent Roll'!$X$17,0)</f>
        <v>0</v>
      </c>
      <c r="R138" s="49">
        <f>IF(R$4=EOMONTH(CloseDate,'Rent Roll'!$O$17+'Rent Roll'!$S$17),-'Rent Roll'!$U$17*'Rent Roll'!$F$17*'Rent Roll'!$X$17,0)</f>
        <v>0</v>
      </c>
      <c r="S138" s="49">
        <f>IF(S$4=EOMONTH(CloseDate,'Rent Roll'!$O$17+'Rent Roll'!$S$17),-'Rent Roll'!$U$17*'Rent Roll'!$F$17*'Rent Roll'!$X$17,0)</f>
        <v>0</v>
      </c>
      <c r="T138" s="49">
        <f>IF(T$4=EOMONTH(CloseDate,'Rent Roll'!$O$17+'Rent Roll'!$S$17),-'Rent Roll'!$U$17*'Rent Roll'!$F$17*'Rent Roll'!$X$17,0)</f>
        <v>0</v>
      </c>
      <c r="U138" s="49">
        <f>IF(U$4=EOMONTH(CloseDate,'Rent Roll'!$O$17+'Rent Roll'!$S$17),-'Rent Roll'!$U$17*'Rent Roll'!$F$17*'Rent Roll'!$X$17,0)</f>
        <v>0</v>
      </c>
      <c r="V138" s="49">
        <f>IF(V$4=EOMONTH(CloseDate,'Rent Roll'!$O$17+'Rent Roll'!$S$17),-'Rent Roll'!$U$17*'Rent Roll'!$F$17*'Rent Roll'!$X$17,0)</f>
        <v>0</v>
      </c>
      <c r="W138" s="49">
        <f>IF(W$4=EOMONTH(CloseDate,'Rent Roll'!$O$17+'Rent Roll'!$S$17),-'Rent Roll'!$U$17*'Rent Roll'!$F$17*'Rent Roll'!$X$17,0)</f>
        <v>0</v>
      </c>
      <c r="X138" s="49">
        <f>IF(X$4=EOMONTH(CloseDate,'Rent Roll'!$O$17+'Rent Roll'!$S$17),-'Rent Roll'!$U$17*'Rent Roll'!$F$17*'Rent Roll'!$X$17,0)</f>
        <v>0</v>
      </c>
      <c r="Y138" s="49">
        <f>IF(Y$4=EOMONTH(CloseDate,'Rent Roll'!$O$17+'Rent Roll'!$S$17),-'Rent Roll'!$U$17*'Rent Roll'!$F$17*'Rent Roll'!$X$17,0)</f>
        <v>0</v>
      </c>
      <c r="Z138" s="49">
        <f>IF(Z$4=EOMONTH(CloseDate,'Rent Roll'!$O$17+'Rent Roll'!$S$17),-'Rent Roll'!$U$17*'Rent Roll'!$F$17*'Rent Roll'!$X$17,0)</f>
        <v>0</v>
      </c>
      <c r="AA138" s="49">
        <f>IF(AA$4=EOMONTH(CloseDate,'Rent Roll'!$O$17+'Rent Roll'!$S$17),-'Rent Roll'!$U$17*'Rent Roll'!$F$17*'Rent Roll'!$X$17,0)</f>
        <v>0</v>
      </c>
      <c r="AB138" s="49">
        <f>IF(AB$4=EOMONTH(CloseDate,'Rent Roll'!$O$17+'Rent Roll'!$S$17),-'Rent Roll'!$U$17*'Rent Roll'!$F$17*'Rent Roll'!$X$17,0)</f>
        <v>0</v>
      </c>
      <c r="AC138" s="49">
        <f>IF(AC$4=EOMONTH(CloseDate,'Rent Roll'!$O$17+'Rent Roll'!$S$17),-'Rent Roll'!$U$17*'Rent Roll'!$F$17*'Rent Roll'!$X$17,0)</f>
        <v>0</v>
      </c>
      <c r="AD138" s="49">
        <f>IF(AD$4=EOMONTH(CloseDate,'Rent Roll'!$O$17+'Rent Roll'!$S$17),-'Rent Roll'!$U$17*'Rent Roll'!$F$17*'Rent Roll'!$X$17,0)</f>
        <v>0</v>
      </c>
      <c r="AE138" s="49">
        <f>IF(AE$4=EOMONTH(CloseDate,'Rent Roll'!$O$17+'Rent Roll'!$S$17),-'Rent Roll'!$U$17*'Rent Roll'!$F$17*'Rent Roll'!$X$17,0)</f>
        <v>0</v>
      </c>
      <c r="AF138" s="49">
        <f>IF(AF$4=EOMONTH(CloseDate,'Rent Roll'!$O$17+'Rent Roll'!$S$17),-'Rent Roll'!$U$17*'Rent Roll'!$F$17*'Rent Roll'!$X$17,0)</f>
        <v>0</v>
      </c>
      <c r="AG138" s="49">
        <f>IF(AG$4=EOMONTH(CloseDate,'Rent Roll'!$O$17+'Rent Roll'!$S$17),-'Rent Roll'!$U$17*'Rent Roll'!$F$17*'Rent Roll'!$X$17,0)</f>
        <v>0</v>
      </c>
      <c r="AH138" s="49">
        <f>IF(AH$4=EOMONTH(CloseDate,'Rent Roll'!$O$17+'Rent Roll'!$S$17),-'Rent Roll'!$U$17*'Rent Roll'!$F$17*'Rent Roll'!$X$17,0)</f>
        <v>0</v>
      </c>
      <c r="AI138" s="49">
        <f>IF(AI$4=EOMONTH(CloseDate,'Rent Roll'!$O$17+'Rent Roll'!$S$17),-'Rent Roll'!$U$17*'Rent Roll'!$F$17*'Rent Roll'!$X$17,0)</f>
        <v>0</v>
      </c>
      <c r="AJ138" s="49">
        <f>IF(AJ$4=EOMONTH(CloseDate,'Rent Roll'!$O$17+'Rent Roll'!$S$17),-'Rent Roll'!$U$17*'Rent Roll'!$F$17*'Rent Roll'!$X$17,0)</f>
        <v>-6661.2374999999993</v>
      </c>
      <c r="AK138" s="49">
        <f>IF(AK$4=EOMONTH(CloseDate,'Rent Roll'!$O$17+'Rent Roll'!$S$17),-'Rent Roll'!$U$17*'Rent Roll'!$F$17*'Rent Roll'!$X$17,0)</f>
        <v>0</v>
      </c>
      <c r="AL138" s="49">
        <f>IF(AL$4=EOMONTH(CloseDate,'Rent Roll'!$O$17+'Rent Roll'!$S$17),-'Rent Roll'!$U$17*'Rent Roll'!$F$17*'Rent Roll'!$X$17,0)</f>
        <v>0</v>
      </c>
      <c r="AM138" s="49">
        <f>IF(AM$4=EOMONTH(CloseDate,'Rent Roll'!$O$17+'Rent Roll'!$S$17),-'Rent Roll'!$U$17*'Rent Roll'!$F$17*'Rent Roll'!$X$17,0)</f>
        <v>0</v>
      </c>
      <c r="AN138" s="49">
        <f>IF(AN$4=EOMONTH(CloseDate,'Rent Roll'!$O$17+'Rent Roll'!$S$17),-'Rent Roll'!$U$17*'Rent Roll'!$F$17*'Rent Roll'!$X$17,0)</f>
        <v>0</v>
      </c>
      <c r="AO138" s="49">
        <f>IF(AO$4=EOMONTH(CloseDate,'Rent Roll'!$O$17+'Rent Roll'!$S$17),-'Rent Roll'!$U$17*'Rent Roll'!$F$17*'Rent Roll'!$X$17,0)</f>
        <v>0</v>
      </c>
      <c r="AP138" s="49">
        <f>IF(AP$4=EOMONTH(CloseDate,'Rent Roll'!$O$17+'Rent Roll'!$S$17),-'Rent Roll'!$U$17*'Rent Roll'!$F$17*'Rent Roll'!$X$17,0)</f>
        <v>0</v>
      </c>
      <c r="AQ138" s="49">
        <f>IF(AQ$4=EOMONTH(CloseDate,'Rent Roll'!$O$17+'Rent Roll'!$S$17),-'Rent Roll'!$U$17*'Rent Roll'!$F$17*'Rent Roll'!$X$17,0)</f>
        <v>0</v>
      </c>
      <c r="AR138" s="49">
        <f>IF(AR$4=EOMONTH(CloseDate,'Rent Roll'!$O$17+'Rent Roll'!$S$17),-'Rent Roll'!$U$17*'Rent Roll'!$F$17*'Rent Roll'!$X$17,0)</f>
        <v>0</v>
      </c>
      <c r="AS138" s="49">
        <f>IF(AS$4=EOMONTH(CloseDate,'Rent Roll'!$O$17+'Rent Roll'!$S$17),-'Rent Roll'!$U$17*'Rent Roll'!$F$17*'Rent Roll'!$X$17,0)</f>
        <v>0</v>
      </c>
      <c r="AT138" s="49">
        <f>IF(AT$4=EOMONTH(CloseDate,'Rent Roll'!$O$17+'Rent Roll'!$S$17),-'Rent Roll'!$U$17*'Rent Roll'!$F$17*'Rent Roll'!$X$17,0)</f>
        <v>0</v>
      </c>
      <c r="AU138" s="49">
        <f>IF(AU$4=EOMONTH(CloseDate,'Rent Roll'!$O$17+'Rent Roll'!$S$17),-'Rent Roll'!$U$17*'Rent Roll'!$F$17*'Rent Roll'!$X$17,0)</f>
        <v>0</v>
      </c>
      <c r="AV138" s="49">
        <f>IF(AV$4=EOMONTH(CloseDate,'Rent Roll'!$O$17+'Rent Roll'!$S$17),-'Rent Roll'!$U$17*'Rent Roll'!$F$17*'Rent Roll'!$X$17,0)</f>
        <v>0</v>
      </c>
      <c r="AW138" s="49">
        <f>IF(AW$4=EOMONTH(CloseDate,'Rent Roll'!$O$17+'Rent Roll'!$S$17),-'Rent Roll'!$U$17*'Rent Roll'!$F$17*'Rent Roll'!$X$17,0)</f>
        <v>0</v>
      </c>
      <c r="AX138" s="49">
        <f>IF(AX$4=EOMONTH(CloseDate,'Rent Roll'!$O$17+'Rent Roll'!$S$17),-'Rent Roll'!$U$17*'Rent Roll'!$F$17*'Rent Roll'!$X$17,0)</f>
        <v>0</v>
      </c>
      <c r="AY138" s="49">
        <f>IF(AY$4=EOMONTH(CloseDate,'Rent Roll'!$O$17+'Rent Roll'!$S$17),-'Rent Roll'!$U$17*'Rent Roll'!$F$17*'Rent Roll'!$X$17,0)</f>
        <v>0</v>
      </c>
      <c r="AZ138" s="49">
        <f>IF(AZ$4=EOMONTH(CloseDate,'Rent Roll'!$O$17+'Rent Roll'!$S$17),-'Rent Roll'!$U$17*'Rent Roll'!$F$17*'Rent Roll'!$X$17,0)</f>
        <v>0</v>
      </c>
      <c r="BA138" s="49">
        <f>IF(BA$4=EOMONTH(CloseDate,'Rent Roll'!$O$17+'Rent Roll'!$S$17),-'Rent Roll'!$U$17*'Rent Roll'!$F$17*'Rent Roll'!$X$17,0)</f>
        <v>0</v>
      </c>
      <c r="BB138" s="49">
        <f>IF(BB$4=EOMONTH(CloseDate,'Rent Roll'!$O$17+'Rent Roll'!$S$17),-'Rent Roll'!$U$17*'Rent Roll'!$F$17*'Rent Roll'!$X$17,0)</f>
        <v>0</v>
      </c>
      <c r="BC138" s="49">
        <f>IF(BC$4=EOMONTH(CloseDate,'Rent Roll'!$O$17+'Rent Roll'!$S$17),-'Rent Roll'!$U$17*'Rent Roll'!$F$17*'Rent Roll'!$X$17,0)</f>
        <v>0</v>
      </c>
      <c r="BD138" s="49">
        <f>IF(BD$4=EOMONTH(CloseDate,'Rent Roll'!$O$17+'Rent Roll'!$S$17),-'Rent Roll'!$U$17*'Rent Roll'!$F$17*'Rent Roll'!$X$17,0)</f>
        <v>0</v>
      </c>
      <c r="BE138" s="49">
        <f>IF(BE$4=EOMONTH(CloseDate,'Rent Roll'!$O$17+'Rent Roll'!$S$17),-'Rent Roll'!$U$17*'Rent Roll'!$F$17*'Rent Roll'!$X$17,0)</f>
        <v>0</v>
      </c>
      <c r="BF138" s="49">
        <f>IF(BF$4=EOMONTH(CloseDate,'Rent Roll'!$O$17+'Rent Roll'!$S$17),-'Rent Roll'!$U$17*'Rent Roll'!$F$17*'Rent Roll'!$X$17,0)</f>
        <v>0</v>
      </c>
      <c r="BG138" s="49">
        <f>IF(BG$4=EOMONTH(CloseDate,'Rent Roll'!$O$17+'Rent Roll'!$S$17),-'Rent Roll'!$U$17*'Rent Roll'!$F$17*'Rent Roll'!$X$17,0)</f>
        <v>0</v>
      </c>
      <c r="BH138" s="49">
        <f>IF(BH$4=EOMONTH(CloseDate,'Rent Roll'!$O$17+'Rent Roll'!$S$17),-'Rent Roll'!$U$17*'Rent Roll'!$F$17*'Rent Roll'!$X$17,0)</f>
        <v>0</v>
      </c>
      <c r="BI138" s="49">
        <f>IF(BI$4=EOMONTH(CloseDate,'Rent Roll'!$O$17+'Rent Roll'!$S$17),-'Rent Roll'!$U$17*'Rent Roll'!$F$17*'Rent Roll'!$X$17,0)</f>
        <v>0</v>
      </c>
      <c r="BJ138" s="49">
        <f>IF(BJ$4=EOMONTH(CloseDate,'Rent Roll'!$O$17+'Rent Roll'!$S$17),-'Rent Roll'!$U$17*'Rent Roll'!$F$17*'Rent Roll'!$X$17,0)</f>
        <v>0</v>
      </c>
      <c r="BK138" s="49">
        <f>IF(BK$4=EOMONTH(CloseDate,'Rent Roll'!$O$17+'Rent Roll'!$S$17),-'Rent Roll'!$U$17*'Rent Roll'!$F$17*'Rent Roll'!$X$17,0)</f>
        <v>0</v>
      </c>
      <c r="BL138" s="49">
        <f>IF(BL$4=EOMONTH(CloseDate,'Rent Roll'!$O$17+'Rent Roll'!$S$17),-'Rent Roll'!$U$17*'Rent Roll'!$F$17*'Rent Roll'!$X$17,0)</f>
        <v>0</v>
      </c>
      <c r="BM138" s="49">
        <f>IF(BM$4=EOMONTH(CloseDate,'Rent Roll'!$O$17+'Rent Roll'!$S$17),-'Rent Roll'!$U$17*'Rent Roll'!$F$17*'Rent Roll'!$X$17,0)</f>
        <v>0</v>
      </c>
      <c r="BN138" s="49">
        <f>IF(BN$4=EOMONTH(CloseDate,'Rent Roll'!$O$17+'Rent Roll'!$S$17),-'Rent Roll'!$U$17*'Rent Roll'!$F$17*'Rent Roll'!$X$17,0)</f>
        <v>0</v>
      </c>
      <c r="BO138" s="49">
        <f>IF(BO$4=EOMONTH(CloseDate,'Rent Roll'!$O$17+'Rent Roll'!$S$17),-'Rent Roll'!$U$17*'Rent Roll'!$F$17*'Rent Roll'!$X$17,0)</f>
        <v>0</v>
      </c>
      <c r="BP138" s="49">
        <f>IF(BP$4=EOMONTH(CloseDate,'Rent Roll'!$O$17+'Rent Roll'!$S$17),-'Rent Roll'!$U$17*'Rent Roll'!$F$17*'Rent Roll'!$X$17,0)</f>
        <v>0</v>
      </c>
      <c r="BQ138" s="49">
        <f>IF(BQ$4=EOMONTH(CloseDate,'Rent Roll'!$O$17+'Rent Roll'!$S$17),-'Rent Roll'!$U$17*'Rent Roll'!$F$17*'Rent Roll'!$X$17,0)</f>
        <v>0</v>
      </c>
      <c r="BR138" s="49">
        <f>IF(BR$4=EOMONTH(CloseDate,'Rent Roll'!$O$17+'Rent Roll'!$S$17),-'Rent Roll'!$U$17*'Rent Roll'!$F$17*'Rent Roll'!$X$17,0)</f>
        <v>0</v>
      </c>
      <c r="BS138" s="49">
        <f>IF(BS$4=EOMONTH(CloseDate,'Rent Roll'!$O$17+'Rent Roll'!$S$17),-'Rent Roll'!$U$17*'Rent Roll'!$F$17*'Rent Roll'!$X$17,0)</f>
        <v>0</v>
      </c>
      <c r="BT138" s="49">
        <f>IF(BT$4=EOMONTH(CloseDate,'Rent Roll'!$O$17+'Rent Roll'!$S$17),-'Rent Roll'!$U$17*'Rent Roll'!$F$17*'Rent Roll'!$X$17,0)</f>
        <v>0</v>
      </c>
      <c r="BU138" s="49">
        <f>IF(BU$4=EOMONTH(CloseDate,'Rent Roll'!$O$17+'Rent Roll'!$S$17),-'Rent Roll'!$U$17*'Rent Roll'!$F$17*'Rent Roll'!$X$17,0)</f>
        <v>0</v>
      </c>
      <c r="BV138" s="49">
        <f>IF(BV$4=EOMONTH(CloseDate,'Rent Roll'!$O$17+'Rent Roll'!$S$17),-'Rent Roll'!$U$17*'Rent Roll'!$F$17*'Rent Roll'!$X$17,0)</f>
        <v>0</v>
      </c>
      <c r="BW138" s="49">
        <f>IF(BW$4=EOMONTH(CloseDate,'Rent Roll'!$O$17+'Rent Roll'!$S$17),-'Rent Roll'!$U$17*'Rent Roll'!$F$17*'Rent Roll'!$X$17,0)</f>
        <v>0</v>
      </c>
      <c r="BX138" s="49">
        <f>IF(BX$4=EOMONTH(CloseDate,'Rent Roll'!$O$17+'Rent Roll'!$S$17),-'Rent Roll'!$U$17*'Rent Roll'!$F$17*'Rent Roll'!$X$17,0)</f>
        <v>0</v>
      </c>
    </row>
    <row r="139" spans="1:76" hidden="1" outlineLevel="1">
      <c r="A139" s="17" t="str">
        <f>'Rent Roll'!C18</f>
        <v>Lakeview Financial Planning</v>
      </c>
      <c r="B139" s="57">
        <f>INDEX('Rent Roll'!$F$5:$F$46,MATCH('Rent Roll Calc'!A139,'Rent Roll'!$C$5:$C$46,0))</f>
        <v>4800</v>
      </c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  <c r="AA139" s="49"/>
      <c r="AB139" s="49"/>
      <c r="AC139" s="49"/>
      <c r="AD139" s="49"/>
      <c r="AE139" s="49"/>
      <c r="AF139" s="49"/>
      <c r="AG139" s="49"/>
      <c r="AH139" s="49"/>
      <c r="AI139" s="49"/>
      <c r="AJ139" s="49"/>
      <c r="AK139" s="49"/>
      <c r="AL139" s="49"/>
      <c r="AM139" s="49"/>
      <c r="AN139" s="49"/>
      <c r="AO139" s="49"/>
      <c r="AP139" s="49"/>
      <c r="AQ139" s="49"/>
      <c r="AR139" s="49"/>
      <c r="AS139" s="49"/>
      <c r="AT139" s="49"/>
      <c r="AU139" s="49"/>
      <c r="AV139" s="49"/>
      <c r="AW139" s="49"/>
      <c r="AX139" s="49"/>
      <c r="AY139" s="49"/>
      <c r="AZ139" s="49"/>
      <c r="BA139" s="49"/>
      <c r="BB139" s="49"/>
      <c r="BC139" s="49"/>
      <c r="BD139" s="49"/>
      <c r="BE139" s="49"/>
      <c r="BF139" s="49"/>
      <c r="BG139" s="49"/>
      <c r="BH139" s="49"/>
      <c r="BI139" s="49"/>
      <c r="BJ139" s="49"/>
      <c r="BK139" s="49"/>
      <c r="BL139" s="49"/>
      <c r="BM139" s="49"/>
      <c r="BN139" s="49"/>
      <c r="BO139" s="49"/>
      <c r="BP139" s="49"/>
      <c r="BQ139" s="49"/>
      <c r="BR139" s="49"/>
      <c r="BS139" s="49"/>
      <c r="BT139" s="49"/>
      <c r="BU139" s="49"/>
      <c r="BV139" s="49"/>
      <c r="BW139" s="49"/>
      <c r="BX139" s="49"/>
    </row>
    <row r="140" spans="1:76" hidden="1" outlineLevel="1">
      <c r="B140" t="s">
        <v>83</v>
      </c>
      <c r="D140" s="49">
        <f>IF(AND('Rent Roll'!$N$18&lt;&gt;"Ghost",D$4&lt;='Rent Roll'!$L$18),1,0)</f>
        <v>1</v>
      </c>
      <c r="E140" s="49">
        <f>IF(AND('Rent Roll'!$N$18&lt;&gt;"Ghost",E$4&lt;='Rent Roll'!$L$18),1,0)</f>
        <v>1</v>
      </c>
      <c r="F140" s="49">
        <f>IF(AND('Rent Roll'!$N$18&lt;&gt;"Ghost",F$4&lt;='Rent Roll'!$L$18),1,0)</f>
        <v>1</v>
      </c>
      <c r="G140" s="49">
        <f>IF(AND('Rent Roll'!$N$18&lt;&gt;"Ghost",G$4&lt;='Rent Roll'!$L$18),1,0)</f>
        <v>1</v>
      </c>
      <c r="H140" s="49">
        <f>IF(AND('Rent Roll'!$N$18&lt;&gt;"Ghost",H$4&lt;='Rent Roll'!$L$18),1,0)</f>
        <v>1</v>
      </c>
      <c r="I140" s="49">
        <f>IF(AND('Rent Roll'!$N$18&lt;&gt;"Ghost",I$4&lt;='Rent Roll'!$L$18),1,0)</f>
        <v>1</v>
      </c>
      <c r="J140" s="49">
        <f>IF(AND('Rent Roll'!$N$18&lt;&gt;"Ghost",J$4&lt;='Rent Roll'!$L$18),1,0)</f>
        <v>1</v>
      </c>
      <c r="K140" s="49">
        <f>IF(AND('Rent Roll'!$N$18&lt;&gt;"Ghost",K$4&lt;='Rent Roll'!$L$18),1,0)</f>
        <v>1</v>
      </c>
      <c r="L140" s="49">
        <f>IF(AND('Rent Roll'!$N$18&lt;&gt;"Ghost",L$4&lt;='Rent Roll'!$L$18),1,0)</f>
        <v>1</v>
      </c>
      <c r="M140" s="49">
        <f>IF(AND('Rent Roll'!$N$18&lt;&gt;"Ghost",M$4&lt;='Rent Roll'!$L$18),1,0)</f>
        <v>1</v>
      </c>
      <c r="N140" s="49">
        <f>IF(AND('Rent Roll'!$N$18&lt;&gt;"Ghost",N$4&lt;='Rent Roll'!$L$18),1,0)</f>
        <v>1</v>
      </c>
      <c r="O140" s="49">
        <f>IF(AND('Rent Roll'!$N$18&lt;&gt;"Ghost",O$4&lt;='Rent Roll'!$L$18),1,0)</f>
        <v>1</v>
      </c>
      <c r="P140" s="49">
        <f>IF(AND('Rent Roll'!$N$18&lt;&gt;"Ghost",P$4&lt;='Rent Roll'!$L$18),1,0)</f>
        <v>0</v>
      </c>
      <c r="Q140" s="49">
        <f>IF(AND('Rent Roll'!$N$18&lt;&gt;"Ghost",Q$4&lt;='Rent Roll'!$L$18),1,0)</f>
        <v>0</v>
      </c>
      <c r="R140" s="49">
        <f>IF(AND('Rent Roll'!$N$18&lt;&gt;"Ghost",R$4&lt;='Rent Roll'!$L$18),1,0)</f>
        <v>0</v>
      </c>
      <c r="S140" s="49">
        <f>IF(AND('Rent Roll'!$N$18&lt;&gt;"Ghost",S$4&lt;='Rent Roll'!$L$18),1,0)</f>
        <v>0</v>
      </c>
      <c r="T140" s="49">
        <f>IF(AND('Rent Roll'!$N$18&lt;&gt;"Ghost",T$4&lt;='Rent Roll'!$L$18),1,0)</f>
        <v>0</v>
      </c>
      <c r="U140" s="49">
        <f>IF(AND('Rent Roll'!$N$18&lt;&gt;"Ghost",U$4&lt;='Rent Roll'!$L$18),1,0)</f>
        <v>0</v>
      </c>
      <c r="V140" s="49">
        <f>IF(AND('Rent Roll'!$N$18&lt;&gt;"Ghost",V$4&lt;='Rent Roll'!$L$18),1,0)</f>
        <v>0</v>
      </c>
      <c r="W140" s="49">
        <f>IF(AND('Rent Roll'!$N$18&lt;&gt;"Ghost",W$4&lt;='Rent Roll'!$L$18),1,0)</f>
        <v>0</v>
      </c>
      <c r="X140" s="49">
        <f>IF(AND('Rent Roll'!$N$18&lt;&gt;"Ghost",X$4&lt;='Rent Roll'!$L$18),1,0)</f>
        <v>0</v>
      </c>
      <c r="Y140" s="49">
        <f>IF(AND('Rent Roll'!$N$18&lt;&gt;"Ghost",Y$4&lt;='Rent Roll'!$L$18),1,0)</f>
        <v>0</v>
      </c>
      <c r="Z140" s="49">
        <f>IF(AND('Rent Roll'!$N$18&lt;&gt;"Ghost",Z$4&lt;='Rent Roll'!$L$18),1,0)</f>
        <v>0</v>
      </c>
      <c r="AA140" s="49">
        <f>IF(AND('Rent Roll'!$N$18&lt;&gt;"Ghost",AA$4&lt;='Rent Roll'!$L$18),1,0)</f>
        <v>0</v>
      </c>
      <c r="AB140" s="49">
        <f>IF(AND('Rent Roll'!$N$18&lt;&gt;"Ghost",AB$4&lt;='Rent Roll'!$L$18),1,0)</f>
        <v>0</v>
      </c>
      <c r="AC140" s="49">
        <f>IF(AND('Rent Roll'!$N$18&lt;&gt;"Ghost",AC$4&lt;='Rent Roll'!$L$18),1,0)</f>
        <v>0</v>
      </c>
      <c r="AD140" s="49">
        <f>IF(AND('Rent Roll'!$N$18&lt;&gt;"Ghost",AD$4&lt;='Rent Roll'!$L$18),1,0)</f>
        <v>0</v>
      </c>
      <c r="AE140" s="49">
        <f>IF(AND('Rent Roll'!$N$18&lt;&gt;"Ghost",AE$4&lt;='Rent Roll'!$L$18),1,0)</f>
        <v>0</v>
      </c>
      <c r="AF140" s="49">
        <f>IF(AND('Rent Roll'!$N$18&lt;&gt;"Ghost",AF$4&lt;='Rent Roll'!$L$18),1,0)</f>
        <v>0</v>
      </c>
      <c r="AG140" s="49">
        <f>IF(AND('Rent Roll'!$N$18&lt;&gt;"Ghost",AG$4&lt;='Rent Roll'!$L$18),1,0)</f>
        <v>0</v>
      </c>
      <c r="AH140" s="49">
        <f>IF(AND('Rent Roll'!$N$18&lt;&gt;"Ghost",AH$4&lt;='Rent Roll'!$L$18),1,0)</f>
        <v>0</v>
      </c>
      <c r="AI140" s="49">
        <f>IF(AND('Rent Roll'!$N$18&lt;&gt;"Ghost",AI$4&lt;='Rent Roll'!$L$18),1,0)</f>
        <v>0</v>
      </c>
      <c r="AJ140" s="49">
        <f>IF(AND('Rent Roll'!$N$18&lt;&gt;"Ghost",AJ$4&lt;='Rent Roll'!$L$18),1,0)</f>
        <v>0</v>
      </c>
      <c r="AK140" s="49">
        <f>IF(AND('Rent Roll'!$N$18&lt;&gt;"Ghost",AK$4&lt;='Rent Roll'!$L$18),1,0)</f>
        <v>0</v>
      </c>
      <c r="AL140" s="49">
        <f>IF(AND('Rent Roll'!$N$18&lt;&gt;"Ghost",AL$4&lt;='Rent Roll'!$L$18),1,0)</f>
        <v>0</v>
      </c>
      <c r="AM140" s="49">
        <f>IF(AND('Rent Roll'!$N$18&lt;&gt;"Ghost",AM$4&lt;='Rent Roll'!$L$18),1,0)</f>
        <v>0</v>
      </c>
      <c r="AN140" s="49">
        <f>IF(AND('Rent Roll'!$N$18&lt;&gt;"Ghost",AN$4&lt;='Rent Roll'!$L$18),1,0)</f>
        <v>0</v>
      </c>
      <c r="AO140" s="49">
        <f>IF(AND('Rent Roll'!$N$18&lt;&gt;"Ghost",AO$4&lt;='Rent Roll'!$L$18),1,0)</f>
        <v>0</v>
      </c>
      <c r="AP140" s="49">
        <f>IF(AND('Rent Roll'!$N$18&lt;&gt;"Ghost",AP$4&lt;='Rent Roll'!$L$18),1,0)</f>
        <v>0</v>
      </c>
      <c r="AQ140" s="49">
        <f>IF(AND('Rent Roll'!$N$18&lt;&gt;"Ghost",AQ$4&lt;='Rent Roll'!$L$18),1,0)</f>
        <v>0</v>
      </c>
      <c r="AR140" s="49">
        <f>IF(AND('Rent Roll'!$N$18&lt;&gt;"Ghost",AR$4&lt;='Rent Roll'!$L$18),1,0)</f>
        <v>0</v>
      </c>
      <c r="AS140" s="49">
        <f>IF(AND('Rent Roll'!$N$18&lt;&gt;"Ghost",AS$4&lt;='Rent Roll'!$L$18),1,0)</f>
        <v>0</v>
      </c>
      <c r="AT140" s="49">
        <f>IF(AND('Rent Roll'!$N$18&lt;&gt;"Ghost",AT$4&lt;='Rent Roll'!$L$18),1,0)</f>
        <v>0</v>
      </c>
      <c r="AU140" s="49">
        <f>IF(AND('Rent Roll'!$N$18&lt;&gt;"Ghost",AU$4&lt;='Rent Roll'!$L$18),1,0)</f>
        <v>0</v>
      </c>
      <c r="AV140" s="49">
        <f>IF(AND('Rent Roll'!$N$18&lt;&gt;"Ghost",AV$4&lt;='Rent Roll'!$L$18),1,0)</f>
        <v>0</v>
      </c>
      <c r="AW140" s="49">
        <f>IF(AND('Rent Roll'!$N$18&lt;&gt;"Ghost",AW$4&lt;='Rent Roll'!$L$18),1,0)</f>
        <v>0</v>
      </c>
      <c r="AX140" s="49">
        <f>IF(AND('Rent Roll'!$N$18&lt;&gt;"Ghost",AX$4&lt;='Rent Roll'!$L$18),1,0)</f>
        <v>0</v>
      </c>
      <c r="AY140" s="49">
        <f>IF(AND('Rent Roll'!$N$18&lt;&gt;"Ghost",AY$4&lt;='Rent Roll'!$L$18),1,0)</f>
        <v>0</v>
      </c>
      <c r="AZ140" s="49">
        <f>IF(AND('Rent Roll'!$N$18&lt;&gt;"Ghost",AZ$4&lt;='Rent Roll'!$L$18),1,0)</f>
        <v>0</v>
      </c>
      <c r="BA140" s="49">
        <f>IF(AND('Rent Roll'!$N$18&lt;&gt;"Ghost",BA$4&lt;='Rent Roll'!$L$18),1,0)</f>
        <v>0</v>
      </c>
      <c r="BB140" s="49">
        <f>IF(AND('Rent Roll'!$N$18&lt;&gt;"Ghost",BB$4&lt;='Rent Roll'!$L$18),1,0)</f>
        <v>0</v>
      </c>
      <c r="BC140" s="49">
        <f>IF(AND('Rent Roll'!$N$18&lt;&gt;"Ghost",BC$4&lt;='Rent Roll'!$L$18),1,0)</f>
        <v>0</v>
      </c>
      <c r="BD140" s="49">
        <f>IF(AND('Rent Roll'!$N$18&lt;&gt;"Ghost",BD$4&lt;='Rent Roll'!$L$18),1,0)</f>
        <v>0</v>
      </c>
      <c r="BE140" s="49">
        <f>IF(AND('Rent Roll'!$N$18&lt;&gt;"Ghost",BE$4&lt;='Rent Roll'!$L$18),1,0)</f>
        <v>0</v>
      </c>
      <c r="BF140" s="49">
        <f>IF(AND('Rent Roll'!$N$18&lt;&gt;"Ghost",BF$4&lt;='Rent Roll'!$L$18),1,0)</f>
        <v>0</v>
      </c>
      <c r="BG140" s="49">
        <f>IF(AND('Rent Roll'!$N$18&lt;&gt;"Ghost",BG$4&lt;='Rent Roll'!$L$18),1,0)</f>
        <v>0</v>
      </c>
      <c r="BH140" s="49">
        <f>IF(AND('Rent Roll'!$N$18&lt;&gt;"Ghost",BH$4&lt;='Rent Roll'!$L$18),1,0)</f>
        <v>0</v>
      </c>
      <c r="BI140" s="49">
        <f>IF(AND('Rent Roll'!$N$18&lt;&gt;"Ghost",BI$4&lt;='Rent Roll'!$L$18),1,0)</f>
        <v>0</v>
      </c>
      <c r="BJ140" s="49">
        <f>IF(AND('Rent Roll'!$N$18&lt;&gt;"Ghost",BJ$4&lt;='Rent Roll'!$L$18),1,0)</f>
        <v>0</v>
      </c>
      <c r="BK140" s="49">
        <f>IF(AND('Rent Roll'!$N$18&lt;&gt;"Ghost",BK$4&lt;='Rent Roll'!$L$18),1,0)</f>
        <v>0</v>
      </c>
      <c r="BL140" s="49">
        <f>IF(AND('Rent Roll'!$N$18&lt;&gt;"Ghost",BL$4&lt;='Rent Roll'!$L$18),1,0)</f>
        <v>0</v>
      </c>
      <c r="BM140" s="49">
        <f>IF(AND('Rent Roll'!$N$18&lt;&gt;"Ghost",BM$4&lt;='Rent Roll'!$L$18),1,0)</f>
        <v>0</v>
      </c>
      <c r="BN140" s="49">
        <f>IF(AND('Rent Roll'!$N$18&lt;&gt;"Ghost",BN$4&lt;='Rent Roll'!$L$18),1,0)</f>
        <v>0</v>
      </c>
      <c r="BO140" s="49">
        <f>IF(AND('Rent Roll'!$N$18&lt;&gt;"Ghost",BO$4&lt;='Rent Roll'!$L$18),1,0)</f>
        <v>0</v>
      </c>
      <c r="BP140" s="49">
        <f>IF(AND('Rent Roll'!$N$18&lt;&gt;"Ghost",BP$4&lt;='Rent Roll'!$L$18),1,0)</f>
        <v>0</v>
      </c>
      <c r="BQ140" s="49">
        <f>IF(AND('Rent Roll'!$N$18&lt;&gt;"Ghost",BQ$4&lt;='Rent Roll'!$L$18),1,0)</f>
        <v>0</v>
      </c>
      <c r="BR140" s="49">
        <f>IF(AND('Rent Roll'!$N$18&lt;&gt;"Ghost",BR$4&lt;='Rent Roll'!$L$18),1,0)</f>
        <v>0</v>
      </c>
      <c r="BS140" s="49">
        <f>IF(AND('Rent Roll'!$N$18&lt;&gt;"Ghost",BS$4&lt;='Rent Roll'!$L$18),1,0)</f>
        <v>0</v>
      </c>
      <c r="BT140" s="49">
        <f>IF(AND('Rent Roll'!$N$18&lt;&gt;"Ghost",BT$4&lt;='Rent Roll'!$L$18),1,0)</f>
        <v>0</v>
      </c>
      <c r="BU140" s="49">
        <f>IF(AND('Rent Roll'!$N$18&lt;&gt;"Ghost",BU$4&lt;='Rent Roll'!$L$18),1,0)</f>
        <v>0</v>
      </c>
      <c r="BV140" s="49">
        <f>IF(AND('Rent Roll'!$N$18&lt;&gt;"Ghost",BV$4&lt;='Rent Roll'!$L$18),1,0)</f>
        <v>0</v>
      </c>
      <c r="BW140" s="49">
        <f>IF(AND('Rent Roll'!$N$18&lt;&gt;"Ghost",BW$4&lt;='Rent Roll'!$L$18),1,0)</f>
        <v>0</v>
      </c>
      <c r="BX140" s="49">
        <f>IF(AND('Rent Roll'!$N$18&lt;&gt;"Ghost",BX$4&lt;='Rent Roll'!$L$18),1,0)</f>
        <v>0</v>
      </c>
    </row>
    <row r="141" spans="1:76" hidden="1" outlineLevel="1">
      <c r="B141" t="s">
        <v>159</v>
      </c>
      <c r="D141" s="49">
        <f>IF(D140=1,'Rent Roll'!$H$18/12*(1+'Rent Roll'!$I$18)^IF(D$4&lt;'Rent Roll'!$Y$18,0,YEAR(D$4)-YEAR('Rent Roll'!$Y$18)+1),0)</f>
        <v>7800</v>
      </c>
      <c r="E141" s="49">
        <f>IF(E140=1,'Rent Roll'!$H$18/12*(1+'Rent Roll'!$I$18)^IF(E$4&lt;'Rent Roll'!$Y$18,0,YEAR(E$4)-YEAR('Rent Roll'!$Y$18)+1),0)</f>
        <v>7800</v>
      </c>
      <c r="F141" s="49">
        <f>IF(F140=1,'Rent Roll'!$H$18/12*(1+'Rent Roll'!$I$18)^IF(F$4&lt;'Rent Roll'!$Y$18,0,YEAR(F$4)-YEAR('Rent Roll'!$Y$18)+1),0)</f>
        <v>7800</v>
      </c>
      <c r="G141" s="49">
        <f>IF(G140=1,'Rent Roll'!$H$18/12*(1+'Rent Roll'!$I$18)^IF(G$4&lt;'Rent Roll'!$Y$18,0,YEAR(G$4)-YEAR('Rent Roll'!$Y$18)+1),0)</f>
        <v>7800</v>
      </c>
      <c r="H141" s="49">
        <f>IF(H140=1,'Rent Roll'!$H$18/12*(1+'Rent Roll'!$I$18)^IF(H$4&lt;'Rent Roll'!$Y$18,0,YEAR(H$4)-YEAR('Rent Roll'!$Y$18)+1),0)</f>
        <v>7800</v>
      </c>
      <c r="I141" s="49">
        <f>IF(I140=1,'Rent Roll'!$H$18/12*(1+'Rent Roll'!$I$18)^IF(I$4&lt;'Rent Roll'!$Y$18,0,YEAR(I$4)-YEAR('Rent Roll'!$Y$18)+1),0)</f>
        <v>7800</v>
      </c>
      <c r="J141" s="49">
        <f>IF(J140=1,'Rent Roll'!$H$18/12*(1+'Rent Roll'!$I$18)^IF(J$4&lt;'Rent Roll'!$Y$18,0,YEAR(J$4)-YEAR('Rent Roll'!$Y$18)+1),0)</f>
        <v>7800</v>
      </c>
      <c r="K141" s="49">
        <f>IF(K140=1,'Rent Roll'!$H$18/12*(1+'Rent Roll'!$I$18)^IF(K$4&lt;'Rent Roll'!$Y$18,0,YEAR(K$4)-YEAR('Rent Roll'!$Y$18)+1),0)</f>
        <v>7800</v>
      </c>
      <c r="L141" s="49">
        <f>IF(L140=1,'Rent Roll'!$H$18/12*(1+'Rent Roll'!$I$18)^IF(L$4&lt;'Rent Roll'!$Y$18,0,YEAR(L$4)-YEAR('Rent Roll'!$Y$18)+1),0)</f>
        <v>7800</v>
      </c>
      <c r="M141" s="49">
        <f>IF(M140=1,'Rent Roll'!$H$18/12*(1+'Rent Roll'!$I$18)^IF(M$4&lt;'Rent Roll'!$Y$18,0,YEAR(M$4)-YEAR('Rent Roll'!$Y$18)+1),0)</f>
        <v>7800</v>
      </c>
      <c r="N141" s="49">
        <f>IF(N140=1,'Rent Roll'!$H$18/12*(1+'Rent Roll'!$I$18)^IF(N$4&lt;'Rent Roll'!$Y$18,0,YEAR(N$4)-YEAR('Rent Roll'!$Y$18)+1),0)</f>
        <v>7800</v>
      </c>
      <c r="O141" s="49">
        <f>IF(O140=1,'Rent Roll'!$H$18/12*(1+'Rent Roll'!$I$18)^IF(O$4&lt;'Rent Roll'!$Y$18,0,YEAR(O$4)-YEAR('Rent Roll'!$Y$18)+1),0)</f>
        <v>7800</v>
      </c>
      <c r="P141" s="49">
        <f>IF(P140=1,'Rent Roll'!$H$18/12*(1+'Rent Roll'!$I$18)^IF(P$4&lt;'Rent Roll'!$Y$18,0,YEAR(P$4)-YEAR('Rent Roll'!$Y$18)+1),0)</f>
        <v>0</v>
      </c>
      <c r="Q141" s="49">
        <f>IF(Q140=1,'Rent Roll'!$H$18/12*(1+'Rent Roll'!$I$18)^IF(Q$4&lt;'Rent Roll'!$Y$18,0,YEAR(Q$4)-YEAR('Rent Roll'!$Y$18)+1),0)</f>
        <v>0</v>
      </c>
      <c r="R141" s="49">
        <f>IF(R140=1,'Rent Roll'!$H$18/12*(1+'Rent Roll'!$I$18)^IF(R$4&lt;'Rent Roll'!$Y$18,0,YEAR(R$4)-YEAR('Rent Roll'!$Y$18)+1),0)</f>
        <v>0</v>
      </c>
      <c r="S141" s="49">
        <f>IF(S140=1,'Rent Roll'!$H$18/12*(1+'Rent Roll'!$I$18)^IF(S$4&lt;'Rent Roll'!$Y$18,0,YEAR(S$4)-YEAR('Rent Roll'!$Y$18)+1),0)</f>
        <v>0</v>
      </c>
      <c r="T141" s="49">
        <f>IF(T140=1,'Rent Roll'!$H$18/12*(1+'Rent Roll'!$I$18)^IF(T$4&lt;'Rent Roll'!$Y$18,0,YEAR(T$4)-YEAR('Rent Roll'!$Y$18)+1),0)</f>
        <v>0</v>
      </c>
      <c r="U141" s="49">
        <f>IF(U140=1,'Rent Roll'!$H$18/12*(1+'Rent Roll'!$I$18)^IF(U$4&lt;'Rent Roll'!$Y$18,0,YEAR(U$4)-YEAR('Rent Roll'!$Y$18)+1),0)</f>
        <v>0</v>
      </c>
      <c r="V141" s="49">
        <f>IF(V140=1,'Rent Roll'!$H$18/12*(1+'Rent Roll'!$I$18)^IF(V$4&lt;'Rent Roll'!$Y$18,0,YEAR(V$4)-YEAR('Rent Roll'!$Y$18)+1),0)</f>
        <v>0</v>
      </c>
      <c r="W141" s="49">
        <f>IF(W140=1,'Rent Roll'!$H$18/12*(1+'Rent Roll'!$I$18)^IF(W$4&lt;'Rent Roll'!$Y$18,0,YEAR(W$4)-YEAR('Rent Roll'!$Y$18)+1),0)</f>
        <v>0</v>
      </c>
      <c r="X141" s="49">
        <f>IF(X140=1,'Rent Roll'!$H$18/12*(1+'Rent Roll'!$I$18)^IF(X$4&lt;'Rent Roll'!$Y$18,0,YEAR(X$4)-YEAR('Rent Roll'!$Y$18)+1),0)</f>
        <v>0</v>
      </c>
      <c r="Y141" s="49">
        <f>IF(Y140=1,'Rent Roll'!$H$18/12*(1+'Rent Roll'!$I$18)^IF(Y$4&lt;'Rent Roll'!$Y$18,0,YEAR(Y$4)-YEAR('Rent Roll'!$Y$18)+1),0)</f>
        <v>0</v>
      </c>
      <c r="Z141" s="49">
        <f>IF(Z140=1,'Rent Roll'!$H$18/12*(1+'Rent Roll'!$I$18)^IF(Z$4&lt;'Rent Roll'!$Y$18,0,YEAR(Z$4)-YEAR('Rent Roll'!$Y$18)+1),0)</f>
        <v>0</v>
      </c>
      <c r="AA141" s="49">
        <f>IF(AA140=1,'Rent Roll'!$H$18/12*(1+'Rent Roll'!$I$18)^IF(AA$4&lt;'Rent Roll'!$Y$18,0,YEAR(AA$4)-YEAR('Rent Roll'!$Y$18)+1),0)</f>
        <v>0</v>
      </c>
      <c r="AB141" s="49">
        <f>IF(AB140=1,'Rent Roll'!$H$18/12*(1+'Rent Roll'!$I$18)^IF(AB$4&lt;'Rent Roll'!$Y$18,0,YEAR(AB$4)-YEAR('Rent Roll'!$Y$18)+1),0)</f>
        <v>0</v>
      </c>
      <c r="AC141" s="49">
        <f>IF(AC140=1,'Rent Roll'!$H$18/12*(1+'Rent Roll'!$I$18)^IF(AC$4&lt;'Rent Roll'!$Y$18,0,YEAR(AC$4)-YEAR('Rent Roll'!$Y$18)+1),0)</f>
        <v>0</v>
      </c>
      <c r="AD141" s="49">
        <f>IF(AD140=1,'Rent Roll'!$H$18/12*(1+'Rent Roll'!$I$18)^IF(AD$4&lt;'Rent Roll'!$Y$18,0,YEAR(AD$4)-YEAR('Rent Roll'!$Y$18)+1),0)</f>
        <v>0</v>
      </c>
      <c r="AE141" s="49">
        <f>IF(AE140=1,'Rent Roll'!$H$18/12*(1+'Rent Roll'!$I$18)^IF(AE$4&lt;'Rent Roll'!$Y$18,0,YEAR(AE$4)-YEAR('Rent Roll'!$Y$18)+1),0)</f>
        <v>0</v>
      </c>
      <c r="AF141" s="49">
        <f>IF(AF140=1,'Rent Roll'!$H$18/12*(1+'Rent Roll'!$I$18)^IF(AF$4&lt;'Rent Roll'!$Y$18,0,YEAR(AF$4)-YEAR('Rent Roll'!$Y$18)+1),0)</f>
        <v>0</v>
      </c>
      <c r="AG141" s="49">
        <f>IF(AG140=1,'Rent Roll'!$H$18/12*(1+'Rent Roll'!$I$18)^IF(AG$4&lt;'Rent Roll'!$Y$18,0,YEAR(AG$4)-YEAR('Rent Roll'!$Y$18)+1),0)</f>
        <v>0</v>
      </c>
      <c r="AH141" s="49">
        <f>IF(AH140=1,'Rent Roll'!$H$18/12*(1+'Rent Roll'!$I$18)^IF(AH$4&lt;'Rent Roll'!$Y$18,0,YEAR(AH$4)-YEAR('Rent Roll'!$Y$18)+1),0)</f>
        <v>0</v>
      </c>
      <c r="AI141" s="49">
        <f>IF(AI140=1,'Rent Roll'!$H$18/12*(1+'Rent Roll'!$I$18)^IF(AI$4&lt;'Rent Roll'!$Y$18,0,YEAR(AI$4)-YEAR('Rent Roll'!$Y$18)+1),0)</f>
        <v>0</v>
      </c>
      <c r="AJ141" s="49">
        <f>IF(AJ140=1,'Rent Roll'!$H$18/12*(1+'Rent Roll'!$I$18)^IF(AJ$4&lt;'Rent Roll'!$Y$18,0,YEAR(AJ$4)-YEAR('Rent Roll'!$Y$18)+1),0)</f>
        <v>0</v>
      </c>
      <c r="AK141" s="49">
        <f>IF(AK140=1,'Rent Roll'!$H$18/12*(1+'Rent Roll'!$I$18)^IF(AK$4&lt;'Rent Roll'!$Y$18,0,YEAR(AK$4)-YEAR('Rent Roll'!$Y$18)+1),0)</f>
        <v>0</v>
      </c>
      <c r="AL141" s="49">
        <f>IF(AL140=1,'Rent Roll'!$H$18/12*(1+'Rent Roll'!$I$18)^IF(AL$4&lt;'Rent Roll'!$Y$18,0,YEAR(AL$4)-YEAR('Rent Roll'!$Y$18)+1),0)</f>
        <v>0</v>
      </c>
      <c r="AM141" s="49">
        <f>IF(AM140=1,'Rent Roll'!$H$18/12*(1+'Rent Roll'!$I$18)^IF(AM$4&lt;'Rent Roll'!$Y$18,0,YEAR(AM$4)-YEAR('Rent Roll'!$Y$18)+1),0)</f>
        <v>0</v>
      </c>
      <c r="AN141" s="49">
        <f>IF(AN140=1,'Rent Roll'!$H$18/12*(1+'Rent Roll'!$I$18)^IF(AN$4&lt;'Rent Roll'!$Y$18,0,YEAR(AN$4)-YEAR('Rent Roll'!$Y$18)+1),0)</f>
        <v>0</v>
      </c>
      <c r="AO141" s="49">
        <f>IF(AO140=1,'Rent Roll'!$H$18/12*(1+'Rent Roll'!$I$18)^IF(AO$4&lt;'Rent Roll'!$Y$18,0,YEAR(AO$4)-YEAR('Rent Roll'!$Y$18)+1),0)</f>
        <v>0</v>
      </c>
      <c r="AP141" s="49">
        <f>IF(AP140=1,'Rent Roll'!$H$18/12*(1+'Rent Roll'!$I$18)^IF(AP$4&lt;'Rent Roll'!$Y$18,0,YEAR(AP$4)-YEAR('Rent Roll'!$Y$18)+1),0)</f>
        <v>0</v>
      </c>
      <c r="AQ141" s="49">
        <f>IF(AQ140=1,'Rent Roll'!$H$18/12*(1+'Rent Roll'!$I$18)^IF(AQ$4&lt;'Rent Roll'!$Y$18,0,YEAR(AQ$4)-YEAR('Rent Roll'!$Y$18)+1),0)</f>
        <v>0</v>
      </c>
      <c r="AR141" s="49">
        <f>IF(AR140=1,'Rent Roll'!$H$18/12*(1+'Rent Roll'!$I$18)^IF(AR$4&lt;'Rent Roll'!$Y$18,0,YEAR(AR$4)-YEAR('Rent Roll'!$Y$18)+1),0)</f>
        <v>0</v>
      </c>
      <c r="AS141" s="49">
        <f>IF(AS140=1,'Rent Roll'!$H$18/12*(1+'Rent Roll'!$I$18)^IF(AS$4&lt;'Rent Roll'!$Y$18,0,YEAR(AS$4)-YEAR('Rent Roll'!$Y$18)+1),0)</f>
        <v>0</v>
      </c>
      <c r="AT141" s="49">
        <f>IF(AT140=1,'Rent Roll'!$H$18/12*(1+'Rent Roll'!$I$18)^IF(AT$4&lt;'Rent Roll'!$Y$18,0,YEAR(AT$4)-YEAR('Rent Roll'!$Y$18)+1),0)</f>
        <v>0</v>
      </c>
      <c r="AU141" s="49">
        <f>IF(AU140=1,'Rent Roll'!$H$18/12*(1+'Rent Roll'!$I$18)^IF(AU$4&lt;'Rent Roll'!$Y$18,0,YEAR(AU$4)-YEAR('Rent Roll'!$Y$18)+1),0)</f>
        <v>0</v>
      </c>
      <c r="AV141" s="49">
        <f>IF(AV140=1,'Rent Roll'!$H$18/12*(1+'Rent Roll'!$I$18)^IF(AV$4&lt;'Rent Roll'!$Y$18,0,YEAR(AV$4)-YEAR('Rent Roll'!$Y$18)+1),0)</f>
        <v>0</v>
      </c>
      <c r="AW141" s="49">
        <f>IF(AW140=1,'Rent Roll'!$H$18/12*(1+'Rent Roll'!$I$18)^IF(AW$4&lt;'Rent Roll'!$Y$18,0,YEAR(AW$4)-YEAR('Rent Roll'!$Y$18)+1),0)</f>
        <v>0</v>
      </c>
      <c r="AX141" s="49">
        <f>IF(AX140=1,'Rent Roll'!$H$18/12*(1+'Rent Roll'!$I$18)^IF(AX$4&lt;'Rent Roll'!$Y$18,0,YEAR(AX$4)-YEAR('Rent Roll'!$Y$18)+1),0)</f>
        <v>0</v>
      </c>
      <c r="AY141" s="49">
        <f>IF(AY140=1,'Rent Roll'!$H$18/12*(1+'Rent Roll'!$I$18)^IF(AY$4&lt;'Rent Roll'!$Y$18,0,YEAR(AY$4)-YEAR('Rent Roll'!$Y$18)+1),0)</f>
        <v>0</v>
      </c>
      <c r="AZ141" s="49">
        <f>IF(AZ140=1,'Rent Roll'!$H$18/12*(1+'Rent Roll'!$I$18)^IF(AZ$4&lt;'Rent Roll'!$Y$18,0,YEAR(AZ$4)-YEAR('Rent Roll'!$Y$18)+1),0)</f>
        <v>0</v>
      </c>
      <c r="BA141" s="49">
        <f>IF(BA140=1,'Rent Roll'!$H$18/12*(1+'Rent Roll'!$I$18)^IF(BA$4&lt;'Rent Roll'!$Y$18,0,YEAR(BA$4)-YEAR('Rent Roll'!$Y$18)+1),0)</f>
        <v>0</v>
      </c>
      <c r="BB141" s="49">
        <f>IF(BB140=1,'Rent Roll'!$H$18/12*(1+'Rent Roll'!$I$18)^IF(BB$4&lt;'Rent Roll'!$Y$18,0,YEAR(BB$4)-YEAR('Rent Roll'!$Y$18)+1),0)</f>
        <v>0</v>
      </c>
      <c r="BC141" s="49">
        <f>IF(BC140=1,'Rent Roll'!$H$18/12*(1+'Rent Roll'!$I$18)^IF(BC$4&lt;'Rent Roll'!$Y$18,0,YEAR(BC$4)-YEAR('Rent Roll'!$Y$18)+1),0)</f>
        <v>0</v>
      </c>
      <c r="BD141" s="49">
        <f>IF(BD140=1,'Rent Roll'!$H$18/12*(1+'Rent Roll'!$I$18)^IF(BD$4&lt;'Rent Roll'!$Y$18,0,YEAR(BD$4)-YEAR('Rent Roll'!$Y$18)+1),0)</f>
        <v>0</v>
      </c>
      <c r="BE141" s="49">
        <f>IF(BE140=1,'Rent Roll'!$H$18/12*(1+'Rent Roll'!$I$18)^IF(BE$4&lt;'Rent Roll'!$Y$18,0,YEAR(BE$4)-YEAR('Rent Roll'!$Y$18)+1),0)</f>
        <v>0</v>
      </c>
      <c r="BF141" s="49">
        <f>IF(BF140=1,'Rent Roll'!$H$18/12*(1+'Rent Roll'!$I$18)^IF(BF$4&lt;'Rent Roll'!$Y$18,0,YEAR(BF$4)-YEAR('Rent Roll'!$Y$18)+1),0)</f>
        <v>0</v>
      </c>
      <c r="BG141" s="49">
        <f>IF(BG140=1,'Rent Roll'!$H$18/12*(1+'Rent Roll'!$I$18)^IF(BG$4&lt;'Rent Roll'!$Y$18,0,YEAR(BG$4)-YEAR('Rent Roll'!$Y$18)+1),0)</f>
        <v>0</v>
      </c>
      <c r="BH141" s="49">
        <f>IF(BH140=1,'Rent Roll'!$H$18/12*(1+'Rent Roll'!$I$18)^IF(BH$4&lt;'Rent Roll'!$Y$18,0,YEAR(BH$4)-YEAR('Rent Roll'!$Y$18)+1),0)</f>
        <v>0</v>
      </c>
      <c r="BI141" s="49">
        <f>IF(BI140=1,'Rent Roll'!$H$18/12*(1+'Rent Roll'!$I$18)^IF(BI$4&lt;'Rent Roll'!$Y$18,0,YEAR(BI$4)-YEAR('Rent Roll'!$Y$18)+1),0)</f>
        <v>0</v>
      </c>
      <c r="BJ141" s="49">
        <f>IF(BJ140=1,'Rent Roll'!$H$18/12*(1+'Rent Roll'!$I$18)^IF(BJ$4&lt;'Rent Roll'!$Y$18,0,YEAR(BJ$4)-YEAR('Rent Roll'!$Y$18)+1),0)</f>
        <v>0</v>
      </c>
      <c r="BK141" s="49">
        <f>IF(BK140=1,'Rent Roll'!$H$18/12*(1+'Rent Roll'!$I$18)^IF(BK$4&lt;'Rent Roll'!$Y$18,0,YEAR(BK$4)-YEAR('Rent Roll'!$Y$18)+1),0)</f>
        <v>0</v>
      </c>
      <c r="BL141" s="49">
        <f>IF(BL140=1,'Rent Roll'!$H$18/12*(1+'Rent Roll'!$I$18)^IF(BL$4&lt;'Rent Roll'!$Y$18,0,YEAR(BL$4)-YEAR('Rent Roll'!$Y$18)+1),0)</f>
        <v>0</v>
      </c>
      <c r="BM141" s="49">
        <f>IF(BM140=1,'Rent Roll'!$H$18/12*(1+'Rent Roll'!$I$18)^IF(BM$4&lt;'Rent Roll'!$Y$18,0,YEAR(BM$4)-YEAR('Rent Roll'!$Y$18)+1),0)</f>
        <v>0</v>
      </c>
      <c r="BN141" s="49">
        <f>IF(BN140=1,'Rent Roll'!$H$18/12*(1+'Rent Roll'!$I$18)^IF(BN$4&lt;'Rent Roll'!$Y$18,0,YEAR(BN$4)-YEAR('Rent Roll'!$Y$18)+1),0)</f>
        <v>0</v>
      </c>
      <c r="BO141" s="49">
        <f>IF(BO140=1,'Rent Roll'!$H$18/12*(1+'Rent Roll'!$I$18)^IF(BO$4&lt;'Rent Roll'!$Y$18,0,YEAR(BO$4)-YEAR('Rent Roll'!$Y$18)+1),0)</f>
        <v>0</v>
      </c>
      <c r="BP141" s="49">
        <f>IF(BP140=1,'Rent Roll'!$H$18/12*(1+'Rent Roll'!$I$18)^IF(BP$4&lt;'Rent Roll'!$Y$18,0,YEAR(BP$4)-YEAR('Rent Roll'!$Y$18)+1),0)</f>
        <v>0</v>
      </c>
      <c r="BQ141" s="49">
        <f>IF(BQ140=1,'Rent Roll'!$H$18/12*(1+'Rent Roll'!$I$18)^IF(BQ$4&lt;'Rent Roll'!$Y$18,0,YEAR(BQ$4)-YEAR('Rent Roll'!$Y$18)+1),0)</f>
        <v>0</v>
      </c>
      <c r="BR141" s="49">
        <f>IF(BR140=1,'Rent Roll'!$H$18/12*(1+'Rent Roll'!$I$18)^IF(BR$4&lt;'Rent Roll'!$Y$18,0,YEAR(BR$4)-YEAR('Rent Roll'!$Y$18)+1),0)</f>
        <v>0</v>
      </c>
      <c r="BS141" s="49">
        <f>IF(BS140=1,'Rent Roll'!$H$18/12*(1+'Rent Roll'!$I$18)^IF(BS$4&lt;'Rent Roll'!$Y$18,0,YEAR(BS$4)-YEAR('Rent Roll'!$Y$18)+1),0)</f>
        <v>0</v>
      </c>
      <c r="BT141" s="49">
        <f>IF(BT140=1,'Rent Roll'!$H$18/12*(1+'Rent Roll'!$I$18)^IF(BT$4&lt;'Rent Roll'!$Y$18,0,YEAR(BT$4)-YEAR('Rent Roll'!$Y$18)+1),0)</f>
        <v>0</v>
      </c>
      <c r="BU141" s="49">
        <f>IF(BU140=1,'Rent Roll'!$H$18/12*(1+'Rent Roll'!$I$18)^IF(BU$4&lt;'Rent Roll'!$Y$18,0,YEAR(BU$4)-YEAR('Rent Roll'!$Y$18)+1),0)</f>
        <v>0</v>
      </c>
      <c r="BV141" s="49">
        <f>IF(BV140=1,'Rent Roll'!$H$18/12*(1+'Rent Roll'!$I$18)^IF(BV$4&lt;'Rent Roll'!$Y$18,0,YEAR(BV$4)-YEAR('Rent Roll'!$Y$18)+1),0)</f>
        <v>0</v>
      </c>
      <c r="BW141" s="49">
        <f>IF(BW140=1,'Rent Roll'!$H$18/12*(1+'Rent Roll'!$I$18)^IF(BW$4&lt;'Rent Roll'!$Y$18,0,YEAR(BW$4)-YEAR('Rent Roll'!$Y$18)+1),0)</f>
        <v>0</v>
      </c>
      <c r="BX141" s="49">
        <f>IF(BX140=1,'Rent Roll'!$H$18/12*(1+'Rent Roll'!$I$18)^IF(BX$4&lt;'Rent Roll'!$Y$18,0,YEAR(BX$4)-YEAR('Rent Roll'!$Y$18)+1),0)</f>
        <v>0</v>
      </c>
    </row>
    <row r="142" spans="1:76" hidden="1" outlineLevel="1">
      <c r="B142" t="s">
        <v>160</v>
      </c>
      <c r="D142" s="49">
        <f>IF(D$4&gt;EOMONTH(CloseDate,'Rent Roll'!$O$18+'Rent Roll'!$S$18-1),1,0)</f>
        <v>0</v>
      </c>
      <c r="E142" s="49">
        <f>IF(E$4&gt;EOMONTH(CloseDate,'Rent Roll'!$O$18+'Rent Roll'!$S$18-1),1,0)</f>
        <v>0</v>
      </c>
      <c r="F142" s="49">
        <f>IF(F$4&gt;EOMONTH(CloseDate,'Rent Roll'!$O$18+'Rent Roll'!$S$18-1),1,0)</f>
        <v>0</v>
      </c>
      <c r="G142" s="49">
        <f>IF(G$4&gt;EOMONTH(CloseDate,'Rent Roll'!$O$18+'Rent Roll'!$S$18-1),1,0)</f>
        <v>0</v>
      </c>
      <c r="H142" s="49">
        <f>IF(H$4&gt;EOMONTH(CloseDate,'Rent Roll'!$O$18+'Rent Roll'!$S$18-1),1,0)</f>
        <v>0</v>
      </c>
      <c r="I142" s="49">
        <f>IF(I$4&gt;EOMONTH(CloseDate,'Rent Roll'!$O$18+'Rent Roll'!$S$18-1),1,0)</f>
        <v>0</v>
      </c>
      <c r="J142" s="49">
        <f>IF(J$4&gt;EOMONTH(CloseDate,'Rent Roll'!$O$18+'Rent Roll'!$S$18-1),1,0)</f>
        <v>0</v>
      </c>
      <c r="K142" s="49">
        <f>IF(K$4&gt;EOMONTH(CloseDate,'Rent Roll'!$O$18+'Rent Roll'!$S$18-1),1,0)</f>
        <v>0</v>
      </c>
      <c r="L142" s="49">
        <f>IF(L$4&gt;EOMONTH(CloseDate,'Rent Roll'!$O$18+'Rent Roll'!$S$18-1),1,0)</f>
        <v>0</v>
      </c>
      <c r="M142" s="49">
        <f>IF(M$4&gt;EOMONTH(CloseDate,'Rent Roll'!$O$18+'Rent Roll'!$S$18-1),1,0)</f>
        <v>0</v>
      </c>
      <c r="N142" s="49">
        <f>IF(N$4&gt;EOMONTH(CloseDate,'Rent Roll'!$O$18+'Rent Roll'!$S$18-1),1,0)</f>
        <v>0</v>
      </c>
      <c r="O142" s="49">
        <f>IF(O$4&gt;EOMONTH(CloseDate,'Rent Roll'!$O$18+'Rent Roll'!$S$18-1),1,0)</f>
        <v>0</v>
      </c>
      <c r="P142" s="49">
        <f>IF(P$4&gt;EOMONTH(CloseDate,'Rent Roll'!$O$18+'Rent Roll'!$S$18-1),1,0)</f>
        <v>0</v>
      </c>
      <c r="Q142" s="49">
        <f>IF(Q$4&gt;EOMONTH(CloseDate,'Rent Roll'!$O$18+'Rent Roll'!$S$18-1),1,0)</f>
        <v>0</v>
      </c>
      <c r="R142" s="49">
        <f>IF(R$4&gt;EOMONTH(CloseDate,'Rent Roll'!$O$18+'Rent Roll'!$S$18-1),1,0)</f>
        <v>0</v>
      </c>
      <c r="S142" s="49">
        <f>IF(S$4&gt;EOMONTH(CloseDate,'Rent Roll'!$O$18+'Rent Roll'!$S$18-1),1,0)</f>
        <v>0</v>
      </c>
      <c r="T142" s="49">
        <f>IF(T$4&gt;EOMONTH(CloseDate,'Rent Roll'!$O$18+'Rent Roll'!$S$18-1),1,0)</f>
        <v>0</v>
      </c>
      <c r="U142" s="49">
        <f>IF(U$4&gt;EOMONTH(CloseDate,'Rent Roll'!$O$18+'Rent Roll'!$S$18-1),1,0)</f>
        <v>0</v>
      </c>
      <c r="V142" s="49">
        <f>IF(V$4&gt;EOMONTH(CloseDate,'Rent Roll'!$O$18+'Rent Roll'!$S$18-1),1,0)</f>
        <v>1</v>
      </c>
      <c r="W142" s="49">
        <f>IF(W$4&gt;EOMONTH(CloseDate,'Rent Roll'!$O$18+'Rent Roll'!$S$18-1),1,0)</f>
        <v>1</v>
      </c>
      <c r="X142" s="49">
        <f>IF(X$4&gt;EOMONTH(CloseDate,'Rent Roll'!$O$18+'Rent Roll'!$S$18-1),1,0)</f>
        <v>1</v>
      </c>
      <c r="Y142" s="49">
        <f>IF(Y$4&gt;EOMONTH(CloseDate,'Rent Roll'!$O$18+'Rent Roll'!$S$18-1),1,0)</f>
        <v>1</v>
      </c>
      <c r="Z142" s="49">
        <f>IF(Z$4&gt;EOMONTH(CloseDate,'Rent Roll'!$O$18+'Rent Roll'!$S$18-1),1,0)</f>
        <v>1</v>
      </c>
      <c r="AA142" s="49">
        <f>IF(AA$4&gt;EOMONTH(CloseDate,'Rent Roll'!$O$18+'Rent Roll'!$S$18-1),1,0)</f>
        <v>1</v>
      </c>
      <c r="AB142" s="49">
        <f>IF(AB$4&gt;EOMONTH(CloseDate,'Rent Roll'!$O$18+'Rent Roll'!$S$18-1),1,0)</f>
        <v>1</v>
      </c>
      <c r="AC142" s="49">
        <f>IF(AC$4&gt;EOMONTH(CloseDate,'Rent Roll'!$O$18+'Rent Roll'!$S$18-1),1,0)</f>
        <v>1</v>
      </c>
      <c r="AD142" s="49">
        <f>IF(AD$4&gt;EOMONTH(CloseDate,'Rent Roll'!$O$18+'Rent Roll'!$S$18-1),1,0)</f>
        <v>1</v>
      </c>
      <c r="AE142" s="49">
        <f>IF(AE$4&gt;EOMONTH(CloseDate,'Rent Roll'!$O$18+'Rent Roll'!$S$18-1),1,0)</f>
        <v>1</v>
      </c>
      <c r="AF142" s="49">
        <f>IF(AF$4&gt;EOMONTH(CloseDate,'Rent Roll'!$O$18+'Rent Roll'!$S$18-1),1,0)</f>
        <v>1</v>
      </c>
      <c r="AG142" s="49">
        <f>IF(AG$4&gt;EOMONTH(CloseDate,'Rent Roll'!$O$18+'Rent Roll'!$S$18-1),1,0)</f>
        <v>1</v>
      </c>
      <c r="AH142" s="49">
        <f>IF(AH$4&gt;EOMONTH(CloseDate,'Rent Roll'!$O$18+'Rent Roll'!$S$18-1),1,0)</f>
        <v>1</v>
      </c>
      <c r="AI142" s="49">
        <f>IF(AI$4&gt;EOMONTH(CloseDate,'Rent Roll'!$O$18+'Rent Roll'!$S$18-1),1,0)</f>
        <v>1</v>
      </c>
      <c r="AJ142" s="49">
        <f>IF(AJ$4&gt;EOMONTH(CloseDate,'Rent Roll'!$O$18+'Rent Roll'!$S$18-1),1,0)</f>
        <v>1</v>
      </c>
      <c r="AK142" s="49">
        <f>IF(AK$4&gt;EOMONTH(CloseDate,'Rent Roll'!$O$18+'Rent Roll'!$S$18-1),1,0)</f>
        <v>1</v>
      </c>
      <c r="AL142" s="49">
        <f>IF(AL$4&gt;EOMONTH(CloseDate,'Rent Roll'!$O$18+'Rent Roll'!$S$18-1),1,0)</f>
        <v>1</v>
      </c>
      <c r="AM142" s="49">
        <f>IF(AM$4&gt;EOMONTH(CloseDate,'Rent Roll'!$O$18+'Rent Roll'!$S$18-1),1,0)</f>
        <v>1</v>
      </c>
      <c r="AN142" s="49">
        <f>IF(AN$4&gt;EOMONTH(CloseDate,'Rent Roll'!$O$18+'Rent Roll'!$S$18-1),1,0)</f>
        <v>1</v>
      </c>
      <c r="AO142" s="49">
        <f>IF(AO$4&gt;EOMONTH(CloseDate,'Rent Roll'!$O$18+'Rent Roll'!$S$18-1),1,0)</f>
        <v>1</v>
      </c>
      <c r="AP142" s="49">
        <f>IF(AP$4&gt;EOMONTH(CloseDate,'Rent Roll'!$O$18+'Rent Roll'!$S$18-1),1,0)</f>
        <v>1</v>
      </c>
      <c r="AQ142" s="49">
        <f>IF(AQ$4&gt;EOMONTH(CloseDate,'Rent Roll'!$O$18+'Rent Roll'!$S$18-1),1,0)</f>
        <v>1</v>
      </c>
      <c r="AR142" s="49">
        <f>IF(AR$4&gt;EOMONTH(CloseDate,'Rent Roll'!$O$18+'Rent Roll'!$S$18-1),1,0)</f>
        <v>1</v>
      </c>
      <c r="AS142" s="49">
        <f>IF(AS$4&gt;EOMONTH(CloseDate,'Rent Roll'!$O$18+'Rent Roll'!$S$18-1),1,0)</f>
        <v>1</v>
      </c>
      <c r="AT142" s="49">
        <f>IF(AT$4&gt;EOMONTH(CloseDate,'Rent Roll'!$O$18+'Rent Roll'!$S$18-1),1,0)</f>
        <v>1</v>
      </c>
      <c r="AU142" s="49">
        <f>IF(AU$4&gt;EOMONTH(CloseDate,'Rent Roll'!$O$18+'Rent Roll'!$S$18-1),1,0)</f>
        <v>1</v>
      </c>
      <c r="AV142" s="49">
        <f>IF(AV$4&gt;EOMONTH(CloseDate,'Rent Roll'!$O$18+'Rent Roll'!$S$18-1),1,0)</f>
        <v>1</v>
      </c>
      <c r="AW142" s="49">
        <f>IF(AW$4&gt;EOMONTH(CloseDate,'Rent Roll'!$O$18+'Rent Roll'!$S$18-1),1,0)</f>
        <v>1</v>
      </c>
      <c r="AX142" s="49">
        <f>IF(AX$4&gt;EOMONTH(CloseDate,'Rent Roll'!$O$18+'Rent Roll'!$S$18-1),1,0)</f>
        <v>1</v>
      </c>
      <c r="AY142" s="49">
        <f>IF(AY$4&gt;EOMONTH(CloseDate,'Rent Roll'!$O$18+'Rent Roll'!$S$18-1),1,0)</f>
        <v>1</v>
      </c>
      <c r="AZ142" s="49">
        <f>IF(AZ$4&gt;EOMONTH(CloseDate,'Rent Roll'!$O$18+'Rent Roll'!$S$18-1),1,0)</f>
        <v>1</v>
      </c>
      <c r="BA142" s="49">
        <f>IF(BA$4&gt;EOMONTH(CloseDate,'Rent Roll'!$O$18+'Rent Roll'!$S$18-1),1,0)</f>
        <v>1</v>
      </c>
      <c r="BB142" s="49">
        <f>IF(BB$4&gt;EOMONTH(CloseDate,'Rent Roll'!$O$18+'Rent Roll'!$S$18-1),1,0)</f>
        <v>1</v>
      </c>
      <c r="BC142" s="49">
        <f>IF(BC$4&gt;EOMONTH(CloseDate,'Rent Roll'!$O$18+'Rent Roll'!$S$18-1),1,0)</f>
        <v>1</v>
      </c>
      <c r="BD142" s="49">
        <f>IF(BD$4&gt;EOMONTH(CloseDate,'Rent Roll'!$O$18+'Rent Roll'!$S$18-1),1,0)</f>
        <v>1</v>
      </c>
      <c r="BE142" s="49">
        <f>IF(BE$4&gt;EOMONTH(CloseDate,'Rent Roll'!$O$18+'Rent Roll'!$S$18-1),1,0)</f>
        <v>1</v>
      </c>
      <c r="BF142" s="49">
        <f>IF(BF$4&gt;EOMONTH(CloseDate,'Rent Roll'!$O$18+'Rent Roll'!$S$18-1),1,0)</f>
        <v>1</v>
      </c>
      <c r="BG142" s="49">
        <f>IF(BG$4&gt;EOMONTH(CloseDate,'Rent Roll'!$O$18+'Rent Roll'!$S$18-1),1,0)</f>
        <v>1</v>
      </c>
      <c r="BH142" s="49">
        <f>IF(BH$4&gt;EOMONTH(CloseDate,'Rent Roll'!$O$18+'Rent Roll'!$S$18-1),1,0)</f>
        <v>1</v>
      </c>
      <c r="BI142" s="49">
        <f>IF(BI$4&gt;EOMONTH(CloseDate,'Rent Roll'!$O$18+'Rent Roll'!$S$18-1),1,0)</f>
        <v>1</v>
      </c>
      <c r="BJ142" s="49">
        <f>IF(BJ$4&gt;EOMONTH(CloseDate,'Rent Roll'!$O$18+'Rent Roll'!$S$18-1),1,0)</f>
        <v>1</v>
      </c>
      <c r="BK142" s="49">
        <f>IF(BK$4&gt;EOMONTH(CloseDate,'Rent Roll'!$O$18+'Rent Roll'!$S$18-1),1,0)</f>
        <v>1</v>
      </c>
      <c r="BL142" s="49">
        <f>IF(BL$4&gt;EOMONTH(CloseDate,'Rent Roll'!$O$18+'Rent Roll'!$S$18-1),1,0)</f>
        <v>1</v>
      </c>
      <c r="BM142" s="49">
        <f>IF(BM$4&gt;EOMONTH(CloseDate,'Rent Roll'!$O$18+'Rent Roll'!$S$18-1),1,0)</f>
        <v>1</v>
      </c>
      <c r="BN142" s="49">
        <f>IF(BN$4&gt;EOMONTH(CloseDate,'Rent Roll'!$O$18+'Rent Roll'!$S$18-1),1,0)</f>
        <v>1</v>
      </c>
      <c r="BO142" s="49">
        <f>IF(BO$4&gt;EOMONTH(CloseDate,'Rent Roll'!$O$18+'Rent Roll'!$S$18-1),1,0)</f>
        <v>1</v>
      </c>
      <c r="BP142" s="49">
        <f>IF(BP$4&gt;EOMONTH(CloseDate,'Rent Roll'!$O$18+'Rent Roll'!$S$18-1),1,0)</f>
        <v>1</v>
      </c>
      <c r="BQ142" s="49">
        <f>IF(BQ$4&gt;EOMONTH(CloseDate,'Rent Roll'!$O$18+'Rent Roll'!$S$18-1),1,0)</f>
        <v>1</v>
      </c>
      <c r="BR142" s="49">
        <f>IF(BR$4&gt;EOMONTH(CloseDate,'Rent Roll'!$O$18+'Rent Roll'!$S$18-1),1,0)</f>
        <v>1</v>
      </c>
      <c r="BS142" s="49">
        <f>IF(BS$4&gt;EOMONTH(CloseDate,'Rent Roll'!$O$18+'Rent Roll'!$S$18-1),1,0)</f>
        <v>1</v>
      </c>
      <c r="BT142" s="49">
        <f>IF(BT$4&gt;EOMONTH(CloseDate,'Rent Roll'!$O$18+'Rent Roll'!$S$18-1),1,0)</f>
        <v>1</v>
      </c>
      <c r="BU142" s="49">
        <f>IF(BU$4&gt;EOMONTH(CloseDate,'Rent Roll'!$O$18+'Rent Roll'!$S$18-1),1,0)</f>
        <v>1</v>
      </c>
      <c r="BV142" s="49">
        <f>IF(BV$4&gt;EOMONTH(CloseDate,'Rent Roll'!$O$18+'Rent Roll'!$S$18-1),1,0)</f>
        <v>1</v>
      </c>
      <c r="BW142" s="49">
        <f>IF(BW$4&gt;EOMONTH(CloseDate,'Rent Roll'!$O$18+'Rent Roll'!$S$18-1),1,0)</f>
        <v>1</v>
      </c>
      <c r="BX142" s="49">
        <f>IF(BX$4&gt;EOMONTH(CloseDate,'Rent Roll'!$O$18+'Rent Roll'!$S$18-1),1,0)</f>
        <v>1</v>
      </c>
    </row>
    <row r="143" spans="1:76" hidden="1" outlineLevel="1">
      <c r="B143" t="s">
        <v>162</v>
      </c>
      <c r="D143" s="49">
        <f>IF(D142=1,'Rent Roll'!$F$18*'Rent Roll'!$X$18/12*D$6,0)</f>
        <v>0</v>
      </c>
      <c r="E143" s="49">
        <f>IF(E142=1,'Rent Roll'!$F$18*'Rent Roll'!$X$18/12*E$6,0)</f>
        <v>0</v>
      </c>
      <c r="F143" s="49">
        <f>IF(F142=1,'Rent Roll'!$F$18*'Rent Roll'!$X$18/12*F$6,0)</f>
        <v>0</v>
      </c>
      <c r="G143" s="49">
        <f>IF(G142=1,'Rent Roll'!$F$18*'Rent Roll'!$X$18/12*G$6,0)</f>
        <v>0</v>
      </c>
      <c r="H143" s="49">
        <f>IF(H142=1,'Rent Roll'!$F$18*'Rent Roll'!$X$18/12*H$6,0)</f>
        <v>0</v>
      </c>
      <c r="I143" s="49">
        <f>IF(I142=1,'Rent Roll'!$F$18*'Rent Roll'!$X$18/12*I$6,0)</f>
        <v>0</v>
      </c>
      <c r="J143" s="49">
        <f>IF(J142=1,'Rent Roll'!$F$18*'Rent Roll'!$X$18/12*J$6,0)</f>
        <v>0</v>
      </c>
      <c r="K143" s="49">
        <f>IF(K142=1,'Rent Roll'!$F$18*'Rent Roll'!$X$18/12*K$6,0)</f>
        <v>0</v>
      </c>
      <c r="L143" s="49">
        <f>IF(L142=1,'Rent Roll'!$F$18*'Rent Roll'!$X$18/12*L$6,0)</f>
        <v>0</v>
      </c>
      <c r="M143" s="49">
        <f>IF(M142=1,'Rent Roll'!$F$18*'Rent Roll'!$X$18/12*M$6,0)</f>
        <v>0</v>
      </c>
      <c r="N143" s="49">
        <f>IF(N142=1,'Rent Roll'!$F$18*'Rent Roll'!$X$18/12*N$6,0)</f>
        <v>0</v>
      </c>
      <c r="O143" s="49">
        <f>IF(O142=1,'Rent Roll'!$F$18*'Rent Roll'!$X$18/12*O$6,0)</f>
        <v>0</v>
      </c>
      <c r="P143" s="49">
        <f>IF(P142=1,'Rent Roll'!$F$18*'Rent Roll'!$X$18/12*P$6,0)</f>
        <v>0</v>
      </c>
      <c r="Q143" s="49">
        <f>IF(Q142=1,'Rent Roll'!$F$18*'Rent Roll'!$X$18/12*Q$6,0)</f>
        <v>0</v>
      </c>
      <c r="R143" s="49">
        <f>IF(R142=1,'Rent Roll'!$F$18*'Rent Roll'!$X$18/12*R$6,0)</f>
        <v>0</v>
      </c>
      <c r="S143" s="49">
        <f>IF(S142=1,'Rent Roll'!$F$18*'Rent Roll'!$X$18/12*S$6,0)</f>
        <v>0</v>
      </c>
      <c r="T143" s="49">
        <f>IF(T142=1,'Rent Roll'!$F$18*'Rent Roll'!$X$18/12*T$6,0)</f>
        <v>0</v>
      </c>
      <c r="U143" s="49">
        <f>IF(U142=1,'Rent Roll'!$F$18*'Rent Roll'!$X$18/12*U$6,0)</f>
        <v>0</v>
      </c>
      <c r="V143" s="49">
        <f>IF(V142=1,'Rent Roll'!$F$18*'Rent Roll'!$X$18/12*V$6,0)</f>
        <v>10257.239524999995</v>
      </c>
      <c r="W143" s="49">
        <f>IF(W142=1,'Rent Roll'!$F$18*'Rent Roll'!$X$18/12*W$6,0)</f>
        <v>10257.239524999995</v>
      </c>
      <c r="X143" s="49">
        <f>IF(X142=1,'Rent Roll'!$F$18*'Rent Roll'!$X$18/12*X$6,0)</f>
        <v>10257.239524999995</v>
      </c>
      <c r="Y143" s="49">
        <f>IF(Y142=1,'Rent Roll'!$F$18*'Rent Roll'!$X$18/12*Y$6,0)</f>
        <v>10257.239524999995</v>
      </c>
      <c r="Z143" s="49">
        <f>IF(Z142=1,'Rent Roll'!$F$18*'Rent Roll'!$X$18/12*Z$6,0)</f>
        <v>10257.239524999995</v>
      </c>
      <c r="AA143" s="49">
        <f>IF(AA142=1,'Rent Roll'!$F$18*'Rent Roll'!$X$18/12*AA$6,0)</f>
        <v>10257.239524999995</v>
      </c>
      <c r="AB143" s="49">
        <f>IF(AB142=1,'Rent Roll'!$F$18*'Rent Roll'!$X$18/12*AB$6,0)</f>
        <v>10257.239524999995</v>
      </c>
      <c r="AC143" s="49">
        <f>IF(AC142=1,'Rent Roll'!$F$18*'Rent Roll'!$X$18/12*AC$6,0)</f>
        <v>10257.239524999995</v>
      </c>
      <c r="AD143" s="49">
        <f>IF(AD142=1,'Rent Roll'!$F$18*'Rent Roll'!$X$18/12*AD$6,0)</f>
        <v>10257.239524999995</v>
      </c>
      <c r="AE143" s="49">
        <f>IF(AE142=1,'Rent Roll'!$F$18*'Rent Roll'!$X$18/12*AE$6,0)</f>
        <v>10257.239524999995</v>
      </c>
      <c r="AF143" s="49">
        <f>IF(AF142=1,'Rent Roll'!$F$18*'Rent Roll'!$X$18/12*AF$6,0)</f>
        <v>10257.239524999995</v>
      </c>
      <c r="AG143" s="49">
        <f>IF(AG142=1,'Rent Roll'!$F$18*'Rent Roll'!$X$18/12*AG$6,0)</f>
        <v>10534.184992174996</v>
      </c>
      <c r="AH143" s="49">
        <f>IF(AH142=1,'Rent Roll'!$F$18*'Rent Roll'!$X$18/12*AH$6,0)</f>
        <v>10534.184992174996</v>
      </c>
      <c r="AI143" s="49">
        <f>IF(AI142=1,'Rent Roll'!$F$18*'Rent Roll'!$X$18/12*AI$6,0)</f>
        <v>10534.184992174996</v>
      </c>
      <c r="AJ143" s="49">
        <f>IF(AJ142=1,'Rent Roll'!$F$18*'Rent Roll'!$X$18/12*AJ$6,0)</f>
        <v>10534.184992174996</v>
      </c>
      <c r="AK143" s="49">
        <f>IF(AK142=1,'Rent Roll'!$F$18*'Rent Roll'!$X$18/12*AK$6,0)</f>
        <v>10534.184992174996</v>
      </c>
      <c r="AL143" s="49">
        <f>IF(AL142=1,'Rent Roll'!$F$18*'Rent Roll'!$X$18/12*AL$6,0)</f>
        <v>10534.184992174996</v>
      </c>
      <c r="AM143" s="49">
        <f>IF(AM142=1,'Rent Roll'!$F$18*'Rent Roll'!$X$18/12*AM$6,0)</f>
        <v>10534.184992174996</v>
      </c>
      <c r="AN143" s="49">
        <f>IF(AN142=1,'Rent Roll'!$F$18*'Rent Roll'!$X$18/12*AN$6,0)</f>
        <v>10534.184992174996</v>
      </c>
      <c r="AO143" s="49">
        <f>IF(AO142=1,'Rent Roll'!$F$18*'Rent Roll'!$X$18/12*AO$6,0)</f>
        <v>10534.184992174996</v>
      </c>
      <c r="AP143" s="49">
        <f>IF(AP142=1,'Rent Roll'!$F$18*'Rent Roll'!$X$18/12*AP$6,0)</f>
        <v>10534.184992174996</v>
      </c>
      <c r="AQ143" s="49">
        <f>IF(AQ142=1,'Rent Roll'!$F$18*'Rent Roll'!$X$18/12*AQ$6,0)</f>
        <v>10534.184992174996</v>
      </c>
      <c r="AR143" s="49">
        <f>IF(AR142=1,'Rent Roll'!$F$18*'Rent Roll'!$X$18/12*AR$6,0)</f>
        <v>10534.184992174996</v>
      </c>
      <c r="AS143" s="49">
        <f>IF(AS142=1,'Rent Roll'!$F$18*'Rent Roll'!$X$18/12*AS$6,0)</f>
        <v>10818.60798696372</v>
      </c>
      <c r="AT143" s="49">
        <f>IF(AT142=1,'Rent Roll'!$F$18*'Rent Roll'!$X$18/12*AT$6,0)</f>
        <v>10818.60798696372</v>
      </c>
      <c r="AU143" s="49">
        <f>IF(AU142=1,'Rent Roll'!$F$18*'Rent Roll'!$X$18/12*AU$6,0)</f>
        <v>10818.60798696372</v>
      </c>
      <c r="AV143" s="49">
        <f>IF(AV142=1,'Rent Roll'!$F$18*'Rent Roll'!$X$18/12*AV$6,0)</f>
        <v>10818.60798696372</v>
      </c>
      <c r="AW143" s="49">
        <f>IF(AW142=1,'Rent Roll'!$F$18*'Rent Roll'!$X$18/12*AW$6,0)</f>
        <v>10818.60798696372</v>
      </c>
      <c r="AX143" s="49">
        <f>IF(AX142=1,'Rent Roll'!$F$18*'Rent Roll'!$X$18/12*AX$6,0)</f>
        <v>10818.60798696372</v>
      </c>
      <c r="AY143" s="49">
        <f>IF(AY142=1,'Rent Roll'!$F$18*'Rent Roll'!$X$18/12*AY$6,0)</f>
        <v>10818.60798696372</v>
      </c>
      <c r="AZ143" s="49">
        <f>IF(AZ142=1,'Rent Roll'!$F$18*'Rent Roll'!$X$18/12*AZ$6,0)</f>
        <v>10818.60798696372</v>
      </c>
      <c r="BA143" s="49">
        <f>IF(BA142=1,'Rent Roll'!$F$18*'Rent Roll'!$X$18/12*BA$6,0)</f>
        <v>10818.60798696372</v>
      </c>
      <c r="BB143" s="49">
        <f>IF(BB142=1,'Rent Roll'!$F$18*'Rent Roll'!$X$18/12*BB$6,0)</f>
        <v>10818.60798696372</v>
      </c>
      <c r="BC143" s="49">
        <f>IF(BC142=1,'Rent Roll'!$F$18*'Rent Roll'!$X$18/12*BC$6,0)</f>
        <v>10818.60798696372</v>
      </c>
      <c r="BD143" s="49">
        <f>IF(BD142=1,'Rent Roll'!$F$18*'Rent Roll'!$X$18/12*BD$6,0)</f>
        <v>10818.60798696372</v>
      </c>
      <c r="BE143" s="49">
        <f>IF(BE142=1,'Rent Roll'!$F$18*'Rent Roll'!$X$18/12*BE$6,0)</f>
        <v>11110.710402611739</v>
      </c>
      <c r="BF143" s="49">
        <f>IF(BF142=1,'Rent Roll'!$F$18*'Rent Roll'!$X$18/12*BF$6,0)</f>
        <v>11110.710402611739</v>
      </c>
      <c r="BG143" s="49">
        <f>IF(BG142=1,'Rent Roll'!$F$18*'Rent Roll'!$X$18/12*BG$6,0)</f>
        <v>11110.710402611739</v>
      </c>
      <c r="BH143" s="49">
        <f>IF(BH142=1,'Rent Roll'!$F$18*'Rent Roll'!$X$18/12*BH$6,0)</f>
        <v>11110.710402611739</v>
      </c>
      <c r="BI143" s="49">
        <f>IF(BI142=1,'Rent Roll'!$F$18*'Rent Roll'!$X$18/12*BI$6,0)</f>
        <v>11110.710402611739</v>
      </c>
      <c r="BJ143" s="49">
        <f>IF(BJ142=1,'Rent Roll'!$F$18*'Rent Roll'!$X$18/12*BJ$6,0)</f>
        <v>11110.710402611739</v>
      </c>
      <c r="BK143" s="49">
        <f>IF(BK142=1,'Rent Roll'!$F$18*'Rent Roll'!$X$18/12*BK$6,0)</f>
        <v>11110.710402611739</v>
      </c>
      <c r="BL143" s="49">
        <f>IF(BL142=1,'Rent Roll'!$F$18*'Rent Roll'!$X$18/12*BL$6,0)</f>
        <v>11110.710402611739</v>
      </c>
      <c r="BM143" s="49">
        <f>IF(BM142=1,'Rent Roll'!$F$18*'Rent Roll'!$X$18/12*BM$6,0)</f>
        <v>11110.710402611739</v>
      </c>
      <c r="BN143" s="49">
        <f>IF(BN142=1,'Rent Roll'!$F$18*'Rent Roll'!$X$18/12*BN$6,0)</f>
        <v>11110.710402611739</v>
      </c>
      <c r="BO143" s="49">
        <f>IF(BO142=1,'Rent Roll'!$F$18*'Rent Roll'!$X$18/12*BO$6,0)</f>
        <v>11110.710402611739</v>
      </c>
      <c r="BP143" s="49">
        <f>IF(BP142=1,'Rent Roll'!$F$18*'Rent Roll'!$X$18/12*BP$6,0)</f>
        <v>11110.710402611739</v>
      </c>
      <c r="BQ143" s="49">
        <f>IF(BQ142=1,'Rent Roll'!$F$18*'Rent Roll'!$X$18/12*BQ$6,0)</f>
        <v>11410.699583482254</v>
      </c>
      <c r="BR143" s="49">
        <f>IF(BR142=1,'Rent Roll'!$F$18*'Rent Roll'!$X$18/12*BR$6,0)</f>
        <v>11410.699583482254</v>
      </c>
      <c r="BS143" s="49">
        <f>IF(BS142=1,'Rent Roll'!$F$18*'Rent Roll'!$X$18/12*BS$6,0)</f>
        <v>11410.699583482254</v>
      </c>
      <c r="BT143" s="49">
        <f>IF(BT142=1,'Rent Roll'!$F$18*'Rent Roll'!$X$18/12*BT$6,0)</f>
        <v>11410.699583482254</v>
      </c>
      <c r="BU143" s="49">
        <f>IF(BU142=1,'Rent Roll'!$F$18*'Rent Roll'!$X$18/12*BU$6,0)</f>
        <v>11410.699583482254</v>
      </c>
      <c r="BV143" s="49">
        <f>IF(BV142=1,'Rent Roll'!$F$18*'Rent Roll'!$X$18/12*BV$6,0)</f>
        <v>11410.699583482254</v>
      </c>
      <c r="BW143" s="49">
        <f>IF(BW142=1,'Rent Roll'!$F$18*'Rent Roll'!$X$18/12*BW$6,0)</f>
        <v>11410.699583482254</v>
      </c>
      <c r="BX143" s="49">
        <f>IF(BX142=1,'Rent Roll'!$F$18*'Rent Roll'!$X$18/12*BX$6,0)</f>
        <v>11410.699583482254</v>
      </c>
    </row>
    <row r="144" spans="1:76" hidden="1" outlineLevel="1">
      <c r="B144" t="s">
        <v>163</v>
      </c>
      <c r="D144" s="49">
        <f>IF(AND(D$4&gt;EOMONTH(CloseDate,'Rent Roll'!$O$18+'Rent Roll'!$S$18-1),D$4&lt;=EOMONTH(CloseDate,'Rent Roll'!$O$18+'Rent Roll'!$S$18-1+'Rent Roll'!$V$18)),-D143,0)</f>
        <v>0</v>
      </c>
      <c r="E144" s="49">
        <f>IF(AND(E$4&gt;EOMONTH(CloseDate,'Rent Roll'!$O$18+'Rent Roll'!$S$18-1),E$4&lt;=EOMONTH(CloseDate,'Rent Roll'!$O$18+'Rent Roll'!$S$18-1+'Rent Roll'!$V$18)),-E143,0)</f>
        <v>0</v>
      </c>
      <c r="F144" s="49">
        <f>IF(AND(F$4&gt;EOMONTH(CloseDate,'Rent Roll'!$O$18+'Rent Roll'!$S$18-1),F$4&lt;=EOMONTH(CloseDate,'Rent Roll'!$O$18+'Rent Roll'!$S$18-1+'Rent Roll'!$V$18)),-F143,0)</f>
        <v>0</v>
      </c>
      <c r="G144" s="49">
        <f>IF(AND(G$4&gt;EOMONTH(CloseDate,'Rent Roll'!$O$18+'Rent Roll'!$S$18-1),G$4&lt;=EOMONTH(CloseDate,'Rent Roll'!$O$18+'Rent Roll'!$S$18-1+'Rent Roll'!$V$18)),-G143,0)</f>
        <v>0</v>
      </c>
      <c r="H144" s="49">
        <f>IF(AND(H$4&gt;EOMONTH(CloseDate,'Rent Roll'!$O$18+'Rent Roll'!$S$18-1),H$4&lt;=EOMONTH(CloseDate,'Rent Roll'!$O$18+'Rent Roll'!$S$18-1+'Rent Roll'!$V$18)),-H143,0)</f>
        <v>0</v>
      </c>
      <c r="I144" s="49">
        <f>IF(AND(I$4&gt;EOMONTH(CloseDate,'Rent Roll'!$O$18+'Rent Roll'!$S$18-1),I$4&lt;=EOMONTH(CloseDate,'Rent Roll'!$O$18+'Rent Roll'!$S$18-1+'Rent Roll'!$V$18)),-I143,0)</f>
        <v>0</v>
      </c>
      <c r="J144" s="49">
        <f>IF(AND(J$4&gt;EOMONTH(CloseDate,'Rent Roll'!$O$18+'Rent Roll'!$S$18-1),J$4&lt;=EOMONTH(CloseDate,'Rent Roll'!$O$18+'Rent Roll'!$S$18-1+'Rent Roll'!$V$18)),-J143,0)</f>
        <v>0</v>
      </c>
      <c r="K144" s="49">
        <f>IF(AND(K$4&gt;EOMONTH(CloseDate,'Rent Roll'!$O$18+'Rent Roll'!$S$18-1),K$4&lt;=EOMONTH(CloseDate,'Rent Roll'!$O$18+'Rent Roll'!$S$18-1+'Rent Roll'!$V$18)),-K143,0)</f>
        <v>0</v>
      </c>
      <c r="L144" s="49">
        <f>IF(AND(L$4&gt;EOMONTH(CloseDate,'Rent Roll'!$O$18+'Rent Roll'!$S$18-1),L$4&lt;=EOMONTH(CloseDate,'Rent Roll'!$O$18+'Rent Roll'!$S$18-1+'Rent Roll'!$V$18)),-L143,0)</f>
        <v>0</v>
      </c>
      <c r="M144" s="49">
        <f>IF(AND(M$4&gt;EOMONTH(CloseDate,'Rent Roll'!$O$18+'Rent Roll'!$S$18-1),M$4&lt;=EOMONTH(CloseDate,'Rent Roll'!$O$18+'Rent Roll'!$S$18-1+'Rent Roll'!$V$18)),-M143,0)</f>
        <v>0</v>
      </c>
      <c r="N144" s="49">
        <f>IF(AND(N$4&gt;EOMONTH(CloseDate,'Rent Roll'!$O$18+'Rent Roll'!$S$18-1),N$4&lt;=EOMONTH(CloseDate,'Rent Roll'!$O$18+'Rent Roll'!$S$18-1+'Rent Roll'!$V$18)),-N143,0)</f>
        <v>0</v>
      </c>
      <c r="O144" s="49">
        <f>IF(AND(O$4&gt;EOMONTH(CloseDate,'Rent Roll'!$O$18+'Rent Roll'!$S$18-1),O$4&lt;=EOMONTH(CloseDate,'Rent Roll'!$O$18+'Rent Roll'!$S$18-1+'Rent Roll'!$V$18)),-O143,0)</f>
        <v>0</v>
      </c>
      <c r="P144" s="49">
        <f>IF(AND(P$4&gt;EOMONTH(CloseDate,'Rent Roll'!$O$18+'Rent Roll'!$S$18-1),P$4&lt;=EOMONTH(CloseDate,'Rent Roll'!$O$18+'Rent Roll'!$S$18-1+'Rent Roll'!$V$18)),-P143,0)</f>
        <v>0</v>
      </c>
      <c r="Q144" s="49">
        <f>IF(AND(Q$4&gt;EOMONTH(CloseDate,'Rent Roll'!$O$18+'Rent Roll'!$S$18-1),Q$4&lt;=EOMONTH(CloseDate,'Rent Roll'!$O$18+'Rent Roll'!$S$18-1+'Rent Roll'!$V$18)),-Q143,0)</f>
        <v>0</v>
      </c>
      <c r="R144" s="49">
        <f>IF(AND(R$4&gt;EOMONTH(CloseDate,'Rent Roll'!$O$18+'Rent Roll'!$S$18-1),R$4&lt;=EOMONTH(CloseDate,'Rent Roll'!$O$18+'Rent Roll'!$S$18-1+'Rent Roll'!$V$18)),-R143,0)</f>
        <v>0</v>
      </c>
      <c r="S144" s="49">
        <f>IF(AND(S$4&gt;EOMONTH(CloseDate,'Rent Roll'!$O$18+'Rent Roll'!$S$18-1),S$4&lt;=EOMONTH(CloseDate,'Rent Roll'!$O$18+'Rent Roll'!$S$18-1+'Rent Roll'!$V$18)),-S143,0)</f>
        <v>0</v>
      </c>
      <c r="T144" s="49">
        <f>IF(AND(T$4&gt;EOMONTH(CloseDate,'Rent Roll'!$O$18+'Rent Roll'!$S$18-1),T$4&lt;=EOMONTH(CloseDate,'Rent Roll'!$O$18+'Rent Roll'!$S$18-1+'Rent Roll'!$V$18)),-T143,0)</f>
        <v>0</v>
      </c>
      <c r="U144" s="49">
        <f>IF(AND(U$4&gt;EOMONTH(CloseDate,'Rent Roll'!$O$18+'Rent Roll'!$S$18-1),U$4&lt;=EOMONTH(CloseDate,'Rent Roll'!$O$18+'Rent Roll'!$S$18-1+'Rent Roll'!$V$18)),-U143,0)</f>
        <v>0</v>
      </c>
      <c r="V144" s="49">
        <f>IF(AND(V$4&gt;EOMONTH(CloseDate,'Rent Roll'!$O$18+'Rent Roll'!$S$18-1),V$4&lt;=EOMONTH(CloseDate,'Rent Roll'!$O$18+'Rent Roll'!$S$18-1+'Rent Roll'!$V$18)),-V143,0)</f>
        <v>-10257.239524999995</v>
      </c>
      <c r="W144" s="49">
        <f>IF(AND(W$4&gt;EOMONTH(CloseDate,'Rent Roll'!$O$18+'Rent Roll'!$S$18-1),W$4&lt;=EOMONTH(CloseDate,'Rent Roll'!$O$18+'Rent Roll'!$S$18-1+'Rent Roll'!$V$18)),-W143,0)</f>
        <v>-10257.239524999995</v>
      </c>
      <c r="X144" s="49">
        <f>IF(AND(X$4&gt;EOMONTH(CloseDate,'Rent Roll'!$O$18+'Rent Roll'!$S$18-1),X$4&lt;=EOMONTH(CloseDate,'Rent Roll'!$O$18+'Rent Roll'!$S$18-1+'Rent Roll'!$V$18)),-X143,0)</f>
        <v>0</v>
      </c>
      <c r="Y144" s="49">
        <f>IF(AND(Y$4&gt;EOMONTH(CloseDate,'Rent Roll'!$O$18+'Rent Roll'!$S$18-1),Y$4&lt;=EOMONTH(CloseDate,'Rent Roll'!$O$18+'Rent Roll'!$S$18-1+'Rent Roll'!$V$18)),-Y143,0)</f>
        <v>0</v>
      </c>
      <c r="Z144" s="49">
        <f>IF(AND(Z$4&gt;EOMONTH(CloseDate,'Rent Roll'!$O$18+'Rent Roll'!$S$18-1),Z$4&lt;=EOMONTH(CloseDate,'Rent Roll'!$O$18+'Rent Roll'!$S$18-1+'Rent Roll'!$V$18)),-Z143,0)</f>
        <v>0</v>
      </c>
      <c r="AA144" s="49">
        <f>IF(AND(AA$4&gt;EOMONTH(CloseDate,'Rent Roll'!$O$18+'Rent Roll'!$S$18-1),AA$4&lt;=EOMONTH(CloseDate,'Rent Roll'!$O$18+'Rent Roll'!$S$18-1+'Rent Roll'!$V$18)),-AA143,0)</f>
        <v>0</v>
      </c>
      <c r="AB144" s="49">
        <f>IF(AND(AB$4&gt;EOMONTH(CloseDate,'Rent Roll'!$O$18+'Rent Roll'!$S$18-1),AB$4&lt;=EOMONTH(CloseDate,'Rent Roll'!$O$18+'Rent Roll'!$S$18-1+'Rent Roll'!$V$18)),-AB143,0)</f>
        <v>0</v>
      </c>
      <c r="AC144" s="49">
        <f>IF(AND(AC$4&gt;EOMONTH(CloseDate,'Rent Roll'!$O$18+'Rent Roll'!$S$18-1),AC$4&lt;=EOMONTH(CloseDate,'Rent Roll'!$O$18+'Rent Roll'!$S$18-1+'Rent Roll'!$V$18)),-AC143,0)</f>
        <v>0</v>
      </c>
      <c r="AD144" s="49">
        <f>IF(AND(AD$4&gt;EOMONTH(CloseDate,'Rent Roll'!$O$18+'Rent Roll'!$S$18-1),AD$4&lt;=EOMONTH(CloseDate,'Rent Roll'!$O$18+'Rent Roll'!$S$18-1+'Rent Roll'!$V$18)),-AD143,0)</f>
        <v>0</v>
      </c>
      <c r="AE144" s="49">
        <f>IF(AND(AE$4&gt;EOMONTH(CloseDate,'Rent Roll'!$O$18+'Rent Roll'!$S$18-1),AE$4&lt;=EOMONTH(CloseDate,'Rent Roll'!$O$18+'Rent Roll'!$S$18-1+'Rent Roll'!$V$18)),-AE143,0)</f>
        <v>0</v>
      </c>
      <c r="AF144" s="49">
        <f>IF(AND(AF$4&gt;EOMONTH(CloseDate,'Rent Roll'!$O$18+'Rent Roll'!$S$18-1),AF$4&lt;=EOMONTH(CloseDate,'Rent Roll'!$O$18+'Rent Roll'!$S$18-1+'Rent Roll'!$V$18)),-AF143,0)</f>
        <v>0</v>
      </c>
      <c r="AG144" s="49">
        <f>IF(AND(AG$4&gt;EOMONTH(CloseDate,'Rent Roll'!$O$18+'Rent Roll'!$S$18-1),AG$4&lt;=EOMONTH(CloseDate,'Rent Roll'!$O$18+'Rent Roll'!$S$18-1+'Rent Roll'!$V$18)),-AG143,0)</f>
        <v>0</v>
      </c>
      <c r="AH144" s="49">
        <f>IF(AND(AH$4&gt;EOMONTH(CloseDate,'Rent Roll'!$O$18+'Rent Roll'!$S$18-1),AH$4&lt;=EOMONTH(CloseDate,'Rent Roll'!$O$18+'Rent Roll'!$S$18-1+'Rent Roll'!$V$18)),-AH143,0)</f>
        <v>0</v>
      </c>
      <c r="AI144" s="49">
        <f>IF(AND(AI$4&gt;EOMONTH(CloseDate,'Rent Roll'!$O$18+'Rent Roll'!$S$18-1),AI$4&lt;=EOMONTH(CloseDate,'Rent Roll'!$O$18+'Rent Roll'!$S$18-1+'Rent Roll'!$V$18)),-AI143,0)</f>
        <v>0</v>
      </c>
      <c r="AJ144" s="49">
        <f>IF(AND(AJ$4&gt;EOMONTH(CloseDate,'Rent Roll'!$O$18+'Rent Roll'!$S$18-1),AJ$4&lt;=EOMONTH(CloseDate,'Rent Roll'!$O$18+'Rent Roll'!$S$18-1+'Rent Roll'!$V$18)),-AJ143,0)</f>
        <v>0</v>
      </c>
      <c r="AK144" s="49">
        <f>IF(AND(AK$4&gt;EOMONTH(CloseDate,'Rent Roll'!$O$18+'Rent Roll'!$S$18-1),AK$4&lt;=EOMONTH(CloseDate,'Rent Roll'!$O$18+'Rent Roll'!$S$18-1+'Rent Roll'!$V$18)),-AK143,0)</f>
        <v>0</v>
      </c>
      <c r="AL144" s="49">
        <f>IF(AND(AL$4&gt;EOMONTH(CloseDate,'Rent Roll'!$O$18+'Rent Roll'!$S$18-1),AL$4&lt;=EOMONTH(CloseDate,'Rent Roll'!$O$18+'Rent Roll'!$S$18-1+'Rent Roll'!$V$18)),-AL143,0)</f>
        <v>0</v>
      </c>
      <c r="AM144" s="49">
        <f>IF(AND(AM$4&gt;EOMONTH(CloseDate,'Rent Roll'!$O$18+'Rent Roll'!$S$18-1),AM$4&lt;=EOMONTH(CloseDate,'Rent Roll'!$O$18+'Rent Roll'!$S$18-1+'Rent Roll'!$V$18)),-AM143,0)</f>
        <v>0</v>
      </c>
      <c r="AN144" s="49">
        <f>IF(AND(AN$4&gt;EOMONTH(CloseDate,'Rent Roll'!$O$18+'Rent Roll'!$S$18-1),AN$4&lt;=EOMONTH(CloseDate,'Rent Roll'!$O$18+'Rent Roll'!$S$18-1+'Rent Roll'!$V$18)),-AN143,0)</f>
        <v>0</v>
      </c>
      <c r="AO144" s="49">
        <f>IF(AND(AO$4&gt;EOMONTH(CloseDate,'Rent Roll'!$O$18+'Rent Roll'!$S$18-1),AO$4&lt;=EOMONTH(CloseDate,'Rent Roll'!$O$18+'Rent Roll'!$S$18-1+'Rent Roll'!$V$18)),-AO143,0)</f>
        <v>0</v>
      </c>
      <c r="AP144" s="49">
        <f>IF(AND(AP$4&gt;EOMONTH(CloseDate,'Rent Roll'!$O$18+'Rent Roll'!$S$18-1),AP$4&lt;=EOMONTH(CloseDate,'Rent Roll'!$O$18+'Rent Roll'!$S$18-1+'Rent Roll'!$V$18)),-AP143,0)</f>
        <v>0</v>
      </c>
      <c r="AQ144" s="49">
        <f>IF(AND(AQ$4&gt;EOMONTH(CloseDate,'Rent Roll'!$O$18+'Rent Roll'!$S$18-1),AQ$4&lt;=EOMONTH(CloseDate,'Rent Roll'!$O$18+'Rent Roll'!$S$18-1+'Rent Roll'!$V$18)),-AQ143,0)</f>
        <v>0</v>
      </c>
      <c r="AR144" s="49">
        <f>IF(AND(AR$4&gt;EOMONTH(CloseDate,'Rent Roll'!$O$18+'Rent Roll'!$S$18-1),AR$4&lt;=EOMONTH(CloseDate,'Rent Roll'!$O$18+'Rent Roll'!$S$18-1+'Rent Roll'!$V$18)),-AR143,0)</f>
        <v>0</v>
      </c>
      <c r="AS144" s="49">
        <f>IF(AND(AS$4&gt;EOMONTH(CloseDate,'Rent Roll'!$O$18+'Rent Roll'!$S$18-1),AS$4&lt;=EOMONTH(CloseDate,'Rent Roll'!$O$18+'Rent Roll'!$S$18-1+'Rent Roll'!$V$18)),-AS143,0)</f>
        <v>0</v>
      </c>
      <c r="AT144" s="49">
        <f>IF(AND(AT$4&gt;EOMONTH(CloseDate,'Rent Roll'!$O$18+'Rent Roll'!$S$18-1),AT$4&lt;=EOMONTH(CloseDate,'Rent Roll'!$O$18+'Rent Roll'!$S$18-1+'Rent Roll'!$V$18)),-AT143,0)</f>
        <v>0</v>
      </c>
      <c r="AU144" s="49">
        <f>IF(AND(AU$4&gt;EOMONTH(CloseDate,'Rent Roll'!$O$18+'Rent Roll'!$S$18-1),AU$4&lt;=EOMONTH(CloseDate,'Rent Roll'!$O$18+'Rent Roll'!$S$18-1+'Rent Roll'!$V$18)),-AU143,0)</f>
        <v>0</v>
      </c>
      <c r="AV144" s="49">
        <f>IF(AND(AV$4&gt;EOMONTH(CloseDate,'Rent Roll'!$O$18+'Rent Roll'!$S$18-1),AV$4&lt;=EOMONTH(CloseDate,'Rent Roll'!$O$18+'Rent Roll'!$S$18-1+'Rent Roll'!$V$18)),-AV143,0)</f>
        <v>0</v>
      </c>
      <c r="AW144" s="49">
        <f>IF(AND(AW$4&gt;EOMONTH(CloseDate,'Rent Roll'!$O$18+'Rent Roll'!$S$18-1),AW$4&lt;=EOMONTH(CloseDate,'Rent Roll'!$O$18+'Rent Roll'!$S$18-1+'Rent Roll'!$V$18)),-AW143,0)</f>
        <v>0</v>
      </c>
      <c r="AX144" s="49">
        <f>IF(AND(AX$4&gt;EOMONTH(CloseDate,'Rent Roll'!$O$18+'Rent Roll'!$S$18-1),AX$4&lt;=EOMONTH(CloseDate,'Rent Roll'!$O$18+'Rent Roll'!$S$18-1+'Rent Roll'!$V$18)),-AX143,0)</f>
        <v>0</v>
      </c>
      <c r="AY144" s="49">
        <f>IF(AND(AY$4&gt;EOMONTH(CloseDate,'Rent Roll'!$O$18+'Rent Roll'!$S$18-1),AY$4&lt;=EOMONTH(CloseDate,'Rent Roll'!$O$18+'Rent Roll'!$S$18-1+'Rent Roll'!$V$18)),-AY143,0)</f>
        <v>0</v>
      </c>
      <c r="AZ144" s="49">
        <f>IF(AND(AZ$4&gt;EOMONTH(CloseDate,'Rent Roll'!$O$18+'Rent Roll'!$S$18-1),AZ$4&lt;=EOMONTH(CloseDate,'Rent Roll'!$O$18+'Rent Roll'!$S$18-1+'Rent Roll'!$V$18)),-AZ143,0)</f>
        <v>0</v>
      </c>
      <c r="BA144" s="49">
        <f>IF(AND(BA$4&gt;EOMONTH(CloseDate,'Rent Roll'!$O$18+'Rent Roll'!$S$18-1),BA$4&lt;=EOMONTH(CloseDate,'Rent Roll'!$O$18+'Rent Roll'!$S$18-1+'Rent Roll'!$V$18)),-BA143,0)</f>
        <v>0</v>
      </c>
      <c r="BB144" s="49">
        <f>IF(AND(BB$4&gt;EOMONTH(CloseDate,'Rent Roll'!$O$18+'Rent Roll'!$S$18-1),BB$4&lt;=EOMONTH(CloseDate,'Rent Roll'!$O$18+'Rent Roll'!$S$18-1+'Rent Roll'!$V$18)),-BB143,0)</f>
        <v>0</v>
      </c>
      <c r="BC144" s="49">
        <f>IF(AND(BC$4&gt;EOMONTH(CloseDate,'Rent Roll'!$O$18+'Rent Roll'!$S$18-1),BC$4&lt;=EOMONTH(CloseDate,'Rent Roll'!$O$18+'Rent Roll'!$S$18-1+'Rent Roll'!$V$18)),-BC143,0)</f>
        <v>0</v>
      </c>
      <c r="BD144" s="49">
        <f>IF(AND(BD$4&gt;EOMONTH(CloseDate,'Rent Roll'!$O$18+'Rent Roll'!$S$18-1),BD$4&lt;=EOMONTH(CloseDate,'Rent Roll'!$O$18+'Rent Roll'!$S$18-1+'Rent Roll'!$V$18)),-BD143,0)</f>
        <v>0</v>
      </c>
      <c r="BE144" s="49">
        <f>IF(AND(BE$4&gt;EOMONTH(CloseDate,'Rent Roll'!$O$18+'Rent Roll'!$S$18-1),BE$4&lt;=EOMONTH(CloseDate,'Rent Roll'!$O$18+'Rent Roll'!$S$18-1+'Rent Roll'!$V$18)),-BE143,0)</f>
        <v>0</v>
      </c>
      <c r="BF144" s="49">
        <f>IF(AND(BF$4&gt;EOMONTH(CloseDate,'Rent Roll'!$O$18+'Rent Roll'!$S$18-1),BF$4&lt;=EOMONTH(CloseDate,'Rent Roll'!$O$18+'Rent Roll'!$S$18-1+'Rent Roll'!$V$18)),-BF143,0)</f>
        <v>0</v>
      </c>
      <c r="BG144" s="49">
        <f>IF(AND(BG$4&gt;EOMONTH(CloseDate,'Rent Roll'!$O$18+'Rent Roll'!$S$18-1),BG$4&lt;=EOMONTH(CloseDate,'Rent Roll'!$O$18+'Rent Roll'!$S$18-1+'Rent Roll'!$V$18)),-BG143,0)</f>
        <v>0</v>
      </c>
      <c r="BH144" s="49">
        <f>IF(AND(BH$4&gt;EOMONTH(CloseDate,'Rent Roll'!$O$18+'Rent Roll'!$S$18-1),BH$4&lt;=EOMONTH(CloseDate,'Rent Roll'!$O$18+'Rent Roll'!$S$18-1+'Rent Roll'!$V$18)),-BH143,0)</f>
        <v>0</v>
      </c>
      <c r="BI144" s="49">
        <f>IF(AND(BI$4&gt;EOMONTH(CloseDate,'Rent Roll'!$O$18+'Rent Roll'!$S$18-1),BI$4&lt;=EOMONTH(CloseDate,'Rent Roll'!$O$18+'Rent Roll'!$S$18-1+'Rent Roll'!$V$18)),-BI143,0)</f>
        <v>0</v>
      </c>
      <c r="BJ144" s="49">
        <f>IF(AND(BJ$4&gt;EOMONTH(CloseDate,'Rent Roll'!$O$18+'Rent Roll'!$S$18-1),BJ$4&lt;=EOMONTH(CloseDate,'Rent Roll'!$O$18+'Rent Roll'!$S$18-1+'Rent Roll'!$V$18)),-BJ143,0)</f>
        <v>0</v>
      </c>
      <c r="BK144" s="49">
        <f>IF(AND(BK$4&gt;EOMONTH(CloseDate,'Rent Roll'!$O$18+'Rent Roll'!$S$18-1),BK$4&lt;=EOMONTH(CloseDate,'Rent Roll'!$O$18+'Rent Roll'!$S$18-1+'Rent Roll'!$V$18)),-BK143,0)</f>
        <v>0</v>
      </c>
      <c r="BL144" s="49">
        <f>IF(AND(BL$4&gt;EOMONTH(CloseDate,'Rent Roll'!$O$18+'Rent Roll'!$S$18-1),BL$4&lt;=EOMONTH(CloseDate,'Rent Roll'!$O$18+'Rent Roll'!$S$18-1+'Rent Roll'!$V$18)),-BL143,0)</f>
        <v>0</v>
      </c>
      <c r="BM144" s="49">
        <f>IF(AND(BM$4&gt;EOMONTH(CloseDate,'Rent Roll'!$O$18+'Rent Roll'!$S$18-1),BM$4&lt;=EOMONTH(CloseDate,'Rent Roll'!$O$18+'Rent Roll'!$S$18-1+'Rent Roll'!$V$18)),-BM143,0)</f>
        <v>0</v>
      </c>
      <c r="BN144" s="49">
        <f>IF(AND(BN$4&gt;EOMONTH(CloseDate,'Rent Roll'!$O$18+'Rent Roll'!$S$18-1),BN$4&lt;=EOMONTH(CloseDate,'Rent Roll'!$O$18+'Rent Roll'!$S$18-1+'Rent Roll'!$V$18)),-BN143,0)</f>
        <v>0</v>
      </c>
      <c r="BO144" s="49">
        <f>IF(AND(BO$4&gt;EOMONTH(CloseDate,'Rent Roll'!$O$18+'Rent Roll'!$S$18-1),BO$4&lt;=EOMONTH(CloseDate,'Rent Roll'!$O$18+'Rent Roll'!$S$18-1+'Rent Roll'!$V$18)),-BO143,0)</f>
        <v>0</v>
      </c>
      <c r="BP144" s="49">
        <f>IF(AND(BP$4&gt;EOMONTH(CloseDate,'Rent Roll'!$O$18+'Rent Roll'!$S$18-1),BP$4&lt;=EOMONTH(CloseDate,'Rent Roll'!$O$18+'Rent Roll'!$S$18-1+'Rent Roll'!$V$18)),-BP143,0)</f>
        <v>0</v>
      </c>
      <c r="BQ144" s="49">
        <f>IF(AND(BQ$4&gt;EOMONTH(CloseDate,'Rent Roll'!$O$18+'Rent Roll'!$S$18-1),BQ$4&lt;=EOMONTH(CloseDate,'Rent Roll'!$O$18+'Rent Roll'!$S$18-1+'Rent Roll'!$V$18)),-BQ143,0)</f>
        <v>0</v>
      </c>
      <c r="BR144" s="49">
        <f>IF(AND(BR$4&gt;EOMONTH(CloseDate,'Rent Roll'!$O$18+'Rent Roll'!$S$18-1),BR$4&lt;=EOMONTH(CloseDate,'Rent Roll'!$O$18+'Rent Roll'!$S$18-1+'Rent Roll'!$V$18)),-BR143,0)</f>
        <v>0</v>
      </c>
      <c r="BS144" s="49">
        <f>IF(AND(BS$4&gt;EOMONTH(CloseDate,'Rent Roll'!$O$18+'Rent Roll'!$S$18-1),BS$4&lt;=EOMONTH(CloseDate,'Rent Roll'!$O$18+'Rent Roll'!$S$18-1+'Rent Roll'!$V$18)),-BS143,0)</f>
        <v>0</v>
      </c>
      <c r="BT144" s="49">
        <f>IF(AND(BT$4&gt;EOMONTH(CloseDate,'Rent Roll'!$O$18+'Rent Roll'!$S$18-1),BT$4&lt;=EOMONTH(CloseDate,'Rent Roll'!$O$18+'Rent Roll'!$S$18-1+'Rent Roll'!$V$18)),-BT143,0)</f>
        <v>0</v>
      </c>
      <c r="BU144" s="49">
        <f>IF(AND(BU$4&gt;EOMONTH(CloseDate,'Rent Roll'!$O$18+'Rent Roll'!$S$18-1),BU$4&lt;=EOMONTH(CloseDate,'Rent Roll'!$O$18+'Rent Roll'!$S$18-1+'Rent Roll'!$V$18)),-BU143,0)</f>
        <v>0</v>
      </c>
      <c r="BV144" s="49">
        <f>IF(AND(BV$4&gt;EOMONTH(CloseDate,'Rent Roll'!$O$18+'Rent Roll'!$S$18-1),BV$4&lt;=EOMONTH(CloseDate,'Rent Roll'!$O$18+'Rent Roll'!$S$18-1+'Rent Roll'!$V$18)),-BV143,0)</f>
        <v>0</v>
      </c>
      <c r="BW144" s="49">
        <f>IF(AND(BW$4&gt;EOMONTH(CloseDate,'Rent Roll'!$O$18+'Rent Roll'!$S$18-1),BW$4&lt;=EOMONTH(CloseDate,'Rent Roll'!$O$18+'Rent Roll'!$S$18-1+'Rent Roll'!$V$18)),-BW143,0)</f>
        <v>0</v>
      </c>
      <c r="BX144" s="49">
        <f>IF(AND(BX$4&gt;EOMONTH(CloseDate,'Rent Roll'!$O$18+'Rent Roll'!$S$18-1),BX$4&lt;=EOMONTH(CloseDate,'Rent Roll'!$O$18+'Rent Roll'!$S$18-1+'Rent Roll'!$V$18)),-BX143,0)</f>
        <v>0</v>
      </c>
    </row>
    <row r="145" spans="1:76" hidden="1" outlineLevel="1">
      <c r="B145" t="s">
        <v>84</v>
      </c>
      <c r="D145" s="49">
        <f>D141+D143+D144</f>
        <v>7800</v>
      </c>
      <c r="E145" s="49">
        <f t="shared" ref="E145:BJ145" si="53">E141+E143+E144</f>
        <v>7800</v>
      </c>
      <c r="F145" s="49">
        <f t="shared" si="53"/>
        <v>7800</v>
      </c>
      <c r="G145" s="49">
        <f t="shared" si="53"/>
        <v>7800</v>
      </c>
      <c r="H145" s="49">
        <f t="shared" si="53"/>
        <v>7800</v>
      </c>
      <c r="I145" s="49">
        <f t="shared" si="53"/>
        <v>7800</v>
      </c>
      <c r="J145" s="49">
        <f t="shared" si="53"/>
        <v>7800</v>
      </c>
      <c r="K145" s="49">
        <f t="shared" si="53"/>
        <v>7800</v>
      </c>
      <c r="L145" s="49">
        <f t="shared" si="53"/>
        <v>7800</v>
      </c>
      <c r="M145" s="49">
        <f t="shared" si="53"/>
        <v>7800</v>
      </c>
      <c r="N145" s="49">
        <f t="shared" si="53"/>
        <v>7800</v>
      </c>
      <c r="O145" s="49">
        <f t="shared" si="53"/>
        <v>7800</v>
      </c>
      <c r="P145" s="49">
        <f t="shared" si="53"/>
        <v>0</v>
      </c>
      <c r="Q145" s="49">
        <f t="shared" si="53"/>
        <v>0</v>
      </c>
      <c r="R145" s="49">
        <f t="shared" si="53"/>
        <v>0</v>
      </c>
      <c r="S145" s="49">
        <f t="shared" si="53"/>
        <v>0</v>
      </c>
      <c r="T145" s="49">
        <f t="shared" si="53"/>
        <v>0</v>
      </c>
      <c r="U145" s="49">
        <f t="shared" si="53"/>
        <v>0</v>
      </c>
      <c r="V145" s="49">
        <f t="shared" si="53"/>
        <v>0</v>
      </c>
      <c r="W145" s="49">
        <f t="shared" si="53"/>
        <v>0</v>
      </c>
      <c r="X145" s="49">
        <f t="shared" si="53"/>
        <v>10257.239524999995</v>
      </c>
      <c r="Y145" s="49">
        <f t="shared" si="53"/>
        <v>10257.239524999995</v>
      </c>
      <c r="Z145" s="49">
        <f t="shared" si="53"/>
        <v>10257.239524999995</v>
      </c>
      <c r="AA145" s="49">
        <f t="shared" si="53"/>
        <v>10257.239524999995</v>
      </c>
      <c r="AB145" s="49">
        <f t="shared" si="53"/>
        <v>10257.239524999995</v>
      </c>
      <c r="AC145" s="49">
        <f t="shared" si="53"/>
        <v>10257.239524999995</v>
      </c>
      <c r="AD145" s="49">
        <f t="shared" si="53"/>
        <v>10257.239524999995</v>
      </c>
      <c r="AE145" s="49">
        <f t="shared" si="53"/>
        <v>10257.239524999995</v>
      </c>
      <c r="AF145" s="49">
        <f t="shared" si="53"/>
        <v>10257.239524999995</v>
      </c>
      <c r="AG145" s="49">
        <f t="shared" si="53"/>
        <v>10534.184992174996</v>
      </c>
      <c r="AH145" s="49">
        <f t="shared" si="53"/>
        <v>10534.184992174996</v>
      </c>
      <c r="AI145" s="49">
        <f t="shared" si="53"/>
        <v>10534.184992174996</v>
      </c>
      <c r="AJ145" s="49">
        <f t="shared" si="53"/>
        <v>10534.184992174996</v>
      </c>
      <c r="AK145" s="49">
        <f t="shared" si="53"/>
        <v>10534.184992174996</v>
      </c>
      <c r="AL145" s="49">
        <f t="shared" si="53"/>
        <v>10534.184992174996</v>
      </c>
      <c r="AM145" s="49">
        <f t="shared" si="53"/>
        <v>10534.184992174996</v>
      </c>
      <c r="AN145" s="49">
        <f t="shared" si="53"/>
        <v>10534.184992174996</v>
      </c>
      <c r="AO145" s="49">
        <f t="shared" si="53"/>
        <v>10534.184992174996</v>
      </c>
      <c r="AP145" s="49">
        <f t="shared" si="53"/>
        <v>10534.184992174996</v>
      </c>
      <c r="AQ145" s="49">
        <f t="shared" si="53"/>
        <v>10534.184992174996</v>
      </c>
      <c r="AR145" s="49">
        <f t="shared" si="53"/>
        <v>10534.184992174996</v>
      </c>
      <c r="AS145" s="49">
        <f t="shared" si="53"/>
        <v>10818.60798696372</v>
      </c>
      <c r="AT145" s="49">
        <f t="shared" si="53"/>
        <v>10818.60798696372</v>
      </c>
      <c r="AU145" s="49">
        <f t="shared" si="53"/>
        <v>10818.60798696372</v>
      </c>
      <c r="AV145" s="49">
        <f t="shared" si="53"/>
        <v>10818.60798696372</v>
      </c>
      <c r="AW145" s="49">
        <f t="shared" si="53"/>
        <v>10818.60798696372</v>
      </c>
      <c r="AX145" s="49">
        <f t="shared" si="53"/>
        <v>10818.60798696372</v>
      </c>
      <c r="AY145" s="49">
        <f t="shared" si="53"/>
        <v>10818.60798696372</v>
      </c>
      <c r="AZ145" s="49">
        <f t="shared" si="53"/>
        <v>10818.60798696372</v>
      </c>
      <c r="BA145" s="49">
        <f t="shared" si="53"/>
        <v>10818.60798696372</v>
      </c>
      <c r="BB145" s="49">
        <f t="shared" si="53"/>
        <v>10818.60798696372</v>
      </c>
      <c r="BC145" s="49">
        <f t="shared" si="53"/>
        <v>10818.60798696372</v>
      </c>
      <c r="BD145" s="49">
        <f t="shared" si="53"/>
        <v>10818.60798696372</v>
      </c>
      <c r="BE145" s="49">
        <f t="shared" si="53"/>
        <v>11110.710402611739</v>
      </c>
      <c r="BF145" s="49">
        <f t="shared" si="53"/>
        <v>11110.710402611739</v>
      </c>
      <c r="BG145" s="49">
        <f t="shared" si="53"/>
        <v>11110.710402611739</v>
      </c>
      <c r="BH145" s="49">
        <f t="shared" si="53"/>
        <v>11110.710402611739</v>
      </c>
      <c r="BI145" s="49">
        <f t="shared" si="53"/>
        <v>11110.710402611739</v>
      </c>
      <c r="BJ145" s="49">
        <f t="shared" si="53"/>
        <v>11110.710402611739</v>
      </c>
      <c r="BK145" s="49">
        <f t="shared" ref="BK145" si="54">BK141+BK143+BK144</f>
        <v>11110.710402611739</v>
      </c>
      <c r="BL145" s="49">
        <f t="shared" ref="BL145:BX145" si="55">BL141+BL143+BL144</f>
        <v>11110.710402611739</v>
      </c>
      <c r="BM145" s="49">
        <f t="shared" si="55"/>
        <v>11110.710402611739</v>
      </c>
      <c r="BN145" s="49">
        <f t="shared" si="55"/>
        <v>11110.710402611739</v>
      </c>
      <c r="BO145" s="49">
        <f t="shared" si="55"/>
        <v>11110.710402611739</v>
      </c>
      <c r="BP145" s="49">
        <f t="shared" si="55"/>
        <v>11110.710402611739</v>
      </c>
      <c r="BQ145" s="49">
        <f t="shared" si="55"/>
        <v>11410.699583482254</v>
      </c>
      <c r="BR145" s="49">
        <f t="shared" si="55"/>
        <v>11410.699583482254</v>
      </c>
      <c r="BS145" s="49">
        <f t="shared" si="55"/>
        <v>11410.699583482254</v>
      </c>
      <c r="BT145" s="49">
        <f t="shared" si="55"/>
        <v>11410.699583482254</v>
      </c>
      <c r="BU145" s="49">
        <f t="shared" si="55"/>
        <v>11410.699583482254</v>
      </c>
      <c r="BV145" s="49">
        <f t="shared" si="55"/>
        <v>11410.699583482254</v>
      </c>
      <c r="BW145" s="49">
        <f t="shared" si="55"/>
        <v>11410.699583482254</v>
      </c>
      <c r="BX145" s="49">
        <f t="shared" si="55"/>
        <v>11410.699583482254</v>
      </c>
    </row>
    <row r="146" spans="1:76" hidden="1" outlineLevel="1">
      <c r="B146" t="s">
        <v>85</v>
      </c>
      <c r="D146" s="49">
        <f>IF(OR(D140=1,D142=1),'Rent Roll'!$F$18/BldgSF*ReimbPool/12*D$7,0)</f>
        <v>4188</v>
      </c>
      <c r="E146" s="49">
        <f>IF(OR(E140=1,E142=1),'Rent Roll'!$F$18/BldgSF*ReimbPool/12*E$7,0)</f>
        <v>4188</v>
      </c>
      <c r="F146" s="49">
        <f>IF(OR(F140=1,F142=1),'Rent Roll'!$F$18/BldgSF*ReimbPool/12*F$7,0)</f>
        <v>4188</v>
      </c>
      <c r="G146" s="49">
        <f>IF(OR(G140=1,G142=1),'Rent Roll'!$F$18/BldgSF*ReimbPool/12*G$7,0)</f>
        <v>4188</v>
      </c>
      <c r="H146" s="49">
        <f>IF(OR(H140=1,H142=1),'Rent Roll'!$F$18/BldgSF*ReimbPool/12*H$7,0)</f>
        <v>4188</v>
      </c>
      <c r="I146" s="49">
        <f>IF(OR(I140=1,I142=1),'Rent Roll'!$F$18/BldgSF*ReimbPool/12*I$7,0)</f>
        <v>4301.076</v>
      </c>
      <c r="J146" s="49">
        <f>IF(OR(J140=1,J142=1),'Rent Roll'!$F$18/BldgSF*ReimbPool/12*J$7,0)</f>
        <v>4301.076</v>
      </c>
      <c r="K146" s="49">
        <f>IF(OR(K140=1,K142=1),'Rent Roll'!$F$18/BldgSF*ReimbPool/12*K$7,0)</f>
        <v>4301.076</v>
      </c>
      <c r="L146" s="49">
        <f>IF(OR(L140=1,L142=1),'Rent Roll'!$F$18/BldgSF*ReimbPool/12*L$7,0)</f>
        <v>4301.076</v>
      </c>
      <c r="M146" s="49">
        <f>IF(OR(M140=1,M142=1),'Rent Roll'!$F$18/BldgSF*ReimbPool/12*M$7,0)</f>
        <v>4301.076</v>
      </c>
      <c r="N146" s="49">
        <f>IF(OR(N140=1,N142=1),'Rent Roll'!$F$18/BldgSF*ReimbPool/12*N$7,0)</f>
        <v>4301.076</v>
      </c>
      <c r="O146" s="49">
        <f>IF(OR(O140=1,O142=1),'Rent Roll'!$F$18/BldgSF*ReimbPool/12*O$7,0)</f>
        <v>4301.076</v>
      </c>
      <c r="P146" s="49">
        <f>IF(OR(P140=1,P142=1),'Rent Roll'!$F$18/BldgSF*ReimbPool/12*P$7,0)</f>
        <v>0</v>
      </c>
      <c r="Q146" s="49">
        <f>IF(OR(Q140=1,Q142=1),'Rent Roll'!$F$18/BldgSF*ReimbPool/12*Q$7,0)</f>
        <v>0</v>
      </c>
      <c r="R146" s="49">
        <f>IF(OR(R140=1,R142=1),'Rent Roll'!$F$18/BldgSF*ReimbPool/12*R$7,0)</f>
        <v>0</v>
      </c>
      <c r="S146" s="49">
        <f>IF(OR(S140=1,S142=1),'Rent Roll'!$F$18/BldgSF*ReimbPool/12*S$7,0)</f>
        <v>0</v>
      </c>
      <c r="T146" s="49">
        <f>IF(OR(T140=1,T142=1),'Rent Roll'!$F$18/BldgSF*ReimbPool/12*T$7,0)</f>
        <v>0</v>
      </c>
      <c r="U146" s="49">
        <f>IF(OR(U140=1,U142=1),'Rent Roll'!$F$18/BldgSF*ReimbPool/12*U$7,0)</f>
        <v>0</v>
      </c>
      <c r="V146" s="49">
        <f>IF(OR(V140=1,V142=1),'Rent Roll'!$F$18/BldgSF*ReimbPool/12*V$7,0)</f>
        <v>4417.2050519999993</v>
      </c>
      <c r="W146" s="49">
        <f>IF(OR(W140=1,W142=1),'Rent Roll'!$F$18/BldgSF*ReimbPool/12*W$7,0)</f>
        <v>4417.2050519999993</v>
      </c>
      <c r="X146" s="49">
        <f>IF(OR(X140=1,X142=1),'Rent Roll'!$F$18/BldgSF*ReimbPool/12*X$7,0)</f>
        <v>4417.2050519999993</v>
      </c>
      <c r="Y146" s="49">
        <f>IF(OR(Y140=1,Y142=1),'Rent Roll'!$F$18/BldgSF*ReimbPool/12*Y$7,0)</f>
        <v>4417.2050519999993</v>
      </c>
      <c r="Z146" s="49">
        <f>IF(OR(Z140=1,Z142=1),'Rent Roll'!$F$18/BldgSF*ReimbPool/12*Z$7,0)</f>
        <v>4417.2050519999993</v>
      </c>
      <c r="AA146" s="49">
        <f>IF(OR(AA140=1,AA142=1),'Rent Roll'!$F$18/BldgSF*ReimbPool/12*AA$7,0)</f>
        <v>4417.2050519999993</v>
      </c>
      <c r="AB146" s="49">
        <f>IF(OR(AB140=1,AB142=1),'Rent Roll'!$F$18/BldgSF*ReimbPool/12*AB$7,0)</f>
        <v>4417.2050519999993</v>
      </c>
      <c r="AC146" s="49">
        <f>IF(OR(AC140=1,AC142=1),'Rent Roll'!$F$18/BldgSF*ReimbPool/12*AC$7,0)</f>
        <v>4417.2050519999993</v>
      </c>
      <c r="AD146" s="49">
        <f>IF(OR(AD140=1,AD142=1),'Rent Roll'!$F$18/BldgSF*ReimbPool/12*AD$7,0)</f>
        <v>4417.2050519999993</v>
      </c>
      <c r="AE146" s="49">
        <f>IF(OR(AE140=1,AE142=1),'Rent Roll'!$F$18/BldgSF*ReimbPool/12*AE$7,0)</f>
        <v>4417.2050519999993</v>
      </c>
      <c r="AF146" s="49">
        <f>IF(OR(AF140=1,AF142=1),'Rent Roll'!$F$18/BldgSF*ReimbPool/12*AF$7,0)</f>
        <v>4417.2050519999993</v>
      </c>
      <c r="AG146" s="49">
        <f>IF(OR(AG140=1,AG142=1),'Rent Roll'!$F$18/BldgSF*ReimbPool/12*AG$7,0)</f>
        <v>4536.4695884039993</v>
      </c>
      <c r="AH146" s="49">
        <f>IF(OR(AH140=1,AH142=1),'Rent Roll'!$F$18/BldgSF*ReimbPool/12*AH$7,0)</f>
        <v>4536.4695884039993</v>
      </c>
      <c r="AI146" s="49">
        <f>IF(OR(AI140=1,AI142=1),'Rent Roll'!$F$18/BldgSF*ReimbPool/12*AI$7,0)</f>
        <v>4536.4695884039993</v>
      </c>
      <c r="AJ146" s="49">
        <f>IF(OR(AJ140=1,AJ142=1),'Rent Roll'!$F$18/BldgSF*ReimbPool/12*AJ$7,0)</f>
        <v>4536.4695884039993</v>
      </c>
      <c r="AK146" s="49">
        <f>IF(OR(AK140=1,AK142=1),'Rent Roll'!$F$18/BldgSF*ReimbPool/12*AK$7,0)</f>
        <v>4536.4695884039993</v>
      </c>
      <c r="AL146" s="49">
        <f>IF(OR(AL140=1,AL142=1),'Rent Roll'!$F$18/BldgSF*ReimbPool/12*AL$7,0)</f>
        <v>4536.4695884039993</v>
      </c>
      <c r="AM146" s="49">
        <f>IF(OR(AM140=1,AM142=1),'Rent Roll'!$F$18/BldgSF*ReimbPool/12*AM$7,0)</f>
        <v>4536.4695884039993</v>
      </c>
      <c r="AN146" s="49">
        <f>IF(OR(AN140=1,AN142=1),'Rent Roll'!$F$18/BldgSF*ReimbPool/12*AN$7,0)</f>
        <v>4536.4695884039993</v>
      </c>
      <c r="AO146" s="49">
        <f>IF(OR(AO140=1,AO142=1),'Rent Roll'!$F$18/BldgSF*ReimbPool/12*AO$7,0)</f>
        <v>4536.4695884039993</v>
      </c>
      <c r="AP146" s="49">
        <f>IF(OR(AP140=1,AP142=1),'Rent Roll'!$F$18/BldgSF*ReimbPool/12*AP$7,0)</f>
        <v>4536.4695884039993</v>
      </c>
      <c r="AQ146" s="49">
        <f>IF(OR(AQ140=1,AQ142=1),'Rent Roll'!$F$18/BldgSF*ReimbPool/12*AQ$7,0)</f>
        <v>4536.4695884039993</v>
      </c>
      <c r="AR146" s="49">
        <f>IF(OR(AR140=1,AR142=1),'Rent Roll'!$F$18/BldgSF*ReimbPool/12*AR$7,0)</f>
        <v>4536.4695884039993</v>
      </c>
      <c r="AS146" s="49">
        <f>IF(OR(AS140=1,AS142=1),'Rent Roll'!$F$18/BldgSF*ReimbPool/12*AS$7,0)</f>
        <v>4658.9542672909065</v>
      </c>
      <c r="AT146" s="49">
        <f>IF(OR(AT140=1,AT142=1),'Rent Roll'!$F$18/BldgSF*ReimbPool/12*AT$7,0)</f>
        <v>4658.9542672909065</v>
      </c>
      <c r="AU146" s="49">
        <f>IF(OR(AU140=1,AU142=1),'Rent Roll'!$F$18/BldgSF*ReimbPool/12*AU$7,0)</f>
        <v>4658.9542672909065</v>
      </c>
      <c r="AV146" s="49">
        <f>IF(OR(AV140=1,AV142=1),'Rent Roll'!$F$18/BldgSF*ReimbPool/12*AV$7,0)</f>
        <v>4658.9542672909065</v>
      </c>
      <c r="AW146" s="49">
        <f>IF(OR(AW140=1,AW142=1),'Rent Roll'!$F$18/BldgSF*ReimbPool/12*AW$7,0)</f>
        <v>4658.9542672909065</v>
      </c>
      <c r="AX146" s="49">
        <f>IF(OR(AX140=1,AX142=1),'Rent Roll'!$F$18/BldgSF*ReimbPool/12*AX$7,0)</f>
        <v>4658.9542672909065</v>
      </c>
      <c r="AY146" s="49">
        <f>IF(OR(AY140=1,AY142=1),'Rent Roll'!$F$18/BldgSF*ReimbPool/12*AY$7,0)</f>
        <v>4658.9542672909065</v>
      </c>
      <c r="AZ146" s="49">
        <f>IF(OR(AZ140=1,AZ142=1),'Rent Roll'!$F$18/BldgSF*ReimbPool/12*AZ$7,0)</f>
        <v>4658.9542672909065</v>
      </c>
      <c r="BA146" s="49">
        <f>IF(OR(BA140=1,BA142=1),'Rent Roll'!$F$18/BldgSF*ReimbPool/12*BA$7,0)</f>
        <v>4658.9542672909065</v>
      </c>
      <c r="BB146" s="49">
        <f>IF(OR(BB140=1,BB142=1),'Rent Roll'!$F$18/BldgSF*ReimbPool/12*BB$7,0)</f>
        <v>4658.9542672909065</v>
      </c>
      <c r="BC146" s="49">
        <f>IF(OR(BC140=1,BC142=1),'Rent Roll'!$F$18/BldgSF*ReimbPool/12*BC$7,0)</f>
        <v>4658.9542672909065</v>
      </c>
      <c r="BD146" s="49">
        <f>IF(OR(BD140=1,BD142=1),'Rent Roll'!$F$18/BldgSF*ReimbPool/12*BD$7,0)</f>
        <v>4658.9542672909065</v>
      </c>
      <c r="BE146" s="49">
        <f>IF(OR(BE140=1,BE142=1),'Rent Roll'!$F$18/BldgSF*ReimbPool/12*BE$7,0)</f>
        <v>4784.74603250776</v>
      </c>
      <c r="BF146" s="49">
        <f>IF(OR(BF140=1,BF142=1),'Rent Roll'!$F$18/BldgSF*ReimbPool/12*BF$7,0)</f>
        <v>4784.74603250776</v>
      </c>
      <c r="BG146" s="49">
        <f>IF(OR(BG140=1,BG142=1),'Rent Roll'!$F$18/BldgSF*ReimbPool/12*BG$7,0)</f>
        <v>4784.74603250776</v>
      </c>
      <c r="BH146" s="49">
        <f>IF(OR(BH140=1,BH142=1),'Rent Roll'!$F$18/BldgSF*ReimbPool/12*BH$7,0)</f>
        <v>4784.74603250776</v>
      </c>
      <c r="BI146" s="49">
        <f>IF(OR(BI140=1,BI142=1),'Rent Roll'!$F$18/BldgSF*ReimbPool/12*BI$7,0)</f>
        <v>4784.74603250776</v>
      </c>
      <c r="BJ146" s="49">
        <f>IF(OR(BJ140=1,BJ142=1),'Rent Roll'!$F$18/BldgSF*ReimbPool/12*BJ$7,0)</f>
        <v>4784.74603250776</v>
      </c>
      <c r="BK146" s="49">
        <f>IF(OR(BK140=1,BK142=1),'Rent Roll'!$F$18/BldgSF*ReimbPool/12*BK$7,0)</f>
        <v>4784.74603250776</v>
      </c>
      <c r="BL146" s="49">
        <f>IF(OR(BL140=1,BL142=1),'Rent Roll'!$F$18/BldgSF*ReimbPool/12*BL$7,0)</f>
        <v>4784.74603250776</v>
      </c>
      <c r="BM146" s="49">
        <f>IF(OR(BM140=1,BM142=1),'Rent Roll'!$F$18/BldgSF*ReimbPool/12*BM$7,0)</f>
        <v>4784.74603250776</v>
      </c>
      <c r="BN146" s="49">
        <f>IF(OR(BN140=1,BN142=1),'Rent Roll'!$F$18/BldgSF*ReimbPool/12*BN$7,0)</f>
        <v>4784.74603250776</v>
      </c>
      <c r="BO146" s="49">
        <f>IF(OR(BO140=1,BO142=1),'Rent Roll'!$F$18/BldgSF*ReimbPool/12*BO$7,0)</f>
        <v>4784.74603250776</v>
      </c>
      <c r="BP146" s="49">
        <f>IF(OR(BP140=1,BP142=1),'Rent Roll'!$F$18/BldgSF*ReimbPool/12*BP$7,0)</f>
        <v>4784.74603250776</v>
      </c>
      <c r="BQ146" s="49">
        <f>IF(OR(BQ140=1,BQ142=1),'Rent Roll'!$F$18/BldgSF*ReimbPool/12*BQ$7,0)</f>
        <v>4913.9341753854696</v>
      </c>
      <c r="BR146" s="49">
        <f>IF(OR(BR140=1,BR142=1),'Rent Roll'!$F$18/BldgSF*ReimbPool/12*BR$7,0)</f>
        <v>4913.9341753854696</v>
      </c>
      <c r="BS146" s="49">
        <f>IF(OR(BS140=1,BS142=1),'Rent Roll'!$F$18/BldgSF*ReimbPool/12*BS$7,0)</f>
        <v>4913.9341753854696</v>
      </c>
      <c r="BT146" s="49">
        <f>IF(OR(BT140=1,BT142=1),'Rent Roll'!$F$18/BldgSF*ReimbPool/12*BT$7,0)</f>
        <v>4913.9341753854696</v>
      </c>
      <c r="BU146" s="49">
        <f>IF(OR(BU140=1,BU142=1),'Rent Roll'!$F$18/BldgSF*ReimbPool/12*BU$7,0)</f>
        <v>4913.9341753854696</v>
      </c>
      <c r="BV146" s="49">
        <f>IF(OR(BV140=1,BV142=1),'Rent Roll'!$F$18/BldgSF*ReimbPool/12*BV$7,0)</f>
        <v>4913.9341753854696</v>
      </c>
      <c r="BW146" s="49">
        <f>IF(OR(BW140=1,BW142=1),'Rent Roll'!$F$18/BldgSF*ReimbPool/12*BW$7,0)</f>
        <v>4913.9341753854696</v>
      </c>
      <c r="BX146" s="49">
        <f>IF(OR(BX140=1,BX142=1),'Rent Roll'!$F$18/BldgSF*ReimbPool/12*BX$7,0)</f>
        <v>4913.9341753854696</v>
      </c>
    </row>
    <row r="147" spans="1:76" hidden="1" outlineLevel="1">
      <c r="B147" t="s">
        <v>86</v>
      </c>
      <c r="D147" s="49">
        <f>IF(D$4=EOMONTH(CloseDate,'Rent Roll'!$O$18+'Rent Roll'!$S$18),-'Rent Roll'!$F$18*'Rent Roll'!$T$18,0)</f>
        <v>0</v>
      </c>
      <c r="E147" s="49">
        <f>IF(E$4=EOMONTH(CloseDate,'Rent Roll'!$O$18+'Rent Roll'!$S$18),-'Rent Roll'!$F$18*'Rent Roll'!$T$18,0)</f>
        <v>0</v>
      </c>
      <c r="F147" s="49">
        <f>IF(F$4=EOMONTH(CloseDate,'Rent Roll'!$O$18+'Rent Roll'!$S$18),-'Rent Roll'!$F$18*'Rent Roll'!$T$18,0)</f>
        <v>0</v>
      </c>
      <c r="G147" s="49">
        <f>IF(G$4=EOMONTH(CloseDate,'Rent Roll'!$O$18+'Rent Roll'!$S$18),-'Rent Roll'!$F$18*'Rent Roll'!$T$18,0)</f>
        <v>0</v>
      </c>
      <c r="H147" s="49">
        <f>IF(H$4=EOMONTH(CloseDate,'Rent Roll'!$O$18+'Rent Roll'!$S$18),-'Rent Roll'!$F$18*'Rent Roll'!$T$18,0)</f>
        <v>0</v>
      </c>
      <c r="I147" s="49">
        <f>IF(I$4=EOMONTH(CloseDate,'Rent Roll'!$O$18+'Rent Roll'!$S$18),-'Rent Roll'!$F$18*'Rent Roll'!$T$18,0)</f>
        <v>0</v>
      </c>
      <c r="J147" s="49">
        <f>IF(J$4=EOMONTH(CloseDate,'Rent Roll'!$O$18+'Rent Roll'!$S$18),-'Rent Roll'!$F$18*'Rent Roll'!$T$18,0)</f>
        <v>0</v>
      </c>
      <c r="K147" s="49">
        <f>IF(K$4=EOMONTH(CloseDate,'Rent Roll'!$O$18+'Rent Roll'!$S$18),-'Rent Roll'!$F$18*'Rent Roll'!$T$18,0)</f>
        <v>0</v>
      </c>
      <c r="L147" s="49">
        <f>IF(L$4=EOMONTH(CloseDate,'Rent Roll'!$O$18+'Rent Roll'!$S$18),-'Rent Roll'!$F$18*'Rent Roll'!$T$18,0)</f>
        <v>0</v>
      </c>
      <c r="M147" s="49">
        <f>IF(M$4=EOMONTH(CloseDate,'Rent Roll'!$O$18+'Rent Roll'!$S$18),-'Rent Roll'!$F$18*'Rent Roll'!$T$18,0)</f>
        <v>0</v>
      </c>
      <c r="N147" s="49">
        <f>IF(N$4=EOMONTH(CloseDate,'Rent Roll'!$O$18+'Rent Roll'!$S$18),-'Rent Roll'!$F$18*'Rent Roll'!$T$18,0)</f>
        <v>0</v>
      </c>
      <c r="O147" s="49">
        <f>IF(O$4=EOMONTH(CloseDate,'Rent Roll'!$O$18+'Rent Roll'!$S$18),-'Rent Roll'!$F$18*'Rent Roll'!$T$18,0)</f>
        <v>0</v>
      </c>
      <c r="P147" s="49">
        <f>IF(P$4=EOMONTH(CloseDate,'Rent Roll'!$O$18+'Rent Roll'!$S$18),-'Rent Roll'!$F$18*'Rent Roll'!$T$18,0)</f>
        <v>0</v>
      </c>
      <c r="Q147" s="49">
        <f>IF(Q$4=EOMONTH(CloseDate,'Rent Roll'!$O$18+'Rent Roll'!$S$18),-'Rent Roll'!$F$18*'Rent Roll'!$T$18,0)</f>
        <v>0</v>
      </c>
      <c r="R147" s="49">
        <f>IF(R$4=EOMONTH(CloseDate,'Rent Roll'!$O$18+'Rent Roll'!$S$18),-'Rent Roll'!$F$18*'Rent Roll'!$T$18,0)</f>
        <v>0</v>
      </c>
      <c r="S147" s="49">
        <f>IF(S$4=EOMONTH(CloseDate,'Rent Roll'!$O$18+'Rent Roll'!$S$18),-'Rent Roll'!$F$18*'Rent Roll'!$T$18,0)</f>
        <v>0</v>
      </c>
      <c r="T147" s="49">
        <f>IF(T$4=EOMONTH(CloseDate,'Rent Roll'!$O$18+'Rent Roll'!$S$18),-'Rent Roll'!$F$18*'Rent Roll'!$T$18,0)</f>
        <v>0</v>
      </c>
      <c r="U147" s="49">
        <f>IF(U$4=EOMONTH(CloseDate,'Rent Roll'!$O$18+'Rent Roll'!$S$18),-'Rent Roll'!$F$18*'Rent Roll'!$T$18,0)</f>
        <v>0</v>
      </c>
      <c r="V147" s="49">
        <f>IF(V$4=EOMONTH(CloseDate,'Rent Roll'!$O$18+'Rent Roll'!$S$18),-'Rent Roll'!$F$18*'Rent Roll'!$T$18,0)</f>
        <v>-153600</v>
      </c>
      <c r="W147" s="49">
        <f>IF(W$4=EOMONTH(CloseDate,'Rent Roll'!$O$18+'Rent Roll'!$S$18),-'Rent Roll'!$F$18*'Rent Roll'!$T$18,0)</f>
        <v>0</v>
      </c>
      <c r="X147" s="49">
        <f>IF(X$4=EOMONTH(CloseDate,'Rent Roll'!$O$18+'Rent Roll'!$S$18),-'Rent Roll'!$F$18*'Rent Roll'!$T$18,0)</f>
        <v>0</v>
      </c>
      <c r="Y147" s="49">
        <f>IF(Y$4=EOMONTH(CloseDate,'Rent Roll'!$O$18+'Rent Roll'!$S$18),-'Rent Roll'!$F$18*'Rent Roll'!$T$18,0)</f>
        <v>0</v>
      </c>
      <c r="Z147" s="49">
        <f>IF(Z$4=EOMONTH(CloseDate,'Rent Roll'!$O$18+'Rent Roll'!$S$18),-'Rent Roll'!$F$18*'Rent Roll'!$T$18,0)</f>
        <v>0</v>
      </c>
      <c r="AA147" s="49">
        <f>IF(AA$4=EOMONTH(CloseDate,'Rent Roll'!$O$18+'Rent Roll'!$S$18),-'Rent Roll'!$F$18*'Rent Roll'!$T$18,0)</f>
        <v>0</v>
      </c>
      <c r="AB147" s="49">
        <f>IF(AB$4=EOMONTH(CloseDate,'Rent Roll'!$O$18+'Rent Roll'!$S$18),-'Rent Roll'!$F$18*'Rent Roll'!$T$18,0)</f>
        <v>0</v>
      </c>
      <c r="AC147" s="49">
        <f>IF(AC$4=EOMONTH(CloseDate,'Rent Roll'!$O$18+'Rent Roll'!$S$18),-'Rent Roll'!$F$18*'Rent Roll'!$T$18,0)</f>
        <v>0</v>
      </c>
      <c r="AD147" s="49">
        <f>IF(AD$4=EOMONTH(CloseDate,'Rent Roll'!$O$18+'Rent Roll'!$S$18),-'Rent Roll'!$F$18*'Rent Roll'!$T$18,0)</f>
        <v>0</v>
      </c>
      <c r="AE147" s="49">
        <f>IF(AE$4=EOMONTH(CloseDate,'Rent Roll'!$O$18+'Rent Roll'!$S$18),-'Rent Roll'!$F$18*'Rent Roll'!$T$18,0)</f>
        <v>0</v>
      </c>
      <c r="AF147" s="49">
        <f>IF(AF$4=EOMONTH(CloseDate,'Rent Roll'!$O$18+'Rent Roll'!$S$18),-'Rent Roll'!$F$18*'Rent Roll'!$T$18,0)</f>
        <v>0</v>
      </c>
      <c r="AG147" s="49">
        <f>IF(AG$4=EOMONTH(CloseDate,'Rent Roll'!$O$18+'Rent Roll'!$S$18),-'Rent Roll'!$F$18*'Rent Roll'!$T$18,0)</f>
        <v>0</v>
      </c>
      <c r="AH147" s="49">
        <f>IF(AH$4=EOMONTH(CloseDate,'Rent Roll'!$O$18+'Rent Roll'!$S$18),-'Rent Roll'!$F$18*'Rent Roll'!$T$18,0)</f>
        <v>0</v>
      </c>
      <c r="AI147" s="49">
        <f>IF(AI$4=EOMONTH(CloseDate,'Rent Roll'!$O$18+'Rent Roll'!$S$18),-'Rent Roll'!$F$18*'Rent Roll'!$T$18,0)</f>
        <v>0</v>
      </c>
      <c r="AJ147" s="49">
        <f>IF(AJ$4=EOMONTH(CloseDate,'Rent Roll'!$O$18+'Rent Roll'!$S$18),-'Rent Roll'!$F$18*'Rent Roll'!$T$18,0)</f>
        <v>0</v>
      </c>
      <c r="AK147" s="49">
        <f>IF(AK$4=EOMONTH(CloseDate,'Rent Roll'!$O$18+'Rent Roll'!$S$18),-'Rent Roll'!$F$18*'Rent Roll'!$T$18,0)</f>
        <v>0</v>
      </c>
      <c r="AL147" s="49">
        <f>IF(AL$4=EOMONTH(CloseDate,'Rent Roll'!$O$18+'Rent Roll'!$S$18),-'Rent Roll'!$F$18*'Rent Roll'!$T$18,0)</f>
        <v>0</v>
      </c>
      <c r="AM147" s="49">
        <f>IF(AM$4=EOMONTH(CloseDate,'Rent Roll'!$O$18+'Rent Roll'!$S$18),-'Rent Roll'!$F$18*'Rent Roll'!$T$18,0)</f>
        <v>0</v>
      </c>
      <c r="AN147" s="49">
        <f>IF(AN$4=EOMONTH(CloseDate,'Rent Roll'!$O$18+'Rent Roll'!$S$18),-'Rent Roll'!$F$18*'Rent Roll'!$T$18,0)</f>
        <v>0</v>
      </c>
      <c r="AO147" s="49">
        <f>IF(AO$4=EOMONTH(CloseDate,'Rent Roll'!$O$18+'Rent Roll'!$S$18),-'Rent Roll'!$F$18*'Rent Roll'!$T$18,0)</f>
        <v>0</v>
      </c>
      <c r="AP147" s="49">
        <f>IF(AP$4=EOMONTH(CloseDate,'Rent Roll'!$O$18+'Rent Roll'!$S$18),-'Rent Roll'!$F$18*'Rent Roll'!$T$18,0)</f>
        <v>0</v>
      </c>
      <c r="AQ147" s="49">
        <f>IF(AQ$4=EOMONTH(CloseDate,'Rent Roll'!$O$18+'Rent Roll'!$S$18),-'Rent Roll'!$F$18*'Rent Roll'!$T$18,0)</f>
        <v>0</v>
      </c>
      <c r="AR147" s="49">
        <f>IF(AR$4=EOMONTH(CloseDate,'Rent Roll'!$O$18+'Rent Roll'!$S$18),-'Rent Roll'!$F$18*'Rent Roll'!$T$18,0)</f>
        <v>0</v>
      </c>
      <c r="AS147" s="49">
        <f>IF(AS$4=EOMONTH(CloseDate,'Rent Roll'!$O$18+'Rent Roll'!$S$18),-'Rent Roll'!$F$18*'Rent Roll'!$T$18,0)</f>
        <v>0</v>
      </c>
      <c r="AT147" s="49">
        <f>IF(AT$4=EOMONTH(CloseDate,'Rent Roll'!$O$18+'Rent Roll'!$S$18),-'Rent Roll'!$F$18*'Rent Roll'!$T$18,0)</f>
        <v>0</v>
      </c>
      <c r="AU147" s="49">
        <f>IF(AU$4=EOMONTH(CloseDate,'Rent Roll'!$O$18+'Rent Roll'!$S$18),-'Rent Roll'!$F$18*'Rent Roll'!$T$18,0)</f>
        <v>0</v>
      </c>
      <c r="AV147" s="49">
        <f>IF(AV$4=EOMONTH(CloseDate,'Rent Roll'!$O$18+'Rent Roll'!$S$18),-'Rent Roll'!$F$18*'Rent Roll'!$T$18,0)</f>
        <v>0</v>
      </c>
      <c r="AW147" s="49">
        <f>IF(AW$4=EOMONTH(CloseDate,'Rent Roll'!$O$18+'Rent Roll'!$S$18),-'Rent Roll'!$F$18*'Rent Roll'!$T$18,0)</f>
        <v>0</v>
      </c>
      <c r="AX147" s="49">
        <f>IF(AX$4=EOMONTH(CloseDate,'Rent Roll'!$O$18+'Rent Roll'!$S$18),-'Rent Roll'!$F$18*'Rent Roll'!$T$18,0)</f>
        <v>0</v>
      </c>
      <c r="AY147" s="49">
        <f>IF(AY$4=EOMONTH(CloseDate,'Rent Roll'!$O$18+'Rent Roll'!$S$18),-'Rent Roll'!$F$18*'Rent Roll'!$T$18,0)</f>
        <v>0</v>
      </c>
      <c r="AZ147" s="49">
        <f>IF(AZ$4=EOMONTH(CloseDate,'Rent Roll'!$O$18+'Rent Roll'!$S$18),-'Rent Roll'!$F$18*'Rent Roll'!$T$18,0)</f>
        <v>0</v>
      </c>
      <c r="BA147" s="49">
        <f>IF(BA$4=EOMONTH(CloseDate,'Rent Roll'!$O$18+'Rent Roll'!$S$18),-'Rent Roll'!$F$18*'Rent Roll'!$T$18,0)</f>
        <v>0</v>
      </c>
      <c r="BB147" s="49">
        <f>IF(BB$4=EOMONTH(CloseDate,'Rent Roll'!$O$18+'Rent Roll'!$S$18),-'Rent Roll'!$F$18*'Rent Roll'!$T$18,0)</f>
        <v>0</v>
      </c>
      <c r="BC147" s="49">
        <f>IF(BC$4=EOMONTH(CloseDate,'Rent Roll'!$O$18+'Rent Roll'!$S$18),-'Rent Roll'!$F$18*'Rent Roll'!$T$18,0)</f>
        <v>0</v>
      </c>
      <c r="BD147" s="49">
        <f>IF(BD$4=EOMONTH(CloseDate,'Rent Roll'!$O$18+'Rent Roll'!$S$18),-'Rent Roll'!$F$18*'Rent Roll'!$T$18,0)</f>
        <v>0</v>
      </c>
      <c r="BE147" s="49">
        <f>IF(BE$4=EOMONTH(CloseDate,'Rent Roll'!$O$18+'Rent Roll'!$S$18),-'Rent Roll'!$F$18*'Rent Roll'!$T$18,0)</f>
        <v>0</v>
      </c>
      <c r="BF147" s="49">
        <f>IF(BF$4=EOMONTH(CloseDate,'Rent Roll'!$O$18+'Rent Roll'!$S$18),-'Rent Roll'!$F$18*'Rent Roll'!$T$18,0)</f>
        <v>0</v>
      </c>
      <c r="BG147" s="49">
        <f>IF(BG$4=EOMONTH(CloseDate,'Rent Roll'!$O$18+'Rent Roll'!$S$18),-'Rent Roll'!$F$18*'Rent Roll'!$T$18,0)</f>
        <v>0</v>
      </c>
      <c r="BH147" s="49">
        <f>IF(BH$4=EOMONTH(CloseDate,'Rent Roll'!$O$18+'Rent Roll'!$S$18),-'Rent Roll'!$F$18*'Rent Roll'!$T$18,0)</f>
        <v>0</v>
      </c>
      <c r="BI147" s="49">
        <f>IF(BI$4=EOMONTH(CloseDate,'Rent Roll'!$O$18+'Rent Roll'!$S$18),-'Rent Roll'!$F$18*'Rent Roll'!$T$18,0)</f>
        <v>0</v>
      </c>
      <c r="BJ147" s="49">
        <f>IF(BJ$4=EOMONTH(CloseDate,'Rent Roll'!$O$18+'Rent Roll'!$S$18),-'Rent Roll'!$F$18*'Rent Roll'!$T$18,0)</f>
        <v>0</v>
      </c>
      <c r="BK147" s="49">
        <f>IF(BK$4=EOMONTH(CloseDate,'Rent Roll'!$O$18+'Rent Roll'!$S$18),-'Rent Roll'!$F$18*'Rent Roll'!$T$18,0)</f>
        <v>0</v>
      </c>
      <c r="BL147" s="49">
        <f>IF(BL$4=EOMONTH(CloseDate,'Rent Roll'!$O$18+'Rent Roll'!$S$18),-'Rent Roll'!$F$18*'Rent Roll'!$T$18,0)</f>
        <v>0</v>
      </c>
      <c r="BM147" s="49">
        <f>IF(BM$4=EOMONTH(CloseDate,'Rent Roll'!$O$18+'Rent Roll'!$S$18),-'Rent Roll'!$F$18*'Rent Roll'!$T$18,0)</f>
        <v>0</v>
      </c>
      <c r="BN147" s="49">
        <f>IF(BN$4=EOMONTH(CloseDate,'Rent Roll'!$O$18+'Rent Roll'!$S$18),-'Rent Roll'!$F$18*'Rent Roll'!$T$18,0)</f>
        <v>0</v>
      </c>
      <c r="BO147" s="49">
        <f>IF(BO$4=EOMONTH(CloseDate,'Rent Roll'!$O$18+'Rent Roll'!$S$18),-'Rent Roll'!$F$18*'Rent Roll'!$T$18,0)</f>
        <v>0</v>
      </c>
      <c r="BP147" s="49">
        <f>IF(BP$4=EOMONTH(CloseDate,'Rent Roll'!$O$18+'Rent Roll'!$S$18),-'Rent Roll'!$F$18*'Rent Roll'!$T$18,0)</f>
        <v>0</v>
      </c>
      <c r="BQ147" s="49">
        <f>IF(BQ$4=EOMONTH(CloseDate,'Rent Roll'!$O$18+'Rent Roll'!$S$18),-'Rent Roll'!$F$18*'Rent Roll'!$T$18,0)</f>
        <v>0</v>
      </c>
      <c r="BR147" s="49">
        <f>IF(BR$4=EOMONTH(CloseDate,'Rent Roll'!$O$18+'Rent Roll'!$S$18),-'Rent Roll'!$F$18*'Rent Roll'!$T$18,0)</f>
        <v>0</v>
      </c>
      <c r="BS147" s="49">
        <f>IF(BS$4=EOMONTH(CloseDate,'Rent Roll'!$O$18+'Rent Roll'!$S$18),-'Rent Roll'!$F$18*'Rent Roll'!$T$18,0)</f>
        <v>0</v>
      </c>
      <c r="BT147" s="49">
        <f>IF(BT$4=EOMONTH(CloseDate,'Rent Roll'!$O$18+'Rent Roll'!$S$18),-'Rent Roll'!$F$18*'Rent Roll'!$T$18,0)</f>
        <v>0</v>
      </c>
      <c r="BU147" s="49">
        <f>IF(BU$4=EOMONTH(CloseDate,'Rent Roll'!$O$18+'Rent Roll'!$S$18),-'Rent Roll'!$F$18*'Rent Roll'!$T$18,0)</f>
        <v>0</v>
      </c>
      <c r="BV147" s="49">
        <f>IF(BV$4=EOMONTH(CloseDate,'Rent Roll'!$O$18+'Rent Roll'!$S$18),-'Rent Roll'!$F$18*'Rent Roll'!$T$18,0)</f>
        <v>0</v>
      </c>
      <c r="BW147" s="49">
        <f>IF(BW$4=EOMONTH(CloseDate,'Rent Roll'!$O$18+'Rent Roll'!$S$18),-'Rent Roll'!$F$18*'Rent Roll'!$T$18,0)</f>
        <v>0</v>
      </c>
      <c r="BX147" s="49">
        <f>IF(BX$4=EOMONTH(CloseDate,'Rent Roll'!$O$18+'Rent Roll'!$S$18),-'Rent Roll'!$F$18*'Rent Roll'!$T$18,0)</f>
        <v>0</v>
      </c>
    </row>
    <row r="148" spans="1:76" collapsed="1">
      <c r="B148" t="s">
        <v>87</v>
      </c>
      <c r="D148" s="49">
        <f>IF(D$4=EOMONTH(CloseDate,'Rent Roll'!$O$18+'Rent Roll'!$S$18),-'Rent Roll'!$U$18*'Rent Roll'!$F$18*'Rent Roll'!$X$18,0)</f>
        <v>0</v>
      </c>
      <c r="E148" s="49">
        <f>IF(E$4=EOMONTH(CloseDate,'Rent Roll'!$O$18+'Rent Roll'!$S$18),-'Rent Roll'!$U$18*'Rent Roll'!$F$18*'Rent Roll'!$X$18,0)</f>
        <v>0</v>
      </c>
      <c r="F148" s="49">
        <f>IF(F$4=EOMONTH(CloseDate,'Rent Roll'!$O$18+'Rent Roll'!$S$18),-'Rent Roll'!$U$18*'Rent Roll'!$F$18*'Rent Roll'!$X$18,0)</f>
        <v>0</v>
      </c>
      <c r="G148" s="49">
        <f>IF(G$4=EOMONTH(CloseDate,'Rent Roll'!$O$18+'Rent Roll'!$S$18),-'Rent Roll'!$U$18*'Rent Roll'!$F$18*'Rent Roll'!$X$18,0)</f>
        <v>0</v>
      </c>
      <c r="H148" s="49">
        <f>IF(H$4=EOMONTH(CloseDate,'Rent Roll'!$O$18+'Rent Roll'!$S$18),-'Rent Roll'!$U$18*'Rent Roll'!$F$18*'Rent Roll'!$X$18,0)</f>
        <v>0</v>
      </c>
      <c r="I148" s="49">
        <f>IF(I$4=EOMONTH(CloseDate,'Rent Roll'!$O$18+'Rent Roll'!$S$18),-'Rent Roll'!$U$18*'Rent Roll'!$F$18*'Rent Roll'!$X$18,0)</f>
        <v>0</v>
      </c>
      <c r="J148" s="49">
        <f>IF(J$4=EOMONTH(CloseDate,'Rent Roll'!$O$18+'Rent Roll'!$S$18),-'Rent Roll'!$U$18*'Rent Roll'!$F$18*'Rent Roll'!$X$18,0)</f>
        <v>0</v>
      </c>
      <c r="K148" s="49">
        <f>IF(K$4=EOMONTH(CloseDate,'Rent Roll'!$O$18+'Rent Roll'!$S$18),-'Rent Roll'!$U$18*'Rent Roll'!$F$18*'Rent Roll'!$X$18,0)</f>
        <v>0</v>
      </c>
      <c r="L148" s="49">
        <f>IF(L$4=EOMONTH(CloseDate,'Rent Roll'!$O$18+'Rent Roll'!$S$18),-'Rent Roll'!$U$18*'Rent Roll'!$F$18*'Rent Roll'!$X$18,0)</f>
        <v>0</v>
      </c>
      <c r="M148" s="49">
        <f>IF(M$4=EOMONTH(CloseDate,'Rent Roll'!$O$18+'Rent Roll'!$S$18),-'Rent Roll'!$U$18*'Rent Roll'!$F$18*'Rent Roll'!$X$18,0)</f>
        <v>0</v>
      </c>
      <c r="N148" s="49">
        <f>IF(N$4=EOMONTH(CloseDate,'Rent Roll'!$O$18+'Rent Roll'!$S$18),-'Rent Roll'!$U$18*'Rent Roll'!$F$18*'Rent Roll'!$X$18,0)</f>
        <v>0</v>
      </c>
      <c r="O148" s="49">
        <f>IF(O$4=EOMONTH(CloseDate,'Rent Roll'!$O$18+'Rent Roll'!$S$18),-'Rent Roll'!$U$18*'Rent Roll'!$F$18*'Rent Roll'!$X$18,0)</f>
        <v>0</v>
      </c>
      <c r="P148" s="49">
        <f>IF(P$4=EOMONTH(CloseDate,'Rent Roll'!$O$18+'Rent Roll'!$S$18),-'Rent Roll'!$U$18*'Rent Roll'!$F$18*'Rent Roll'!$X$18,0)</f>
        <v>0</v>
      </c>
      <c r="Q148" s="49">
        <f>IF(Q$4=EOMONTH(CloseDate,'Rent Roll'!$O$18+'Rent Roll'!$S$18),-'Rent Roll'!$U$18*'Rent Roll'!$F$18*'Rent Roll'!$X$18,0)</f>
        <v>0</v>
      </c>
      <c r="R148" s="49">
        <f>IF(R$4=EOMONTH(CloseDate,'Rent Roll'!$O$18+'Rent Roll'!$S$18),-'Rent Roll'!$U$18*'Rent Roll'!$F$18*'Rent Roll'!$X$18,0)</f>
        <v>0</v>
      </c>
      <c r="S148" s="49">
        <f>IF(S$4=EOMONTH(CloseDate,'Rent Roll'!$O$18+'Rent Roll'!$S$18),-'Rent Roll'!$U$18*'Rent Roll'!$F$18*'Rent Roll'!$X$18,0)</f>
        <v>0</v>
      </c>
      <c r="T148" s="49">
        <f>IF(T$4=EOMONTH(CloseDate,'Rent Roll'!$O$18+'Rent Roll'!$S$18),-'Rent Roll'!$U$18*'Rent Roll'!$F$18*'Rent Roll'!$X$18,0)</f>
        <v>0</v>
      </c>
      <c r="U148" s="49">
        <f>IF(U$4=EOMONTH(CloseDate,'Rent Roll'!$O$18+'Rent Roll'!$S$18),-'Rent Roll'!$U$18*'Rent Roll'!$F$18*'Rent Roll'!$X$18,0)</f>
        <v>0</v>
      </c>
      <c r="V148" s="49">
        <f>IF(V$4=EOMONTH(CloseDate,'Rent Roll'!$O$18+'Rent Roll'!$S$18),-'Rent Roll'!$U$18*'Rent Roll'!$F$18*'Rent Roll'!$X$18,0)</f>
        <v>-7001.9999999999991</v>
      </c>
      <c r="W148" s="49">
        <f>IF(W$4=EOMONTH(CloseDate,'Rent Roll'!$O$18+'Rent Roll'!$S$18),-'Rent Roll'!$U$18*'Rent Roll'!$F$18*'Rent Roll'!$X$18,0)</f>
        <v>0</v>
      </c>
      <c r="X148" s="49">
        <f>IF(X$4=EOMONTH(CloseDate,'Rent Roll'!$O$18+'Rent Roll'!$S$18),-'Rent Roll'!$U$18*'Rent Roll'!$F$18*'Rent Roll'!$X$18,0)</f>
        <v>0</v>
      </c>
      <c r="Y148" s="49">
        <f>IF(Y$4=EOMONTH(CloseDate,'Rent Roll'!$O$18+'Rent Roll'!$S$18),-'Rent Roll'!$U$18*'Rent Roll'!$F$18*'Rent Roll'!$X$18,0)</f>
        <v>0</v>
      </c>
      <c r="Z148" s="49">
        <f>IF(Z$4=EOMONTH(CloseDate,'Rent Roll'!$O$18+'Rent Roll'!$S$18),-'Rent Roll'!$U$18*'Rent Roll'!$F$18*'Rent Roll'!$X$18,0)</f>
        <v>0</v>
      </c>
      <c r="AA148" s="49">
        <f>IF(AA$4=EOMONTH(CloseDate,'Rent Roll'!$O$18+'Rent Roll'!$S$18),-'Rent Roll'!$U$18*'Rent Roll'!$F$18*'Rent Roll'!$X$18,0)</f>
        <v>0</v>
      </c>
      <c r="AB148" s="49">
        <f>IF(AB$4=EOMONTH(CloseDate,'Rent Roll'!$O$18+'Rent Roll'!$S$18),-'Rent Roll'!$U$18*'Rent Roll'!$F$18*'Rent Roll'!$X$18,0)</f>
        <v>0</v>
      </c>
      <c r="AC148" s="49">
        <f>IF(AC$4=EOMONTH(CloseDate,'Rent Roll'!$O$18+'Rent Roll'!$S$18),-'Rent Roll'!$U$18*'Rent Roll'!$F$18*'Rent Roll'!$X$18,0)</f>
        <v>0</v>
      </c>
      <c r="AD148" s="49">
        <f>IF(AD$4=EOMONTH(CloseDate,'Rent Roll'!$O$18+'Rent Roll'!$S$18),-'Rent Roll'!$U$18*'Rent Roll'!$F$18*'Rent Roll'!$X$18,0)</f>
        <v>0</v>
      </c>
      <c r="AE148" s="49">
        <f>IF(AE$4=EOMONTH(CloseDate,'Rent Roll'!$O$18+'Rent Roll'!$S$18),-'Rent Roll'!$U$18*'Rent Roll'!$F$18*'Rent Roll'!$X$18,0)</f>
        <v>0</v>
      </c>
      <c r="AF148" s="49">
        <f>IF(AF$4=EOMONTH(CloseDate,'Rent Roll'!$O$18+'Rent Roll'!$S$18),-'Rent Roll'!$U$18*'Rent Roll'!$F$18*'Rent Roll'!$X$18,0)</f>
        <v>0</v>
      </c>
      <c r="AG148" s="49">
        <f>IF(AG$4=EOMONTH(CloseDate,'Rent Roll'!$O$18+'Rent Roll'!$S$18),-'Rent Roll'!$U$18*'Rent Roll'!$F$18*'Rent Roll'!$X$18,0)</f>
        <v>0</v>
      </c>
      <c r="AH148" s="49">
        <f>IF(AH$4=EOMONTH(CloseDate,'Rent Roll'!$O$18+'Rent Roll'!$S$18),-'Rent Roll'!$U$18*'Rent Roll'!$F$18*'Rent Roll'!$X$18,0)</f>
        <v>0</v>
      </c>
      <c r="AI148" s="49">
        <f>IF(AI$4=EOMONTH(CloseDate,'Rent Roll'!$O$18+'Rent Roll'!$S$18),-'Rent Roll'!$U$18*'Rent Roll'!$F$18*'Rent Roll'!$X$18,0)</f>
        <v>0</v>
      </c>
      <c r="AJ148" s="49">
        <f>IF(AJ$4=EOMONTH(CloseDate,'Rent Roll'!$O$18+'Rent Roll'!$S$18),-'Rent Roll'!$U$18*'Rent Roll'!$F$18*'Rent Roll'!$X$18,0)</f>
        <v>0</v>
      </c>
      <c r="AK148" s="49">
        <f>IF(AK$4=EOMONTH(CloseDate,'Rent Roll'!$O$18+'Rent Roll'!$S$18),-'Rent Roll'!$U$18*'Rent Roll'!$F$18*'Rent Roll'!$X$18,0)</f>
        <v>0</v>
      </c>
      <c r="AL148" s="49">
        <f>IF(AL$4=EOMONTH(CloseDate,'Rent Roll'!$O$18+'Rent Roll'!$S$18),-'Rent Roll'!$U$18*'Rent Roll'!$F$18*'Rent Roll'!$X$18,0)</f>
        <v>0</v>
      </c>
      <c r="AM148" s="49">
        <f>IF(AM$4=EOMONTH(CloseDate,'Rent Roll'!$O$18+'Rent Roll'!$S$18),-'Rent Roll'!$U$18*'Rent Roll'!$F$18*'Rent Roll'!$X$18,0)</f>
        <v>0</v>
      </c>
      <c r="AN148" s="49">
        <f>IF(AN$4=EOMONTH(CloseDate,'Rent Roll'!$O$18+'Rent Roll'!$S$18),-'Rent Roll'!$U$18*'Rent Roll'!$F$18*'Rent Roll'!$X$18,0)</f>
        <v>0</v>
      </c>
      <c r="AO148" s="49">
        <f>IF(AO$4=EOMONTH(CloseDate,'Rent Roll'!$O$18+'Rent Roll'!$S$18),-'Rent Roll'!$U$18*'Rent Roll'!$F$18*'Rent Roll'!$X$18,0)</f>
        <v>0</v>
      </c>
      <c r="AP148" s="49">
        <f>IF(AP$4=EOMONTH(CloseDate,'Rent Roll'!$O$18+'Rent Roll'!$S$18),-'Rent Roll'!$U$18*'Rent Roll'!$F$18*'Rent Roll'!$X$18,0)</f>
        <v>0</v>
      </c>
      <c r="AQ148" s="49">
        <f>IF(AQ$4=EOMONTH(CloseDate,'Rent Roll'!$O$18+'Rent Roll'!$S$18),-'Rent Roll'!$U$18*'Rent Roll'!$F$18*'Rent Roll'!$X$18,0)</f>
        <v>0</v>
      </c>
      <c r="AR148" s="49">
        <f>IF(AR$4=EOMONTH(CloseDate,'Rent Roll'!$O$18+'Rent Roll'!$S$18),-'Rent Roll'!$U$18*'Rent Roll'!$F$18*'Rent Roll'!$X$18,0)</f>
        <v>0</v>
      </c>
      <c r="AS148" s="49">
        <f>IF(AS$4=EOMONTH(CloseDate,'Rent Roll'!$O$18+'Rent Roll'!$S$18),-'Rent Roll'!$U$18*'Rent Roll'!$F$18*'Rent Roll'!$X$18,0)</f>
        <v>0</v>
      </c>
      <c r="AT148" s="49">
        <f>IF(AT$4=EOMONTH(CloseDate,'Rent Roll'!$O$18+'Rent Roll'!$S$18),-'Rent Roll'!$U$18*'Rent Roll'!$F$18*'Rent Roll'!$X$18,0)</f>
        <v>0</v>
      </c>
      <c r="AU148" s="49">
        <f>IF(AU$4=EOMONTH(CloseDate,'Rent Roll'!$O$18+'Rent Roll'!$S$18),-'Rent Roll'!$U$18*'Rent Roll'!$F$18*'Rent Roll'!$X$18,0)</f>
        <v>0</v>
      </c>
      <c r="AV148" s="49">
        <f>IF(AV$4=EOMONTH(CloseDate,'Rent Roll'!$O$18+'Rent Roll'!$S$18),-'Rent Roll'!$U$18*'Rent Roll'!$F$18*'Rent Roll'!$X$18,0)</f>
        <v>0</v>
      </c>
      <c r="AW148" s="49">
        <f>IF(AW$4=EOMONTH(CloseDate,'Rent Roll'!$O$18+'Rent Roll'!$S$18),-'Rent Roll'!$U$18*'Rent Roll'!$F$18*'Rent Roll'!$X$18,0)</f>
        <v>0</v>
      </c>
      <c r="AX148" s="49">
        <f>IF(AX$4=EOMONTH(CloseDate,'Rent Roll'!$O$18+'Rent Roll'!$S$18),-'Rent Roll'!$U$18*'Rent Roll'!$F$18*'Rent Roll'!$X$18,0)</f>
        <v>0</v>
      </c>
      <c r="AY148" s="49">
        <f>IF(AY$4=EOMONTH(CloseDate,'Rent Roll'!$O$18+'Rent Roll'!$S$18),-'Rent Roll'!$U$18*'Rent Roll'!$F$18*'Rent Roll'!$X$18,0)</f>
        <v>0</v>
      </c>
      <c r="AZ148" s="49">
        <f>IF(AZ$4=EOMONTH(CloseDate,'Rent Roll'!$O$18+'Rent Roll'!$S$18),-'Rent Roll'!$U$18*'Rent Roll'!$F$18*'Rent Roll'!$X$18,0)</f>
        <v>0</v>
      </c>
      <c r="BA148" s="49">
        <f>IF(BA$4=EOMONTH(CloseDate,'Rent Roll'!$O$18+'Rent Roll'!$S$18),-'Rent Roll'!$U$18*'Rent Roll'!$F$18*'Rent Roll'!$X$18,0)</f>
        <v>0</v>
      </c>
      <c r="BB148" s="49">
        <f>IF(BB$4=EOMONTH(CloseDate,'Rent Roll'!$O$18+'Rent Roll'!$S$18),-'Rent Roll'!$U$18*'Rent Roll'!$F$18*'Rent Roll'!$X$18,0)</f>
        <v>0</v>
      </c>
      <c r="BC148" s="49">
        <f>IF(BC$4=EOMONTH(CloseDate,'Rent Roll'!$O$18+'Rent Roll'!$S$18),-'Rent Roll'!$U$18*'Rent Roll'!$F$18*'Rent Roll'!$X$18,0)</f>
        <v>0</v>
      </c>
      <c r="BD148" s="49">
        <f>IF(BD$4=EOMONTH(CloseDate,'Rent Roll'!$O$18+'Rent Roll'!$S$18),-'Rent Roll'!$U$18*'Rent Roll'!$F$18*'Rent Roll'!$X$18,0)</f>
        <v>0</v>
      </c>
      <c r="BE148" s="49">
        <f>IF(BE$4=EOMONTH(CloseDate,'Rent Roll'!$O$18+'Rent Roll'!$S$18),-'Rent Roll'!$U$18*'Rent Roll'!$F$18*'Rent Roll'!$X$18,0)</f>
        <v>0</v>
      </c>
      <c r="BF148" s="49">
        <f>IF(BF$4=EOMONTH(CloseDate,'Rent Roll'!$O$18+'Rent Roll'!$S$18),-'Rent Roll'!$U$18*'Rent Roll'!$F$18*'Rent Roll'!$X$18,0)</f>
        <v>0</v>
      </c>
      <c r="BG148" s="49">
        <f>IF(BG$4=EOMONTH(CloseDate,'Rent Roll'!$O$18+'Rent Roll'!$S$18),-'Rent Roll'!$U$18*'Rent Roll'!$F$18*'Rent Roll'!$X$18,0)</f>
        <v>0</v>
      </c>
      <c r="BH148" s="49">
        <f>IF(BH$4=EOMONTH(CloseDate,'Rent Roll'!$O$18+'Rent Roll'!$S$18),-'Rent Roll'!$U$18*'Rent Roll'!$F$18*'Rent Roll'!$X$18,0)</f>
        <v>0</v>
      </c>
      <c r="BI148" s="49">
        <f>IF(BI$4=EOMONTH(CloseDate,'Rent Roll'!$O$18+'Rent Roll'!$S$18),-'Rent Roll'!$U$18*'Rent Roll'!$F$18*'Rent Roll'!$X$18,0)</f>
        <v>0</v>
      </c>
      <c r="BJ148" s="49">
        <f>IF(BJ$4=EOMONTH(CloseDate,'Rent Roll'!$O$18+'Rent Roll'!$S$18),-'Rent Roll'!$U$18*'Rent Roll'!$F$18*'Rent Roll'!$X$18,0)</f>
        <v>0</v>
      </c>
      <c r="BK148" s="49">
        <f>IF(BK$4=EOMONTH(CloseDate,'Rent Roll'!$O$18+'Rent Roll'!$S$18),-'Rent Roll'!$U$18*'Rent Roll'!$F$18*'Rent Roll'!$X$18,0)</f>
        <v>0</v>
      </c>
      <c r="BL148" s="49">
        <f>IF(BL$4=EOMONTH(CloseDate,'Rent Roll'!$O$18+'Rent Roll'!$S$18),-'Rent Roll'!$U$18*'Rent Roll'!$F$18*'Rent Roll'!$X$18,0)</f>
        <v>0</v>
      </c>
      <c r="BM148" s="49">
        <f>IF(BM$4=EOMONTH(CloseDate,'Rent Roll'!$O$18+'Rent Roll'!$S$18),-'Rent Roll'!$U$18*'Rent Roll'!$F$18*'Rent Roll'!$X$18,0)</f>
        <v>0</v>
      </c>
      <c r="BN148" s="49">
        <f>IF(BN$4=EOMONTH(CloseDate,'Rent Roll'!$O$18+'Rent Roll'!$S$18),-'Rent Roll'!$U$18*'Rent Roll'!$F$18*'Rent Roll'!$X$18,0)</f>
        <v>0</v>
      </c>
      <c r="BO148" s="49">
        <f>IF(BO$4=EOMONTH(CloseDate,'Rent Roll'!$O$18+'Rent Roll'!$S$18),-'Rent Roll'!$U$18*'Rent Roll'!$F$18*'Rent Roll'!$X$18,0)</f>
        <v>0</v>
      </c>
      <c r="BP148" s="49">
        <f>IF(BP$4=EOMONTH(CloseDate,'Rent Roll'!$O$18+'Rent Roll'!$S$18),-'Rent Roll'!$U$18*'Rent Roll'!$F$18*'Rent Roll'!$X$18,0)</f>
        <v>0</v>
      </c>
      <c r="BQ148" s="49">
        <f>IF(BQ$4=EOMONTH(CloseDate,'Rent Roll'!$O$18+'Rent Roll'!$S$18),-'Rent Roll'!$U$18*'Rent Roll'!$F$18*'Rent Roll'!$X$18,0)</f>
        <v>0</v>
      </c>
      <c r="BR148" s="49">
        <f>IF(BR$4=EOMONTH(CloseDate,'Rent Roll'!$O$18+'Rent Roll'!$S$18),-'Rent Roll'!$U$18*'Rent Roll'!$F$18*'Rent Roll'!$X$18,0)</f>
        <v>0</v>
      </c>
      <c r="BS148" s="49">
        <f>IF(BS$4=EOMONTH(CloseDate,'Rent Roll'!$O$18+'Rent Roll'!$S$18),-'Rent Roll'!$U$18*'Rent Roll'!$F$18*'Rent Roll'!$X$18,0)</f>
        <v>0</v>
      </c>
      <c r="BT148" s="49">
        <f>IF(BT$4=EOMONTH(CloseDate,'Rent Roll'!$O$18+'Rent Roll'!$S$18),-'Rent Roll'!$U$18*'Rent Roll'!$F$18*'Rent Roll'!$X$18,0)</f>
        <v>0</v>
      </c>
      <c r="BU148" s="49">
        <f>IF(BU$4=EOMONTH(CloseDate,'Rent Roll'!$O$18+'Rent Roll'!$S$18),-'Rent Roll'!$U$18*'Rent Roll'!$F$18*'Rent Roll'!$X$18,0)</f>
        <v>0</v>
      </c>
      <c r="BV148" s="49">
        <f>IF(BV$4=EOMONTH(CloseDate,'Rent Roll'!$O$18+'Rent Roll'!$S$18),-'Rent Roll'!$U$18*'Rent Roll'!$F$18*'Rent Roll'!$X$18,0)</f>
        <v>0</v>
      </c>
      <c r="BW148" s="49">
        <f>IF(BW$4=EOMONTH(CloseDate,'Rent Roll'!$O$18+'Rent Roll'!$S$18),-'Rent Roll'!$U$18*'Rent Roll'!$F$18*'Rent Roll'!$X$18,0)</f>
        <v>0</v>
      </c>
      <c r="BX148" s="49">
        <f>IF(BX$4=EOMONTH(CloseDate,'Rent Roll'!$O$18+'Rent Roll'!$S$18),-'Rent Roll'!$U$18*'Rent Roll'!$F$18*'Rent Roll'!$X$18,0)</f>
        <v>0</v>
      </c>
    </row>
    <row r="149" spans="1:76">
      <c r="A149" s="17" t="str">
        <f>'Rent Roll'!C19</f>
        <v>Cornerstone Title Services</v>
      </c>
      <c r="B149" s="57">
        <f>INDEX('Rent Roll'!$F$5:$F$46,MATCH('Rent Roll Calc'!A149,'Rent Roll'!$C$5:$C$46,0))</f>
        <v>5000</v>
      </c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  <c r="AA149" s="49"/>
      <c r="AB149" s="49"/>
      <c r="AC149" s="49"/>
      <c r="AD149" s="49"/>
      <c r="AE149" s="49"/>
      <c r="AF149" s="49"/>
      <c r="AG149" s="49"/>
      <c r="AH149" s="49"/>
      <c r="AI149" s="49"/>
      <c r="AJ149" s="49"/>
      <c r="AK149" s="49"/>
      <c r="AL149" s="49"/>
      <c r="AM149" s="49"/>
      <c r="AN149" s="49"/>
      <c r="AO149" s="49"/>
      <c r="AP149" s="49"/>
      <c r="AQ149" s="49"/>
      <c r="AR149" s="49"/>
      <c r="AS149" s="49"/>
      <c r="AT149" s="49"/>
      <c r="AU149" s="49"/>
      <c r="AV149" s="49"/>
      <c r="AW149" s="49"/>
      <c r="AX149" s="49"/>
      <c r="AY149" s="49"/>
      <c r="AZ149" s="49"/>
      <c r="BA149" s="49"/>
      <c r="BB149" s="49"/>
      <c r="BC149" s="49"/>
      <c r="BD149" s="49"/>
      <c r="BE149" s="49"/>
      <c r="BF149" s="49"/>
      <c r="BG149" s="49"/>
      <c r="BH149" s="49"/>
      <c r="BI149" s="49"/>
      <c r="BJ149" s="49"/>
      <c r="BK149" s="49"/>
      <c r="BL149" s="49"/>
      <c r="BM149" s="49"/>
      <c r="BN149" s="49"/>
      <c r="BO149" s="49"/>
      <c r="BP149" s="49"/>
      <c r="BQ149" s="49"/>
      <c r="BR149" s="49"/>
      <c r="BS149" s="49"/>
      <c r="BT149" s="49"/>
      <c r="BU149" s="49"/>
      <c r="BV149" s="49"/>
      <c r="BW149" s="49"/>
      <c r="BX149" s="49"/>
    </row>
    <row r="150" spans="1:76" outlineLevel="1">
      <c r="B150" t="s">
        <v>83</v>
      </c>
      <c r="D150" s="49">
        <f>IF(AND('Rent Roll'!$N$19&lt;&gt;"Ghost",D$4&lt;='Rent Roll'!$L$19),1,0)</f>
        <v>1</v>
      </c>
      <c r="E150" s="49">
        <f>IF(AND('Rent Roll'!$N$19&lt;&gt;"Ghost",E$4&lt;='Rent Roll'!$L$19),1,0)</f>
        <v>1</v>
      </c>
      <c r="F150" s="49">
        <f>IF(AND('Rent Roll'!$N$19&lt;&gt;"Ghost",F$4&lt;='Rent Roll'!$L$19),1,0)</f>
        <v>1</v>
      </c>
      <c r="G150" s="49">
        <f>IF(AND('Rent Roll'!$N$19&lt;&gt;"Ghost",G$4&lt;='Rent Roll'!$L$19),1,0)</f>
        <v>1</v>
      </c>
      <c r="H150" s="49">
        <f>IF(AND('Rent Roll'!$N$19&lt;&gt;"Ghost",H$4&lt;='Rent Roll'!$L$19),1,0)</f>
        <v>1</v>
      </c>
      <c r="I150" s="49">
        <f>IF(AND('Rent Roll'!$N$19&lt;&gt;"Ghost",I$4&lt;='Rent Roll'!$L$19),1,0)</f>
        <v>1</v>
      </c>
      <c r="J150" s="49">
        <f>IF(AND('Rent Roll'!$N$19&lt;&gt;"Ghost",J$4&lt;='Rent Roll'!$L$19),1,0)</f>
        <v>1</v>
      </c>
      <c r="K150" s="49">
        <f>IF(AND('Rent Roll'!$N$19&lt;&gt;"Ghost",K$4&lt;='Rent Roll'!$L$19),1,0)</f>
        <v>1</v>
      </c>
      <c r="L150" s="49">
        <f>IF(AND('Rent Roll'!$N$19&lt;&gt;"Ghost",L$4&lt;='Rent Roll'!$L$19),1,0)</f>
        <v>1</v>
      </c>
      <c r="M150" s="49">
        <f>IF(AND('Rent Roll'!$N$19&lt;&gt;"Ghost",M$4&lt;='Rent Roll'!$L$19),1,0)</f>
        <v>1</v>
      </c>
      <c r="N150" s="49">
        <f>IF(AND('Rent Roll'!$N$19&lt;&gt;"Ghost",N$4&lt;='Rent Roll'!$L$19),1,0)</f>
        <v>1</v>
      </c>
      <c r="O150" s="49">
        <f>IF(AND('Rent Roll'!$N$19&lt;&gt;"Ghost",O$4&lt;='Rent Roll'!$L$19),1,0)</f>
        <v>1</v>
      </c>
      <c r="P150" s="49">
        <f>IF(AND('Rent Roll'!$N$19&lt;&gt;"Ghost",P$4&lt;='Rent Roll'!$L$19),1,0)</f>
        <v>1</v>
      </c>
      <c r="Q150" s="49">
        <f>IF(AND('Rent Roll'!$N$19&lt;&gt;"Ghost",Q$4&lt;='Rent Roll'!$L$19),1,0)</f>
        <v>1</v>
      </c>
      <c r="R150" s="49">
        <f>IF(AND('Rent Roll'!$N$19&lt;&gt;"Ghost",R$4&lt;='Rent Roll'!$L$19),1,0)</f>
        <v>1</v>
      </c>
      <c r="S150" s="49">
        <f>IF(AND('Rent Roll'!$N$19&lt;&gt;"Ghost",S$4&lt;='Rent Roll'!$L$19),1,0)</f>
        <v>1</v>
      </c>
      <c r="T150" s="49">
        <f>IF(AND('Rent Roll'!$N$19&lt;&gt;"Ghost",T$4&lt;='Rent Roll'!$L$19),1,0)</f>
        <v>1</v>
      </c>
      <c r="U150" s="49">
        <f>IF(AND('Rent Roll'!$N$19&lt;&gt;"Ghost",U$4&lt;='Rent Roll'!$L$19),1,0)</f>
        <v>1</v>
      </c>
      <c r="V150" s="49">
        <f>IF(AND('Rent Roll'!$N$19&lt;&gt;"Ghost",V$4&lt;='Rent Roll'!$L$19),1,0)</f>
        <v>1</v>
      </c>
      <c r="W150" s="49">
        <f>IF(AND('Rent Roll'!$N$19&lt;&gt;"Ghost",W$4&lt;='Rent Roll'!$L$19),1,0)</f>
        <v>1</v>
      </c>
      <c r="X150" s="49">
        <f>IF(AND('Rent Roll'!$N$19&lt;&gt;"Ghost",X$4&lt;='Rent Roll'!$L$19),1,0)</f>
        <v>1</v>
      </c>
      <c r="Y150" s="49">
        <f>IF(AND('Rent Roll'!$N$19&lt;&gt;"Ghost",Y$4&lt;='Rent Roll'!$L$19),1,0)</f>
        <v>1</v>
      </c>
      <c r="Z150" s="49">
        <f>IF(AND('Rent Roll'!$N$19&lt;&gt;"Ghost",Z$4&lt;='Rent Roll'!$L$19),1,0)</f>
        <v>1</v>
      </c>
      <c r="AA150" s="49">
        <f>IF(AND('Rent Roll'!$N$19&lt;&gt;"Ghost",AA$4&lt;='Rent Roll'!$L$19),1,0)</f>
        <v>1</v>
      </c>
      <c r="AB150" s="49">
        <f>IF(AND('Rent Roll'!$N$19&lt;&gt;"Ghost",AB$4&lt;='Rent Roll'!$L$19),1,0)</f>
        <v>1</v>
      </c>
      <c r="AC150" s="49">
        <f>IF(AND('Rent Roll'!$N$19&lt;&gt;"Ghost",AC$4&lt;='Rent Roll'!$L$19),1,0)</f>
        <v>1</v>
      </c>
      <c r="AD150" s="49">
        <f>IF(AND('Rent Roll'!$N$19&lt;&gt;"Ghost",AD$4&lt;='Rent Roll'!$L$19),1,0)</f>
        <v>1</v>
      </c>
      <c r="AE150" s="49">
        <f>IF(AND('Rent Roll'!$N$19&lt;&gt;"Ghost",AE$4&lt;='Rent Roll'!$L$19),1,0)</f>
        <v>1</v>
      </c>
      <c r="AF150" s="49">
        <f>IF(AND('Rent Roll'!$N$19&lt;&gt;"Ghost",AF$4&lt;='Rent Roll'!$L$19),1,0)</f>
        <v>1</v>
      </c>
      <c r="AG150" s="49">
        <f>IF(AND('Rent Roll'!$N$19&lt;&gt;"Ghost",AG$4&lt;='Rent Roll'!$L$19),1,0)</f>
        <v>1</v>
      </c>
      <c r="AH150" s="49">
        <f>IF(AND('Rent Roll'!$N$19&lt;&gt;"Ghost",AH$4&lt;='Rent Roll'!$L$19),1,0)</f>
        <v>1</v>
      </c>
      <c r="AI150" s="49">
        <f>IF(AND('Rent Roll'!$N$19&lt;&gt;"Ghost",AI$4&lt;='Rent Roll'!$L$19),1,0)</f>
        <v>1</v>
      </c>
      <c r="AJ150" s="49">
        <f>IF(AND('Rent Roll'!$N$19&lt;&gt;"Ghost",AJ$4&lt;='Rent Roll'!$L$19),1,0)</f>
        <v>1</v>
      </c>
      <c r="AK150" s="49">
        <f>IF(AND('Rent Roll'!$N$19&lt;&gt;"Ghost",AK$4&lt;='Rent Roll'!$L$19),1,0)</f>
        <v>1</v>
      </c>
      <c r="AL150" s="49">
        <f>IF(AND('Rent Roll'!$N$19&lt;&gt;"Ghost",AL$4&lt;='Rent Roll'!$L$19),1,0)</f>
        <v>1</v>
      </c>
      <c r="AM150" s="49">
        <f>IF(AND('Rent Roll'!$N$19&lt;&gt;"Ghost",AM$4&lt;='Rent Roll'!$L$19),1,0)</f>
        <v>1</v>
      </c>
      <c r="AN150" s="49">
        <f>IF(AND('Rent Roll'!$N$19&lt;&gt;"Ghost",AN$4&lt;='Rent Roll'!$L$19),1,0)</f>
        <v>1</v>
      </c>
      <c r="AO150" s="49">
        <f>IF(AND('Rent Roll'!$N$19&lt;&gt;"Ghost",AO$4&lt;='Rent Roll'!$L$19),1,0)</f>
        <v>1</v>
      </c>
      <c r="AP150" s="49">
        <f>IF(AND('Rent Roll'!$N$19&lt;&gt;"Ghost",AP$4&lt;='Rent Roll'!$L$19),1,0)</f>
        <v>1</v>
      </c>
      <c r="AQ150" s="49">
        <f>IF(AND('Rent Roll'!$N$19&lt;&gt;"Ghost",AQ$4&lt;='Rent Roll'!$L$19),1,0)</f>
        <v>1</v>
      </c>
      <c r="AR150" s="49">
        <f>IF(AND('Rent Roll'!$N$19&lt;&gt;"Ghost",AR$4&lt;='Rent Roll'!$L$19),1,0)</f>
        <v>1</v>
      </c>
      <c r="AS150" s="49">
        <f>IF(AND('Rent Roll'!$N$19&lt;&gt;"Ghost",AS$4&lt;='Rent Roll'!$L$19),1,0)</f>
        <v>0</v>
      </c>
      <c r="AT150" s="49">
        <f>IF(AND('Rent Roll'!$N$19&lt;&gt;"Ghost",AT$4&lt;='Rent Roll'!$L$19),1,0)</f>
        <v>0</v>
      </c>
      <c r="AU150" s="49">
        <f>IF(AND('Rent Roll'!$N$19&lt;&gt;"Ghost",AU$4&lt;='Rent Roll'!$L$19),1,0)</f>
        <v>0</v>
      </c>
      <c r="AV150" s="49">
        <f>IF(AND('Rent Roll'!$N$19&lt;&gt;"Ghost",AV$4&lt;='Rent Roll'!$L$19),1,0)</f>
        <v>0</v>
      </c>
      <c r="AW150" s="49">
        <f>IF(AND('Rent Roll'!$N$19&lt;&gt;"Ghost",AW$4&lt;='Rent Roll'!$L$19),1,0)</f>
        <v>0</v>
      </c>
      <c r="AX150" s="49">
        <f>IF(AND('Rent Roll'!$N$19&lt;&gt;"Ghost",AX$4&lt;='Rent Roll'!$L$19),1,0)</f>
        <v>0</v>
      </c>
      <c r="AY150" s="49">
        <f>IF(AND('Rent Roll'!$N$19&lt;&gt;"Ghost",AY$4&lt;='Rent Roll'!$L$19),1,0)</f>
        <v>0</v>
      </c>
      <c r="AZ150" s="49">
        <f>IF(AND('Rent Roll'!$N$19&lt;&gt;"Ghost",AZ$4&lt;='Rent Roll'!$L$19),1,0)</f>
        <v>0</v>
      </c>
      <c r="BA150" s="49">
        <f>IF(AND('Rent Roll'!$N$19&lt;&gt;"Ghost",BA$4&lt;='Rent Roll'!$L$19),1,0)</f>
        <v>0</v>
      </c>
      <c r="BB150" s="49">
        <f>IF(AND('Rent Roll'!$N$19&lt;&gt;"Ghost",BB$4&lt;='Rent Roll'!$L$19),1,0)</f>
        <v>0</v>
      </c>
      <c r="BC150" s="49">
        <f>IF(AND('Rent Roll'!$N$19&lt;&gt;"Ghost",BC$4&lt;='Rent Roll'!$L$19),1,0)</f>
        <v>0</v>
      </c>
      <c r="BD150" s="49">
        <f>IF(AND('Rent Roll'!$N$19&lt;&gt;"Ghost",BD$4&lt;='Rent Roll'!$L$19),1,0)</f>
        <v>0</v>
      </c>
      <c r="BE150" s="49">
        <f>IF(AND('Rent Roll'!$N$19&lt;&gt;"Ghost",BE$4&lt;='Rent Roll'!$L$19),1,0)</f>
        <v>0</v>
      </c>
      <c r="BF150" s="49">
        <f>IF(AND('Rent Roll'!$N$19&lt;&gt;"Ghost",BF$4&lt;='Rent Roll'!$L$19),1,0)</f>
        <v>0</v>
      </c>
      <c r="BG150" s="49">
        <f>IF(AND('Rent Roll'!$N$19&lt;&gt;"Ghost",BG$4&lt;='Rent Roll'!$L$19),1,0)</f>
        <v>0</v>
      </c>
      <c r="BH150" s="49">
        <f>IF(AND('Rent Roll'!$N$19&lt;&gt;"Ghost",BH$4&lt;='Rent Roll'!$L$19),1,0)</f>
        <v>0</v>
      </c>
      <c r="BI150" s="49">
        <f>IF(AND('Rent Roll'!$N$19&lt;&gt;"Ghost",BI$4&lt;='Rent Roll'!$L$19),1,0)</f>
        <v>0</v>
      </c>
      <c r="BJ150" s="49">
        <f>IF(AND('Rent Roll'!$N$19&lt;&gt;"Ghost",BJ$4&lt;='Rent Roll'!$L$19),1,0)</f>
        <v>0</v>
      </c>
      <c r="BK150" s="49">
        <f>IF(AND('Rent Roll'!$N$19&lt;&gt;"Ghost",BK$4&lt;='Rent Roll'!$L$19),1,0)</f>
        <v>0</v>
      </c>
      <c r="BL150" s="49">
        <f>IF(AND('Rent Roll'!$N$19&lt;&gt;"Ghost",BL$4&lt;='Rent Roll'!$L$19),1,0)</f>
        <v>0</v>
      </c>
      <c r="BM150" s="49">
        <f>IF(AND('Rent Roll'!$N$19&lt;&gt;"Ghost",BM$4&lt;='Rent Roll'!$L$19),1,0)</f>
        <v>0</v>
      </c>
      <c r="BN150" s="49">
        <f>IF(AND('Rent Roll'!$N$19&lt;&gt;"Ghost",BN$4&lt;='Rent Roll'!$L$19),1,0)</f>
        <v>0</v>
      </c>
      <c r="BO150" s="49">
        <f>IF(AND('Rent Roll'!$N$19&lt;&gt;"Ghost",BO$4&lt;='Rent Roll'!$L$19),1,0)</f>
        <v>0</v>
      </c>
      <c r="BP150" s="49">
        <f>IF(AND('Rent Roll'!$N$19&lt;&gt;"Ghost",BP$4&lt;='Rent Roll'!$L$19),1,0)</f>
        <v>0</v>
      </c>
      <c r="BQ150" s="49">
        <f>IF(AND('Rent Roll'!$N$19&lt;&gt;"Ghost",BQ$4&lt;='Rent Roll'!$L$19),1,0)</f>
        <v>0</v>
      </c>
      <c r="BR150" s="49">
        <f>IF(AND('Rent Roll'!$N$19&lt;&gt;"Ghost",BR$4&lt;='Rent Roll'!$L$19),1,0)</f>
        <v>0</v>
      </c>
      <c r="BS150" s="49">
        <f>IF(AND('Rent Roll'!$N$19&lt;&gt;"Ghost",BS$4&lt;='Rent Roll'!$L$19),1,0)</f>
        <v>0</v>
      </c>
      <c r="BT150" s="49">
        <f>IF(AND('Rent Roll'!$N$19&lt;&gt;"Ghost",BT$4&lt;='Rent Roll'!$L$19),1,0)</f>
        <v>0</v>
      </c>
      <c r="BU150" s="49">
        <f>IF(AND('Rent Roll'!$N$19&lt;&gt;"Ghost",BU$4&lt;='Rent Roll'!$L$19),1,0)</f>
        <v>0</v>
      </c>
      <c r="BV150" s="49">
        <f>IF(AND('Rent Roll'!$N$19&lt;&gt;"Ghost",BV$4&lt;='Rent Roll'!$L$19),1,0)</f>
        <v>0</v>
      </c>
      <c r="BW150" s="49">
        <f>IF(AND('Rent Roll'!$N$19&lt;&gt;"Ghost",BW$4&lt;='Rent Roll'!$L$19),1,0)</f>
        <v>0</v>
      </c>
      <c r="BX150" s="49">
        <f>IF(AND('Rent Roll'!$N$19&lt;&gt;"Ghost",BX$4&lt;='Rent Roll'!$L$19),1,0)</f>
        <v>0</v>
      </c>
    </row>
    <row r="151" spans="1:76" outlineLevel="1">
      <c r="B151" t="s">
        <v>159</v>
      </c>
      <c r="D151" s="49">
        <f>IF(D150=1,'Rent Roll'!$H$19/12*(1+'Rent Roll'!$I$19)^IF(D$4&lt;'Rent Roll'!$Y$19,0,YEAR(D$4)-YEAR('Rent Roll'!$Y$19)+1),0)</f>
        <v>8541.6666666666661</v>
      </c>
      <c r="E151" s="49">
        <f>IF(E150=1,'Rent Roll'!$H$19/12*(1+'Rent Roll'!$I$19)^IF(E$4&lt;'Rent Roll'!$Y$19,0,YEAR(E$4)-YEAR('Rent Roll'!$Y$19)+1),0)</f>
        <v>8541.6666666666661</v>
      </c>
      <c r="F151" s="49">
        <f>IF(F150=1,'Rent Roll'!$H$19/12*(1+'Rent Roll'!$I$19)^IF(F$4&lt;'Rent Roll'!$Y$19,0,YEAR(F$4)-YEAR('Rent Roll'!$Y$19)+1),0)</f>
        <v>8541.6666666666661</v>
      </c>
      <c r="G151" s="49">
        <f>IF(G150=1,'Rent Roll'!$H$19/12*(1+'Rent Roll'!$I$19)^IF(G$4&lt;'Rent Roll'!$Y$19,0,YEAR(G$4)-YEAR('Rent Roll'!$Y$19)+1),0)</f>
        <v>8541.6666666666661</v>
      </c>
      <c r="H151" s="49">
        <f>IF(H150=1,'Rent Roll'!$H$19/12*(1+'Rent Roll'!$I$19)^IF(H$4&lt;'Rent Roll'!$Y$19,0,YEAR(H$4)-YEAR('Rent Roll'!$Y$19)+1),0)</f>
        <v>8541.6666666666661</v>
      </c>
      <c r="I151" s="49">
        <f>IF(I150=1,'Rent Roll'!$H$19/12*(1+'Rent Roll'!$I$19)^IF(I$4&lt;'Rent Roll'!$Y$19,0,YEAR(I$4)-YEAR('Rent Roll'!$Y$19)+1),0)</f>
        <v>8755.2083333333321</v>
      </c>
      <c r="J151" s="49">
        <f>IF(J150=1,'Rent Roll'!$H$19/12*(1+'Rent Roll'!$I$19)^IF(J$4&lt;'Rent Roll'!$Y$19,0,YEAR(J$4)-YEAR('Rent Roll'!$Y$19)+1),0)</f>
        <v>8755.2083333333321</v>
      </c>
      <c r="K151" s="49">
        <f>IF(K150=1,'Rent Roll'!$H$19/12*(1+'Rent Roll'!$I$19)^IF(K$4&lt;'Rent Roll'!$Y$19,0,YEAR(K$4)-YEAR('Rent Roll'!$Y$19)+1),0)</f>
        <v>8755.2083333333321</v>
      </c>
      <c r="L151" s="49">
        <f>IF(L150=1,'Rent Roll'!$H$19/12*(1+'Rent Roll'!$I$19)^IF(L$4&lt;'Rent Roll'!$Y$19,0,YEAR(L$4)-YEAR('Rent Roll'!$Y$19)+1),0)</f>
        <v>8755.2083333333321</v>
      </c>
      <c r="M151" s="49">
        <f>IF(M150=1,'Rent Roll'!$H$19/12*(1+'Rent Roll'!$I$19)^IF(M$4&lt;'Rent Roll'!$Y$19,0,YEAR(M$4)-YEAR('Rent Roll'!$Y$19)+1),0)</f>
        <v>8755.2083333333321</v>
      </c>
      <c r="N151" s="49">
        <f>IF(N150=1,'Rent Roll'!$H$19/12*(1+'Rent Roll'!$I$19)^IF(N$4&lt;'Rent Roll'!$Y$19,0,YEAR(N$4)-YEAR('Rent Roll'!$Y$19)+1),0)</f>
        <v>8755.2083333333321</v>
      </c>
      <c r="O151" s="49">
        <f>IF(O150=1,'Rent Roll'!$H$19/12*(1+'Rent Roll'!$I$19)^IF(O$4&lt;'Rent Roll'!$Y$19,0,YEAR(O$4)-YEAR('Rent Roll'!$Y$19)+1),0)</f>
        <v>8755.2083333333321</v>
      </c>
      <c r="P151" s="49">
        <f>IF(P150=1,'Rent Roll'!$H$19/12*(1+'Rent Roll'!$I$19)^IF(P$4&lt;'Rent Roll'!$Y$19,0,YEAR(P$4)-YEAR('Rent Roll'!$Y$19)+1),0)</f>
        <v>8755.2083333333321</v>
      </c>
      <c r="Q151" s="49">
        <f>IF(Q150=1,'Rent Roll'!$H$19/12*(1+'Rent Roll'!$I$19)^IF(Q$4&lt;'Rent Roll'!$Y$19,0,YEAR(Q$4)-YEAR('Rent Roll'!$Y$19)+1),0)</f>
        <v>8755.2083333333321</v>
      </c>
      <c r="R151" s="49">
        <f>IF(R150=1,'Rent Roll'!$H$19/12*(1+'Rent Roll'!$I$19)^IF(R$4&lt;'Rent Roll'!$Y$19,0,YEAR(R$4)-YEAR('Rent Roll'!$Y$19)+1),0)</f>
        <v>8755.2083333333321</v>
      </c>
      <c r="S151" s="49">
        <f>IF(S150=1,'Rent Roll'!$H$19/12*(1+'Rent Roll'!$I$19)^IF(S$4&lt;'Rent Roll'!$Y$19,0,YEAR(S$4)-YEAR('Rent Roll'!$Y$19)+1),0)</f>
        <v>8755.2083333333321</v>
      </c>
      <c r="T151" s="49">
        <f>IF(T150=1,'Rent Roll'!$H$19/12*(1+'Rent Roll'!$I$19)^IF(T$4&lt;'Rent Roll'!$Y$19,0,YEAR(T$4)-YEAR('Rent Roll'!$Y$19)+1),0)</f>
        <v>8755.2083333333321</v>
      </c>
      <c r="U151" s="49">
        <f>IF(U150=1,'Rent Roll'!$H$19/12*(1+'Rent Roll'!$I$19)^IF(U$4&lt;'Rent Roll'!$Y$19,0,YEAR(U$4)-YEAR('Rent Roll'!$Y$19)+1),0)</f>
        <v>8974.0885416666661</v>
      </c>
      <c r="V151" s="49">
        <f>IF(V150=1,'Rent Roll'!$H$19/12*(1+'Rent Roll'!$I$19)^IF(V$4&lt;'Rent Roll'!$Y$19,0,YEAR(V$4)-YEAR('Rent Roll'!$Y$19)+1),0)</f>
        <v>8974.0885416666661</v>
      </c>
      <c r="W151" s="49">
        <f>IF(W150=1,'Rent Roll'!$H$19/12*(1+'Rent Roll'!$I$19)^IF(W$4&lt;'Rent Roll'!$Y$19,0,YEAR(W$4)-YEAR('Rent Roll'!$Y$19)+1),0)</f>
        <v>8974.0885416666661</v>
      </c>
      <c r="X151" s="49">
        <f>IF(X150=1,'Rent Roll'!$H$19/12*(1+'Rent Roll'!$I$19)^IF(X$4&lt;'Rent Roll'!$Y$19,0,YEAR(X$4)-YEAR('Rent Roll'!$Y$19)+1),0)</f>
        <v>8974.0885416666661</v>
      </c>
      <c r="Y151" s="49">
        <f>IF(Y150=1,'Rent Roll'!$H$19/12*(1+'Rent Roll'!$I$19)^IF(Y$4&lt;'Rent Roll'!$Y$19,0,YEAR(Y$4)-YEAR('Rent Roll'!$Y$19)+1),0)</f>
        <v>8974.0885416666661</v>
      </c>
      <c r="Z151" s="49">
        <f>IF(Z150=1,'Rent Roll'!$H$19/12*(1+'Rent Roll'!$I$19)^IF(Z$4&lt;'Rent Roll'!$Y$19,0,YEAR(Z$4)-YEAR('Rent Roll'!$Y$19)+1),0)</f>
        <v>8974.0885416666661</v>
      </c>
      <c r="AA151" s="49">
        <f>IF(AA150=1,'Rent Roll'!$H$19/12*(1+'Rent Roll'!$I$19)^IF(AA$4&lt;'Rent Roll'!$Y$19,0,YEAR(AA$4)-YEAR('Rent Roll'!$Y$19)+1),0)</f>
        <v>8974.0885416666661</v>
      </c>
      <c r="AB151" s="49">
        <f>IF(AB150=1,'Rent Roll'!$H$19/12*(1+'Rent Roll'!$I$19)^IF(AB$4&lt;'Rent Roll'!$Y$19,0,YEAR(AB$4)-YEAR('Rent Roll'!$Y$19)+1),0)</f>
        <v>8974.0885416666661</v>
      </c>
      <c r="AC151" s="49">
        <f>IF(AC150=1,'Rent Roll'!$H$19/12*(1+'Rent Roll'!$I$19)^IF(AC$4&lt;'Rent Roll'!$Y$19,0,YEAR(AC$4)-YEAR('Rent Roll'!$Y$19)+1),0)</f>
        <v>8974.0885416666661</v>
      </c>
      <c r="AD151" s="49">
        <f>IF(AD150=1,'Rent Roll'!$H$19/12*(1+'Rent Roll'!$I$19)^IF(AD$4&lt;'Rent Roll'!$Y$19,0,YEAR(AD$4)-YEAR('Rent Roll'!$Y$19)+1),0)</f>
        <v>8974.0885416666661</v>
      </c>
      <c r="AE151" s="49">
        <f>IF(AE150=1,'Rent Roll'!$H$19/12*(1+'Rent Roll'!$I$19)^IF(AE$4&lt;'Rent Roll'!$Y$19,0,YEAR(AE$4)-YEAR('Rent Roll'!$Y$19)+1),0)</f>
        <v>8974.0885416666661</v>
      </c>
      <c r="AF151" s="49">
        <f>IF(AF150=1,'Rent Roll'!$H$19/12*(1+'Rent Roll'!$I$19)^IF(AF$4&lt;'Rent Roll'!$Y$19,0,YEAR(AF$4)-YEAR('Rent Roll'!$Y$19)+1),0)</f>
        <v>8974.0885416666661</v>
      </c>
      <c r="AG151" s="49">
        <f>IF(AG150=1,'Rent Roll'!$H$19/12*(1+'Rent Roll'!$I$19)^IF(AG$4&lt;'Rent Roll'!$Y$19,0,YEAR(AG$4)-YEAR('Rent Roll'!$Y$19)+1),0)</f>
        <v>9198.4407552083321</v>
      </c>
      <c r="AH151" s="49">
        <f>IF(AH150=1,'Rent Roll'!$H$19/12*(1+'Rent Roll'!$I$19)^IF(AH$4&lt;'Rent Roll'!$Y$19,0,YEAR(AH$4)-YEAR('Rent Roll'!$Y$19)+1),0)</f>
        <v>9198.4407552083321</v>
      </c>
      <c r="AI151" s="49">
        <f>IF(AI150=1,'Rent Roll'!$H$19/12*(1+'Rent Roll'!$I$19)^IF(AI$4&lt;'Rent Roll'!$Y$19,0,YEAR(AI$4)-YEAR('Rent Roll'!$Y$19)+1),0)</f>
        <v>9198.4407552083321</v>
      </c>
      <c r="AJ151" s="49">
        <f>IF(AJ150=1,'Rent Roll'!$H$19/12*(1+'Rent Roll'!$I$19)^IF(AJ$4&lt;'Rent Roll'!$Y$19,0,YEAR(AJ$4)-YEAR('Rent Roll'!$Y$19)+1),0)</f>
        <v>9198.4407552083321</v>
      </c>
      <c r="AK151" s="49">
        <f>IF(AK150=1,'Rent Roll'!$H$19/12*(1+'Rent Roll'!$I$19)^IF(AK$4&lt;'Rent Roll'!$Y$19,0,YEAR(AK$4)-YEAR('Rent Roll'!$Y$19)+1),0)</f>
        <v>9198.4407552083321</v>
      </c>
      <c r="AL151" s="49">
        <f>IF(AL150=1,'Rent Roll'!$H$19/12*(1+'Rent Roll'!$I$19)^IF(AL$4&lt;'Rent Roll'!$Y$19,0,YEAR(AL$4)-YEAR('Rent Roll'!$Y$19)+1),0)</f>
        <v>9198.4407552083321</v>
      </c>
      <c r="AM151" s="49">
        <f>IF(AM150=1,'Rent Roll'!$H$19/12*(1+'Rent Roll'!$I$19)^IF(AM$4&lt;'Rent Roll'!$Y$19,0,YEAR(AM$4)-YEAR('Rent Roll'!$Y$19)+1),0)</f>
        <v>9198.4407552083321</v>
      </c>
      <c r="AN151" s="49">
        <f>IF(AN150=1,'Rent Roll'!$H$19/12*(1+'Rent Roll'!$I$19)^IF(AN$4&lt;'Rent Roll'!$Y$19,0,YEAR(AN$4)-YEAR('Rent Roll'!$Y$19)+1),0)</f>
        <v>9198.4407552083321</v>
      </c>
      <c r="AO151" s="49">
        <f>IF(AO150=1,'Rent Roll'!$H$19/12*(1+'Rent Roll'!$I$19)^IF(AO$4&lt;'Rent Roll'!$Y$19,0,YEAR(AO$4)-YEAR('Rent Roll'!$Y$19)+1),0)</f>
        <v>9198.4407552083321</v>
      </c>
      <c r="AP151" s="49">
        <f>IF(AP150=1,'Rent Roll'!$H$19/12*(1+'Rent Roll'!$I$19)^IF(AP$4&lt;'Rent Roll'!$Y$19,0,YEAR(AP$4)-YEAR('Rent Roll'!$Y$19)+1),0)</f>
        <v>9198.4407552083321</v>
      </c>
      <c r="AQ151" s="49">
        <f>IF(AQ150=1,'Rent Roll'!$H$19/12*(1+'Rent Roll'!$I$19)^IF(AQ$4&lt;'Rent Roll'!$Y$19,0,YEAR(AQ$4)-YEAR('Rent Roll'!$Y$19)+1),0)</f>
        <v>9198.4407552083321</v>
      </c>
      <c r="AR151" s="49">
        <f>IF(AR150=1,'Rent Roll'!$H$19/12*(1+'Rent Roll'!$I$19)^IF(AR$4&lt;'Rent Roll'!$Y$19,0,YEAR(AR$4)-YEAR('Rent Roll'!$Y$19)+1),0)</f>
        <v>9198.4407552083321</v>
      </c>
      <c r="AS151" s="49">
        <f>IF(AS150=1,'Rent Roll'!$H$19/12*(1+'Rent Roll'!$I$19)^IF(AS$4&lt;'Rent Roll'!$Y$19,0,YEAR(AS$4)-YEAR('Rent Roll'!$Y$19)+1),0)</f>
        <v>0</v>
      </c>
      <c r="AT151" s="49">
        <f>IF(AT150=1,'Rent Roll'!$H$19/12*(1+'Rent Roll'!$I$19)^IF(AT$4&lt;'Rent Roll'!$Y$19,0,YEAR(AT$4)-YEAR('Rent Roll'!$Y$19)+1),0)</f>
        <v>0</v>
      </c>
      <c r="AU151" s="49">
        <f>IF(AU150=1,'Rent Roll'!$H$19/12*(1+'Rent Roll'!$I$19)^IF(AU$4&lt;'Rent Roll'!$Y$19,0,YEAR(AU$4)-YEAR('Rent Roll'!$Y$19)+1),0)</f>
        <v>0</v>
      </c>
      <c r="AV151" s="49">
        <f>IF(AV150=1,'Rent Roll'!$H$19/12*(1+'Rent Roll'!$I$19)^IF(AV$4&lt;'Rent Roll'!$Y$19,0,YEAR(AV$4)-YEAR('Rent Roll'!$Y$19)+1),0)</f>
        <v>0</v>
      </c>
      <c r="AW151" s="49">
        <f>IF(AW150=1,'Rent Roll'!$H$19/12*(1+'Rent Roll'!$I$19)^IF(AW$4&lt;'Rent Roll'!$Y$19,0,YEAR(AW$4)-YEAR('Rent Roll'!$Y$19)+1),0)</f>
        <v>0</v>
      </c>
      <c r="AX151" s="49">
        <f>IF(AX150=1,'Rent Roll'!$H$19/12*(1+'Rent Roll'!$I$19)^IF(AX$4&lt;'Rent Roll'!$Y$19,0,YEAR(AX$4)-YEAR('Rent Roll'!$Y$19)+1),0)</f>
        <v>0</v>
      </c>
      <c r="AY151" s="49">
        <f>IF(AY150=1,'Rent Roll'!$H$19/12*(1+'Rent Roll'!$I$19)^IF(AY$4&lt;'Rent Roll'!$Y$19,0,YEAR(AY$4)-YEAR('Rent Roll'!$Y$19)+1),0)</f>
        <v>0</v>
      </c>
      <c r="AZ151" s="49">
        <f>IF(AZ150=1,'Rent Roll'!$H$19/12*(1+'Rent Roll'!$I$19)^IF(AZ$4&lt;'Rent Roll'!$Y$19,0,YEAR(AZ$4)-YEAR('Rent Roll'!$Y$19)+1),0)</f>
        <v>0</v>
      </c>
      <c r="BA151" s="49">
        <f>IF(BA150=1,'Rent Roll'!$H$19/12*(1+'Rent Roll'!$I$19)^IF(BA$4&lt;'Rent Roll'!$Y$19,0,YEAR(BA$4)-YEAR('Rent Roll'!$Y$19)+1),0)</f>
        <v>0</v>
      </c>
      <c r="BB151" s="49">
        <f>IF(BB150=1,'Rent Roll'!$H$19/12*(1+'Rent Roll'!$I$19)^IF(BB$4&lt;'Rent Roll'!$Y$19,0,YEAR(BB$4)-YEAR('Rent Roll'!$Y$19)+1),0)</f>
        <v>0</v>
      </c>
      <c r="BC151" s="49">
        <f>IF(BC150=1,'Rent Roll'!$H$19/12*(1+'Rent Roll'!$I$19)^IF(BC$4&lt;'Rent Roll'!$Y$19,0,YEAR(BC$4)-YEAR('Rent Roll'!$Y$19)+1),0)</f>
        <v>0</v>
      </c>
      <c r="BD151" s="49">
        <f>IF(BD150=1,'Rent Roll'!$H$19/12*(1+'Rent Roll'!$I$19)^IF(BD$4&lt;'Rent Roll'!$Y$19,0,YEAR(BD$4)-YEAR('Rent Roll'!$Y$19)+1),0)</f>
        <v>0</v>
      </c>
      <c r="BE151" s="49">
        <f>IF(BE150=1,'Rent Roll'!$H$19/12*(1+'Rent Roll'!$I$19)^IF(BE$4&lt;'Rent Roll'!$Y$19,0,YEAR(BE$4)-YEAR('Rent Roll'!$Y$19)+1),0)</f>
        <v>0</v>
      </c>
      <c r="BF151" s="49">
        <f>IF(BF150=1,'Rent Roll'!$H$19/12*(1+'Rent Roll'!$I$19)^IF(BF$4&lt;'Rent Roll'!$Y$19,0,YEAR(BF$4)-YEAR('Rent Roll'!$Y$19)+1),0)</f>
        <v>0</v>
      </c>
      <c r="BG151" s="49">
        <f>IF(BG150=1,'Rent Roll'!$H$19/12*(1+'Rent Roll'!$I$19)^IF(BG$4&lt;'Rent Roll'!$Y$19,0,YEAR(BG$4)-YEAR('Rent Roll'!$Y$19)+1),0)</f>
        <v>0</v>
      </c>
      <c r="BH151" s="49">
        <f>IF(BH150=1,'Rent Roll'!$H$19/12*(1+'Rent Roll'!$I$19)^IF(BH$4&lt;'Rent Roll'!$Y$19,0,YEAR(BH$4)-YEAR('Rent Roll'!$Y$19)+1),0)</f>
        <v>0</v>
      </c>
      <c r="BI151" s="49">
        <f>IF(BI150=1,'Rent Roll'!$H$19/12*(1+'Rent Roll'!$I$19)^IF(BI$4&lt;'Rent Roll'!$Y$19,0,YEAR(BI$4)-YEAR('Rent Roll'!$Y$19)+1),0)</f>
        <v>0</v>
      </c>
      <c r="BJ151" s="49">
        <f>IF(BJ150=1,'Rent Roll'!$H$19/12*(1+'Rent Roll'!$I$19)^IF(BJ$4&lt;'Rent Roll'!$Y$19,0,YEAR(BJ$4)-YEAR('Rent Roll'!$Y$19)+1),0)</f>
        <v>0</v>
      </c>
      <c r="BK151" s="49">
        <f>IF(BK150=1,'Rent Roll'!$H$19/12*(1+'Rent Roll'!$I$19)^IF(BK$4&lt;'Rent Roll'!$Y$19,0,YEAR(BK$4)-YEAR('Rent Roll'!$Y$19)+1),0)</f>
        <v>0</v>
      </c>
      <c r="BL151" s="49">
        <f>IF(BL150=1,'Rent Roll'!$H$19/12*(1+'Rent Roll'!$I$19)^IF(BL$4&lt;'Rent Roll'!$Y$19,0,YEAR(BL$4)-YEAR('Rent Roll'!$Y$19)+1),0)</f>
        <v>0</v>
      </c>
      <c r="BM151" s="49">
        <f>IF(BM150=1,'Rent Roll'!$H$19/12*(1+'Rent Roll'!$I$19)^IF(BM$4&lt;'Rent Roll'!$Y$19,0,YEAR(BM$4)-YEAR('Rent Roll'!$Y$19)+1),0)</f>
        <v>0</v>
      </c>
      <c r="BN151" s="49">
        <f>IF(BN150=1,'Rent Roll'!$H$19/12*(1+'Rent Roll'!$I$19)^IF(BN$4&lt;'Rent Roll'!$Y$19,0,YEAR(BN$4)-YEAR('Rent Roll'!$Y$19)+1),0)</f>
        <v>0</v>
      </c>
      <c r="BO151" s="49">
        <f>IF(BO150=1,'Rent Roll'!$H$19/12*(1+'Rent Roll'!$I$19)^IF(BO$4&lt;'Rent Roll'!$Y$19,0,YEAR(BO$4)-YEAR('Rent Roll'!$Y$19)+1),0)</f>
        <v>0</v>
      </c>
      <c r="BP151" s="49">
        <f>IF(BP150=1,'Rent Roll'!$H$19/12*(1+'Rent Roll'!$I$19)^IF(BP$4&lt;'Rent Roll'!$Y$19,0,YEAR(BP$4)-YEAR('Rent Roll'!$Y$19)+1),0)</f>
        <v>0</v>
      </c>
      <c r="BQ151" s="49">
        <f>IF(BQ150=1,'Rent Roll'!$H$19/12*(1+'Rent Roll'!$I$19)^IF(BQ$4&lt;'Rent Roll'!$Y$19,0,YEAR(BQ$4)-YEAR('Rent Roll'!$Y$19)+1),0)</f>
        <v>0</v>
      </c>
      <c r="BR151" s="49">
        <f>IF(BR150=1,'Rent Roll'!$H$19/12*(1+'Rent Roll'!$I$19)^IF(BR$4&lt;'Rent Roll'!$Y$19,0,YEAR(BR$4)-YEAR('Rent Roll'!$Y$19)+1),0)</f>
        <v>0</v>
      </c>
      <c r="BS151" s="49">
        <f>IF(BS150=1,'Rent Roll'!$H$19/12*(1+'Rent Roll'!$I$19)^IF(BS$4&lt;'Rent Roll'!$Y$19,0,YEAR(BS$4)-YEAR('Rent Roll'!$Y$19)+1),0)</f>
        <v>0</v>
      </c>
      <c r="BT151" s="49">
        <f>IF(BT150=1,'Rent Roll'!$H$19/12*(1+'Rent Roll'!$I$19)^IF(BT$4&lt;'Rent Roll'!$Y$19,0,YEAR(BT$4)-YEAR('Rent Roll'!$Y$19)+1),0)</f>
        <v>0</v>
      </c>
      <c r="BU151" s="49">
        <f>IF(BU150=1,'Rent Roll'!$H$19/12*(1+'Rent Roll'!$I$19)^IF(BU$4&lt;'Rent Roll'!$Y$19,0,YEAR(BU$4)-YEAR('Rent Roll'!$Y$19)+1),0)</f>
        <v>0</v>
      </c>
      <c r="BV151" s="49">
        <f>IF(BV150=1,'Rent Roll'!$H$19/12*(1+'Rent Roll'!$I$19)^IF(BV$4&lt;'Rent Roll'!$Y$19,0,YEAR(BV$4)-YEAR('Rent Roll'!$Y$19)+1),0)</f>
        <v>0</v>
      </c>
      <c r="BW151" s="49">
        <f>IF(BW150=1,'Rent Roll'!$H$19/12*(1+'Rent Roll'!$I$19)^IF(BW$4&lt;'Rent Roll'!$Y$19,0,YEAR(BW$4)-YEAR('Rent Roll'!$Y$19)+1),0)</f>
        <v>0</v>
      </c>
      <c r="BX151" s="49">
        <f>IF(BX150=1,'Rent Roll'!$H$19/12*(1+'Rent Roll'!$I$19)^IF(BX$4&lt;'Rent Roll'!$Y$19,0,YEAR(BX$4)-YEAR('Rent Roll'!$Y$19)+1),0)</f>
        <v>0</v>
      </c>
    </row>
    <row r="152" spans="1:76" outlineLevel="1">
      <c r="B152" t="s">
        <v>160</v>
      </c>
      <c r="D152" s="49">
        <f>IF(D$4&gt;EOMONTH(CloseDate,'Rent Roll'!$O$19+'Rent Roll'!$S$19-1),1,0)</f>
        <v>0</v>
      </c>
      <c r="E152" s="49">
        <f>IF(E$4&gt;EOMONTH(CloseDate,'Rent Roll'!$O$19+'Rent Roll'!$S$19-1),1,0)</f>
        <v>0</v>
      </c>
      <c r="F152" s="49">
        <f>IF(F$4&gt;EOMONTH(CloseDate,'Rent Roll'!$O$19+'Rent Roll'!$S$19-1),1,0)</f>
        <v>0</v>
      </c>
      <c r="G152" s="49">
        <f>IF(G$4&gt;EOMONTH(CloseDate,'Rent Roll'!$O$19+'Rent Roll'!$S$19-1),1,0)</f>
        <v>0</v>
      </c>
      <c r="H152" s="49">
        <f>IF(H$4&gt;EOMONTH(CloseDate,'Rent Roll'!$O$19+'Rent Roll'!$S$19-1),1,0)</f>
        <v>0</v>
      </c>
      <c r="I152" s="49">
        <f>IF(I$4&gt;EOMONTH(CloseDate,'Rent Roll'!$O$19+'Rent Roll'!$S$19-1),1,0)</f>
        <v>0</v>
      </c>
      <c r="J152" s="49">
        <f>IF(J$4&gt;EOMONTH(CloseDate,'Rent Roll'!$O$19+'Rent Roll'!$S$19-1),1,0)</f>
        <v>0</v>
      </c>
      <c r="K152" s="49">
        <f>IF(K$4&gt;EOMONTH(CloseDate,'Rent Roll'!$O$19+'Rent Roll'!$S$19-1),1,0)</f>
        <v>0</v>
      </c>
      <c r="L152" s="49">
        <f>IF(L$4&gt;EOMONTH(CloseDate,'Rent Roll'!$O$19+'Rent Roll'!$S$19-1),1,0)</f>
        <v>0</v>
      </c>
      <c r="M152" s="49">
        <f>IF(M$4&gt;EOMONTH(CloseDate,'Rent Roll'!$O$19+'Rent Roll'!$S$19-1),1,0)</f>
        <v>0</v>
      </c>
      <c r="N152" s="49">
        <f>IF(N$4&gt;EOMONTH(CloseDate,'Rent Roll'!$O$19+'Rent Roll'!$S$19-1),1,0)</f>
        <v>0</v>
      </c>
      <c r="O152" s="49">
        <f>IF(O$4&gt;EOMONTH(CloseDate,'Rent Roll'!$O$19+'Rent Roll'!$S$19-1),1,0)</f>
        <v>0</v>
      </c>
      <c r="P152" s="49">
        <f>IF(P$4&gt;EOMONTH(CloseDate,'Rent Roll'!$O$19+'Rent Roll'!$S$19-1),1,0)</f>
        <v>0</v>
      </c>
      <c r="Q152" s="49">
        <f>IF(Q$4&gt;EOMONTH(CloseDate,'Rent Roll'!$O$19+'Rent Roll'!$S$19-1),1,0)</f>
        <v>0</v>
      </c>
      <c r="R152" s="49">
        <f>IF(R$4&gt;EOMONTH(CloseDate,'Rent Roll'!$O$19+'Rent Roll'!$S$19-1),1,0)</f>
        <v>0</v>
      </c>
      <c r="S152" s="49">
        <f>IF(S$4&gt;EOMONTH(CloseDate,'Rent Roll'!$O$19+'Rent Roll'!$S$19-1),1,0)</f>
        <v>0</v>
      </c>
      <c r="T152" s="49">
        <f>IF(T$4&gt;EOMONTH(CloseDate,'Rent Roll'!$O$19+'Rent Roll'!$S$19-1),1,0)</f>
        <v>0</v>
      </c>
      <c r="U152" s="49">
        <f>IF(U$4&gt;EOMONTH(CloseDate,'Rent Roll'!$O$19+'Rent Roll'!$S$19-1),1,0)</f>
        <v>0</v>
      </c>
      <c r="V152" s="49">
        <f>IF(V$4&gt;EOMONTH(CloseDate,'Rent Roll'!$O$19+'Rent Roll'!$S$19-1),1,0)</f>
        <v>0</v>
      </c>
      <c r="W152" s="49">
        <f>IF(W$4&gt;EOMONTH(CloseDate,'Rent Roll'!$O$19+'Rent Roll'!$S$19-1),1,0)</f>
        <v>0</v>
      </c>
      <c r="X152" s="49">
        <f>IF(X$4&gt;EOMONTH(CloseDate,'Rent Roll'!$O$19+'Rent Roll'!$S$19-1),1,0)</f>
        <v>0</v>
      </c>
      <c r="Y152" s="49">
        <f>IF(Y$4&gt;EOMONTH(CloseDate,'Rent Roll'!$O$19+'Rent Roll'!$S$19-1),1,0)</f>
        <v>0</v>
      </c>
      <c r="Z152" s="49">
        <f>IF(Z$4&gt;EOMONTH(CloseDate,'Rent Roll'!$O$19+'Rent Roll'!$S$19-1),1,0)</f>
        <v>0</v>
      </c>
      <c r="AA152" s="49">
        <f>IF(AA$4&gt;EOMONTH(CloseDate,'Rent Roll'!$O$19+'Rent Roll'!$S$19-1),1,0)</f>
        <v>0</v>
      </c>
      <c r="AB152" s="49">
        <f>IF(AB$4&gt;EOMONTH(CloseDate,'Rent Roll'!$O$19+'Rent Roll'!$S$19-1),1,0)</f>
        <v>0</v>
      </c>
      <c r="AC152" s="49">
        <f>IF(AC$4&gt;EOMONTH(CloseDate,'Rent Roll'!$O$19+'Rent Roll'!$S$19-1),1,0)</f>
        <v>0</v>
      </c>
      <c r="AD152" s="49">
        <f>IF(AD$4&gt;EOMONTH(CloseDate,'Rent Roll'!$O$19+'Rent Roll'!$S$19-1),1,0)</f>
        <v>0</v>
      </c>
      <c r="AE152" s="49">
        <f>IF(AE$4&gt;EOMONTH(CloseDate,'Rent Roll'!$O$19+'Rent Roll'!$S$19-1),1,0)</f>
        <v>0</v>
      </c>
      <c r="AF152" s="49">
        <f>IF(AF$4&gt;EOMONTH(CloseDate,'Rent Roll'!$O$19+'Rent Roll'!$S$19-1),1,0)</f>
        <v>0</v>
      </c>
      <c r="AG152" s="49">
        <f>IF(AG$4&gt;EOMONTH(CloseDate,'Rent Roll'!$O$19+'Rent Roll'!$S$19-1),1,0)</f>
        <v>0</v>
      </c>
      <c r="AH152" s="49">
        <f>IF(AH$4&gt;EOMONTH(CloseDate,'Rent Roll'!$O$19+'Rent Roll'!$S$19-1),1,0)</f>
        <v>0</v>
      </c>
      <c r="AI152" s="49">
        <f>IF(AI$4&gt;EOMONTH(CloseDate,'Rent Roll'!$O$19+'Rent Roll'!$S$19-1),1,0)</f>
        <v>0</v>
      </c>
      <c r="AJ152" s="49">
        <f>IF(AJ$4&gt;EOMONTH(CloseDate,'Rent Roll'!$O$19+'Rent Roll'!$S$19-1),1,0)</f>
        <v>0</v>
      </c>
      <c r="AK152" s="49">
        <f>IF(AK$4&gt;EOMONTH(CloseDate,'Rent Roll'!$O$19+'Rent Roll'!$S$19-1),1,0)</f>
        <v>0</v>
      </c>
      <c r="AL152" s="49">
        <f>IF(AL$4&gt;EOMONTH(CloseDate,'Rent Roll'!$O$19+'Rent Roll'!$S$19-1),1,0)</f>
        <v>0</v>
      </c>
      <c r="AM152" s="49">
        <f>IF(AM$4&gt;EOMONTH(CloseDate,'Rent Roll'!$O$19+'Rent Roll'!$S$19-1),1,0)</f>
        <v>0</v>
      </c>
      <c r="AN152" s="49">
        <f>IF(AN$4&gt;EOMONTH(CloseDate,'Rent Roll'!$O$19+'Rent Roll'!$S$19-1),1,0)</f>
        <v>0</v>
      </c>
      <c r="AO152" s="49">
        <f>IF(AO$4&gt;EOMONTH(CloseDate,'Rent Roll'!$O$19+'Rent Roll'!$S$19-1),1,0)</f>
        <v>0</v>
      </c>
      <c r="AP152" s="49">
        <f>IF(AP$4&gt;EOMONTH(CloseDate,'Rent Roll'!$O$19+'Rent Roll'!$S$19-1),1,0)</f>
        <v>0</v>
      </c>
      <c r="AQ152" s="49">
        <f>IF(AQ$4&gt;EOMONTH(CloseDate,'Rent Roll'!$O$19+'Rent Roll'!$S$19-1),1,0)</f>
        <v>0</v>
      </c>
      <c r="AR152" s="49">
        <f>IF(AR$4&gt;EOMONTH(CloseDate,'Rent Roll'!$O$19+'Rent Roll'!$S$19-1),1,0)</f>
        <v>0</v>
      </c>
      <c r="AS152" s="49">
        <f>IF(AS$4&gt;EOMONTH(CloseDate,'Rent Roll'!$O$19+'Rent Roll'!$S$19-1),1,0)</f>
        <v>0</v>
      </c>
      <c r="AT152" s="49">
        <f>IF(AT$4&gt;EOMONTH(CloseDate,'Rent Roll'!$O$19+'Rent Roll'!$S$19-1),1,0)</f>
        <v>0</v>
      </c>
      <c r="AU152" s="49">
        <f>IF(AU$4&gt;EOMONTH(CloseDate,'Rent Roll'!$O$19+'Rent Roll'!$S$19-1),1,0)</f>
        <v>0</v>
      </c>
      <c r="AV152" s="49">
        <f>IF(AV$4&gt;EOMONTH(CloseDate,'Rent Roll'!$O$19+'Rent Roll'!$S$19-1),1,0)</f>
        <v>0</v>
      </c>
      <c r="AW152" s="49">
        <f>IF(AW$4&gt;EOMONTH(CloseDate,'Rent Roll'!$O$19+'Rent Roll'!$S$19-1),1,0)</f>
        <v>0</v>
      </c>
      <c r="AX152" s="49">
        <f>IF(AX$4&gt;EOMONTH(CloseDate,'Rent Roll'!$O$19+'Rent Roll'!$S$19-1),1,0)</f>
        <v>1</v>
      </c>
      <c r="AY152" s="49">
        <f>IF(AY$4&gt;EOMONTH(CloseDate,'Rent Roll'!$O$19+'Rent Roll'!$S$19-1),1,0)</f>
        <v>1</v>
      </c>
      <c r="AZ152" s="49">
        <f>IF(AZ$4&gt;EOMONTH(CloseDate,'Rent Roll'!$O$19+'Rent Roll'!$S$19-1),1,0)</f>
        <v>1</v>
      </c>
      <c r="BA152" s="49">
        <f>IF(BA$4&gt;EOMONTH(CloseDate,'Rent Roll'!$O$19+'Rent Roll'!$S$19-1),1,0)</f>
        <v>1</v>
      </c>
      <c r="BB152" s="49">
        <f>IF(BB$4&gt;EOMONTH(CloseDate,'Rent Roll'!$O$19+'Rent Roll'!$S$19-1),1,0)</f>
        <v>1</v>
      </c>
      <c r="BC152" s="49">
        <f>IF(BC$4&gt;EOMONTH(CloseDate,'Rent Roll'!$O$19+'Rent Roll'!$S$19-1),1,0)</f>
        <v>1</v>
      </c>
      <c r="BD152" s="49">
        <f>IF(BD$4&gt;EOMONTH(CloseDate,'Rent Roll'!$O$19+'Rent Roll'!$S$19-1),1,0)</f>
        <v>1</v>
      </c>
      <c r="BE152" s="49">
        <f>IF(BE$4&gt;EOMONTH(CloseDate,'Rent Roll'!$O$19+'Rent Roll'!$S$19-1),1,0)</f>
        <v>1</v>
      </c>
      <c r="BF152" s="49">
        <f>IF(BF$4&gt;EOMONTH(CloseDate,'Rent Roll'!$O$19+'Rent Roll'!$S$19-1),1,0)</f>
        <v>1</v>
      </c>
      <c r="BG152" s="49">
        <f>IF(BG$4&gt;EOMONTH(CloseDate,'Rent Roll'!$O$19+'Rent Roll'!$S$19-1),1,0)</f>
        <v>1</v>
      </c>
      <c r="BH152" s="49">
        <f>IF(BH$4&gt;EOMONTH(CloseDate,'Rent Roll'!$O$19+'Rent Roll'!$S$19-1),1,0)</f>
        <v>1</v>
      </c>
      <c r="BI152" s="49">
        <f>IF(BI$4&gt;EOMONTH(CloseDate,'Rent Roll'!$O$19+'Rent Roll'!$S$19-1),1,0)</f>
        <v>1</v>
      </c>
      <c r="BJ152" s="49">
        <f>IF(BJ$4&gt;EOMONTH(CloseDate,'Rent Roll'!$O$19+'Rent Roll'!$S$19-1),1,0)</f>
        <v>1</v>
      </c>
      <c r="BK152" s="49">
        <f>IF(BK$4&gt;EOMONTH(CloseDate,'Rent Roll'!$O$19+'Rent Roll'!$S$19-1),1,0)</f>
        <v>1</v>
      </c>
      <c r="BL152" s="49">
        <f>IF(BL$4&gt;EOMONTH(CloseDate,'Rent Roll'!$O$19+'Rent Roll'!$S$19-1),1,0)</f>
        <v>1</v>
      </c>
      <c r="BM152" s="49">
        <f>IF(BM$4&gt;EOMONTH(CloseDate,'Rent Roll'!$O$19+'Rent Roll'!$S$19-1),1,0)</f>
        <v>1</v>
      </c>
      <c r="BN152" s="49">
        <f>IF(BN$4&gt;EOMONTH(CloseDate,'Rent Roll'!$O$19+'Rent Roll'!$S$19-1),1,0)</f>
        <v>1</v>
      </c>
      <c r="BO152" s="49">
        <f>IF(BO$4&gt;EOMONTH(CloseDate,'Rent Roll'!$O$19+'Rent Roll'!$S$19-1),1,0)</f>
        <v>1</v>
      </c>
      <c r="BP152" s="49">
        <f>IF(BP$4&gt;EOMONTH(CloseDate,'Rent Roll'!$O$19+'Rent Roll'!$S$19-1),1,0)</f>
        <v>1</v>
      </c>
      <c r="BQ152" s="49">
        <f>IF(BQ$4&gt;EOMONTH(CloseDate,'Rent Roll'!$O$19+'Rent Roll'!$S$19-1),1,0)</f>
        <v>1</v>
      </c>
      <c r="BR152" s="49">
        <f>IF(BR$4&gt;EOMONTH(CloseDate,'Rent Roll'!$O$19+'Rent Roll'!$S$19-1),1,0)</f>
        <v>1</v>
      </c>
      <c r="BS152" s="49">
        <f>IF(BS$4&gt;EOMONTH(CloseDate,'Rent Roll'!$O$19+'Rent Roll'!$S$19-1),1,0)</f>
        <v>1</v>
      </c>
      <c r="BT152" s="49">
        <f>IF(BT$4&gt;EOMONTH(CloseDate,'Rent Roll'!$O$19+'Rent Roll'!$S$19-1),1,0)</f>
        <v>1</v>
      </c>
      <c r="BU152" s="49">
        <f>IF(BU$4&gt;EOMONTH(CloseDate,'Rent Roll'!$O$19+'Rent Roll'!$S$19-1),1,0)</f>
        <v>1</v>
      </c>
      <c r="BV152" s="49">
        <f>IF(BV$4&gt;EOMONTH(CloseDate,'Rent Roll'!$O$19+'Rent Roll'!$S$19-1),1,0)</f>
        <v>1</v>
      </c>
      <c r="BW152" s="49">
        <f>IF(BW$4&gt;EOMONTH(CloseDate,'Rent Roll'!$O$19+'Rent Roll'!$S$19-1),1,0)</f>
        <v>1</v>
      </c>
      <c r="BX152" s="49">
        <f>IF(BX$4&gt;EOMONTH(CloseDate,'Rent Roll'!$O$19+'Rent Roll'!$S$19-1),1,0)</f>
        <v>1</v>
      </c>
    </row>
    <row r="153" spans="1:76" outlineLevel="1">
      <c r="B153" t="s">
        <v>162</v>
      </c>
      <c r="D153" s="49">
        <f>IF(D152=1,'Rent Roll'!$F$19*'Rent Roll'!$X$19/12*D$6,0)</f>
        <v>0</v>
      </c>
      <c r="E153" s="49">
        <f>IF(E152=1,'Rent Roll'!$F$19*'Rent Roll'!$X$19/12*E$6,0)</f>
        <v>0</v>
      </c>
      <c r="F153" s="49">
        <f>IF(F152=1,'Rent Roll'!$F$19*'Rent Roll'!$X$19/12*F$6,0)</f>
        <v>0</v>
      </c>
      <c r="G153" s="49">
        <f>IF(G152=1,'Rent Roll'!$F$19*'Rent Roll'!$X$19/12*G$6,0)</f>
        <v>0</v>
      </c>
      <c r="H153" s="49">
        <f>IF(H152=1,'Rent Roll'!$F$19*'Rent Roll'!$X$19/12*H$6,0)</f>
        <v>0</v>
      </c>
      <c r="I153" s="49">
        <f>IF(I152=1,'Rent Roll'!$F$19*'Rent Roll'!$X$19/12*I$6,0)</f>
        <v>0</v>
      </c>
      <c r="J153" s="49">
        <f>IF(J152=1,'Rent Roll'!$F$19*'Rent Roll'!$X$19/12*J$6,0)</f>
        <v>0</v>
      </c>
      <c r="K153" s="49">
        <f>IF(K152=1,'Rent Roll'!$F$19*'Rent Roll'!$X$19/12*K$6,0)</f>
        <v>0</v>
      </c>
      <c r="L153" s="49">
        <f>IF(L152=1,'Rent Roll'!$F$19*'Rent Roll'!$X$19/12*L$6,0)</f>
        <v>0</v>
      </c>
      <c r="M153" s="49">
        <f>IF(M152=1,'Rent Roll'!$F$19*'Rent Roll'!$X$19/12*M$6,0)</f>
        <v>0</v>
      </c>
      <c r="N153" s="49">
        <f>IF(N152=1,'Rent Roll'!$F$19*'Rent Roll'!$X$19/12*N$6,0)</f>
        <v>0</v>
      </c>
      <c r="O153" s="49">
        <f>IF(O152=1,'Rent Roll'!$F$19*'Rent Roll'!$X$19/12*O$6,0)</f>
        <v>0</v>
      </c>
      <c r="P153" s="49">
        <f>IF(P152=1,'Rent Roll'!$F$19*'Rent Roll'!$X$19/12*P$6,0)</f>
        <v>0</v>
      </c>
      <c r="Q153" s="49">
        <f>IF(Q152=1,'Rent Roll'!$F$19*'Rent Roll'!$X$19/12*Q$6,0)</f>
        <v>0</v>
      </c>
      <c r="R153" s="49">
        <f>IF(R152=1,'Rent Roll'!$F$19*'Rent Roll'!$X$19/12*R$6,0)</f>
        <v>0</v>
      </c>
      <c r="S153" s="49">
        <f>IF(S152=1,'Rent Roll'!$F$19*'Rent Roll'!$X$19/12*S$6,0)</f>
        <v>0</v>
      </c>
      <c r="T153" s="49">
        <f>IF(T152=1,'Rent Roll'!$F$19*'Rent Roll'!$X$19/12*T$6,0)</f>
        <v>0</v>
      </c>
      <c r="U153" s="49">
        <f>IF(U152=1,'Rent Roll'!$F$19*'Rent Roll'!$X$19/12*U$6,0)</f>
        <v>0</v>
      </c>
      <c r="V153" s="49">
        <f>IF(V152=1,'Rent Roll'!$F$19*'Rent Roll'!$X$19/12*V$6,0)</f>
        <v>0</v>
      </c>
      <c r="W153" s="49">
        <f>IF(W152=1,'Rent Roll'!$F$19*'Rent Roll'!$X$19/12*W$6,0)</f>
        <v>0</v>
      </c>
      <c r="X153" s="49">
        <f>IF(X152=1,'Rent Roll'!$F$19*'Rent Roll'!$X$19/12*X$6,0)</f>
        <v>0</v>
      </c>
      <c r="Y153" s="49">
        <f>IF(Y152=1,'Rent Roll'!$F$19*'Rent Roll'!$X$19/12*Y$6,0)</f>
        <v>0</v>
      </c>
      <c r="Z153" s="49">
        <f>IF(Z152=1,'Rent Roll'!$F$19*'Rent Roll'!$X$19/12*Z$6,0)</f>
        <v>0</v>
      </c>
      <c r="AA153" s="49">
        <f>IF(AA152=1,'Rent Roll'!$F$19*'Rent Roll'!$X$19/12*AA$6,0)</f>
        <v>0</v>
      </c>
      <c r="AB153" s="49">
        <f>IF(AB152=1,'Rent Roll'!$F$19*'Rent Roll'!$X$19/12*AB$6,0)</f>
        <v>0</v>
      </c>
      <c r="AC153" s="49">
        <f>IF(AC152=1,'Rent Roll'!$F$19*'Rent Roll'!$X$19/12*AC$6,0)</f>
        <v>0</v>
      </c>
      <c r="AD153" s="49">
        <f>IF(AD152=1,'Rent Roll'!$F$19*'Rent Roll'!$X$19/12*AD$6,0)</f>
        <v>0</v>
      </c>
      <c r="AE153" s="49">
        <f>IF(AE152=1,'Rent Roll'!$F$19*'Rent Roll'!$X$19/12*AE$6,0)</f>
        <v>0</v>
      </c>
      <c r="AF153" s="49">
        <f>IF(AF152=1,'Rent Roll'!$F$19*'Rent Roll'!$X$19/12*AF$6,0)</f>
        <v>0</v>
      </c>
      <c r="AG153" s="49">
        <f>IF(AG152=1,'Rent Roll'!$F$19*'Rent Roll'!$X$19/12*AG$6,0)</f>
        <v>0</v>
      </c>
      <c r="AH153" s="49">
        <f>IF(AH152=1,'Rent Roll'!$F$19*'Rent Roll'!$X$19/12*AH$6,0)</f>
        <v>0</v>
      </c>
      <c r="AI153" s="49">
        <f>IF(AI152=1,'Rent Roll'!$F$19*'Rent Roll'!$X$19/12*AI$6,0)</f>
        <v>0</v>
      </c>
      <c r="AJ153" s="49">
        <f>IF(AJ152=1,'Rent Roll'!$F$19*'Rent Roll'!$X$19/12*AJ$6,0)</f>
        <v>0</v>
      </c>
      <c r="AK153" s="49">
        <f>IF(AK152=1,'Rent Roll'!$F$19*'Rent Roll'!$X$19/12*AK$6,0)</f>
        <v>0</v>
      </c>
      <c r="AL153" s="49">
        <f>IF(AL152=1,'Rent Roll'!$F$19*'Rent Roll'!$X$19/12*AL$6,0)</f>
        <v>0</v>
      </c>
      <c r="AM153" s="49">
        <f>IF(AM152=1,'Rent Roll'!$F$19*'Rent Roll'!$X$19/12*AM$6,0)</f>
        <v>0</v>
      </c>
      <c r="AN153" s="49">
        <f>IF(AN152=1,'Rent Roll'!$F$19*'Rent Roll'!$X$19/12*AN$6,0)</f>
        <v>0</v>
      </c>
      <c r="AO153" s="49">
        <f>IF(AO152=1,'Rent Roll'!$F$19*'Rent Roll'!$X$19/12*AO$6,0)</f>
        <v>0</v>
      </c>
      <c r="AP153" s="49">
        <f>IF(AP152=1,'Rent Roll'!$F$19*'Rent Roll'!$X$19/12*AP$6,0)</f>
        <v>0</v>
      </c>
      <c r="AQ153" s="49">
        <f>IF(AQ152=1,'Rent Roll'!$F$19*'Rent Roll'!$X$19/12*AQ$6,0)</f>
        <v>0</v>
      </c>
      <c r="AR153" s="49">
        <f>IF(AR152=1,'Rent Roll'!$F$19*'Rent Roll'!$X$19/12*AR$6,0)</f>
        <v>0</v>
      </c>
      <c r="AS153" s="49">
        <f>IF(AS152=1,'Rent Roll'!$F$19*'Rent Roll'!$X$19/12*AS$6,0)</f>
        <v>0</v>
      </c>
      <c r="AT153" s="49">
        <f>IF(AT152=1,'Rent Roll'!$F$19*'Rent Roll'!$X$19/12*AT$6,0)</f>
        <v>0</v>
      </c>
      <c r="AU153" s="49">
        <f>IF(AU152=1,'Rent Roll'!$F$19*'Rent Roll'!$X$19/12*AU$6,0)</f>
        <v>0</v>
      </c>
      <c r="AV153" s="49">
        <f>IF(AV152=1,'Rent Roll'!$F$19*'Rent Roll'!$X$19/12*AV$6,0)</f>
        <v>0</v>
      </c>
      <c r="AW153" s="49">
        <f>IF(AW152=1,'Rent Roll'!$F$19*'Rent Roll'!$X$19/12*AW$6,0)</f>
        <v>0</v>
      </c>
      <c r="AX153" s="49">
        <f>IF(AX152=1,'Rent Roll'!$F$19*'Rent Roll'!$X$19/12*AX$6,0)</f>
        <v>11435.671906528649</v>
      </c>
      <c r="AY153" s="49">
        <f>IF(AY152=1,'Rent Roll'!$F$19*'Rent Roll'!$X$19/12*AY$6,0)</f>
        <v>11435.671906528649</v>
      </c>
      <c r="AZ153" s="49">
        <f>IF(AZ152=1,'Rent Roll'!$F$19*'Rent Roll'!$X$19/12*AZ$6,0)</f>
        <v>11435.671906528649</v>
      </c>
      <c r="BA153" s="49">
        <f>IF(BA152=1,'Rent Roll'!$F$19*'Rent Roll'!$X$19/12*BA$6,0)</f>
        <v>11435.671906528649</v>
      </c>
      <c r="BB153" s="49">
        <f>IF(BB152=1,'Rent Roll'!$F$19*'Rent Roll'!$X$19/12*BB$6,0)</f>
        <v>11435.671906528649</v>
      </c>
      <c r="BC153" s="49">
        <f>IF(BC152=1,'Rent Roll'!$F$19*'Rent Roll'!$X$19/12*BC$6,0)</f>
        <v>11435.671906528649</v>
      </c>
      <c r="BD153" s="49">
        <f>IF(BD152=1,'Rent Roll'!$F$19*'Rent Roll'!$X$19/12*BD$6,0)</f>
        <v>11435.671906528649</v>
      </c>
      <c r="BE153" s="49">
        <f>IF(BE152=1,'Rent Roll'!$F$19*'Rent Roll'!$X$19/12*BE$6,0)</f>
        <v>11744.435048004922</v>
      </c>
      <c r="BF153" s="49">
        <f>IF(BF152=1,'Rent Roll'!$F$19*'Rent Roll'!$X$19/12*BF$6,0)</f>
        <v>11744.435048004922</v>
      </c>
      <c r="BG153" s="49">
        <f>IF(BG152=1,'Rent Roll'!$F$19*'Rent Roll'!$X$19/12*BG$6,0)</f>
        <v>11744.435048004922</v>
      </c>
      <c r="BH153" s="49">
        <f>IF(BH152=1,'Rent Roll'!$F$19*'Rent Roll'!$X$19/12*BH$6,0)</f>
        <v>11744.435048004922</v>
      </c>
      <c r="BI153" s="49">
        <f>IF(BI152=1,'Rent Roll'!$F$19*'Rent Roll'!$X$19/12*BI$6,0)</f>
        <v>11744.435048004922</v>
      </c>
      <c r="BJ153" s="49">
        <f>IF(BJ152=1,'Rent Roll'!$F$19*'Rent Roll'!$X$19/12*BJ$6,0)</f>
        <v>11744.435048004922</v>
      </c>
      <c r="BK153" s="49">
        <f>IF(BK152=1,'Rent Roll'!$F$19*'Rent Roll'!$X$19/12*BK$6,0)</f>
        <v>11744.435048004922</v>
      </c>
      <c r="BL153" s="49">
        <f>IF(BL152=1,'Rent Roll'!$F$19*'Rent Roll'!$X$19/12*BL$6,0)</f>
        <v>11744.435048004922</v>
      </c>
      <c r="BM153" s="49">
        <f>IF(BM152=1,'Rent Roll'!$F$19*'Rent Roll'!$X$19/12*BM$6,0)</f>
        <v>11744.435048004922</v>
      </c>
      <c r="BN153" s="49">
        <f>IF(BN152=1,'Rent Roll'!$F$19*'Rent Roll'!$X$19/12*BN$6,0)</f>
        <v>11744.435048004922</v>
      </c>
      <c r="BO153" s="49">
        <f>IF(BO152=1,'Rent Roll'!$F$19*'Rent Roll'!$X$19/12*BO$6,0)</f>
        <v>11744.435048004922</v>
      </c>
      <c r="BP153" s="49">
        <f>IF(BP152=1,'Rent Roll'!$F$19*'Rent Roll'!$X$19/12*BP$6,0)</f>
        <v>11744.435048004922</v>
      </c>
      <c r="BQ153" s="49">
        <f>IF(BQ152=1,'Rent Roll'!$F$19*'Rent Roll'!$X$19/12*BQ$6,0)</f>
        <v>12061.534794301053</v>
      </c>
      <c r="BR153" s="49">
        <f>IF(BR152=1,'Rent Roll'!$F$19*'Rent Roll'!$X$19/12*BR$6,0)</f>
        <v>12061.534794301053</v>
      </c>
      <c r="BS153" s="49">
        <f>IF(BS152=1,'Rent Roll'!$F$19*'Rent Roll'!$X$19/12*BS$6,0)</f>
        <v>12061.534794301053</v>
      </c>
      <c r="BT153" s="49">
        <f>IF(BT152=1,'Rent Roll'!$F$19*'Rent Roll'!$X$19/12*BT$6,0)</f>
        <v>12061.534794301053</v>
      </c>
      <c r="BU153" s="49">
        <f>IF(BU152=1,'Rent Roll'!$F$19*'Rent Roll'!$X$19/12*BU$6,0)</f>
        <v>12061.534794301053</v>
      </c>
      <c r="BV153" s="49">
        <f>IF(BV152=1,'Rent Roll'!$F$19*'Rent Roll'!$X$19/12*BV$6,0)</f>
        <v>12061.534794301053</v>
      </c>
      <c r="BW153" s="49">
        <f>IF(BW152=1,'Rent Roll'!$F$19*'Rent Roll'!$X$19/12*BW$6,0)</f>
        <v>12061.534794301053</v>
      </c>
      <c r="BX153" s="49">
        <f>IF(BX152=1,'Rent Roll'!$F$19*'Rent Roll'!$X$19/12*BX$6,0)</f>
        <v>12061.534794301053</v>
      </c>
    </row>
    <row r="154" spans="1:76" outlineLevel="1">
      <c r="B154" t="s">
        <v>163</v>
      </c>
      <c r="D154" s="49">
        <f>IF(AND(D$4&gt;EOMONTH(CloseDate,'Rent Roll'!$O$19+'Rent Roll'!$S$19-1),D$4&lt;=EOMONTH(CloseDate,'Rent Roll'!$O$19+'Rent Roll'!$S$19-1+'Rent Roll'!$V$19)),-D153,0)</f>
        <v>0</v>
      </c>
      <c r="E154" s="49">
        <f>IF(AND(E$4&gt;EOMONTH(CloseDate,'Rent Roll'!$O$19+'Rent Roll'!$S$19-1),E$4&lt;=EOMONTH(CloseDate,'Rent Roll'!$O$19+'Rent Roll'!$S$19-1+'Rent Roll'!$V$19)),-E153,0)</f>
        <v>0</v>
      </c>
      <c r="F154" s="49">
        <f>IF(AND(F$4&gt;EOMONTH(CloseDate,'Rent Roll'!$O$19+'Rent Roll'!$S$19-1),F$4&lt;=EOMONTH(CloseDate,'Rent Roll'!$O$19+'Rent Roll'!$S$19-1+'Rent Roll'!$V$19)),-F153,0)</f>
        <v>0</v>
      </c>
      <c r="G154" s="49">
        <f>IF(AND(G$4&gt;EOMONTH(CloseDate,'Rent Roll'!$O$19+'Rent Roll'!$S$19-1),G$4&lt;=EOMONTH(CloseDate,'Rent Roll'!$O$19+'Rent Roll'!$S$19-1+'Rent Roll'!$V$19)),-G153,0)</f>
        <v>0</v>
      </c>
      <c r="H154" s="49">
        <f>IF(AND(H$4&gt;EOMONTH(CloseDate,'Rent Roll'!$O$19+'Rent Roll'!$S$19-1),H$4&lt;=EOMONTH(CloseDate,'Rent Roll'!$O$19+'Rent Roll'!$S$19-1+'Rent Roll'!$V$19)),-H153,0)</f>
        <v>0</v>
      </c>
      <c r="I154" s="49">
        <f>IF(AND(I$4&gt;EOMONTH(CloseDate,'Rent Roll'!$O$19+'Rent Roll'!$S$19-1),I$4&lt;=EOMONTH(CloseDate,'Rent Roll'!$O$19+'Rent Roll'!$S$19-1+'Rent Roll'!$V$19)),-I153,0)</f>
        <v>0</v>
      </c>
      <c r="J154" s="49">
        <f>IF(AND(J$4&gt;EOMONTH(CloseDate,'Rent Roll'!$O$19+'Rent Roll'!$S$19-1),J$4&lt;=EOMONTH(CloseDate,'Rent Roll'!$O$19+'Rent Roll'!$S$19-1+'Rent Roll'!$V$19)),-J153,0)</f>
        <v>0</v>
      </c>
      <c r="K154" s="49">
        <f>IF(AND(K$4&gt;EOMONTH(CloseDate,'Rent Roll'!$O$19+'Rent Roll'!$S$19-1),K$4&lt;=EOMONTH(CloseDate,'Rent Roll'!$O$19+'Rent Roll'!$S$19-1+'Rent Roll'!$V$19)),-K153,0)</f>
        <v>0</v>
      </c>
      <c r="L154" s="49">
        <f>IF(AND(L$4&gt;EOMONTH(CloseDate,'Rent Roll'!$O$19+'Rent Roll'!$S$19-1),L$4&lt;=EOMONTH(CloseDate,'Rent Roll'!$O$19+'Rent Roll'!$S$19-1+'Rent Roll'!$V$19)),-L153,0)</f>
        <v>0</v>
      </c>
      <c r="M154" s="49">
        <f>IF(AND(M$4&gt;EOMONTH(CloseDate,'Rent Roll'!$O$19+'Rent Roll'!$S$19-1),M$4&lt;=EOMONTH(CloseDate,'Rent Roll'!$O$19+'Rent Roll'!$S$19-1+'Rent Roll'!$V$19)),-M153,0)</f>
        <v>0</v>
      </c>
      <c r="N154" s="49">
        <f>IF(AND(N$4&gt;EOMONTH(CloseDate,'Rent Roll'!$O$19+'Rent Roll'!$S$19-1),N$4&lt;=EOMONTH(CloseDate,'Rent Roll'!$O$19+'Rent Roll'!$S$19-1+'Rent Roll'!$V$19)),-N153,0)</f>
        <v>0</v>
      </c>
      <c r="O154" s="49">
        <f>IF(AND(O$4&gt;EOMONTH(CloseDate,'Rent Roll'!$O$19+'Rent Roll'!$S$19-1),O$4&lt;=EOMONTH(CloseDate,'Rent Roll'!$O$19+'Rent Roll'!$S$19-1+'Rent Roll'!$V$19)),-O153,0)</f>
        <v>0</v>
      </c>
      <c r="P154" s="49">
        <f>IF(AND(P$4&gt;EOMONTH(CloseDate,'Rent Roll'!$O$19+'Rent Roll'!$S$19-1),P$4&lt;=EOMONTH(CloseDate,'Rent Roll'!$O$19+'Rent Roll'!$S$19-1+'Rent Roll'!$V$19)),-P153,0)</f>
        <v>0</v>
      </c>
      <c r="Q154" s="49">
        <f>IF(AND(Q$4&gt;EOMONTH(CloseDate,'Rent Roll'!$O$19+'Rent Roll'!$S$19-1),Q$4&lt;=EOMONTH(CloseDate,'Rent Roll'!$O$19+'Rent Roll'!$S$19-1+'Rent Roll'!$V$19)),-Q153,0)</f>
        <v>0</v>
      </c>
      <c r="R154" s="49">
        <f>IF(AND(R$4&gt;EOMONTH(CloseDate,'Rent Roll'!$O$19+'Rent Roll'!$S$19-1),R$4&lt;=EOMONTH(CloseDate,'Rent Roll'!$O$19+'Rent Roll'!$S$19-1+'Rent Roll'!$V$19)),-R153,0)</f>
        <v>0</v>
      </c>
      <c r="S154" s="49">
        <f>IF(AND(S$4&gt;EOMONTH(CloseDate,'Rent Roll'!$O$19+'Rent Roll'!$S$19-1),S$4&lt;=EOMONTH(CloseDate,'Rent Roll'!$O$19+'Rent Roll'!$S$19-1+'Rent Roll'!$V$19)),-S153,0)</f>
        <v>0</v>
      </c>
      <c r="T154" s="49">
        <f>IF(AND(T$4&gt;EOMONTH(CloseDate,'Rent Roll'!$O$19+'Rent Roll'!$S$19-1),T$4&lt;=EOMONTH(CloseDate,'Rent Roll'!$O$19+'Rent Roll'!$S$19-1+'Rent Roll'!$V$19)),-T153,0)</f>
        <v>0</v>
      </c>
      <c r="U154" s="49">
        <f>IF(AND(U$4&gt;EOMONTH(CloseDate,'Rent Roll'!$O$19+'Rent Roll'!$S$19-1),U$4&lt;=EOMONTH(CloseDate,'Rent Roll'!$O$19+'Rent Roll'!$S$19-1+'Rent Roll'!$V$19)),-U153,0)</f>
        <v>0</v>
      </c>
      <c r="V154" s="49">
        <f>IF(AND(V$4&gt;EOMONTH(CloseDate,'Rent Roll'!$O$19+'Rent Roll'!$S$19-1),V$4&lt;=EOMONTH(CloseDate,'Rent Roll'!$O$19+'Rent Roll'!$S$19-1+'Rent Roll'!$V$19)),-V153,0)</f>
        <v>0</v>
      </c>
      <c r="W154" s="49">
        <f>IF(AND(W$4&gt;EOMONTH(CloseDate,'Rent Roll'!$O$19+'Rent Roll'!$S$19-1),W$4&lt;=EOMONTH(CloseDate,'Rent Roll'!$O$19+'Rent Roll'!$S$19-1+'Rent Roll'!$V$19)),-W153,0)</f>
        <v>0</v>
      </c>
      <c r="X154" s="49">
        <f>IF(AND(X$4&gt;EOMONTH(CloseDate,'Rent Roll'!$O$19+'Rent Roll'!$S$19-1),X$4&lt;=EOMONTH(CloseDate,'Rent Roll'!$O$19+'Rent Roll'!$S$19-1+'Rent Roll'!$V$19)),-X153,0)</f>
        <v>0</v>
      </c>
      <c r="Y154" s="49">
        <f>IF(AND(Y$4&gt;EOMONTH(CloseDate,'Rent Roll'!$O$19+'Rent Roll'!$S$19-1),Y$4&lt;=EOMONTH(CloseDate,'Rent Roll'!$O$19+'Rent Roll'!$S$19-1+'Rent Roll'!$V$19)),-Y153,0)</f>
        <v>0</v>
      </c>
      <c r="Z154" s="49">
        <f>IF(AND(Z$4&gt;EOMONTH(CloseDate,'Rent Roll'!$O$19+'Rent Roll'!$S$19-1),Z$4&lt;=EOMONTH(CloseDate,'Rent Roll'!$O$19+'Rent Roll'!$S$19-1+'Rent Roll'!$V$19)),-Z153,0)</f>
        <v>0</v>
      </c>
      <c r="AA154" s="49">
        <f>IF(AND(AA$4&gt;EOMONTH(CloseDate,'Rent Roll'!$O$19+'Rent Roll'!$S$19-1),AA$4&lt;=EOMONTH(CloseDate,'Rent Roll'!$O$19+'Rent Roll'!$S$19-1+'Rent Roll'!$V$19)),-AA153,0)</f>
        <v>0</v>
      </c>
      <c r="AB154" s="49">
        <f>IF(AND(AB$4&gt;EOMONTH(CloseDate,'Rent Roll'!$O$19+'Rent Roll'!$S$19-1),AB$4&lt;=EOMONTH(CloseDate,'Rent Roll'!$O$19+'Rent Roll'!$S$19-1+'Rent Roll'!$V$19)),-AB153,0)</f>
        <v>0</v>
      </c>
      <c r="AC154" s="49">
        <f>IF(AND(AC$4&gt;EOMONTH(CloseDate,'Rent Roll'!$O$19+'Rent Roll'!$S$19-1),AC$4&lt;=EOMONTH(CloseDate,'Rent Roll'!$O$19+'Rent Roll'!$S$19-1+'Rent Roll'!$V$19)),-AC153,0)</f>
        <v>0</v>
      </c>
      <c r="AD154" s="49">
        <f>IF(AND(AD$4&gt;EOMONTH(CloseDate,'Rent Roll'!$O$19+'Rent Roll'!$S$19-1),AD$4&lt;=EOMONTH(CloseDate,'Rent Roll'!$O$19+'Rent Roll'!$S$19-1+'Rent Roll'!$V$19)),-AD153,0)</f>
        <v>0</v>
      </c>
      <c r="AE154" s="49">
        <f>IF(AND(AE$4&gt;EOMONTH(CloseDate,'Rent Roll'!$O$19+'Rent Roll'!$S$19-1),AE$4&lt;=EOMONTH(CloseDate,'Rent Roll'!$O$19+'Rent Roll'!$S$19-1+'Rent Roll'!$V$19)),-AE153,0)</f>
        <v>0</v>
      </c>
      <c r="AF154" s="49">
        <f>IF(AND(AF$4&gt;EOMONTH(CloseDate,'Rent Roll'!$O$19+'Rent Roll'!$S$19-1),AF$4&lt;=EOMONTH(CloseDate,'Rent Roll'!$O$19+'Rent Roll'!$S$19-1+'Rent Roll'!$V$19)),-AF153,0)</f>
        <v>0</v>
      </c>
      <c r="AG154" s="49">
        <f>IF(AND(AG$4&gt;EOMONTH(CloseDate,'Rent Roll'!$O$19+'Rent Roll'!$S$19-1),AG$4&lt;=EOMONTH(CloseDate,'Rent Roll'!$O$19+'Rent Roll'!$S$19-1+'Rent Roll'!$V$19)),-AG153,0)</f>
        <v>0</v>
      </c>
      <c r="AH154" s="49">
        <f>IF(AND(AH$4&gt;EOMONTH(CloseDate,'Rent Roll'!$O$19+'Rent Roll'!$S$19-1),AH$4&lt;=EOMONTH(CloseDate,'Rent Roll'!$O$19+'Rent Roll'!$S$19-1+'Rent Roll'!$V$19)),-AH153,0)</f>
        <v>0</v>
      </c>
      <c r="AI154" s="49">
        <f>IF(AND(AI$4&gt;EOMONTH(CloseDate,'Rent Roll'!$O$19+'Rent Roll'!$S$19-1),AI$4&lt;=EOMONTH(CloseDate,'Rent Roll'!$O$19+'Rent Roll'!$S$19-1+'Rent Roll'!$V$19)),-AI153,0)</f>
        <v>0</v>
      </c>
      <c r="AJ154" s="49">
        <f>IF(AND(AJ$4&gt;EOMONTH(CloseDate,'Rent Roll'!$O$19+'Rent Roll'!$S$19-1),AJ$4&lt;=EOMONTH(CloseDate,'Rent Roll'!$O$19+'Rent Roll'!$S$19-1+'Rent Roll'!$V$19)),-AJ153,0)</f>
        <v>0</v>
      </c>
      <c r="AK154" s="49">
        <f>IF(AND(AK$4&gt;EOMONTH(CloseDate,'Rent Roll'!$O$19+'Rent Roll'!$S$19-1),AK$4&lt;=EOMONTH(CloseDate,'Rent Roll'!$O$19+'Rent Roll'!$S$19-1+'Rent Roll'!$V$19)),-AK153,0)</f>
        <v>0</v>
      </c>
      <c r="AL154" s="49">
        <f>IF(AND(AL$4&gt;EOMONTH(CloseDate,'Rent Roll'!$O$19+'Rent Roll'!$S$19-1),AL$4&lt;=EOMONTH(CloseDate,'Rent Roll'!$O$19+'Rent Roll'!$S$19-1+'Rent Roll'!$V$19)),-AL153,0)</f>
        <v>0</v>
      </c>
      <c r="AM154" s="49">
        <f>IF(AND(AM$4&gt;EOMONTH(CloseDate,'Rent Roll'!$O$19+'Rent Roll'!$S$19-1),AM$4&lt;=EOMONTH(CloseDate,'Rent Roll'!$O$19+'Rent Roll'!$S$19-1+'Rent Roll'!$V$19)),-AM153,0)</f>
        <v>0</v>
      </c>
      <c r="AN154" s="49">
        <f>IF(AND(AN$4&gt;EOMONTH(CloseDate,'Rent Roll'!$O$19+'Rent Roll'!$S$19-1),AN$4&lt;=EOMONTH(CloseDate,'Rent Roll'!$O$19+'Rent Roll'!$S$19-1+'Rent Roll'!$V$19)),-AN153,0)</f>
        <v>0</v>
      </c>
      <c r="AO154" s="49">
        <f>IF(AND(AO$4&gt;EOMONTH(CloseDate,'Rent Roll'!$O$19+'Rent Roll'!$S$19-1),AO$4&lt;=EOMONTH(CloseDate,'Rent Roll'!$O$19+'Rent Roll'!$S$19-1+'Rent Roll'!$V$19)),-AO153,0)</f>
        <v>0</v>
      </c>
      <c r="AP154" s="49">
        <f>IF(AND(AP$4&gt;EOMONTH(CloseDate,'Rent Roll'!$O$19+'Rent Roll'!$S$19-1),AP$4&lt;=EOMONTH(CloseDate,'Rent Roll'!$O$19+'Rent Roll'!$S$19-1+'Rent Roll'!$V$19)),-AP153,0)</f>
        <v>0</v>
      </c>
      <c r="AQ154" s="49">
        <f>IF(AND(AQ$4&gt;EOMONTH(CloseDate,'Rent Roll'!$O$19+'Rent Roll'!$S$19-1),AQ$4&lt;=EOMONTH(CloseDate,'Rent Roll'!$O$19+'Rent Roll'!$S$19-1+'Rent Roll'!$V$19)),-AQ153,0)</f>
        <v>0</v>
      </c>
      <c r="AR154" s="49">
        <f>IF(AND(AR$4&gt;EOMONTH(CloseDate,'Rent Roll'!$O$19+'Rent Roll'!$S$19-1),AR$4&lt;=EOMONTH(CloseDate,'Rent Roll'!$O$19+'Rent Roll'!$S$19-1+'Rent Roll'!$V$19)),-AR153,0)</f>
        <v>0</v>
      </c>
      <c r="AS154" s="49">
        <f>IF(AND(AS$4&gt;EOMONTH(CloseDate,'Rent Roll'!$O$19+'Rent Roll'!$S$19-1),AS$4&lt;=EOMONTH(CloseDate,'Rent Roll'!$O$19+'Rent Roll'!$S$19-1+'Rent Roll'!$V$19)),-AS153,0)</f>
        <v>0</v>
      </c>
      <c r="AT154" s="49">
        <f>IF(AND(AT$4&gt;EOMONTH(CloseDate,'Rent Roll'!$O$19+'Rent Roll'!$S$19-1),AT$4&lt;=EOMONTH(CloseDate,'Rent Roll'!$O$19+'Rent Roll'!$S$19-1+'Rent Roll'!$V$19)),-AT153,0)</f>
        <v>0</v>
      </c>
      <c r="AU154" s="49">
        <f>IF(AND(AU$4&gt;EOMONTH(CloseDate,'Rent Roll'!$O$19+'Rent Roll'!$S$19-1),AU$4&lt;=EOMONTH(CloseDate,'Rent Roll'!$O$19+'Rent Roll'!$S$19-1+'Rent Roll'!$V$19)),-AU153,0)</f>
        <v>0</v>
      </c>
      <c r="AV154" s="49">
        <f>IF(AND(AV$4&gt;EOMONTH(CloseDate,'Rent Roll'!$O$19+'Rent Roll'!$S$19-1),AV$4&lt;=EOMONTH(CloseDate,'Rent Roll'!$O$19+'Rent Roll'!$S$19-1+'Rent Roll'!$V$19)),-AV153,0)</f>
        <v>0</v>
      </c>
      <c r="AW154" s="49">
        <f>IF(AND(AW$4&gt;EOMONTH(CloseDate,'Rent Roll'!$O$19+'Rent Roll'!$S$19-1),AW$4&lt;=EOMONTH(CloseDate,'Rent Roll'!$O$19+'Rent Roll'!$S$19-1+'Rent Roll'!$V$19)),-AW153,0)</f>
        <v>0</v>
      </c>
      <c r="AX154" s="49">
        <f>IF(AND(AX$4&gt;EOMONTH(CloseDate,'Rent Roll'!$O$19+'Rent Roll'!$S$19-1),AX$4&lt;=EOMONTH(CloseDate,'Rent Roll'!$O$19+'Rent Roll'!$S$19-1+'Rent Roll'!$V$19)),-AX153,0)</f>
        <v>-11435.671906528649</v>
      </c>
      <c r="AY154" s="49">
        <f>IF(AND(AY$4&gt;EOMONTH(CloseDate,'Rent Roll'!$O$19+'Rent Roll'!$S$19-1),AY$4&lt;=EOMONTH(CloseDate,'Rent Roll'!$O$19+'Rent Roll'!$S$19-1+'Rent Roll'!$V$19)),-AY153,0)</f>
        <v>-11435.671906528649</v>
      </c>
      <c r="AZ154" s="49">
        <f>IF(AND(AZ$4&gt;EOMONTH(CloseDate,'Rent Roll'!$O$19+'Rent Roll'!$S$19-1),AZ$4&lt;=EOMONTH(CloseDate,'Rent Roll'!$O$19+'Rent Roll'!$S$19-1+'Rent Roll'!$V$19)),-AZ153,0)</f>
        <v>0</v>
      </c>
      <c r="BA154" s="49">
        <f>IF(AND(BA$4&gt;EOMONTH(CloseDate,'Rent Roll'!$O$19+'Rent Roll'!$S$19-1),BA$4&lt;=EOMONTH(CloseDate,'Rent Roll'!$O$19+'Rent Roll'!$S$19-1+'Rent Roll'!$V$19)),-BA153,0)</f>
        <v>0</v>
      </c>
      <c r="BB154" s="49">
        <f>IF(AND(BB$4&gt;EOMONTH(CloseDate,'Rent Roll'!$O$19+'Rent Roll'!$S$19-1),BB$4&lt;=EOMONTH(CloseDate,'Rent Roll'!$O$19+'Rent Roll'!$S$19-1+'Rent Roll'!$V$19)),-BB153,0)</f>
        <v>0</v>
      </c>
      <c r="BC154" s="49">
        <f>IF(AND(BC$4&gt;EOMONTH(CloseDate,'Rent Roll'!$O$19+'Rent Roll'!$S$19-1),BC$4&lt;=EOMONTH(CloseDate,'Rent Roll'!$O$19+'Rent Roll'!$S$19-1+'Rent Roll'!$V$19)),-BC153,0)</f>
        <v>0</v>
      </c>
      <c r="BD154" s="49">
        <f>IF(AND(BD$4&gt;EOMONTH(CloseDate,'Rent Roll'!$O$19+'Rent Roll'!$S$19-1),BD$4&lt;=EOMONTH(CloseDate,'Rent Roll'!$O$19+'Rent Roll'!$S$19-1+'Rent Roll'!$V$19)),-BD153,0)</f>
        <v>0</v>
      </c>
      <c r="BE154" s="49">
        <f>IF(AND(BE$4&gt;EOMONTH(CloseDate,'Rent Roll'!$O$19+'Rent Roll'!$S$19-1),BE$4&lt;=EOMONTH(CloseDate,'Rent Roll'!$O$19+'Rent Roll'!$S$19-1+'Rent Roll'!$V$19)),-BE153,0)</f>
        <v>0</v>
      </c>
      <c r="BF154" s="49">
        <f>IF(AND(BF$4&gt;EOMONTH(CloseDate,'Rent Roll'!$O$19+'Rent Roll'!$S$19-1),BF$4&lt;=EOMONTH(CloseDate,'Rent Roll'!$O$19+'Rent Roll'!$S$19-1+'Rent Roll'!$V$19)),-BF153,0)</f>
        <v>0</v>
      </c>
      <c r="BG154" s="49">
        <f>IF(AND(BG$4&gt;EOMONTH(CloseDate,'Rent Roll'!$O$19+'Rent Roll'!$S$19-1),BG$4&lt;=EOMONTH(CloseDate,'Rent Roll'!$O$19+'Rent Roll'!$S$19-1+'Rent Roll'!$V$19)),-BG153,0)</f>
        <v>0</v>
      </c>
      <c r="BH154" s="49">
        <f>IF(AND(BH$4&gt;EOMONTH(CloseDate,'Rent Roll'!$O$19+'Rent Roll'!$S$19-1),BH$4&lt;=EOMONTH(CloseDate,'Rent Roll'!$O$19+'Rent Roll'!$S$19-1+'Rent Roll'!$V$19)),-BH153,0)</f>
        <v>0</v>
      </c>
      <c r="BI154" s="49">
        <f>IF(AND(BI$4&gt;EOMONTH(CloseDate,'Rent Roll'!$O$19+'Rent Roll'!$S$19-1),BI$4&lt;=EOMONTH(CloseDate,'Rent Roll'!$O$19+'Rent Roll'!$S$19-1+'Rent Roll'!$V$19)),-BI153,0)</f>
        <v>0</v>
      </c>
      <c r="BJ154" s="49">
        <f>IF(AND(BJ$4&gt;EOMONTH(CloseDate,'Rent Roll'!$O$19+'Rent Roll'!$S$19-1),BJ$4&lt;=EOMONTH(CloseDate,'Rent Roll'!$O$19+'Rent Roll'!$S$19-1+'Rent Roll'!$V$19)),-BJ153,0)</f>
        <v>0</v>
      </c>
      <c r="BK154" s="49">
        <f>IF(AND(BK$4&gt;EOMONTH(CloseDate,'Rent Roll'!$O$19+'Rent Roll'!$S$19-1),BK$4&lt;=EOMONTH(CloseDate,'Rent Roll'!$O$19+'Rent Roll'!$S$19-1+'Rent Roll'!$V$19)),-BK153,0)</f>
        <v>0</v>
      </c>
      <c r="BL154" s="49">
        <f>IF(AND(BL$4&gt;EOMONTH(CloseDate,'Rent Roll'!$O$19+'Rent Roll'!$S$19-1),BL$4&lt;=EOMONTH(CloseDate,'Rent Roll'!$O$19+'Rent Roll'!$S$19-1+'Rent Roll'!$V$19)),-BL153,0)</f>
        <v>0</v>
      </c>
      <c r="BM154" s="49">
        <f>IF(AND(BM$4&gt;EOMONTH(CloseDate,'Rent Roll'!$O$19+'Rent Roll'!$S$19-1),BM$4&lt;=EOMONTH(CloseDate,'Rent Roll'!$O$19+'Rent Roll'!$S$19-1+'Rent Roll'!$V$19)),-BM153,0)</f>
        <v>0</v>
      </c>
      <c r="BN154" s="49">
        <f>IF(AND(BN$4&gt;EOMONTH(CloseDate,'Rent Roll'!$O$19+'Rent Roll'!$S$19-1),BN$4&lt;=EOMONTH(CloseDate,'Rent Roll'!$O$19+'Rent Roll'!$S$19-1+'Rent Roll'!$V$19)),-BN153,0)</f>
        <v>0</v>
      </c>
      <c r="BO154" s="49">
        <f>IF(AND(BO$4&gt;EOMONTH(CloseDate,'Rent Roll'!$O$19+'Rent Roll'!$S$19-1),BO$4&lt;=EOMONTH(CloseDate,'Rent Roll'!$O$19+'Rent Roll'!$S$19-1+'Rent Roll'!$V$19)),-BO153,0)</f>
        <v>0</v>
      </c>
      <c r="BP154" s="49">
        <f>IF(AND(BP$4&gt;EOMONTH(CloseDate,'Rent Roll'!$O$19+'Rent Roll'!$S$19-1),BP$4&lt;=EOMONTH(CloseDate,'Rent Roll'!$O$19+'Rent Roll'!$S$19-1+'Rent Roll'!$V$19)),-BP153,0)</f>
        <v>0</v>
      </c>
      <c r="BQ154" s="49">
        <f>IF(AND(BQ$4&gt;EOMONTH(CloseDate,'Rent Roll'!$O$19+'Rent Roll'!$S$19-1),BQ$4&lt;=EOMONTH(CloseDate,'Rent Roll'!$O$19+'Rent Roll'!$S$19-1+'Rent Roll'!$V$19)),-BQ153,0)</f>
        <v>0</v>
      </c>
      <c r="BR154" s="49">
        <f>IF(AND(BR$4&gt;EOMONTH(CloseDate,'Rent Roll'!$O$19+'Rent Roll'!$S$19-1),BR$4&lt;=EOMONTH(CloseDate,'Rent Roll'!$O$19+'Rent Roll'!$S$19-1+'Rent Roll'!$V$19)),-BR153,0)</f>
        <v>0</v>
      </c>
      <c r="BS154" s="49">
        <f>IF(AND(BS$4&gt;EOMONTH(CloseDate,'Rent Roll'!$O$19+'Rent Roll'!$S$19-1),BS$4&lt;=EOMONTH(CloseDate,'Rent Roll'!$O$19+'Rent Roll'!$S$19-1+'Rent Roll'!$V$19)),-BS153,0)</f>
        <v>0</v>
      </c>
      <c r="BT154" s="49">
        <f>IF(AND(BT$4&gt;EOMONTH(CloseDate,'Rent Roll'!$O$19+'Rent Roll'!$S$19-1),BT$4&lt;=EOMONTH(CloseDate,'Rent Roll'!$O$19+'Rent Roll'!$S$19-1+'Rent Roll'!$V$19)),-BT153,0)</f>
        <v>0</v>
      </c>
      <c r="BU154" s="49">
        <f>IF(AND(BU$4&gt;EOMONTH(CloseDate,'Rent Roll'!$O$19+'Rent Roll'!$S$19-1),BU$4&lt;=EOMONTH(CloseDate,'Rent Roll'!$O$19+'Rent Roll'!$S$19-1+'Rent Roll'!$V$19)),-BU153,0)</f>
        <v>0</v>
      </c>
      <c r="BV154" s="49">
        <f>IF(AND(BV$4&gt;EOMONTH(CloseDate,'Rent Roll'!$O$19+'Rent Roll'!$S$19-1),BV$4&lt;=EOMONTH(CloseDate,'Rent Roll'!$O$19+'Rent Roll'!$S$19-1+'Rent Roll'!$V$19)),-BV153,0)</f>
        <v>0</v>
      </c>
      <c r="BW154" s="49">
        <f>IF(AND(BW$4&gt;EOMONTH(CloseDate,'Rent Roll'!$O$19+'Rent Roll'!$S$19-1),BW$4&lt;=EOMONTH(CloseDate,'Rent Roll'!$O$19+'Rent Roll'!$S$19-1+'Rent Roll'!$V$19)),-BW153,0)</f>
        <v>0</v>
      </c>
      <c r="BX154" s="49">
        <f>IF(AND(BX$4&gt;EOMONTH(CloseDate,'Rent Roll'!$O$19+'Rent Roll'!$S$19-1),BX$4&lt;=EOMONTH(CloseDate,'Rent Roll'!$O$19+'Rent Roll'!$S$19-1+'Rent Roll'!$V$19)),-BX153,0)</f>
        <v>0</v>
      </c>
    </row>
    <row r="155" spans="1:76" outlineLevel="1">
      <c r="B155" t="s">
        <v>84</v>
      </c>
      <c r="D155" s="49">
        <f>D151+D153+D154</f>
        <v>8541.6666666666661</v>
      </c>
      <c r="E155" s="49">
        <f t="shared" ref="E155:BJ155" si="56">E151+E153+E154</f>
        <v>8541.6666666666661</v>
      </c>
      <c r="F155" s="49">
        <f t="shared" si="56"/>
        <v>8541.6666666666661</v>
      </c>
      <c r="G155" s="49">
        <f t="shared" si="56"/>
        <v>8541.6666666666661</v>
      </c>
      <c r="H155" s="49">
        <f t="shared" si="56"/>
        <v>8541.6666666666661</v>
      </c>
      <c r="I155" s="49">
        <f t="shared" si="56"/>
        <v>8755.2083333333321</v>
      </c>
      <c r="J155" s="49">
        <f t="shared" si="56"/>
        <v>8755.2083333333321</v>
      </c>
      <c r="K155" s="49">
        <f t="shared" si="56"/>
        <v>8755.2083333333321</v>
      </c>
      <c r="L155" s="49">
        <f t="shared" si="56"/>
        <v>8755.2083333333321</v>
      </c>
      <c r="M155" s="49">
        <f t="shared" si="56"/>
        <v>8755.2083333333321</v>
      </c>
      <c r="N155" s="49">
        <f t="shared" si="56"/>
        <v>8755.2083333333321</v>
      </c>
      <c r="O155" s="49">
        <f t="shared" si="56"/>
        <v>8755.2083333333321</v>
      </c>
      <c r="P155" s="49">
        <f t="shared" si="56"/>
        <v>8755.2083333333321</v>
      </c>
      <c r="Q155" s="49">
        <f t="shared" si="56"/>
        <v>8755.2083333333321</v>
      </c>
      <c r="R155" s="49">
        <f t="shared" si="56"/>
        <v>8755.2083333333321</v>
      </c>
      <c r="S155" s="49">
        <f t="shared" si="56"/>
        <v>8755.2083333333321</v>
      </c>
      <c r="T155" s="49">
        <f t="shared" si="56"/>
        <v>8755.2083333333321</v>
      </c>
      <c r="U155" s="49">
        <f t="shared" si="56"/>
        <v>8974.0885416666661</v>
      </c>
      <c r="V155" s="49">
        <f t="shared" si="56"/>
        <v>8974.0885416666661</v>
      </c>
      <c r="W155" s="49">
        <f t="shared" si="56"/>
        <v>8974.0885416666661</v>
      </c>
      <c r="X155" s="49">
        <f t="shared" si="56"/>
        <v>8974.0885416666661</v>
      </c>
      <c r="Y155" s="49">
        <f t="shared" si="56"/>
        <v>8974.0885416666661</v>
      </c>
      <c r="Z155" s="49">
        <f t="shared" si="56"/>
        <v>8974.0885416666661</v>
      </c>
      <c r="AA155" s="49">
        <f t="shared" si="56"/>
        <v>8974.0885416666661</v>
      </c>
      <c r="AB155" s="49">
        <f t="shared" si="56"/>
        <v>8974.0885416666661</v>
      </c>
      <c r="AC155" s="49">
        <f t="shared" si="56"/>
        <v>8974.0885416666661</v>
      </c>
      <c r="AD155" s="49">
        <f t="shared" si="56"/>
        <v>8974.0885416666661</v>
      </c>
      <c r="AE155" s="49">
        <f t="shared" si="56"/>
        <v>8974.0885416666661</v>
      </c>
      <c r="AF155" s="49">
        <f t="shared" si="56"/>
        <v>8974.0885416666661</v>
      </c>
      <c r="AG155" s="49">
        <f t="shared" si="56"/>
        <v>9198.4407552083321</v>
      </c>
      <c r="AH155" s="49">
        <f t="shared" si="56"/>
        <v>9198.4407552083321</v>
      </c>
      <c r="AI155" s="49">
        <f t="shared" si="56"/>
        <v>9198.4407552083321</v>
      </c>
      <c r="AJ155" s="49">
        <f t="shared" si="56"/>
        <v>9198.4407552083321</v>
      </c>
      <c r="AK155" s="49">
        <f t="shared" si="56"/>
        <v>9198.4407552083321</v>
      </c>
      <c r="AL155" s="49">
        <f t="shared" si="56"/>
        <v>9198.4407552083321</v>
      </c>
      <c r="AM155" s="49">
        <f t="shared" si="56"/>
        <v>9198.4407552083321</v>
      </c>
      <c r="AN155" s="49">
        <f t="shared" si="56"/>
        <v>9198.4407552083321</v>
      </c>
      <c r="AO155" s="49">
        <f t="shared" si="56"/>
        <v>9198.4407552083321</v>
      </c>
      <c r="AP155" s="49">
        <f t="shared" si="56"/>
        <v>9198.4407552083321</v>
      </c>
      <c r="AQ155" s="49">
        <f t="shared" si="56"/>
        <v>9198.4407552083321</v>
      </c>
      <c r="AR155" s="49">
        <f t="shared" si="56"/>
        <v>9198.4407552083321</v>
      </c>
      <c r="AS155" s="49">
        <f t="shared" si="56"/>
        <v>0</v>
      </c>
      <c r="AT155" s="49">
        <f t="shared" si="56"/>
        <v>0</v>
      </c>
      <c r="AU155" s="49">
        <f t="shared" si="56"/>
        <v>0</v>
      </c>
      <c r="AV155" s="49">
        <f t="shared" si="56"/>
        <v>0</v>
      </c>
      <c r="AW155" s="49">
        <f t="shared" si="56"/>
        <v>0</v>
      </c>
      <c r="AX155" s="49">
        <f t="shared" si="56"/>
        <v>0</v>
      </c>
      <c r="AY155" s="49">
        <f t="shared" si="56"/>
        <v>0</v>
      </c>
      <c r="AZ155" s="49">
        <f t="shared" si="56"/>
        <v>11435.671906528649</v>
      </c>
      <c r="BA155" s="49">
        <f t="shared" si="56"/>
        <v>11435.671906528649</v>
      </c>
      <c r="BB155" s="49">
        <f t="shared" si="56"/>
        <v>11435.671906528649</v>
      </c>
      <c r="BC155" s="49">
        <f t="shared" si="56"/>
        <v>11435.671906528649</v>
      </c>
      <c r="BD155" s="49">
        <f t="shared" si="56"/>
        <v>11435.671906528649</v>
      </c>
      <c r="BE155" s="49">
        <f t="shared" si="56"/>
        <v>11744.435048004922</v>
      </c>
      <c r="BF155" s="49">
        <f t="shared" si="56"/>
        <v>11744.435048004922</v>
      </c>
      <c r="BG155" s="49">
        <f t="shared" si="56"/>
        <v>11744.435048004922</v>
      </c>
      <c r="BH155" s="49">
        <f t="shared" si="56"/>
        <v>11744.435048004922</v>
      </c>
      <c r="BI155" s="49">
        <f t="shared" si="56"/>
        <v>11744.435048004922</v>
      </c>
      <c r="BJ155" s="49">
        <f t="shared" si="56"/>
        <v>11744.435048004922</v>
      </c>
      <c r="BK155" s="49">
        <f t="shared" ref="BK155" si="57">BK151+BK153+BK154</f>
        <v>11744.435048004922</v>
      </c>
      <c r="BL155" s="49">
        <f t="shared" ref="BL155:BX155" si="58">BL151+BL153+BL154</f>
        <v>11744.435048004922</v>
      </c>
      <c r="BM155" s="49">
        <f t="shared" si="58"/>
        <v>11744.435048004922</v>
      </c>
      <c r="BN155" s="49">
        <f t="shared" si="58"/>
        <v>11744.435048004922</v>
      </c>
      <c r="BO155" s="49">
        <f t="shared" si="58"/>
        <v>11744.435048004922</v>
      </c>
      <c r="BP155" s="49">
        <f t="shared" si="58"/>
        <v>11744.435048004922</v>
      </c>
      <c r="BQ155" s="49">
        <f t="shared" si="58"/>
        <v>12061.534794301053</v>
      </c>
      <c r="BR155" s="49">
        <f t="shared" si="58"/>
        <v>12061.534794301053</v>
      </c>
      <c r="BS155" s="49">
        <f t="shared" si="58"/>
        <v>12061.534794301053</v>
      </c>
      <c r="BT155" s="49">
        <f t="shared" si="58"/>
        <v>12061.534794301053</v>
      </c>
      <c r="BU155" s="49">
        <f t="shared" si="58"/>
        <v>12061.534794301053</v>
      </c>
      <c r="BV155" s="49">
        <f t="shared" si="58"/>
        <v>12061.534794301053</v>
      </c>
      <c r="BW155" s="49">
        <f t="shared" si="58"/>
        <v>12061.534794301053</v>
      </c>
      <c r="BX155" s="49">
        <f t="shared" si="58"/>
        <v>12061.534794301053</v>
      </c>
    </row>
    <row r="156" spans="1:76" outlineLevel="1">
      <c r="B156" t="s">
        <v>85</v>
      </c>
      <c r="D156" s="49">
        <f>IF(OR(D150=1,D152=1),'Rent Roll'!$F$19/BldgSF*ReimbPool/12*D$7,0)</f>
        <v>4362.5</v>
      </c>
      <c r="E156" s="49">
        <f>IF(OR(E150=1,E152=1),'Rent Roll'!$F$19/BldgSF*ReimbPool/12*E$7,0)</f>
        <v>4362.5</v>
      </c>
      <c r="F156" s="49">
        <f>IF(OR(F150=1,F152=1),'Rent Roll'!$F$19/BldgSF*ReimbPool/12*F$7,0)</f>
        <v>4362.5</v>
      </c>
      <c r="G156" s="49">
        <f>IF(OR(G150=1,G152=1),'Rent Roll'!$F$19/BldgSF*ReimbPool/12*G$7,0)</f>
        <v>4362.5</v>
      </c>
      <c r="H156" s="49">
        <f>IF(OR(H150=1,H152=1),'Rent Roll'!$F$19/BldgSF*ReimbPool/12*H$7,0)</f>
        <v>4362.5</v>
      </c>
      <c r="I156" s="49">
        <f>IF(OR(I150=1,I152=1),'Rent Roll'!$F$19/BldgSF*ReimbPool/12*I$7,0)</f>
        <v>4480.2874999999995</v>
      </c>
      <c r="J156" s="49">
        <f>IF(OR(J150=1,J152=1),'Rent Roll'!$F$19/BldgSF*ReimbPool/12*J$7,0)</f>
        <v>4480.2874999999995</v>
      </c>
      <c r="K156" s="49">
        <f>IF(OR(K150=1,K152=1),'Rent Roll'!$F$19/BldgSF*ReimbPool/12*K$7,0)</f>
        <v>4480.2874999999995</v>
      </c>
      <c r="L156" s="49">
        <f>IF(OR(L150=1,L152=1),'Rent Roll'!$F$19/BldgSF*ReimbPool/12*L$7,0)</f>
        <v>4480.2874999999995</v>
      </c>
      <c r="M156" s="49">
        <f>IF(OR(M150=1,M152=1),'Rent Roll'!$F$19/BldgSF*ReimbPool/12*M$7,0)</f>
        <v>4480.2874999999995</v>
      </c>
      <c r="N156" s="49">
        <f>IF(OR(N150=1,N152=1),'Rent Roll'!$F$19/BldgSF*ReimbPool/12*N$7,0)</f>
        <v>4480.2874999999995</v>
      </c>
      <c r="O156" s="49">
        <f>IF(OR(O150=1,O152=1),'Rent Roll'!$F$19/BldgSF*ReimbPool/12*O$7,0)</f>
        <v>4480.2874999999995</v>
      </c>
      <c r="P156" s="49">
        <f>IF(OR(P150=1,P152=1),'Rent Roll'!$F$19/BldgSF*ReimbPool/12*P$7,0)</f>
        <v>4480.2874999999995</v>
      </c>
      <c r="Q156" s="49">
        <f>IF(OR(Q150=1,Q152=1),'Rent Roll'!$F$19/BldgSF*ReimbPool/12*Q$7,0)</f>
        <v>4480.2874999999995</v>
      </c>
      <c r="R156" s="49">
        <f>IF(OR(R150=1,R152=1),'Rent Roll'!$F$19/BldgSF*ReimbPool/12*R$7,0)</f>
        <v>4480.2874999999995</v>
      </c>
      <c r="S156" s="49">
        <f>IF(OR(S150=1,S152=1),'Rent Roll'!$F$19/BldgSF*ReimbPool/12*S$7,0)</f>
        <v>4480.2874999999995</v>
      </c>
      <c r="T156" s="49">
        <f>IF(OR(T150=1,T152=1),'Rent Roll'!$F$19/BldgSF*ReimbPool/12*T$7,0)</f>
        <v>4480.2874999999995</v>
      </c>
      <c r="U156" s="49">
        <f>IF(OR(U150=1,U152=1),'Rent Roll'!$F$19/BldgSF*ReimbPool/12*U$7,0)</f>
        <v>4601.2552624999989</v>
      </c>
      <c r="V156" s="49">
        <f>IF(OR(V150=1,V152=1),'Rent Roll'!$F$19/BldgSF*ReimbPool/12*V$7,0)</f>
        <v>4601.2552624999989</v>
      </c>
      <c r="W156" s="49">
        <f>IF(OR(W150=1,W152=1),'Rent Roll'!$F$19/BldgSF*ReimbPool/12*W$7,0)</f>
        <v>4601.2552624999989</v>
      </c>
      <c r="X156" s="49">
        <f>IF(OR(X150=1,X152=1),'Rent Roll'!$F$19/BldgSF*ReimbPool/12*X$7,0)</f>
        <v>4601.2552624999989</v>
      </c>
      <c r="Y156" s="49">
        <f>IF(OR(Y150=1,Y152=1),'Rent Roll'!$F$19/BldgSF*ReimbPool/12*Y$7,0)</f>
        <v>4601.2552624999989</v>
      </c>
      <c r="Z156" s="49">
        <f>IF(OR(Z150=1,Z152=1),'Rent Roll'!$F$19/BldgSF*ReimbPool/12*Z$7,0)</f>
        <v>4601.2552624999989</v>
      </c>
      <c r="AA156" s="49">
        <f>IF(OR(AA150=1,AA152=1),'Rent Roll'!$F$19/BldgSF*ReimbPool/12*AA$7,0)</f>
        <v>4601.2552624999989</v>
      </c>
      <c r="AB156" s="49">
        <f>IF(OR(AB150=1,AB152=1),'Rent Roll'!$F$19/BldgSF*ReimbPool/12*AB$7,0)</f>
        <v>4601.2552624999989</v>
      </c>
      <c r="AC156" s="49">
        <f>IF(OR(AC150=1,AC152=1),'Rent Roll'!$F$19/BldgSF*ReimbPool/12*AC$7,0)</f>
        <v>4601.2552624999989</v>
      </c>
      <c r="AD156" s="49">
        <f>IF(OR(AD150=1,AD152=1),'Rent Roll'!$F$19/BldgSF*ReimbPool/12*AD$7,0)</f>
        <v>4601.2552624999989</v>
      </c>
      <c r="AE156" s="49">
        <f>IF(OR(AE150=1,AE152=1),'Rent Roll'!$F$19/BldgSF*ReimbPool/12*AE$7,0)</f>
        <v>4601.2552624999989</v>
      </c>
      <c r="AF156" s="49">
        <f>IF(OR(AF150=1,AF152=1),'Rent Roll'!$F$19/BldgSF*ReimbPool/12*AF$7,0)</f>
        <v>4601.2552624999989</v>
      </c>
      <c r="AG156" s="49">
        <f>IF(OR(AG150=1,AG152=1),'Rent Roll'!$F$19/BldgSF*ReimbPool/12*AG$7,0)</f>
        <v>4725.4891545874989</v>
      </c>
      <c r="AH156" s="49">
        <f>IF(OR(AH150=1,AH152=1),'Rent Roll'!$F$19/BldgSF*ReimbPool/12*AH$7,0)</f>
        <v>4725.4891545874989</v>
      </c>
      <c r="AI156" s="49">
        <f>IF(OR(AI150=1,AI152=1),'Rent Roll'!$F$19/BldgSF*ReimbPool/12*AI$7,0)</f>
        <v>4725.4891545874989</v>
      </c>
      <c r="AJ156" s="49">
        <f>IF(OR(AJ150=1,AJ152=1),'Rent Roll'!$F$19/BldgSF*ReimbPool/12*AJ$7,0)</f>
        <v>4725.4891545874989</v>
      </c>
      <c r="AK156" s="49">
        <f>IF(OR(AK150=1,AK152=1),'Rent Roll'!$F$19/BldgSF*ReimbPool/12*AK$7,0)</f>
        <v>4725.4891545874989</v>
      </c>
      <c r="AL156" s="49">
        <f>IF(OR(AL150=1,AL152=1),'Rent Roll'!$F$19/BldgSF*ReimbPool/12*AL$7,0)</f>
        <v>4725.4891545874989</v>
      </c>
      <c r="AM156" s="49">
        <f>IF(OR(AM150=1,AM152=1),'Rent Roll'!$F$19/BldgSF*ReimbPool/12*AM$7,0)</f>
        <v>4725.4891545874989</v>
      </c>
      <c r="AN156" s="49">
        <f>IF(OR(AN150=1,AN152=1),'Rent Roll'!$F$19/BldgSF*ReimbPool/12*AN$7,0)</f>
        <v>4725.4891545874989</v>
      </c>
      <c r="AO156" s="49">
        <f>IF(OR(AO150=1,AO152=1),'Rent Roll'!$F$19/BldgSF*ReimbPool/12*AO$7,0)</f>
        <v>4725.4891545874989</v>
      </c>
      <c r="AP156" s="49">
        <f>IF(OR(AP150=1,AP152=1),'Rent Roll'!$F$19/BldgSF*ReimbPool/12*AP$7,0)</f>
        <v>4725.4891545874989</v>
      </c>
      <c r="AQ156" s="49">
        <f>IF(OR(AQ150=1,AQ152=1),'Rent Roll'!$F$19/BldgSF*ReimbPool/12*AQ$7,0)</f>
        <v>4725.4891545874989</v>
      </c>
      <c r="AR156" s="49">
        <f>IF(OR(AR150=1,AR152=1),'Rent Roll'!$F$19/BldgSF*ReimbPool/12*AR$7,0)</f>
        <v>4725.4891545874989</v>
      </c>
      <c r="AS156" s="49">
        <f>IF(OR(AS150=1,AS152=1),'Rent Roll'!$F$19/BldgSF*ReimbPool/12*AS$7,0)</f>
        <v>0</v>
      </c>
      <c r="AT156" s="49">
        <f>IF(OR(AT150=1,AT152=1),'Rent Roll'!$F$19/BldgSF*ReimbPool/12*AT$7,0)</f>
        <v>0</v>
      </c>
      <c r="AU156" s="49">
        <f>IF(OR(AU150=1,AU152=1),'Rent Roll'!$F$19/BldgSF*ReimbPool/12*AU$7,0)</f>
        <v>0</v>
      </c>
      <c r="AV156" s="49">
        <f>IF(OR(AV150=1,AV152=1),'Rent Roll'!$F$19/BldgSF*ReimbPool/12*AV$7,0)</f>
        <v>0</v>
      </c>
      <c r="AW156" s="49">
        <f>IF(OR(AW150=1,AW152=1),'Rent Roll'!$F$19/BldgSF*ReimbPool/12*AW$7,0)</f>
        <v>0</v>
      </c>
      <c r="AX156" s="49">
        <f>IF(OR(AX150=1,AX152=1),'Rent Roll'!$F$19/BldgSF*ReimbPool/12*AX$7,0)</f>
        <v>4853.0773617613604</v>
      </c>
      <c r="AY156" s="49">
        <f>IF(OR(AY150=1,AY152=1),'Rent Roll'!$F$19/BldgSF*ReimbPool/12*AY$7,0)</f>
        <v>4853.0773617613604</v>
      </c>
      <c r="AZ156" s="49">
        <f>IF(OR(AZ150=1,AZ152=1),'Rent Roll'!$F$19/BldgSF*ReimbPool/12*AZ$7,0)</f>
        <v>4853.0773617613604</v>
      </c>
      <c r="BA156" s="49">
        <f>IF(OR(BA150=1,BA152=1),'Rent Roll'!$F$19/BldgSF*ReimbPool/12*BA$7,0)</f>
        <v>4853.0773617613604</v>
      </c>
      <c r="BB156" s="49">
        <f>IF(OR(BB150=1,BB152=1),'Rent Roll'!$F$19/BldgSF*ReimbPool/12*BB$7,0)</f>
        <v>4853.0773617613604</v>
      </c>
      <c r="BC156" s="49">
        <f>IF(OR(BC150=1,BC152=1),'Rent Roll'!$F$19/BldgSF*ReimbPool/12*BC$7,0)</f>
        <v>4853.0773617613604</v>
      </c>
      <c r="BD156" s="49">
        <f>IF(OR(BD150=1,BD152=1),'Rent Roll'!$F$19/BldgSF*ReimbPool/12*BD$7,0)</f>
        <v>4853.0773617613604</v>
      </c>
      <c r="BE156" s="49">
        <f>IF(OR(BE150=1,BE152=1),'Rent Roll'!$F$19/BldgSF*ReimbPool/12*BE$7,0)</f>
        <v>4984.1104505289168</v>
      </c>
      <c r="BF156" s="49">
        <f>IF(OR(BF150=1,BF152=1),'Rent Roll'!$F$19/BldgSF*ReimbPool/12*BF$7,0)</f>
        <v>4984.1104505289168</v>
      </c>
      <c r="BG156" s="49">
        <f>IF(OR(BG150=1,BG152=1),'Rent Roll'!$F$19/BldgSF*ReimbPool/12*BG$7,0)</f>
        <v>4984.1104505289168</v>
      </c>
      <c r="BH156" s="49">
        <f>IF(OR(BH150=1,BH152=1),'Rent Roll'!$F$19/BldgSF*ReimbPool/12*BH$7,0)</f>
        <v>4984.1104505289168</v>
      </c>
      <c r="BI156" s="49">
        <f>IF(OR(BI150=1,BI152=1),'Rent Roll'!$F$19/BldgSF*ReimbPool/12*BI$7,0)</f>
        <v>4984.1104505289168</v>
      </c>
      <c r="BJ156" s="49">
        <f>IF(OR(BJ150=1,BJ152=1),'Rent Roll'!$F$19/BldgSF*ReimbPool/12*BJ$7,0)</f>
        <v>4984.1104505289168</v>
      </c>
      <c r="BK156" s="49">
        <f>IF(OR(BK150=1,BK152=1),'Rent Roll'!$F$19/BldgSF*ReimbPool/12*BK$7,0)</f>
        <v>4984.1104505289168</v>
      </c>
      <c r="BL156" s="49">
        <f>IF(OR(BL150=1,BL152=1),'Rent Roll'!$F$19/BldgSF*ReimbPool/12*BL$7,0)</f>
        <v>4984.1104505289168</v>
      </c>
      <c r="BM156" s="49">
        <f>IF(OR(BM150=1,BM152=1),'Rent Roll'!$F$19/BldgSF*ReimbPool/12*BM$7,0)</f>
        <v>4984.1104505289168</v>
      </c>
      <c r="BN156" s="49">
        <f>IF(OR(BN150=1,BN152=1),'Rent Roll'!$F$19/BldgSF*ReimbPool/12*BN$7,0)</f>
        <v>4984.1104505289168</v>
      </c>
      <c r="BO156" s="49">
        <f>IF(OR(BO150=1,BO152=1),'Rent Roll'!$F$19/BldgSF*ReimbPool/12*BO$7,0)</f>
        <v>4984.1104505289168</v>
      </c>
      <c r="BP156" s="49">
        <f>IF(OR(BP150=1,BP152=1),'Rent Roll'!$F$19/BldgSF*ReimbPool/12*BP$7,0)</f>
        <v>4984.1104505289168</v>
      </c>
      <c r="BQ156" s="49">
        <f>IF(OR(BQ150=1,BQ152=1),'Rent Roll'!$F$19/BldgSF*ReimbPool/12*BQ$7,0)</f>
        <v>5118.6814326931972</v>
      </c>
      <c r="BR156" s="49">
        <f>IF(OR(BR150=1,BR152=1),'Rent Roll'!$F$19/BldgSF*ReimbPool/12*BR$7,0)</f>
        <v>5118.6814326931972</v>
      </c>
      <c r="BS156" s="49">
        <f>IF(OR(BS150=1,BS152=1),'Rent Roll'!$F$19/BldgSF*ReimbPool/12*BS$7,0)</f>
        <v>5118.6814326931972</v>
      </c>
      <c r="BT156" s="49">
        <f>IF(OR(BT150=1,BT152=1),'Rent Roll'!$F$19/BldgSF*ReimbPool/12*BT$7,0)</f>
        <v>5118.6814326931972</v>
      </c>
      <c r="BU156" s="49">
        <f>IF(OR(BU150=1,BU152=1),'Rent Roll'!$F$19/BldgSF*ReimbPool/12*BU$7,0)</f>
        <v>5118.6814326931972</v>
      </c>
      <c r="BV156" s="49">
        <f>IF(OR(BV150=1,BV152=1),'Rent Roll'!$F$19/BldgSF*ReimbPool/12*BV$7,0)</f>
        <v>5118.6814326931972</v>
      </c>
      <c r="BW156" s="49">
        <f>IF(OR(BW150=1,BW152=1),'Rent Roll'!$F$19/BldgSF*ReimbPool/12*BW$7,0)</f>
        <v>5118.6814326931972</v>
      </c>
      <c r="BX156" s="49">
        <f>IF(OR(BX150=1,BX152=1),'Rent Roll'!$F$19/BldgSF*ReimbPool/12*BX$7,0)</f>
        <v>5118.6814326931972</v>
      </c>
    </row>
    <row r="157" spans="1:76" outlineLevel="1">
      <c r="B157" t="s">
        <v>86</v>
      </c>
      <c r="D157" s="49">
        <f>IF(D$4=EOMONTH(CloseDate,'Rent Roll'!$O$19+'Rent Roll'!$S$19),-'Rent Roll'!$F$19*'Rent Roll'!$T$19,0)</f>
        <v>0</v>
      </c>
      <c r="E157" s="49">
        <f>IF(E$4=EOMONTH(CloseDate,'Rent Roll'!$O$19+'Rent Roll'!$S$19),-'Rent Roll'!$F$19*'Rent Roll'!$T$19,0)</f>
        <v>0</v>
      </c>
      <c r="F157" s="49">
        <f>IF(F$4=EOMONTH(CloseDate,'Rent Roll'!$O$19+'Rent Roll'!$S$19),-'Rent Roll'!$F$19*'Rent Roll'!$T$19,0)</f>
        <v>0</v>
      </c>
      <c r="G157" s="49">
        <f>IF(G$4=EOMONTH(CloseDate,'Rent Roll'!$O$19+'Rent Roll'!$S$19),-'Rent Roll'!$F$19*'Rent Roll'!$T$19,0)</f>
        <v>0</v>
      </c>
      <c r="H157" s="49">
        <f>IF(H$4=EOMONTH(CloseDate,'Rent Roll'!$O$19+'Rent Roll'!$S$19),-'Rent Roll'!$F$19*'Rent Roll'!$T$19,0)</f>
        <v>0</v>
      </c>
      <c r="I157" s="49">
        <f>IF(I$4=EOMONTH(CloseDate,'Rent Roll'!$O$19+'Rent Roll'!$S$19),-'Rent Roll'!$F$19*'Rent Roll'!$T$19,0)</f>
        <v>0</v>
      </c>
      <c r="J157" s="49">
        <f>IF(J$4=EOMONTH(CloseDate,'Rent Roll'!$O$19+'Rent Roll'!$S$19),-'Rent Roll'!$F$19*'Rent Roll'!$T$19,0)</f>
        <v>0</v>
      </c>
      <c r="K157" s="49">
        <f>IF(K$4=EOMONTH(CloseDate,'Rent Roll'!$O$19+'Rent Roll'!$S$19),-'Rent Roll'!$F$19*'Rent Roll'!$T$19,0)</f>
        <v>0</v>
      </c>
      <c r="L157" s="49">
        <f>IF(L$4=EOMONTH(CloseDate,'Rent Roll'!$O$19+'Rent Roll'!$S$19),-'Rent Roll'!$F$19*'Rent Roll'!$T$19,0)</f>
        <v>0</v>
      </c>
      <c r="M157" s="49">
        <f>IF(M$4=EOMONTH(CloseDate,'Rent Roll'!$O$19+'Rent Roll'!$S$19),-'Rent Roll'!$F$19*'Rent Roll'!$T$19,0)</f>
        <v>0</v>
      </c>
      <c r="N157" s="49">
        <f>IF(N$4=EOMONTH(CloseDate,'Rent Roll'!$O$19+'Rent Roll'!$S$19),-'Rent Roll'!$F$19*'Rent Roll'!$T$19,0)</f>
        <v>0</v>
      </c>
      <c r="O157" s="49">
        <f>IF(O$4=EOMONTH(CloseDate,'Rent Roll'!$O$19+'Rent Roll'!$S$19),-'Rent Roll'!$F$19*'Rent Roll'!$T$19,0)</f>
        <v>0</v>
      </c>
      <c r="P157" s="49">
        <f>IF(P$4=EOMONTH(CloseDate,'Rent Roll'!$O$19+'Rent Roll'!$S$19),-'Rent Roll'!$F$19*'Rent Roll'!$T$19,0)</f>
        <v>0</v>
      </c>
      <c r="Q157" s="49">
        <f>IF(Q$4=EOMONTH(CloseDate,'Rent Roll'!$O$19+'Rent Roll'!$S$19),-'Rent Roll'!$F$19*'Rent Roll'!$T$19,0)</f>
        <v>0</v>
      </c>
      <c r="R157" s="49">
        <f>IF(R$4=EOMONTH(CloseDate,'Rent Roll'!$O$19+'Rent Roll'!$S$19),-'Rent Roll'!$F$19*'Rent Roll'!$T$19,0)</f>
        <v>0</v>
      </c>
      <c r="S157" s="49">
        <f>IF(S$4=EOMONTH(CloseDate,'Rent Roll'!$O$19+'Rent Roll'!$S$19),-'Rent Roll'!$F$19*'Rent Roll'!$T$19,0)</f>
        <v>0</v>
      </c>
      <c r="T157" s="49">
        <f>IF(T$4=EOMONTH(CloseDate,'Rent Roll'!$O$19+'Rent Roll'!$S$19),-'Rent Roll'!$F$19*'Rent Roll'!$T$19,0)</f>
        <v>0</v>
      </c>
      <c r="U157" s="49">
        <f>IF(U$4=EOMONTH(CloseDate,'Rent Roll'!$O$19+'Rent Roll'!$S$19),-'Rent Roll'!$F$19*'Rent Roll'!$T$19,0)</f>
        <v>0</v>
      </c>
      <c r="V157" s="49">
        <f>IF(V$4=EOMONTH(CloseDate,'Rent Roll'!$O$19+'Rent Roll'!$S$19),-'Rent Roll'!$F$19*'Rent Roll'!$T$19,0)</f>
        <v>0</v>
      </c>
      <c r="W157" s="49">
        <f>IF(W$4=EOMONTH(CloseDate,'Rent Roll'!$O$19+'Rent Roll'!$S$19),-'Rent Roll'!$F$19*'Rent Roll'!$T$19,0)</f>
        <v>0</v>
      </c>
      <c r="X157" s="49">
        <f>IF(X$4=EOMONTH(CloseDate,'Rent Roll'!$O$19+'Rent Roll'!$S$19),-'Rent Roll'!$F$19*'Rent Roll'!$T$19,0)</f>
        <v>0</v>
      </c>
      <c r="Y157" s="49">
        <f>IF(Y$4=EOMONTH(CloseDate,'Rent Roll'!$O$19+'Rent Roll'!$S$19),-'Rent Roll'!$F$19*'Rent Roll'!$T$19,0)</f>
        <v>0</v>
      </c>
      <c r="Z157" s="49">
        <f>IF(Z$4=EOMONTH(CloseDate,'Rent Roll'!$O$19+'Rent Roll'!$S$19),-'Rent Roll'!$F$19*'Rent Roll'!$T$19,0)</f>
        <v>0</v>
      </c>
      <c r="AA157" s="49">
        <f>IF(AA$4=EOMONTH(CloseDate,'Rent Roll'!$O$19+'Rent Roll'!$S$19),-'Rent Roll'!$F$19*'Rent Roll'!$T$19,0)</f>
        <v>0</v>
      </c>
      <c r="AB157" s="49">
        <f>IF(AB$4=EOMONTH(CloseDate,'Rent Roll'!$O$19+'Rent Roll'!$S$19),-'Rent Roll'!$F$19*'Rent Roll'!$T$19,0)</f>
        <v>0</v>
      </c>
      <c r="AC157" s="49">
        <f>IF(AC$4=EOMONTH(CloseDate,'Rent Roll'!$O$19+'Rent Roll'!$S$19),-'Rent Roll'!$F$19*'Rent Roll'!$T$19,0)</f>
        <v>0</v>
      </c>
      <c r="AD157" s="49">
        <f>IF(AD$4=EOMONTH(CloseDate,'Rent Roll'!$O$19+'Rent Roll'!$S$19),-'Rent Roll'!$F$19*'Rent Roll'!$T$19,0)</f>
        <v>0</v>
      </c>
      <c r="AE157" s="49">
        <f>IF(AE$4=EOMONTH(CloseDate,'Rent Roll'!$O$19+'Rent Roll'!$S$19),-'Rent Roll'!$F$19*'Rent Roll'!$T$19,0)</f>
        <v>0</v>
      </c>
      <c r="AF157" s="49">
        <f>IF(AF$4=EOMONTH(CloseDate,'Rent Roll'!$O$19+'Rent Roll'!$S$19),-'Rent Roll'!$F$19*'Rent Roll'!$T$19,0)</f>
        <v>0</v>
      </c>
      <c r="AG157" s="49">
        <f>IF(AG$4=EOMONTH(CloseDate,'Rent Roll'!$O$19+'Rent Roll'!$S$19),-'Rent Roll'!$F$19*'Rent Roll'!$T$19,0)</f>
        <v>0</v>
      </c>
      <c r="AH157" s="49">
        <f>IF(AH$4=EOMONTH(CloseDate,'Rent Roll'!$O$19+'Rent Roll'!$S$19),-'Rent Roll'!$F$19*'Rent Roll'!$T$19,0)</f>
        <v>0</v>
      </c>
      <c r="AI157" s="49">
        <f>IF(AI$4=EOMONTH(CloseDate,'Rent Roll'!$O$19+'Rent Roll'!$S$19),-'Rent Roll'!$F$19*'Rent Roll'!$T$19,0)</f>
        <v>0</v>
      </c>
      <c r="AJ157" s="49">
        <f>IF(AJ$4=EOMONTH(CloseDate,'Rent Roll'!$O$19+'Rent Roll'!$S$19),-'Rent Roll'!$F$19*'Rent Roll'!$T$19,0)</f>
        <v>0</v>
      </c>
      <c r="AK157" s="49">
        <f>IF(AK$4=EOMONTH(CloseDate,'Rent Roll'!$O$19+'Rent Roll'!$S$19),-'Rent Roll'!$F$19*'Rent Roll'!$T$19,0)</f>
        <v>0</v>
      </c>
      <c r="AL157" s="49">
        <f>IF(AL$4=EOMONTH(CloseDate,'Rent Roll'!$O$19+'Rent Roll'!$S$19),-'Rent Roll'!$F$19*'Rent Roll'!$T$19,0)</f>
        <v>0</v>
      </c>
      <c r="AM157" s="49">
        <f>IF(AM$4=EOMONTH(CloseDate,'Rent Roll'!$O$19+'Rent Roll'!$S$19),-'Rent Roll'!$F$19*'Rent Roll'!$T$19,0)</f>
        <v>0</v>
      </c>
      <c r="AN157" s="49">
        <f>IF(AN$4=EOMONTH(CloseDate,'Rent Roll'!$O$19+'Rent Roll'!$S$19),-'Rent Roll'!$F$19*'Rent Roll'!$T$19,0)</f>
        <v>0</v>
      </c>
      <c r="AO157" s="49">
        <f>IF(AO$4=EOMONTH(CloseDate,'Rent Roll'!$O$19+'Rent Roll'!$S$19),-'Rent Roll'!$F$19*'Rent Roll'!$T$19,0)</f>
        <v>0</v>
      </c>
      <c r="AP157" s="49">
        <f>IF(AP$4=EOMONTH(CloseDate,'Rent Roll'!$O$19+'Rent Roll'!$S$19),-'Rent Roll'!$F$19*'Rent Roll'!$T$19,0)</f>
        <v>0</v>
      </c>
      <c r="AQ157" s="49">
        <f>IF(AQ$4=EOMONTH(CloseDate,'Rent Roll'!$O$19+'Rent Roll'!$S$19),-'Rent Roll'!$F$19*'Rent Roll'!$T$19,0)</f>
        <v>0</v>
      </c>
      <c r="AR157" s="49">
        <f>IF(AR$4=EOMONTH(CloseDate,'Rent Roll'!$O$19+'Rent Roll'!$S$19),-'Rent Roll'!$F$19*'Rent Roll'!$T$19,0)</f>
        <v>0</v>
      </c>
      <c r="AS157" s="49">
        <f>IF(AS$4=EOMONTH(CloseDate,'Rent Roll'!$O$19+'Rent Roll'!$S$19),-'Rent Roll'!$F$19*'Rent Roll'!$T$19,0)</f>
        <v>0</v>
      </c>
      <c r="AT157" s="49">
        <f>IF(AT$4=EOMONTH(CloseDate,'Rent Roll'!$O$19+'Rent Roll'!$S$19),-'Rent Roll'!$F$19*'Rent Roll'!$T$19,0)</f>
        <v>0</v>
      </c>
      <c r="AU157" s="49">
        <f>IF(AU$4=EOMONTH(CloseDate,'Rent Roll'!$O$19+'Rent Roll'!$S$19),-'Rent Roll'!$F$19*'Rent Roll'!$T$19,0)</f>
        <v>0</v>
      </c>
      <c r="AV157" s="49">
        <f>IF(AV$4=EOMONTH(CloseDate,'Rent Roll'!$O$19+'Rent Roll'!$S$19),-'Rent Roll'!$F$19*'Rent Roll'!$T$19,0)</f>
        <v>0</v>
      </c>
      <c r="AW157" s="49">
        <f>IF(AW$4=EOMONTH(CloseDate,'Rent Roll'!$O$19+'Rent Roll'!$S$19),-'Rent Roll'!$F$19*'Rent Roll'!$T$19,0)</f>
        <v>0</v>
      </c>
      <c r="AX157" s="49">
        <f>IF(AX$4=EOMONTH(CloseDate,'Rent Roll'!$O$19+'Rent Roll'!$S$19),-'Rent Roll'!$F$19*'Rent Roll'!$T$19,0)</f>
        <v>-180000</v>
      </c>
      <c r="AY157" s="49">
        <f>IF(AY$4=EOMONTH(CloseDate,'Rent Roll'!$O$19+'Rent Roll'!$S$19),-'Rent Roll'!$F$19*'Rent Roll'!$T$19,0)</f>
        <v>0</v>
      </c>
      <c r="AZ157" s="49">
        <f>IF(AZ$4=EOMONTH(CloseDate,'Rent Roll'!$O$19+'Rent Roll'!$S$19),-'Rent Roll'!$F$19*'Rent Roll'!$T$19,0)</f>
        <v>0</v>
      </c>
      <c r="BA157" s="49">
        <f>IF(BA$4=EOMONTH(CloseDate,'Rent Roll'!$O$19+'Rent Roll'!$S$19),-'Rent Roll'!$F$19*'Rent Roll'!$T$19,0)</f>
        <v>0</v>
      </c>
      <c r="BB157" s="49">
        <f>IF(BB$4=EOMONTH(CloseDate,'Rent Roll'!$O$19+'Rent Roll'!$S$19),-'Rent Roll'!$F$19*'Rent Roll'!$T$19,0)</f>
        <v>0</v>
      </c>
      <c r="BC157" s="49">
        <f>IF(BC$4=EOMONTH(CloseDate,'Rent Roll'!$O$19+'Rent Roll'!$S$19),-'Rent Roll'!$F$19*'Rent Roll'!$T$19,0)</f>
        <v>0</v>
      </c>
      <c r="BD157" s="49">
        <f>IF(BD$4=EOMONTH(CloseDate,'Rent Roll'!$O$19+'Rent Roll'!$S$19),-'Rent Roll'!$F$19*'Rent Roll'!$T$19,0)</f>
        <v>0</v>
      </c>
      <c r="BE157" s="49">
        <f>IF(BE$4=EOMONTH(CloseDate,'Rent Roll'!$O$19+'Rent Roll'!$S$19),-'Rent Roll'!$F$19*'Rent Roll'!$T$19,0)</f>
        <v>0</v>
      </c>
      <c r="BF157" s="49">
        <f>IF(BF$4=EOMONTH(CloseDate,'Rent Roll'!$O$19+'Rent Roll'!$S$19),-'Rent Roll'!$F$19*'Rent Roll'!$T$19,0)</f>
        <v>0</v>
      </c>
      <c r="BG157" s="49">
        <f>IF(BG$4=EOMONTH(CloseDate,'Rent Roll'!$O$19+'Rent Roll'!$S$19),-'Rent Roll'!$F$19*'Rent Roll'!$T$19,0)</f>
        <v>0</v>
      </c>
      <c r="BH157" s="49">
        <f>IF(BH$4=EOMONTH(CloseDate,'Rent Roll'!$O$19+'Rent Roll'!$S$19),-'Rent Roll'!$F$19*'Rent Roll'!$T$19,0)</f>
        <v>0</v>
      </c>
      <c r="BI157" s="49">
        <f>IF(BI$4=EOMONTH(CloseDate,'Rent Roll'!$O$19+'Rent Roll'!$S$19),-'Rent Roll'!$F$19*'Rent Roll'!$T$19,0)</f>
        <v>0</v>
      </c>
      <c r="BJ157" s="49">
        <f>IF(BJ$4=EOMONTH(CloseDate,'Rent Roll'!$O$19+'Rent Roll'!$S$19),-'Rent Roll'!$F$19*'Rent Roll'!$T$19,0)</f>
        <v>0</v>
      </c>
      <c r="BK157" s="49">
        <f>IF(BK$4=EOMONTH(CloseDate,'Rent Roll'!$O$19+'Rent Roll'!$S$19),-'Rent Roll'!$F$19*'Rent Roll'!$T$19,0)</f>
        <v>0</v>
      </c>
      <c r="BL157" s="49">
        <f>IF(BL$4=EOMONTH(CloseDate,'Rent Roll'!$O$19+'Rent Roll'!$S$19),-'Rent Roll'!$F$19*'Rent Roll'!$T$19,0)</f>
        <v>0</v>
      </c>
      <c r="BM157" s="49">
        <f>IF(BM$4=EOMONTH(CloseDate,'Rent Roll'!$O$19+'Rent Roll'!$S$19),-'Rent Roll'!$F$19*'Rent Roll'!$T$19,0)</f>
        <v>0</v>
      </c>
      <c r="BN157" s="49">
        <f>IF(BN$4=EOMONTH(CloseDate,'Rent Roll'!$O$19+'Rent Roll'!$S$19),-'Rent Roll'!$F$19*'Rent Roll'!$T$19,0)</f>
        <v>0</v>
      </c>
      <c r="BO157" s="49">
        <f>IF(BO$4=EOMONTH(CloseDate,'Rent Roll'!$O$19+'Rent Roll'!$S$19),-'Rent Roll'!$F$19*'Rent Roll'!$T$19,0)</f>
        <v>0</v>
      </c>
      <c r="BP157" s="49">
        <f>IF(BP$4=EOMONTH(CloseDate,'Rent Roll'!$O$19+'Rent Roll'!$S$19),-'Rent Roll'!$F$19*'Rent Roll'!$T$19,0)</f>
        <v>0</v>
      </c>
      <c r="BQ157" s="49">
        <f>IF(BQ$4=EOMONTH(CloseDate,'Rent Roll'!$O$19+'Rent Roll'!$S$19),-'Rent Roll'!$F$19*'Rent Roll'!$T$19,0)</f>
        <v>0</v>
      </c>
      <c r="BR157" s="49">
        <f>IF(BR$4=EOMONTH(CloseDate,'Rent Roll'!$O$19+'Rent Roll'!$S$19),-'Rent Roll'!$F$19*'Rent Roll'!$T$19,0)</f>
        <v>0</v>
      </c>
      <c r="BS157" s="49">
        <f>IF(BS$4=EOMONTH(CloseDate,'Rent Roll'!$O$19+'Rent Roll'!$S$19),-'Rent Roll'!$F$19*'Rent Roll'!$T$19,0)</f>
        <v>0</v>
      </c>
      <c r="BT157" s="49">
        <f>IF(BT$4=EOMONTH(CloseDate,'Rent Roll'!$O$19+'Rent Roll'!$S$19),-'Rent Roll'!$F$19*'Rent Roll'!$T$19,0)</f>
        <v>0</v>
      </c>
      <c r="BU157" s="49">
        <f>IF(BU$4=EOMONTH(CloseDate,'Rent Roll'!$O$19+'Rent Roll'!$S$19),-'Rent Roll'!$F$19*'Rent Roll'!$T$19,0)</f>
        <v>0</v>
      </c>
      <c r="BV157" s="49">
        <f>IF(BV$4=EOMONTH(CloseDate,'Rent Roll'!$O$19+'Rent Roll'!$S$19),-'Rent Roll'!$F$19*'Rent Roll'!$T$19,0)</f>
        <v>0</v>
      </c>
      <c r="BW157" s="49">
        <f>IF(BW$4=EOMONTH(CloseDate,'Rent Roll'!$O$19+'Rent Roll'!$S$19),-'Rent Roll'!$F$19*'Rent Roll'!$T$19,0)</f>
        <v>0</v>
      </c>
      <c r="BX157" s="49">
        <f>IF(BX$4=EOMONTH(CloseDate,'Rent Roll'!$O$19+'Rent Roll'!$S$19),-'Rent Roll'!$F$19*'Rent Roll'!$T$19,0)</f>
        <v>0</v>
      </c>
    </row>
    <row r="158" spans="1:76" outlineLevel="1">
      <c r="B158" t="s">
        <v>87</v>
      </c>
      <c r="D158" s="49">
        <f>IF(D$4=EOMONTH(CloseDate,'Rent Roll'!$O$19+'Rent Roll'!$S$19),-'Rent Roll'!$U$19*'Rent Roll'!$F$19*'Rent Roll'!$X$19,0)</f>
        <v>0</v>
      </c>
      <c r="E158" s="49">
        <f>IF(E$4=EOMONTH(CloseDate,'Rent Roll'!$O$19+'Rent Roll'!$S$19),-'Rent Roll'!$U$19*'Rent Roll'!$F$19*'Rent Roll'!$X$19,0)</f>
        <v>0</v>
      </c>
      <c r="F158" s="49">
        <f>IF(F$4=EOMONTH(CloseDate,'Rent Roll'!$O$19+'Rent Roll'!$S$19),-'Rent Roll'!$U$19*'Rent Roll'!$F$19*'Rent Roll'!$X$19,0)</f>
        <v>0</v>
      </c>
      <c r="G158" s="49">
        <f>IF(G$4=EOMONTH(CloseDate,'Rent Roll'!$O$19+'Rent Roll'!$S$19),-'Rent Roll'!$U$19*'Rent Roll'!$F$19*'Rent Roll'!$X$19,0)</f>
        <v>0</v>
      </c>
      <c r="H158" s="49">
        <f>IF(H$4=EOMONTH(CloseDate,'Rent Roll'!$O$19+'Rent Roll'!$S$19),-'Rent Roll'!$U$19*'Rent Roll'!$F$19*'Rent Roll'!$X$19,0)</f>
        <v>0</v>
      </c>
      <c r="I158" s="49">
        <f>IF(I$4=EOMONTH(CloseDate,'Rent Roll'!$O$19+'Rent Roll'!$S$19),-'Rent Roll'!$U$19*'Rent Roll'!$F$19*'Rent Roll'!$X$19,0)</f>
        <v>0</v>
      </c>
      <c r="J158" s="49">
        <f>IF(J$4=EOMONTH(CloseDate,'Rent Roll'!$O$19+'Rent Roll'!$S$19),-'Rent Roll'!$U$19*'Rent Roll'!$F$19*'Rent Roll'!$X$19,0)</f>
        <v>0</v>
      </c>
      <c r="K158" s="49">
        <f>IF(K$4=EOMONTH(CloseDate,'Rent Roll'!$O$19+'Rent Roll'!$S$19),-'Rent Roll'!$U$19*'Rent Roll'!$F$19*'Rent Roll'!$X$19,0)</f>
        <v>0</v>
      </c>
      <c r="L158" s="49">
        <f>IF(L$4=EOMONTH(CloseDate,'Rent Roll'!$O$19+'Rent Roll'!$S$19),-'Rent Roll'!$U$19*'Rent Roll'!$F$19*'Rent Roll'!$X$19,0)</f>
        <v>0</v>
      </c>
      <c r="M158" s="49">
        <f>IF(M$4=EOMONTH(CloseDate,'Rent Roll'!$O$19+'Rent Roll'!$S$19),-'Rent Roll'!$U$19*'Rent Roll'!$F$19*'Rent Roll'!$X$19,0)</f>
        <v>0</v>
      </c>
      <c r="N158" s="49">
        <f>IF(N$4=EOMONTH(CloseDate,'Rent Roll'!$O$19+'Rent Roll'!$S$19),-'Rent Roll'!$U$19*'Rent Roll'!$F$19*'Rent Roll'!$X$19,0)</f>
        <v>0</v>
      </c>
      <c r="O158" s="49">
        <f>IF(O$4=EOMONTH(CloseDate,'Rent Roll'!$O$19+'Rent Roll'!$S$19),-'Rent Roll'!$U$19*'Rent Roll'!$F$19*'Rent Roll'!$X$19,0)</f>
        <v>0</v>
      </c>
      <c r="P158" s="49">
        <f>IF(P$4=EOMONTH(CloseDate,'Rent Roll'!$O$19+'Rent Roll'!$S$19),-'Rent Roll'!$U$19*'Rent Roll'!$F$19*'Rent Roll'!$X$19,0)</f>
        <v>0</v>
      </c>
      <c r="Q158" s="49">
        <f>IF(Q$4=EOMONTH(CloseDate,'Rent Roll'!$O$19+'Rent Roll'!$S$19),-'Rent Roll'!$U$19*'Rent Roll'!$F$19*'Rent Roll'!$X$19,0)</f>
        <v>0</v>
      </c>
      <c r="R158" s="49">
        <f>IF(R$4=EOMONTH(CloseDate,'Rent Roll'!$O$19+'Rent Roll'!$S$19),-'Rent Roll'!$U$19*'Rent Roll'!$F$19*'Rent Roll'!$X$19,0)</f>
        <v>0</v>
      </c>
      <c r="S158" s="49">
        <f>IF(S$4=EOMONTH(CloseDate,'Rent Roll'!$O$19+'Rent Roll'!$S$19),-'Rent Roll'!$U$19*'Rent Roll'!$F$19*'Rent Roll'!$X$19,0)</f>
        <v>0</v>
      </c>
      <c r="T158" s="49">
        <f>IF(T$4=EOMONTH(CloseDate,'Rent Roll'!$O$19+'Rent Roll'!$S$19),-'Rent Roll'!$U$19*'Rent Roll'!$F$19*'Rent Roll'!$X$19,0)</f>
        <v>0</v>
      </c>
      <c r="U158" s="49">
        <f>IF(U$4=EOMONTH(CloseDate,'Rent Roll'!$O$19+'Rent Roll'!$S$19),-'Rent Roll'!$U$19*'Rent Roll'!$F$19*'Rent Roll'!$X$19,0)</f>
        <v>0</v>
      </c>
      <c r="V158" s="49">
        <f>IF(V$4=EOMONTH(CloseDate,'Rent Roll'!$O$19+'Rent Roll'!$S$19),-'Rent Roll'!$U$19*'Rent Roll'!$F$19*'Rent Roll'!$X$19,0)</f>
        <v>0</v>
      </c>
      <c r="W158" s="49">
        <f>IF(W$4=EOMONTH(CloseDate,'Rent Roll'!$O$19+'Rent Roll'!$S$19),-'Rent Roll'!$U$19*'Rent Roll'!$F$19*'Rent Roll'!$X$19,0)</f>
        <v>0</v>
      </c>
      <c r="X158" s="49">
        <f>IF(X$4=EOMONTH(CloseDate,'Rent Roll'!$O$19+'Rent Roll'!$S$19),-'Rent Roll'!$U$19*'Rent Roll'!$F$19*'Rent Roll'!$X$19,0)</f>
        <v>0</v>
      </c>
      <c r="Y158" s="49">
        <f>IF(Y$4=EOMONTH(CloseDate,'Rent Roll'!$O$19+'Rent Roll'!$S$19),-'Rent Roll'!$U$19*'Rent Roll'!$F$19*'Rent Roll'!$X$19,0)</f>
        <v>0</v>
      </c>
      <c r="Z158" s="49">
        <f>IF(Z$4=EOMONTH(CloseDate,'Rent Roll'!$O$19+'Rent Roll'!$S$19),-'Rent Roll'!$U$19*'Rent Roll'!$F$19*'Rent Roll'!$X$19,0)</f>
        <v>0</v>
      </c>
      <c r="AA158" s="49">
        <f>IF(AA$4=EOMONTH(CloseDate,'Rent Roll'!$O$19+'Rent Roll'!$S$19),-'Rent Roll'!$U$19*'Rent Roll'!$F$19*'Rent Roll'!$X$19,0)</f>
        <v>0</v>
      </c>
      <c r="AB158" s="49">
        <f>IF(AB$4=EOMONTH(CloseDate,'Rent Roll'!$O$19+'Rent Roll'!$S$19),-'Rent Roll'!$U$19*'Rent Roll'!$F$19*'Rent Roll'!$X$19,0)</f>
        <v>0</v>
      </c>
      <c r="AC158" s="49">
        <f>IF(AC$4=EOMONTH(CloseDate,'Rent Roll'!$O$19+'Rent Roll'!$S$19),-'Rent Roll'!$U$19*'Rent Roll'!$F$19*'Rent Roll'!$X$19,0)</f>
        <v>0</v>
      </c>
      <c r="AD158" s="49">
        <f>IF(AD$4=EOMONTH(CloseDate,'Rent Roll'!$O$19+'Rent Roll'!$S$19),-'Rent Roll'!$U$19*'Rent Roll'!$F$19*'Rent Roll'!$X$19,0)</f>
        <v>0</v>
      </c>
      <c r="AE158" s="49">
        <f>IF(AE$4=EOMONTH(CloseDate,'Rent Roll'!$O$19+'Rent Roll'!$S$19),-'Rent Roll'!$U$19*'Rent Roll'!$F$19*'Rent Roll'!$X$19,0)</f>
        <v>0</v>
      </c>
      <c r="AF158" s="49">
        <f>IF(AF$4=EOMONTH(CloseDate,'Rent Roll'!$O$19+'Rent Roll'!$S$19),-'Rent Roll'!$U$19*'Rent Roll'!$F$19*'Rent Roll'!$X$19,0)</f>
        <v>0</v>
      </c>
      <c r="AG158" s="49">
        <f>IF(AG$4=EOMONTH(CloseDate,'Rent Roll'!$O$19+'Rent Roll'!$S$19),-'Rent Roll'!$U$19*'Rent Roll'!$F$19*'Rent Roll'!$X$19,0)</f>
        <v>0</v>
      </c>
      <c r="AH158" s="49">
        <f>IF(AH$4=EOMONTH(CloseDate,'Rent Roll'!$O$19+'Rent Roll'!$S$19),-'Rent Roll'!$U$19*'Rent Roll'!$F$19*'Rent Roll'!$X$19,0)</f>
        <v>0</v>
      </c>
      <c r="AI158" s="49">
        <f>IF(AI$4=EOMONTH(CloseDate,'Rent Roll'!$O$19+'Rent Roll'!$S$19),-'Rent Roll'!$U$19*'Rent Roll'!$F$19*'Rent Roll'!$X$19,0)</f>
        <v>0</v>
      </c>
      <c r="AJ158" s="49">
        <f>IF(AJ$4=EOMONTH(CloseDate,'Rent Roll'!$O$19+'Rent Roll'!$S$19),-'Rent Roll'!$U$19*'Rent Roll'!$F$19*'Rent Roll'!$X$19,0)</f>
        <v>0</v>
      </c>
      <c r="AK158" s="49">
        <f>IF(AK$4=EOMONTH(CloseDate,'Rent Roll'!$O$19+'Rent Roll'!$S$19),-'Rent Roll'!$U$19*'Rent Roll'!$F$19*'Rent Roll'!$X$19,0)</f>
        <v>0</v>
      </c>
      <c r="AL158" s="49">
        <f>IF(AL$4=EOMONTH(CloseDate,'Rent Roll'!$O$19+'Rent Roll'!$S$19),-'Rent Roll'!$U$19*'Rent Roll'!$F$19*'Rent Roll'!$X$19,0)</f>
        <v>0</v>
      </c>
      <c r="AM158" s="49">
        <f>IF(AM$4=EOMONTH(CloseDate,'Rent Roll'!$O$19+'Rent Roll'!$S$19),-'Rent Roll'!$U$19*'Rent Roll'!$F$19*'Rent Roll'!$X$19,0)</f>
        <v>0</v>
      </c>
      <c r="AN158" s="49">
        <f>IF(AN$4=EOMONTH(CloseDate,'Rent Roll'!$O$19+'Rent Roll'!$S$19),-'Rent Roll'!$U$19*'Rent Roll'!$F$19*'Rent Roll'!$X$19,0)</f>
        <v>0</v>
      </c>
      <c r="AO158" s="49">
        <f>IF(AO$4=EOMONTH(CloseDate,'Rent Roll'!$O$19+'Rent Roll'!$S$19),-'Rent Roll'!$U$19*'Rent Roll'!$F$19*'Rent Roll'!$X$19,0)</f>
        <v>0</v>
      </c>
      <c r="AP158" s="49">
        <f>IF(AP$4=EOMONTH(CloseDate,'Rent Roll'!$O$19+'Rent Roll'!$S$19),-'Rent Roll'!$U$19*'Rent Roll'!$F$19*'Rent Roll'!$X$19,0)</f>
        <v>0</v>
      </c>
      <c r="AQ158" s="49">
        <f>IF(AQ$4=EOMONTH(CloseDate,'Rent Roll'!$O$19+'Rent Roll'!$S$19),-'Rent Roll'!$U$19*'Rent Roll'!$F$19*'Rent Roll'!$X$19,0)</f>
        <v>0</v>
      </c>
      <c r="AR158" s="49">
        <f>IF(AR$4=EOMONTH(CloseDate,'Rent Roll'!$O$19+'Rent Roll'!$S$19),-'Rent Roll'!$U$19*'Rent Roll'!$F$19*'Rent Roll'!$X$19,0)</f>
        <v>0</v>
      </c>
      <c r="AS158" s="49">
        <f>IF(AS$4=EOMONTH(CloseDate,'Rent Roll'!$O$19+'Rent Roll'!$S$19),-'Rent Roll'!$U$19*'Rent Roll'!$F$19*'Rent Roll'!$X$19,0)</f>
        <v>0</v>
      </c>
      <c r="AT158" s="49">
        <f>IF(AT$4=EOMONTH(CloseDate,'Rent Roll'!$O$19+'Rent Roll'!$S$19),-'Rent Roll'!$U$19*'Rent Roll'!$F$19*'Rent Roll'!$X$19,0)</f>
        <v>0</v>
      </c>
      <c r="AU158" s="49">
        <f>IF(AU$4=EOMONTH(CloseDate,'Rent Roll'!$O$19+'Rent Roll'!$S$19),-'Rent Roll'!$U$19*'Rent Roll'!$F$19*'Rent Roll'!$X$19,0)</f>
        <v>0</v>
      </c>
      <c r="AV158" s="49">
        <f>IF(AV$4=EOMONTH(CloseDate,'Rent Roll'!$O$19+'Rent Roll'!$S$19),-'Rent Roll'!$U$19*'Rent Roll'!$F$19*'Rent Roll'!$X$19,0)</f>
        <v>0</v>
      </c>
      <c r="AW158" s="49">
        <f>IF(AW$4=EOMONTH(CloseDate,'Rent Roll'!$O$19+'Rent Roll'!$S$19),-'Rent Roll'!$U$19*'Rent Roll'!$F$19*'Rent Roll'!$X$19,0)</f>
        <v>0</v>
      </c>
      <c r="AX158" s="49">
        <f>IF(AX$4=EOMONTH(CloseDate,'Rent Roll'!$O$19+'Rent Roll'!$S$19),-'Rent Roll'!$U$19*'Rent Roll'!$F$19*'Rent Roll'!$X$19,0)</f>
        <v>-6167.8124999999991</v>
      </c>
      <c r="AY158" s="49">
        <f>IF(AY$4=EOMONTH(CloseDate,'Rent Roll'!$O$19+'Rent Roll'!$S$19),-'Rent Roll'!$U$19*'Rent Roll'!$F$19*'Rent Roll'!$X$19,0)</f>
        <v>0</v>
      </c>
      <c r="AZ158" s="49">
        <f>IF(AZ$4=EOMONTH(CloseDate,'Rent Roll'!$O$19+'Rent Roll'!$S$19),-'Rent Roll'!$U$19*'Rent Roll'!$F$19*'Rent Roll'!$X$19,0)</f>
        <v>0</v>
      </c>
      <c r="BA158" s="49">
        <f>IF(BA$4=EOMONTH(CloseDate,'Rent Roll'!$O$19+'Rent Roll'!$S$19),-'Rent Roll'!$U$19*'Rent Roll'!$F$19*'Rent Roll'!$X$19,0)</f>
        <v>0</v>
      </c>
      <c r="BB158" s="49">
        <f>IF(BB$4=EOMONTH(CloseDate,'Rent Roll'!$O$19+'Rent Roll'!$S$19),-'Rent Roll'!$U$19*'Rent Roll'!$F$19*'Rent Roll'!$X$19,0)</f>
        <v>0</v>
      </c>
      <c r="BC158" s="49">
        <f>IF(BC$4=EOMONTH(CloseDate,'Rent Roll'!$O$19+'Rent Roll'!$S$19),-'Rent Roll'!$U$19*'Rent Roll'!$F$19*'Rent Roll'!$X$19,0)</f>
        <v>0</v>
      </c>
      <c r="BD158" s="49">
        <f>IF(BD$4=EOMONTH(CloseDate,'Rent Roll'!$O$19+'Rent Roll'!$S$19),-'Rent Roll'!$U$19*'Rent Roll'!$F$19*'Rent Roll'!$X$19,0)</f>
        <v>0</v>
      </c>
      <c r="BE158" s="49">
        <f>IF(BE$4=EOMONTH(CloseDate,'Rent Roll'!$O$19+'Rent Roll'!$S$19),-'Rent Roll'!$U$19*'Rent Roll'!$F$19*'Rent Roll'!$X$19,0)</f>
        <v>0</v>
      </c>
      <c r="BF158" s="49">
        <f>IF(BF$4=EOMONTH(CloseDate,'Rent Roll'!$O$19+'Rent Roll'!$S$19),-'Rent Roll'!$U$19*'Rent Roll'!$F$19*'Rent Roll'!$X$19,0)</f>
        <v>0</v>
      </c>
      <c r="BG158" s="49">
        <f>IF(BG$4=EOMONTH(CloseDate,'Rent Roll'!$O$19+'Rent Roll'!$S$19),-'Rent Roll'!$U$19*'Rent Roll'!$F$19*'Rent Roll'!$X$19,0)</f>
        <v>0</v>
      </c>
      <c r="BH158" s="49">
        <f>IF(BH$4=EOMONTH(CloseDate,'Rent Roll'!$O$19+'Rent Roll'!$S$19),-'Rent Roll'!$U$19*'Rent Roll'!$F$19*'Rent Roll'!$X$19,0)</f>
        <v>0</v>
      </c>
      <c r="BI158" s="49">
        <f>IF(BI$4=EOMONTH(CloseDate,'Rent Roll'!$O$19+'Rent Roll'!$S$19),-'Rent Roll'!$U$19*'Rent Roll'!$F$19*'Rent Roll'!$X$19,0)</f>
        <v>0</v>
      </c>
      <c r="BJ158" s="49">
        <f>IF(BJ$4=EOMONTH(CloseDate,'Rent Roll'!$O$19+'Rent Roll'!$S$19),-'Rent Roll'!$U$19*'Rent Roll'!$F$19*'Rent Roll'!$X$19,0)</f>
        <v>0</v>
      </c>
      <c r="BK158" s="49">
        <f>IF(BK$4=EOMONTH(CloseDate,'Rent Roll'!$O$19+'Rent Roll'!$S$19),-'Rent Roll'!$U$19*'Rent Roll'!$F$19*'Rent Roll'!$X$19,0)</f>
        <v>0</v>
      </c>
      <c r="BL158" s="49">
        <f>IF(BL$4=EOMONTH(CloseDate,'Rent Roll'!$O$19+'Rent Roll'!$S$19),-'Rent Roll'!$U$19*'Rent Roll'!$F$19*'Rent Roll'!$X$19,0)</f>
        <v>0</v>
      </c>
      <c r="BM158" s="49">
        <f>IF(BM$4=EOMONTH(CloseDate,'Rent Roll'!$O$19+'Rent Roll'!$S$19),-'Rent Roll'!$U$19*'Rent Roll'!$F$19*'Rent Roll'!$X$19,0)</f>
        <v>0</v>
      </c>
      <c r="BN158" s="49">
        <f>IF(BN$4=EOMONTH(CloseDate,'Rent Roll'!$O$19+'Rent Roll'!$S$19),-'Rent Roll'!$U$19*'Rent Roll'!$F$19*'Rent Roll'!$X$19,0)</f>
        <v>0</v>
      </c>
      <c r="BO158" s="49">
        <f>IF(BO$4=EOMONTH(CloseDate,'Rent Roll'!$O$19+'Rent Roll'!$S$19),-'Rent Roll'!$U$19*'Rent Roll'!$F$19*'Rent Roll'!$X$19,0)</f>
        <v>0</v>
      </c>
      <c r="BP158" s="49">
        <f>IF(BP$4=EOMONTH(CloseDate,'Rent Roll'!$O$19+'Rent Roll'!$S$19),-'Rent Roll'!$U$19*'Rent Roll'!$F$19*'Rent Roll'!$X$19,0)</f>
        <v>0</v>
      </c>
      <c r="BQ158" s="49">
        <f>IF(BQ$4=EOMONTH(CloseDate,'Rent Roll'!$O$19+'Rent Roll'!$S$19),-'Rent Roll'!$U$19*'Rent Roll'!$F$19*'Rent Roll'!$X$19,0)</f>
        <v>0</v>
      </c>
      <c r="BR158" s="49">
        <f>IF(BR$4=EOMONTH(CloseDate,'Rent Roll'!$O$19+'Rent Roll'!$S$19),-'Rent Roll'!$U$19*'Rent Roll'!$F$19*'Rent Roll'!$X$19,0)</f>
        <v>0</v>
      </c>
      <c r="BS158" s="49">
        <f>IF(BS$4=EOMONTH(CloseDate,'Rent Roll'!$O$19+'Rent Roll'!$S$19),-'Rent Roll'!$U$19*'Rent Roll'!$F$19*'Rent Roll'!$X$19,0)</f>
        <v>0</v>
      </c>
      <c r="BT158" s="49">
        <f>IF(BT$4=EOMONTH(CloseDate,'Rent Roll'!$O$19+'Rent Roll'!$S$19),-'Rent Roll'!$U$19*'Rent Roll'!$F$19*'Rent Roll'!$X$19,0)</f>
        <v>0</v>
      </c>
      <c r="BU158" s="49">
        <f>IF(BU$4=EOMONTH(CloseDate,'Rent Roll'!$O$19+'Rent Roll'!$S$19),-'Rent Roll'!$U$19*'Rent Roll'!$F$19*'Rent Roll'!$X$19,0)</f>
        <v>0</v>
      </c>
      <c r="BV158" s="49">
        <f>IF(BV$4=EOMONTH(CloseDate,'Rent Roll'!$O$19+'Rent Roll'!$S$19),-'Rent Roll'!$U$19*'Rent Roll'!$F$19*'Rent Roll'!$X$19,0)</f>
        <v>0</v>
      </c>
      <c r="BW158" s="49">
        <f>IF(BW$4=EOMONTH(CloseDate,'Rent Roll'!$O$19+'Rent Roll'!$S$19),-'Rent Roll'!$U$19*'Rent Roll'!$F$19*'Rent Roll'!$X$19,0)</f>
        <v>0</v>
      </c>
      <c r="BX158" s="49">
        <f>IF(BX$4=EOMONTH(CloseDate,'Rent Roll'!$O$19+'Rent Roll'!$S$19),-'Rent Roll'!$U$19*'Rent Roll'!$F$19*'Rent Roll'!$X$19,0)</f>
        <v>0</v>
      </c>
    </row>
    <row r="159" spans="1:76" outlineLevel="1">
      <c r="A159" s="17" t="str">
        <f>'Rent Roll'!C20</f>
        <v>Appalachian Wealth Mgmt</v>
      </c>
      <c r="B159" s="57">
        <f>INDEX('Rent Roll'!$F$5:$F$46,MATCH('Rent Roll Calc'!A159,'Rent Roll'!$C$5:$C$46,0))</f>
        <v>4200</v>
      </c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  <c r="AA159" s="49"/>
      <c r="AB159" s="49"/>
      <c r="AC159" s="49"/>
      <c r="AD159" s="49"/>
      <c r="AE159" s="49"/>
      <c r="AF159" s="49"/>
      <c r="AG159" s="49"/>
      <c r="AH159" s="49"/>
      <c r="AI159" s="49"/>
      <c r="AJ159" s="49"/>
      <c r="AK159" s="49"/>
      <c r="AL159" s="49"/>
      <c r="AM159" s="49"/>
      <c r="AN159" s="49"/>
      <c r="AO159" s="49"/>
      <c r="AP159" s="49"/>
      <c r="AQ159" s="49"/>
      <c r="AR159" s="49"/>
      <c r="AS159" s="49"/>
      <c r="AT159" s="49"/>
      <c r="AU159" s="49"/>
      <c r="AV159" s="49"/>
      <c r="AW159" s="49"/>
      <c r="AX159" s="49"/>
      <c r="AY159" s="49"/>
      <c r="AZ159" s="49"/>
      <c r="BA159" s="49"/>
      <c r="BB159" s="49"/>
      <c r="BC159" s="49"/>
      <c r="BD159" s="49"/>
      <c r="BE159" s="49"/>
      <c r="BF159" s="49"/>
      <c r="BG159" s="49"/>
      <c r="BH159" s="49"/>
      <c r="BI159" s="49"/>
      <c r="BJ159" s="49"/>
      <c r="BK159" s="49"/>
      <c r="BL159" s="49"/>
      <c r="BM159" s="49"/>
      <c r="BN159" s="49"/>
      <c r="BO159" s="49"/>
      <c r="BP159" s="49"/>
      <c r="BQ159" s="49"/>
      <c r="BR159" s="49"/>
      <c r="BS159" s="49"/>
      <c r="BT159" s="49"/>
      <c r="BU159" s="49"/>
      <c r="BV159" s="49"/>
      <c r="BW159" s="49"/>
      <c r="BX159" s="49"/>
    </row>
    <row r="160" spans="1:76" outlineLevel="1">
      <c r="B160" t="s">
        <v>83</v>
      </c>
      <c r="D160" s="49">
        <f>IF(AND('Rent Roll'!$N$20&lt;&gt;"Ghost",D$4&lt;='Rent Roll'!$L$20),1,0)</f>
        <v>1</v>
      </c>
      <c r="E160" s="49">
        <f>IF(AND('Rent Roll'!$N$20&lt;&gt;"Ghost",E$4&lt;='Rent Roll'!$L$20),1,0)</f>
        <v>1</v>
      </c>
      <c r="F160" s="49">
        <f>IF(AND('Rent Roll'!$N$20&lt;&gt;"Ghost",F$4&lt;='Rent Roll'!$L$20),1,0)</f>
        <v>1</v>
      </c>
      <c r="G160" s="49">
        <f>IF(AND('Rent Roll'!$N$20&lt;&gt;"Ghost",G$4&lt;='Rent Roll'!$L$20),1,0)</f>
        <v>1</v>
      </c>
      <c r="H160" s="49">
        <f>IF(AND('Rent Roll'!$N$20&lt;&gt;"Ghost",H$4&lt;='Rent Roll'!$L$20),1,0)</f>
        <v>1</v>
      </c>
      <c r="I160" s="49">
        <f>IF(AND('Rent Roll'!$N$20&lt;&gt;"Ghost",I$4&lt;='Rent Roll'!$L$20),1,0)</f>
        <v>1</v>
      </c>
      <c r="J160" s="49">
        <f>IF(AND('Rent Roll'!$N$20&lt;&gt;"Ghost",J$4&lt;='Rent Roll'!$L$20),1,0)</f>
        <v>1</v>
      </c>
      <c r="K160" s="49">
        <f>IF(AND('Rent Roll'!$N$20&lt;&gt;"Ghost",K$4&lt;='Rent Roll'!$L$20),1,0)</f>
        <v>1</v>
      </c>
      <c r="L160" s="49">
        <f>IF(AND('Rent Roll'!$N$20&lt;&gt;"Ghost",L$4&lt;='Rent Roll'!$L$20),1,0)</f>
        <v>1</v>
      </c>
      <c r="M160" s="49">
        <f>IF(AND('Rent Roll'!$N$20&lt;&gt;"Ghost",M$4&lt;='Rent Roll'!$L$20),1,0)</f>
        <v>1</v>
      </c>
      <c r="N160" s="49">
        <f>IF(AND('Rent Roll'!$N$20&lt;&gt;"Ghost",N$4&lt;='Rent Roll'!$L$20),1,0)</f>
        <v>1</v>
      </c>
      <c r="O160" s="49">
        <f>IF(AND('Rent Roll'!$N$20&lt;&gt;"Ghost",O$4&lt;='Rent Roll'!$L$20),1,0)</f>
        <v>1</v>
      </c>
      <c r="P160" s="49">
        <f>IF(AND('Rent Roll'!$N$20&lt;&gt;"Ghost",P$4&lt;='Rent Roll'!$L$20),1,0)</f>
        <v>1</v>
      </c>
      <c r="Q160" s="49">
        <f>IF(AND('Rent Roll'!$N$20&lt;&gt;"Ghost",Q$4&lt;='Rent Roll'!$L$20),1,0)</f>
        <v>1</v>
      </c>
      <c r="R160" s="49">
        <f>IF(AND('Rent Roll'!$N$20&lt;&gt;"Ghost",R$4&lt;='Rent Roll'!$L$20),1,0)</f>
        <v>1</v>
      </c>
      <c r="S160" s="49">
        <f>IF(AND('Rent Roll'!$N$20&lt;&gt;"Ghost",S$4&lt;='Rent Roll'!$L$20),1,0)</f>
        <v>1</v>
      </c>
      <c r="T160" s="49">
        <f>IF(AND('Rent Roll'!$N$20&lt;&gt;"Ghost",T$4&lt;='Rent Roll'!$L$20),1,0)</f>
        <v>1</v>
      </c>
      <c r="U160" s="49">
        <f>IF(AND('Rent Roll'!$N$20&lt;&gt;"Ghost",U$4&lt;='Rent Roll'!$L$20),1,0)</f>
        <v>1</v>
      </c>
      <c r="V160" s="49">
        <f>IF(AND('Rent Roll'!$N$20&lt;&gt;"Ghost",V$4&lt;='Rent Roll'!$L$20),1,0)</f>
        <v>1</v>
      </c>
      <c r="W160" s="49">
        <f>IF(AND('Rent Roll'!$N$20&lt;&gt;"Ghost",W$4&lt;='Rent Roll'!$L$20),1,0)</f>
        <v>1</v>
      </c>
      <c r="X160" s="49">
        <f>IF(AND('Rent Roll'!$N$20&lt;&gt;"Ghost",X$4&lt;='Rent Roll'!$L$20),1,0)</f>
        <v>1</v>
      </c>
      <c r="Y160" s="49">
        <f>IF(AND('Rent Roll'!$N$20&lt;&gt;"Ghost",Y$4&lt;='Rent Roll'!$L$20),1,0)</f>
        <v>1</v>
      </c>
      <c r="Z160" s="49">
        <f>IF(AND('Rent Roll'!$N$20&lt;&gt;"Ghost",Z$4&lt;='Rent Roll'!$L$20),1,0)</f>
        <v>1</v>
      </c>
      <c r="AA160" s="49">
        <f>IF(AND('Rent Roll'!$N$20&lt;&gt;"Ghost",AA$4&lt;='Rent Roll'!$L$20),1,0)</f>
        <v>1</v>
      </c>
      <c r="AB160" s="49">
        <f>IF(AND('Rent Roll'!$N$20&lt;&gt;"Ghost",AB$4&lt;='Rent Roll'!$L$20),1,0)</f>
        <v>1</v>
      </c>
      <c r="AC160" s="49">
        <f>IF(AND('Rent Roll'!$N$20&lt;&gt;"Ghost",AC$4&lt;='Rent Roll'!$L$20),1,0)</f>
        <v>1</v>
      </c>
      <c r="AD160" s="49">
        <f>IF(AND('Rent Roll'!$N$20&lt;&gt;"Ghost",AD$4&lt;='Rent Roll'!$L$20),1,0)</f>
        <v>1</v>
      </c>
      <c r="AE160" s="49">
        <f>IF(AND('Rent Roll'!$N$20&lt;&gt;"Ghost",AE$4&lt;='Rent Roll'!$L$20),1,0)</f>
        <v>1</v>
      </c>
      <c r="AF160" s="49">
        <f>IF(AND('Rent Roll'!$N$20&lt;&gt;"Ghost",AF$4&lt;='Rent Roll'!$L$20),1,0)</f>
        <v>1</v>
      </c>
      <c r="AG160" s="49">
        <f>IF(AND('Rent Roll'!$N$20&lt;&gt;"Ghost",AG$4&lt;='Rent Roll'!$L$20),1,0)</f>
        <v>1</v>
      </c>
      <c r="AH160" s="49">
        <f>IF(AND('Rent Roll'!$N$20&lt;&gt;"Ghost",AH$4&lt;='Rent Roll'!$L$20),1,0)</f>
        <v>1</v>
      </c>
      <c r="AI160" s="49">
        <f>IF(AND('Rent Roll'!$N$20&lt;&gt;"Ghost",AI$4&lt;='Rent Roll'!$L$20),1,0)</f>
        <v>1</v>
      </c>
      <c r="AJ160" s="49">
        <f>IF(AND('Rent Roll'!$N$20&lt;&gt;"Ghost",AJ$4&lt;='Rent Roll'!$L$20),1,0)</f>
        <v>1</v>
      </c>
      <c r="AK160" s="49">
        <f>IF(AND('Rent Roll'!$N$20&lt;&gt;"Ghost",AK$4&lt;='Rent Roll'!$L$20),1,0)</f>
        <v>1</v>
      </c>
      <c r="AL160" s="49">
        <f>IF(AND('Rent Roll'!$N$20&lt;&gt;"Ghost",AL$4&lt;='Rent Roll'!$L$20),1,0)</f>
        <v>1</v>
      </c>
      <c r="AM160" s="49">
        <f>IF(AND('Rent Roll'!$N$20&lt;&gt;"Ghost",AM$4&lt;='Rent Roll'!$L$20),1,0)</f>
        <v>1</v>
      </c>
      <c r="AN160" s="49">
        <f>IF(AND('Rent Roll'!$N$20&lt;&gt;"Ghost",AN$4&lt;='Rent Roll'!$L$20),1,0)</f>
        <v>1</v>
      </c>
      <c r="AO160" s="49">
        <f>IF(AND('Rent Roll'!$N$20&lt;&gt;"Ghost",AO$4&lt;='Rent Roll'!$L$20),1,0)</f>
        <v>1</v>
      </c>
      <c r="AP160" s="49">
        <f>IF(AND('Rent Roll'!$N$20&lt;&gt;"Ghost",AP$4&lt;='Rent Roll'!$L$20),1,0)</f>
        <v>1</v>
      </c>
      <c r="AQ160" s="49">
        <f>IF(AND('Rent Roll'!$N$20&lt;&gt;"Ghost",AQ$4&lt;='Rent Roll'!$L$20),1,0)</f>
        <v>1</v>
      </c>
      <c r="AR160" s="49">
        <f>IF(AND('Rent Roll'!$N$20&lt;&gt;"Ghost",AR$4&lt;='Rent Roll'!$L$20),1,0)</f>
        <v>1</v>
      </c>
      <c r="AS160" s="49">
        <f>IF(AND('Rent Roll'!$N$20&lt;&gt;"Ghost",AS$4&lt;='Rent Roll'!$L$20),1,0)</f>
        <v>1</v>
      </c>
      <c r="AT160" s="49">
        <f>IF(AND('Rent Roll'!$N$20&lt;&gt;"Ghost",AT$4&lt;='Rent Roll'!$L$20),1,0)</f>
        <v>1</v>
      </c>
      <c r="AU160" s="49">
        <f>IF(AND('Rent Roll'!$N$20&lt;&gt;"Ghost",AU$4&lt;='Rent Roll'!$L$20),1,0)</f>
        <v>1</v>
      </c>
      <c r="AV160" s="49">
        <f>IF(AND('Rent Roll'!$N$20&lt;&gt;"Ghost",AV$4&lt;='Rent Roll'!$L$20),1,0)</f>
        <v>1</v>
      </c>
      <c r="AW160" s="49">
        <f>IF(AND('Rent Roll'!$N$20&lt;&gt;"Ghost",AW$4&lt;='Rent Roll'!$L$20),1,0)</f>
        <v>1</v>
      </c>
      <c r="AX160" s="49">
        <f>IF(AND('Rent Roll'!$N$20&lt;&gt;"Ghost",AX$4&lt;='Rent Roll'!$L$20),1,0)</f>
        <v>1</v>
      </c>
      <c r="AY160" s="49">
        <f>IF(AND('Rent Roll'!$N$20&lt;&gt;"Ghost",AY$4&lt;='Rent Roll'!$L$20),1,0)</f>
        <v>1</v>
      </c>
      <c r="AZ160" s="49">
        <f>IF(AND('Rent Roll'!$N$20&lt;&gt;"Ghost",AZ$4&lt;='Rent Roll'!$L$20),1,0)</f>
        <v>1</v>
      </c>
      <c r="BA160" s="49">
        <f>IF(AND('Rent Roll'!$N$20&lt;&gt;"Ghost",BA$4&lt;='Rent Roll'!$L$20),1,0)</f>
        <v>1</v>
      </c>
      <c r="BB160" s="49">
        <f>IF(AND('Rent Roll'!$N$20&lt;&gt;"Ghost",BB$4&lt;='Rent Roll'!$L$20),1,0)</f>
        <v>1</v>
      </c>
      <c r="BC160" s="49">
        <f>IF(AND('Rent Roll'!$N$20&lt;&gt;"Ghost",BC$4&lt;='Rent Roll'!$L$20),1,0)</f>
        <v>1</v>
      </c>
      <c r="BD160" s="49">
        <f>IF(AND('Rent Roll'!$N$20&lt;&gt;"Ghost",BD$4&lt;='Rent Roll'!$L$20),1,0)</f>
        <v>1</v>
      </c>
      <c r="BE160" s="49">
        <f>IF(AND('Rent Roll'!$N$20&lt;&gt;"Ghost",BE$4&lt;='Rent Roll'!$L$20),1,0)</f>
        <v>1</v>
      </c>
      <c r="BF160" s="49">
        <f>IF(AND('Rent Roll'!$N$20&lt;&gt;"Ghost",BF$4&lt;='Rent Roll'!$L$20),1,0)</f>
        <v>1</v>
      </c>
      <c r="BG160" s="49">
        <f>IF(AND('Rent Roll'!$N$20&lt;&gt;"Ghost",BG$4&lt;='Rent Roll'!$L$20),1,0)</f>
        <v>1</v>
      </c>
      <c r="BH160" s="49">
        <f>IF(AND('Rent Roll'!$N$20&lt;&gt;"Ghost",BH$4&lt;='Rent Roll'!$L$20),1,0)</f>
        <v>0</v>
      </c>
      <c r="BI160" s="49">
        <f>IF(AND('Rent Roll'!$N$20&lt;&gt;"Ghost",BI$4&lt;='Rent Roll'!$L$20),1,0)</f>
        <v>0</v>
      </c>
      <c r="BJ160" s="49">
        <f>IF(AND('Rent Roll'!$N$20&lt;&gt;"Ghost",BJ$4&lt;='Rent Roll'!$L$20),1,0)</f>
        <v>0</v>
      </c>
      <c r="BK160" s="49">
        <f>IF(AND('Rent Roll'!$N$20&lt;&gt;"Ghost",BK$4&lt;='Rent Roll'!$L$20),1,0)</f>
        <v>0</v>
      </c>
      <c r="BL160" s="49">
        <f>IF(AND('Rent Roll'!$N$20&lt;&gt;"Ghost",BL$4&lt;='Rent Roll'!$L$20),1,0)</f>
        <v>0</v>
      </c>
      <c r="BM160" s="49">
        <f>IF(AND('Rent Roll'!$N$20&lt;&gt;"Ghost",BM$4&lt;='Rent Roll'!$L$20),1,0)</f>
        <v>0</v>
      </c>
      <c r="BN160" s="49">
        <f>IF(AND('Rent Roll'!$N$20&lt;&gt;"Ghost",BN$4&lt;='Rent Roll'!$L$20),1,0)</f>
        <v>0</v>
      </c>
      <c r="BO160" s="49">
        <f>IF(AND('Rent Roll'!$N$20&lt;&gt;"Ghost",BO$4&lt;='Rent Roll'!$L$20),1,0)</f>
        <v>0</v>
      </c>
      <c r="BP160" s="49">
        <f>IF(AND('Rent Roll'!$N$20&lt;&gt;"Ghost",BP$4&lt;='Rent Roll'!$L$20),1,0)</f>
        <v>0</v>
      </c>
      <c r="BQ160" s="49">
        <f>IF(AND('Rent Roll'!$N$20&lt;&gt;"Ghost",BQ$4&lt;='Rent Roll'!$L$20),1,0)</f>
        <v>0</v>
      </c>
      <c r="BR160" s="49">
        <f>IF(AND('Rent Roll'!$N$20&lt;&gt;"Ghost",BR$4&lt;='Rent Roll'!$L$20),1,0)</f>
        <v>0</v>
      </c>
      <c r="BS160" s="49">
        <f>IF(AND('Rent Roll'!$N$20&lt;&gt;"Ghost",BS$4&lt;='Rent Roll'!$L$20),1,0)</f>
        <v>0</v>
      </c>
      <c r="BT160" s="49">
        <f>IF(AND('Rent Roll'!$N$20&lt;&gt;"Ghost",BT$4&lt;='Rent Roll'!$L$20),1,0)</f>
        <v>0</v>
      </c>
      <c r="BU160" s="49">
        <f>IF(AND('Rent Roll'!$N$20&lt;&gt;"Ghost",BU$4&lt;='Rent Roll'!$L$20),1,0)</f>
        <v>0</v>
      </c>
      <c r="BV160" s="49">
        <f>IF(AND('Rent Roll'!$N$20&lt;&gt;"Ghost",BV$4&lt;='Rent Roll'!$L$20),1,0)</f>
        <v>0</v>
      </c>
      <c r="BW160" s="49">
        <f>IF(AND('Rent Roll'!$N$20&lt;&gt;"Ghost",BW$4&lt;='Rent Roll'!$L$20),1,0)</f>
        <v>0</v>
      </c>
      <c r="BX160" s="49">
        <f>IF(AND('Rent Roll'!$N$20&lt;&gt;"Ghost",BX$4&lt;='Rent Roll'!$L$20),1,0)</f>
        <v>0</v>
      </c>
    </row>
    <row r="161" spans="1:76">
      <c r="B161" t="s">
        <v>159</v>
      </c>
      <c r="D161" s="49">
        <f>IF(D160=1,'Rent Roll'!$H$20/12*(1+'Rent Roll'!$I$20)^IF(D$4&lt;'Rent Roll'!$Y$20,0,YEAR(D$4)-YEAR('Rent Roll'!$Y$20)+1),0)</f>
        <v>7350</v>
      </c>
      <c r="E161" s="49">
        <f>IF(E160=1,'Rent Roll'!$H$20/12*(1+'Rent Roll'!$I$20)^IF(E$4&lt;'Rent Roll'!$Y$20,0,YEAR(E$4)-YEAR('Rent Roll'!$Y$20)+1),0)</f>
        <v>7350</v>
      </c>
      <c r="F161" s="49">
        <f>IF(F160=1,'Rent Roll'!$H$20/12*(1+'Rent Roll'!$I$20)^IF(F$4&lt;'Rent Roll'!$Y$20,0,YEAR(F$4)-YEAR('Rent Roll'!$Y$20)+1),0)</f>
        <v>7350</v>
      </c>
      <c r="G161" s="49">
        <f>IF(G160=1,'Rent Roll'!$H$20/12*(1+'Rent Roll'!$I$20)^IF(G$4&lt;'Rent Roll'!$Y$20,0,YEAR(G$4)-YEAR('Rent Roll'!$Y$20)+1),0)</f>
        <v>7350</v>
      </c>
      <c r="H161" s="49">
        <f>IF(H160=1,'Rent Roll'!$H$20/12*(1+'Rent Roll'!$I$20)^IF(H$4&lt;'Rent Roll'!$Y$20,0,YEAR(H$4)-YEAR('Rent Roll'!$Y$20)+1),0)</f>
        <v>7350</v>
      </c>
      <c r="I161" s="49">
        <f>IF(I160=1,'Rent Roll'!$H$20/12*(1+'Rent Roll'!$I$20)^IF(I$4&lt;'Rent Roll'!$Y$20,0,YEAR(I$4)-YEAR('Rent Roll'!$Y$20)+1),0)</f>
        <v>7350</v>
      </c>
      <c r="J161" s="49">
        <f>IF(J160=1,'Rent Roll'!$H$20/12*(1+'Rent Roll'!$I$20)^IF(J$4&lt;'Rent Roll'!$Y$20,0,YEAR(J$4)-YEAR('Rent Roll'!$Y$20)+1),0)</f>
        <v>7350</v>
      </c>
      <c r="K161" s="49">
        <f>IF(K160=1,'Rent Roll'!$H$20/12*(1+'Rent Roll'!$I$20)^IF(K$4&lt;'Rent Roll'!$Y$20,0,YEAR(K$4)-YEAR('Rent Roll'!$Y$20)+1),0)</f>
        <v>7350</v>
      </c>
      <c r="L161" s="49">
        <f>IF(L160=1,'Rent Roll'!$H$20/12*(1+'Rent Roll'!$I$20)^IF(L$4&lt;'Rent Roll'!$Y$20,0,YEAR(L$4)-YEAR('Rent Roll'!$Y$20)+1),0)</f>
        <v>7497</v>
      </c>
      <c r="M161" s="49">
        <f>IF(M160=1,'Rent Roll'!$H$20/12*(1+'Rent Roll'!$I$20)^IF(M$4&lt;'Rent Roll'!$Y$20,0,YEAR(M$4)-YEAR('Rent Roll'!$Y$20)+1),0)</f>
        <v>7497</v>
      </c>
      <c r="N161" s="49">
        <f>IF(N160=1,'Rent Roll'!$H$20/12*(1+'Rent Roll'!$I$20)^IF(N$4&lt;'Rent Roll'!$Y$20,0,YEAR(N$4)-YEAR('Rent Roll'!$Y$20)+1),0)</f>
        <v>7497</v>
      </c>
      <c r="O161" s="49">
        <f>IF(O160=1,'Rent Roll'!$H$20/12*(1+'Rent Roll'!$I$20)^IF(O$4&lt;'Rent Roll'!$Y$20,0,YEAR(O$4)-YEAR('Rent Roll'!$Y$20)+1),0)</f>
        <v>7497</v>
      </c>
      <c r="P161" s="49">
        <f>IF(P160=1,'Rent Roll'!$H$20/12*(1+'Rent Roll'!$I$20)^IF(P$4&lt;'Rent Roll'!$Y$20,0,YEAR(P$4)-YEAR('Rent Roll'!$Y$20)+1),0)</f>
        <v>7497</v>
      </c>
      <c r="Q161" s="49">
        <f>IF(Q160=1,'Rent Roll'!$H$20/12*(1+'Rent Roll'!$I$20)^IF(Q$4&lt;'Rent Roll'!$Y$20,0,YEAR(Q$4)-YEAR('Rent Roll'!$Y$20)+1),0)</f>
        <v>7497</v>
      </c>
      <c r="R161" s="49">
        <f>IF(R160=1,'Rent Roll'!$H$20/12*(1+'Rent Roll'!$I$20)^IF(R$4&lt;'Rent Roll'!$Y$20,0,YEAR(R$4)-YEAR('Rent Roll'!$Y$20)+1),0)</f>
        <v>7497</v>
      </c>
      <c r="S161" s="49">
        <f>IF(S160=1,'Rent Roll'!$H$20/12*(1+'Rent Roll'!$I$20)^IF(S$4&lt;'Rent Roll'!$Y$20,0,YEAR(S$4)-YEAR('Rent Roll'!$Y$20)+1),0)</f>
        <v>7497</v>
      </c>
      <c r="T161" s="49">
        <f>IF(T160=1,'Rent Roll'!$H$20/12*(1+'Rent Roll'!$I$20)^IF(T$4&lt;'Rent Roll'!$Y$20,0,YEAR(T$4)-YEAR('Rent Roll'!$Y$20)+1),0)</f>
        <v>7497</v>
      </c>
      <c r="U161" s="49">
        <f>IF(U160=1,'Rent Roll'!$H$20/12*(1+'Rent Roll'!$I$20)^IF(U$4&lt;'Rent Roll'!$Y$20,0,YEAR(U$4)-YEAR('Rent Roll'!$Y$20)+1),0)</f>
        <v>7646.94</v>
      </c>
      <c r="V161" s="49">
        <f>IF(V160=1,'Rent Roll'!$H$20/12*(1+'Rent Roll'!$I$20)^IF(V$4&lt;'Rent Roll'!$Y$20,0,YEAR(V$4)-YEAR('Rent Roll'!$Y$20)+1),0)</f>
        <v>7646.94</v>
      </c>
      <c r="W161" s="49">
        <f>IF(W160=1,'Rent Roll'!$H$20/12*(1+'Rent Roll'!$I$20)^IF(W$4&lt;'Rent Roll'!$Y$20,0,YEAR(W$4)-YEAR('Rent Roll'!$Y$20)+1),0)</f>
        <v>7646.94</v>
      </c>
      <c r="X161" s="49">
        <f>IF(X160=1,'Rent Roll'!$H$20/12*(1+'Rent Roll'!$I$20)^IF(X$4&lt;'Rent Roll'!$Y$20,0,YEAR(X$4)-YEAR('Rent Roll'!$Y$20)+1),0)</f>
        <v>7646.94</v>
      </c>
      <c r="Y161" s="49">
        <f>IF(Y160=1,'Rent Roll'!$H$20/12*(1+'Rent Roll'!$I$20)^IF(Y$4&lt;'Rent Roll'!$Y$20,0,YEAR(Y$4)-YEAR('Rent Roll'!$Y$20)+1),0)</f>
        <v>7646.94</v>
      </c>
      <c r="Z161" s="49">
        <f>IF(Z160=1,'Rent Roll'!$H$20/12*(1+'Rent Roll'!$I$20)^IF(Z$4&lt;'Rent Roll'!$Y$20,0,YEAR(Z$4)-YEAR('Rent Roll'!$Y$20)+1),0)</f>
        <v>7646.94</v>
      </c>
      <c r="AA161" s="49">
        <f>IF(AA160=1,'Rent Roll'!$H$20/12*(1+'Rent Roll'!$I$20)^IF(AA$4&lt;'Rent Roll'!$Y$20,0,YEAR(AA$4)-YEAR('Rent Roll'!$Y$20)+1),0)</f>
        <v>7646.94</v>
      </c>
      <c r="AB161" s="49">
        <f>IF(AB160=1,'Rent Roll'!$H$20/12*(1+'Rent Roll'!$I$20)^IF(AB$4&lt;'Rent Roll'!$Y$20,0,YEAR(AB$4)-YEAR('Rent Roll'!$Y$20)+1),0)</f>
        <v>7646.94</v>
      </c>
      <c r="AC161" s="49">
        <f>IF(AC160=1,'Rent Roll'!$H$20/12*(1+'Rent Roll'!$I$20)^IF(AC$4&lt;'Rent Roll'!$Y$20,0,YEAR(AC$4)-YEAR('Rent Roll'!$Y$20)+1),0)</f>
        <v>7646.94</v>
      </c>
      <c r="AD161" s="49">
        <f>IF(AD160=1,'Rent Roll'!$H$20/12*(1+'Rent Roll'!$I$20)^IF(AD$4&lt;'Rent Roll'!$Y$20,0,YEAR(AD$4)-YEAR('Rent Roll'!$Y$20)+1),0)</f>
        <v>7646.94</v>
      </c>
      <c r="AE161" s="49">
        <f>IF(AE160=1,'Rent Roll'!$H$20/12*(1+'Rent Roll'!$I$20)^IF(AE$4&lt;'Rent Roll'!$Y$20,0,YEAR(AE$4)-YEAR('Rent Roll'!$Y$20)+1),0)</f>
        <v>7646.94</v>
      </c>
      <c r="AF161" s="49">
        <f>IF(AF160=1,'Rent Roll'!$H$20/12*(1+'Rent Roll'!$I$20)^IF(AF$4&lt;'Rent Roll'!$Y$20,0,YEAR(AF$4)-YEAR('Rent Roll'!$Y$20)+1),0)</f>
        <v>7646.94</v>
      </c>
      <c r="AG161" s="49">
        <f>IF(AG160=1,'Rent Roll'!$H$20/12*(1+'Rent Roll'!$I$20)^IF(AG$4&lt;'Rent Roll'!$Y$20,0,YEAR(AG$4)-YEAR('Rent Roll'!$Y$20)+1),0)</f>
        <v>7799.8787999999995</v>
      </c>
      <c r="AH161" s="49">
        <f>IF(AH160=1,'Rent Roll'!$H$20/12*(1+'Rent Roll'!$I$20)^IF(AH$4&lt;'Rent Roll'!$Y$20,0,YEAR(AH$4)-YEAR('Rent Roll'!$Y$20)+1),0)</f>
        <v>7799.8787999999995</v>
      </c>
      <c r="AI161" s="49">
        <f>IF(AI160=1,'Rent Roll'!$H$20/12*(1+'Rent Roll'!$I$20)^IF(AI$4&lt;'Rent Roll'!$Y$20,0,YEAR(AI$4)-YEAR('Rent Roll'!$Y$20)+1),0)</f>
        <v>7799.8787999999995</v>
      </c>
      <c r="AJ161" s="49">
        <f>IF(AJ160=1,'Rent Roll'!$H$20/12*(1+'Rent Roll'!$I$20)^IF(AJ$4&lt;'Rent Roll'!$Y$20,0,YEAR(AJ$4)-YEAR('Rent Roll'!$Y$20)+1),0)</f>
        <v>7799.8787999999995</v>
      </c>
      <c r="AK161" s="49">
        <f>IF(AK160=1,'Rent Roll'!$H$20/12*(1+'Rent Roll'!$I$20)^IF(AK$4&lt;'Rent Roll'!$Y$20,0,YEAR(AK$4)-YEAR('Rent Roll'!$Y$20)+1),0)</f>
        <v>7799.8787999999995</v>
      </c>
      <c r="AL161" s="49">
        <f>IF(AL160=1,'Rent Roll'!$H$20/12*(1+'Rent Roll'!$I$20)^IF(AL$4&lt;'Rent Roll'!$Y$20,0,YEAR(AL$4)-YEAR('Rent Roll'!$Y$20)+1),0)</f>
        <v>7799.8787999999995</v>
      </c>
      <c r="AM161" s="49">
        <f>IF(AM160=1,'Rent Roll'!$H$20/12*(1+'Rent Roll'!$I$20)^IF(AM$4&lt;'Rent Roll'!$Y$20,0,YEAR(AM$4)-YEAR('Rent Roll'!$Y$20)+1),0)</f>
        <v>7799.8787999999995</v>
      </c>
      <c r="AN161" s="49">
        <f>IF(AN160=1,'Rent Roll'!$H$20/12*(1+'Rent Roll'!$I$20)^IF(AN$4&lt;'Rent Roll'!$Y$20,0,YEAR(AN$4)-YEAR('Rent Roll'!$Y$20)+1),0)</f>
        <v>7799.8787999999995</v>
      </c>
      <c r="AO161" s="49">
        <f>IF(AO160=1,'Rent Roll'!$H$20/12*(1+'Rent Roll'!$I$20)^IF(AO$4&lt;'Rent Roll'!$Y$20,0,YEAR(AO$4)-YEAR('Rent Roll'!$Y$20)+1),0)</f>
        <v>7799.8787999999995</v>
      </c>
      <c r="AP161" s="49">
        <f>IF(AP160=1,'Rent Roll'!$H$20/12*(1+'Rent Roll'!$I$20)^IF(AP$4&lt;'Rent Roll'!$Y$20,0,YEAR(AP$4)-YEAR('Rent Roll'!$Y$20)+1),0)</f>
        <v>7799.8787999999995</v>
      </c>
      <c r="AQ161" s="49">
        <f>IF(AQ160=1,'Rent Roll'!$H$20/12*(1+'Rent Roll'!$I$20)^IF(AQ$4&lt;'Rent Roll'!$Y$20,0,YEAR(AQ$4)-YEAR('Rent Roll'!$Y$20)+1),0)</f>
        <v>7799.8787999999995</v>
      </c>
      <c r="AR161" s="49">
        <f>IF(AR160=1,'Rent Roll'!$H$20/12*(1+'Rent Roll'!$I$20)^IF(AR$4&lt;'Rent Roll'!$Y$20,0,YEAR(AR$4)-YEAR('Rent Roll'!$Y$20)+1),0)</f>
        <v>7799.8787999999995</v>
      </c>
      <c r="AS161" s="49">
        <f>IF(AS160=1,'Rent Roll'!$H$20/12*(1+'Rent Roll'!$I$20)^IF(AS$4&lt;'Rent Roll'!$Y$20,0,YEAR(AS$4)-YEAR('Rent Roll'!$Y$20)+1),0)</f>
        <v>7955.8763760000002</v>
      </c>
      <c r="AT161" s="49">
        <f>IF(AT160=1,'Rent Roll'!$H$20/12*(1+'Rent Roll'!$I$20)^IF(AT$4&lt;'Rent Roll'!$Y$20,0,YEAR(AT$4)-YEAR('Rent Roll'!$Y$20)+1),0)</f>
        <v>7955.8763760000002</v>
      </c>
      <c r="AU161" s="49">
        <f>IF(AU160=1,'Rent Roll'!$H$20/12*(1+'Rent Roll'!$I$20)^IF(AU$4&lt;'Rent Roll'!$Y$20,0,YEAR(AU$4)-YEAR('Rent Roll'!$Y$20)+1),0)</f>
        <v>7955.8763760000002</v>
      </c>
      <c r="AV161" s="49">
        <f>IF(AV160=1,'Rent Roll'!$H$20/12*(1+'Rent Roll'!$I$20)^IF(AV$4&lt;'Rent Roll'!$Y$20,0,YEAR(AV$4)-YEAR('Rent Roll'!$Y$20)+1),0)</f>
        <v>7955.8763760000002</v>
      </c>
      <c r="AW161" s="49">
        <f>IF(AW160=1,'Rent Roll'!$H$20/12*(1+'Rent Roll'!$I$20)^IF(AW$4&lt;'Rent Roll'!$Y$20,0,YEAR(AW$4)-YEAR('Rent Roll'!$Y$20)+1),0)</f>
        <v>7955.8763760000002</v>
      </c>
      <c r="AX161" s="49">
        <f>IF(AX160=1,'Rent Roll'!$H$20/12*(1+'Rent Roll'!$I$20)^IF(AX$4&lt;'Rent Roll'!$Y$20,0,YEAR(AX$4)-YEAR('Rent Roll'!$Y$20)+1),0)</f>
        <v>7955.8763760000002</v>
      </c>
      <c r="AY161" s="49">
        <f>IF(AY160=1,'Rent Roll'!$H$20/12*(1+'Rent Roll'!$I$20)^IF(AY$4&lt;'Rent Roll'!$Y$20,0,YEAR(AY$4)-YEAR('Rent Roll'!$Y$20)+1),0)</f>
        <v>7955.8763760000002</v>
      </c>
      <c r="AZ161" s="49">
        <f>IF(AZ160=1,'Rent Roll'!$H$20/12*(1+'Rent Roll'!$I$20)^IF(AZ$4&lt;'Rent Roll'!$Y$20,0,YEAR(AZ$4)-YEAR('Rent Roll'!$Y$20)+1),0)</f>
        <v>7955.8763760000002</v>
      </c>
      <c r="BA161" s="49">
        <f>IF(BA160=1,'Rent Roll'!$H$20/12*(1+'Rent Roll'!$I$20)^IF(BA$4&lt;'Rent Roll'!$Y$20,0,YEAR(BA$4)-YEAR('Rent Roll'!$Y$20)+1),0)</f>
        <v>7955.8763760000002</v>
      </c>
      <c r="BB161" s="49">
        <f>IF(BB160=1,'Rent Roll'!$H$20/12*(1+'Rent Roll'!$I$20)^IF(BB$4&lt;'Rent Roll'!$Y$20,0,YEAR(BB$4)-YEAR('Rent Roll'!$Y$20)+1),0)</f>
        <v>7955.8763760000002</v>
      </c>
      <c r="BC161" s="49">
        <f>IF(BC160=1,'Rent Roll'!$H$20/12*(1+'Rent Roll'!$I$20)^IF(BC$4&lt;'Rent Roll'!$Y$20,0,YEAR(BC$4)-YEAR('Rent Roll'!$Y$20)+1),0)</f>
        <v>7955.8763760000002</v>
      </c>
      <c r="BD161" s="49">
        <f>IF(BD160=1,'Rent Roll'!$H$20/12*(1+'Rent Roll'!$I$20)^IF(BD$4&lt;'Rent Roll'!$Y$20,0,YEAR(BD$4)-YEAR('Rent Roll'!$Y$20)+1),0)</f>
        <v>7955.8763760000002</v>
      </c>
      <c r="BE161" s="49">
        <f>IF(BE160=1,'Rent Roll'!$H$20/12*(1+'Rent Roll'!$I$20)^IF(BE$4&lt;'Rent Roll'!$Y$20,0,YEAR(BE$4)-YEAR('Rent Roll'!$Y$20)+1),0)</f>
        <v>8114.9939035200005</v>
      </c>
      <c r="BF161" s="49">
        <f>IF(BF160=1,'Rent Roll'!$H$20/12*(1+'Rent Roll'!$I$20)^IF(BF$4&lt;'Rent Roll'!$Y$20,0,YEAR(BF$4)-YEAR('Rent Roll'!$Y$20)+1),0)</f>
        <v>8114.9939035200005</v>
      </c>
      <c r="BG161" s="49">
        <f>IF(BG160=1,'Rent Roll'!$H$20/12*(1+'Rent Roll'!$I$20)^IF(BG$4&lt;'Rent Roll'!$Y$20,0,YEAR(BG$4)-YEAR('Rent Roll'!$Y$20)+1),0)</f>
        <v>8114.9939035200005</v>
      </c>
      <c r="BH161" s="49">
        <f>IF(BH160=1,'Rent Roll'!$H$20/12*(1+'Rent Roll'!$I$20)^IF(BH$4&lt;'Rent Roll'!$Y$20,0,YEAR(BH$4)-YEAR('Rent Roll'!$Y$20)+1),0)</f>
        <v>0</v>
      </c>
      <c r="BI161" s="49">
        <f>IF(BI160=1,'Rent Roll'!$H$20/12*(1+'Rent Roll'!$I$20)^IF(BI$4&lt;'Rent Roll'!$Y$20,0,YEAR(BI$4)-YEAR('Rent Roll'!$Y$20)+1),0)</f>
        <v>0</v>
      </c>
      <c r="BJ161" s="49">
        <f>IF(BJ160=1,'Rent Roll'!$H$20/12*(1+'Rent Roll'!$I$20)^IF(BJ$4&lt;'Rent Roll'!$Y$20,0,YEAR(BJ$4)-YEAR('Rent Roll'!$Y$20)+1),0)</f>
        <v>0</v>
      </c>
      <c r="BK161" s="49">
        <f>IF(BK160=1,'Rent Roll'!$H$20/12*(1+'Rent Roll'!$I$20)^IF(BK$4&lt;'Rent Roll'!$Y$20,0,YEAR(BK$4)-YEAR('Rent Roll'!$Y$20)+1),0)</f>
        <v>0</v>
      </c>
      <c r="BL161" s="49">
        <f>IF(BL160=1,'Rent Roll'!$H$20/12*(1+'Rent Roll'!$I$20)^IF(BL$4&lt;'Rent Roll'!$Y$20,0,YEAR(BL$4)-YEAR('Rent Roll'!$Y$20)+1),0)</f>
        <v>0</v>
      </c>
      <c r="BM161" s="49">
        <f>IF(BM160=1,'Rent Roll'!$H$20/12*(1+'Rent Roll'!$I$20)^IF(BM$4&lt;'Rent Roll'!$Y$20,0,YEAR(BM$4)-YEAR('Rent Roll'!$Y$20)+1),0)</f>
        <v>0</v>
      </c>
      <c r="BN161" s="49">
        <f>IF(BN160=1,'Rent Roll'!$H$20/12*(1+'Rent Roll'!$I$20)^IF(BN$4&lt;'Rent Roll'!$Y$20,0,YEAR(BN$4)-YEAR('Rent Roll'!$Y$20)+1),0)</f>
        <v>0</v>
      </c>
      <c r="BO161" s="49">
        <f>IF(BO160=1,'Rent Roll'!$H$20/12*(1+'Rent Roll'!$I$20)^IF(BO$4&lt;'Rent Roll'!$Y$20,0,YEAR(BO$4)-YEAR('Rent Roll'!$Y$20)+1),0)</f>
        <v>0</v>
      </c>
      <c r="BP161" s="49">
        <f>IF(BP160=1,'Rent Roll'!$H$20/12*(1+'Rent Roll'!$I$20)^IF(BP$4&lt;'Rent Roll'!$Y$20,0,YEAR(BP$4)-YEAR('Rent Roll'!$Y$20)+1),0)</f>
        <v>0</v>
      </c>
      <c r="BQ161" s="49">
        <f>IF(BQ160=1,'Rent Roll'!$H$20/12*(1+'Rent Roll'!$I$20)^IF(BQ$4&lt;'Rent Roll'!$Y$20,0,YEAR(BQ$4)-YEAR('Rent Roll'!$Y$20)+1),0)</f>
        <v>0</v>
      </c>
      <c r="BR161" s="49">
        <f>IF(BR160=1,'Rent Roll'!$H$20/12*(1+'Rent Roll'!$I$20)^IF(BR$4&lt;'Rent Roll'!$Y$20,0,YEAR(BR$4)-YEAR('Rent Roll'!$Y$20)+1),0)</f>
        <v>0</v>
      </c>
      <c r="BS161" s="49">
        <f>IF(BS160=1,'Rent Roll'!$H$20/12*(1+'Rent Roll'!$I$20)^IF(BS$4&lt;'Rent Roll'!$Y$20,0,YEAR(BS$4)-YEAR('Rent Roll'!$Y$20)+1),0)</f>
        <v>0</v>
      </c>
      <c r="BT161" s="49">
        <f>IF(BT160=1,'Rent Roll'!$H$20/12*(1+'Rent Roll'!$I$20)^IF(BT$4&lt;'Rent Roll'!$Y$20,0,YEAR(BT$4)-YEAR('Rent Roll'!$Y$20)+1),0)</f>
        <v>0</v>
      </c>
      <c r="BU161" s="49">
        <f>IF(BU160=1,'Rent Roll'!$H$20/12*(1+'Rent Roll'!$I$20)^IF(BU$4&lt;'Rent Roll'!$Y$20,0,YEAR(BU$4)-YEAR('Rent Roll'!$Y$20)+1),0)</f>
        <v>0</v>
      </c>
      <c r="BV161" s="49">
        <f>IF(BV160=1,'Rent Roll'!$H$20/12*(1+'Rent Roll'!$I$20)^IF(BV$4&lt;'Rent Roll'!$Y$20,0,YEAR(BV$4)-YEAR('Rent Roll'!$Y$20)+1),0)</f>
        <v>0</v>
      </c>
      <c r="BW161" s="49">
        <f>IF(BW160=1,'Rent Roll'!$H$20/12*(1+'Rent Roll'!$I$20)^IF(BW$4&lt;'Rent Roll'!$Y$20,0,YEAR(BW$4)-YEAR('Rent Roll'!$Y$20)+1),0)</f>
        <v>0</v>
      </c>
      <c r="BX161" s="49">
        <f>IF(BX160=1,'Rent Roll'!$H$20/12*(1+'Rent Roll'!$I$20)^IF(BX$4&lt;'Rent Roll'!$Y$20,0,YEAR(BX$4)-YEAR('Rent Roll'!$Y$20)+1),0)</f>
        <v>0</v>
      </c>
    </row>
    <row r="162" spans="1:76">
      <c r="B162" t="s">
        <v>160</v>
      </c>
      <c r="D162" s="49">
        <f>IF(D$4&gt;EOMONTH(CloseDate,'Rent Roll'!$O$20+'Rent Roll'!$S$20-1),1,0)</f>
        <v>0</v>
      </c>
      <c r="E162" s="49">
        <f>IF(E$4&gt;EOMONTH(CloseDate,'Rent Roll'!$O$20+'Rent Roll'!$S$20-1),1,0)</f>
        <v>0</v>
      </c>
      <c r="F162" s="49">
        <f>IF(F$4&gt;EOMONTH(CloseDate,'Rent Roll'!$O$20+'Rent Roll'!$S$20-1),1,0)</f>
        <v>0</v>
      </c>
      <c r="G162" s="49">
        <f>IF(G$4&gt;EOMONTH(CloseDate,'Rent Roll'!$O$20+'Rent Roll'!$S$20-1),1,0)</f>
        <v>0</v>
      </c>
      <c r="H162" s="49">
        <f>IF(H$4&gt;EOMONTH(CloseDate,'Rent Roll'!$O$20+'Rent Roll'!$S$20-1),1,0)</f>
        <v>0</v>
      </c>
      <c r="I162" s="49">
        <f>IF(I$4&gt;EOMONTH(CloseDate,'Rent Roll'!$O$20+'Rent Roll'!$S$20-1),1,0)</f>
        <v>0</v>
      </c>
      <c r="J162" s="49">
        <f>IF(J$4&gt;EOMONTH(CloseDate,'Rent Roll'!$O$20+'Rent Roll'!$S$20-1),1,0)</f>
        <v>0</v>
      </c>
      <c r="K162" s="49">
        <f>IF(K$4&gt;EOMONTH(CloseDate,'Rent Roll'!$O$20+'Rent Roll'!$S$20-1),1,0)</f>
        <v>0</v>
      </c>
      <c r="L162" s="49">
        <f>IF(L$4&gt;EOMONTH(CloseDate,'Rent Roll'!$O$20+'Rent Roll'!$S$20-1),1,0)</f>
        <v>0</v>
      </c>
      <c r="M162" s="49">
        <f>IF(M$4&gt;EOMONTH(CloseDate,'Rent Roll'!$O$20+'Rent Roll'!$S$20-1),1,0)</f>
        <v>0</v>
      </c>
      <c r="N162" s="49">
        <f>IF(N$4&gt;EOMONTH(CloseDate,'Rent Roll'!$O$20+'Rent Roll'!$S$20-1),1,0)</f>
        <v>0</v>
      </c>
      <c r="O162" s="49">
        <f>IF(O$4&gt;EOMONTH(CloseDate,'Rent Roll'!$O$20+'Rent Roll'!$S$20-1),1,0)</f>
        <v>0</v>
      </c>
      <c r="P162" s="49">
        <f>IF(P$4&gt;EOMONTH(CloseDate,'Rent Roll'!$O$20+'Rent Roll'!$S$20-1),1,0)</f>
        <v>0</v>
      </c>
      <c r="Q162" s="49">
        <f>IF(Q$4&gt;EOMONTH(CloseDate,'Rent Roll'!$O$20+'Rent Roll'!$S$20-1),1,0)</f>
        <v>0</v>
      </c>
      <c r="R162" s="49">
        <f>IF(R$4&gt;EOMONTH(CloseDate,'Rent Roll'!$O$20+'Rent Roll'!$S$20-1),1,0)</f>
        <v>0</v>
      </c>
      <c r="S162" s="49">
        <f>IF(S$4&gt;EOMONTH(CloseDate,'Rent Roll'!$O$20+'Rent Roll'!$S$20-1),1,0)</f>
        <v>0</v>
      </c>
      <c r="T162" s="49">
        <f>IF(T$4&gt;EOMONTH(CloseDate,'Rent Roll'!$O$20+'Rent Roll'!$S$20-1),1,0)</f>
        <v>0</v>
      </c>
      <c r="U162" s="49">
        <f>IF(U$4&gt;EOMONTH(CloseDate,'Rent Roll'!$O$20+'Rent Roll'!$S$20-1),1,0)</f>
        <v>0</v>
      </c>
      <c r="V162" s="49">
        <f>IF(V$4&gt;EOMONTH(CloseDate,'Rent Roll'!$O$20+'Rent Roll'!$S$20-1),1,0)</f>
        <v>0</v>
      </c>
      <c r="W162" s="49">
        <f>IF(W$4&gt;EOMONTH(CloseDate,'Rent Roll'!$O$20+'Rent Roll'!$S$20-1),1,0)</f>
        <v>0</v>
      </c>
      <c r="X162" s="49">
        <f>IF(X$4&gt;EOMONTH(CloseDate,'Rent Roll'!$O$20+'Rent Roll'!$S$20-1),1,0)</f>
        <v>0</v>
      </c>
      <c r="Y162" s="49">
        <f>IF(Y$4&gt;EOMONTH(CloseDate,'Rent Roll'!$O$20+'Rent Roll'!$S$20-1),1,0)</f>
        <v>0</v>
      </c>
      <c r="Z162" s="49">
        <f>IF(Z$4&gt;EOMONTH(CloseDate,'Rent Roll'!$O$20+'Rent Roll'!$S$20-1),1,0)</f>
        <v>0</v>
      </c>
      <c r="AA162" s="49">
        <f>IF(AA$4&gt;EOMONTH(CloseDate,'Rent Roll'!$O$20+'Rent Roll'!$S$20-1),1,0)</f>
        <v>0</v>
      </c>
      <c r="AB162" s="49">
        <f>IF(AB$4&gt;EOMONTH(CloseDate,'Rent Roll'!$O$20+'Rent Roll'!$S$20-1),1,0)</f>
        <v>0</v>
      </c>
      <c r="AC162" s="49">
        <f>IF(AC$4&gt;EOMONTH(CloseDate,'Rent Roll'!$O$20+'Rent Roll'!$S$20-1),1,0)</f>
        <v>0</v>
      </c>
      <c r="AD162" s="49">
        <f>IF(AD$4&gt;EOMONTH(CloseDate,'Rent Roll'!$O$20+'Rent Roll'!$S$20-1),1,0)</f>
        <v>0</v>
      </c>
      <c r="AE162" s="49">
        <f>IF(AE$4&gt;EOMONTH(CloseDate,'Rent Roll'!$O$20+'Rent Roll'!$S$20-1),1,0)</f>
        <v>0</v>
      </c>
      <c r="AF162" s="49">
        <f>IF(AF$4&gt;EOMONTH(CloseDate,'Rent Roll'!$O$20+'Rent Roll'!$S$20-1),1,0)</f>
        <v>0</v>
      </c>
      <c r="AG162" s="49">
        <f>IF(AG$4&gt;EOMONTH(CloseDate,'Rent Roll'!$O$20+'Rent Roll'!$S$20-1),1,0)</f>
        <v>0</v>
      </c>
      <c r="AH162" s="49">
        <f>IF(AH$4&gt;EOMONTH(CloseDate,'Rent Roll'!$O$20+'Rent Roll'!$S$20-1),1,0)</f>
        <v>0</v>
      </c>
      <c r="AI162" s="49">
        <f>IF(AI$4&gt;EOMONTH(CloseDate,'Rent Roll'!$O$20+'Rent Roll'!$S$20-1),1,0)</f>
        <v>0</v>
      </c>
      <c r="AJ162" s="49">
        <f>IF(AJ$4&gt;EOMONTH(CloseDate,'Rent Roll'!$O$20+'Rent Roll'!$S$20-1),1,0)</f>
        <v>0</v>
      </c>
      <c r="AK162" s="49">
        <f>IF(AK$4&gt;EOMONTH(CloseDate,'Rent Roll'!$O$20+'Rent Roll'!$S$20-1),1,0)</f>
        <v>0</v>
      </c>
      <c r="AL162" s="49">
        <f>IF(AL$4&gt;EOMONTH(CloseDate,'Rent Roll'!$O$20+'Rent Roll'!$S$20-1),1,0)</f>
        <v>0</v>
      </c>
      <c r="AM162" s="49">
        <f>IF(AM$4&gt;EOMONTH(CloseDate,'Rent Roll'!$O$20+'Rent Roll'!$S$20-1),1,0)</f>
        <v>0</v>
      </c>
      <c r="AN162" s="49">
        <f>IF(AN$4&gt;EOMONTH(CloseDate,'Rent Roll'!$O$20+'Rent Roll'!$S$20-1),1,0)</f>
        <v>0</v>
      </c>
      <c r="AO162" s="49">
        <f>IF(AO$4&gt;EOMONTH(CloseDate,'Rent Roll'!$O$20+'Rent Roll'!$S$20-1),1,0)</f>
        <v>0</v>
      </c>
      <c r="AP162" s="49">
        <f>IF(AP$4&gt;EOMONTH(CloseDate,'Rent Roll'!$O$20+'Rent Roll'!$S$20-1),1,0)</f>
        <v>0</v>
      </c>
      <c r="AQ162" s="49">
        <f>IF(AQ$4&gt;EOMONTH(CloseDate,'Rent Roll'!$O$20+'Rent Roll'!$S$20-1),1,0)</f>
        <v>0</v>
      </c>
      <c r="AR162" s="49">
        <f>IF(AR$4&gt;EOMONTH(CloseDate,'Rent Roll'!$O$20+'Rent Roll'!$S$20-1),1,0)</f>
        <v>0</v>
      </c>
      <c r="AS162" s="49">
        <f>IF(AS$4&gt;EOMONTH(CloseDate,'Rent Roll'!$O$20+'Rent Roll'!$S$20-1),1,0)</f>
        <v>0</v>
      </c>
      <c r="AT162" s="49">
        <f>IF(AT$4&gt;EOMONTH(CloseDate,'Rent Roll'!$O$20+'Rent Roll'!$S$20-1),1,0)</f>
        <v>0</v>
      </c>
      <c r="AU162" s="49">
        <f>IF(AU$4&gt;EOMONTH(CloseDate,'Rent Roll'!$O$20+'Rent Roll'!$S$20-1),1,0)</f>
        <v>0</v>
      </c>
      <c r="AV162" s="49">
        <f>IF(AV$4&gt;EOMONTH(CloseDate,'Rent Roll'!$O$20+'Rent Roll'!$S$20-1),1,0)</f>
        <v>0</v>
      </c>
      <c r="AW162" s="49">
        <f>IF(AW$4&gt;EOMONTH(CloseDate,'Rent Roll'!$O$20+'Rent Roll'!$S$20-1),1,0)</f>
        <v>0</v>
      </c>
      <c r="AX162" s="49">
        <f>IF(AX$4&gt;EOMONTH(CloseDate,'Rent Roll'!$O$20+'Rent Roll'!$S$20-1),1,0)</f>
        <v>0</v>
      </c>
      <c r="AY162" s="49">
        <f>IF(AY$4&gt;EOMONTH(CloseDate,'Rent Roll'!$O$20+'Rent Roll'!$S$20-1),1,0)</f>
        <v>0</v>
      </c>
      <c r="AZ162" s="49">
        <f>IF(AZ$4&gt;EOMONTH(CloseDate,'Rent Roll'!$O$20+'Rent Roll'!$S$20-1),1,0)</f>
        <v>0</v>
      </c>
      <c r="BA162" s="49">
        <f>IF(BA$4&gt;EOMONTH(CloseDate,'Rent Roll'!$O$20+'Rent Roll'!$S$20-1),1,0)</f>
        <v>0</v>
      </c>
      <c r="BB162" s="49">
        <f>IF(BB$4&gt;EOMONTH(CloseDate,'Rent Roll'!$O$20+'Rent Roll'!$S$20-1),1,0)</f>
        <v>0</v>
      </c>
      <c r="BC162" s="49">
        <f>IF(BC$4&gt;EOMONTH(CloseDate,'Rent Roll'!$O$20+'Rent Roll'!$S$20-1),1,0)</f>
        <v>0</v>
      </c>
      <c r="BD162" s="49">
        <f>IF(BD$4&gt;EOMONTH(CloseDate,'Rent Roll'!$O$20+'Rent Roll'!$S$20-1),1,0)</f>
        <v>0</v>
      </c>
      <c r="BE162" s="49">
        <f>IF(BE$4&gt;EOMONTH(CloseDate,'Rent Roll'!$O$20+'Rent Roll'!$S$20-1),1,0)</f>
        <v>0</v>
      </c>
      <c r="BF162" s="49">
        <f>IF(BF$4&gt;EOMONTH(CloseDate,'Rent Roll'!$O$20+'Rent Roll'!$S$20-1),1,0)</f>
        <v>0</v>
      </c>
      <c r="BG162" s="49">
        <f>IF(BG$4&gt;EOMONTH(CloseDate,'Rent Roll'!$O$20+'Rent Roll'!$S$20-1),1,0)</f>
        <v>0</v>
      </c>
      <c r="BH162" s="49">
        <f>IF(BH$4&gt;EOMONTH(CloseDate,'Rent Roll'!$O$20+'Rent Roll'!$S$20-1),1,0)</f>
        <v>0</v>
      </c>
      <c r="BI162" s="49">
        <f>IF(BI$4&gt;EOMONTH(CloseDate,'Rent Roll'!$O$20+'Rent Roll'!$S$20-1),1,0)</f>
        <v>0</v>
      </c>
      <c r="BJ162" s="49">
        <f>IF(BJ$4&gt;EOMONTH(CloseDate,'Rent Roll'!$O$20+'Rent Roll'!$S$20-1),1,0)</f>
        <v>0</v>
      </c>
      <c r="BK162" s="49">
        <f>IF(BK$4&gt;EOMONTH(CloseDate,'Rent Roll'!$O$20+'Rent Roll'!$S$20-1),1,0)</f>
        <v>0</v>
      </c>
      <c r="BL162" s="49">
        <f>IF(BL$4&gt;EOMONTH(CloseDate,'Rent Roll'!$O$20+'Rent Roll'!$S$20-1),1,0)</f>
        <v>0</v>
      </c>
      <c r="BM162" s="49">
        <f>IF(BM$4&gt;EOMONTH(CloseDate,'Rent Roll'!$O$20+'Rent Roll'!$S$20-1),1,0)</f>
        <v>0</v>
      </c>
      <c r="BN162" s="49">
        <f>IF(BN$4&gt;EOMONTH(CloseDate,'Rent Roll'!$O$20+'Rent Roll'!$S$20-1),1,0)</f>
        <v>1</v>
      </c>
      <c r="BO162" s="49">
        <f>IF(BO$4&gt;EOMONTH(CloseDate,'Rent Roll'!$O$20+'Rent Roll'!$S$20-1),1,0)</f>
        <v>1</v>
      </c>
      <c r="BP162" s="49">
        <f>IF(BP$4&gt;EOMONTH(CloseDate,'Rent Roll'!$O$20+'Rent Roll'!$S$20-1),1,0)</f>
        <v>1</v>
      </c>
      <c r="BQ162" s="49">
        <f>IF(BQ$4&gt;EOMONTH(CloseDate,'Rent Roll'!$O$20+'Rent Roll'!$S$20-1),1,0)</f>
        <v>1</v>
      </c>
      <c r="BR162" s="49">
        <f>IF(BR$4&gt;EOMONTH(CloseDate,'Rent Roll'!$O$20+'Rent Roll'!$S$20-1),1,0)</f>
        <v>1</v>
      </c>
      <c r="BS162" s="49">
        <f>IF(BS$4&gt;EOMONTH(CloseDate,'Rent Roll'!$O$20+'Rent Roll'!$S$20-1),1,0)</f>
        <v>1</v>
      </c>
      <c r="BT162" s="49">
        <f>IF(BT$4&gt;EOMONTH(CloseDate,'Rent Roll'!$O$20+'Rent Roll'!$S$20-1),1,0)</f>
        <v>1</v>
      </c>
      <c r="BU162" s="49">
        <f>IF(BU$4&gt;EOMONTH(CloseDate,'Rent Roll'!$O$20+'Rent Roll'!$S$20-1),1,0)</f>
        <v>1</v>
      </c>
      <c r="BV162" s="49">
        <f>IF(BV$4&gt;EOMONTH(CloseDate,'Rent Roll'!$O$20+'Rent Roll'!$S$20-1),1,0)</f>
        <v>1</v>
      </c>
      <c r="BW162" s="49">
        <f>IF(BW$4&gt;EOMONTH(CloseDate,'Rent Roll'!$O$20+'Rent Roll'!$S$20-1),1,0)</f>
        <v>1</v>
      </c>
      <c r="BX162" s="49">
        <f>IF(BX$4&gt;EOMONTH(CloseDate,'Rent Roll'!$O$20+'Rent Roll'!$S$20-1),1,0)</f>
        <v>1</v>
      </c>
    </row>
    <row r="163" spans="1:76" outlineLevel="1">
      <c r="B163" t="s">
        <v>162</v>
      </c>
      <c r="D163" s="49">
        <f>IF(D162=1,'Rent Roll'!$F$20*'Rent Roll'!$X$20/12*D$6,0)</f>
        <v>0</v>
      </c>
      <c r="E163" s="49">
        <f>IF(E162=1,'Rent Roll'!$F$20*'Rent Roll'!$X$20/12*E$6,0)</f>
        <v>0</v>
      </c>
      <c r="F163" s="49">
        <f>IF(F162=1,'Rent Roll'!$F$20*'Rent Roll'!$X$20/12*F$6,0)</f>
        <v>0</v>
      </c>
      <c r="G163" s="49">
        <f>IF(G162=1,'Rent Roll'!$F$20*'Rent Roll'!$X$20/12*G$6,0)</f>
        <v>0</v>
      </c>
      <c r="H163" s="49">
        <f>IF(H162=1,'Rent Roll'!$F$20*'Rent Roll'!$X$20/12*H$6,0)</f>
        <v>0</v>
      </c>
      <c r="I163" s="49">
        <f>IF(I162=1,'Rent Roll'!$F$20*'Rent Roll'!$X$20/12*I$6,0)</f>
        <v>0</v>
      </c>
      <c r="J163" s="49">
        <f>IF(J162=1,'Rent Roll'!$F$20*'Rent Roll'!$X$20/12*J$6,0)</f>
        <v>0</v>
      </c>
      <c r="K163" s="49">
        <f>IF(K162=1,'Rent Roll'!$F$20*'Rent Roll'!$X$20/12*K$6,0)</f>
        <v>0</v>
      </c>
      <c r="L163" s="49">
        <f>IF(L162=1,'Rent Roll'!$F$20*'Rent Roll'!$X$20/12*L$6,0)</f>
        <v>0</v>
      </c>
      <c r="M163" s="49">
        <f>IF(M162=1,'Rent Roll'!$F$20*'Rent Roll'!$X$20/12*M$6,0)</f>
        <v>0</v>
      </c>
      <c r="N163" s="49">
        <f>IF(N162=1,'Rent Roll'!$F$20*'Rent Roll'!$X$20/12*N$6,0)</f>
        <v>0</v>
      </c>
      <c r="O163" s="49">
        <f>IF(O162=1,'Rent Roll'!$F$20*'Rent Roll'!$X$20/12*O$6,0)</f>
        <v>0</v>
      </c>
      <c r="P163" s="49">
        <f>IF(P162=1,'Rent Roll'!$F$20*'Rent Roll'!$X$20/12*P$6,0)</f>
        <v>0</v>
      </c>
      <c r="Q163" s="49">
        <f>IF(Q162=1,'Rent Roll'!$F$20*'Rent Roll'!$X$20/12*Q$6,0)</f>
        <v>0</v>
      </c>
      <c r="R163" s="49">
        <f>IF(R162=1,'Rent Roll'!$F$20*'Rent Roll'!$X$20/12*R$6,0)</f>
        <v>0</v>
      </c>
      <c r="S163" s="49">
        <f>IF(S162=1,'Rent Roll'!$F$20*'Rent Roll'!$X$20/12*S$6,0)</f>
        <v>0</v>
      </c>
      <c r="T163" s="49">
        <f>IF(T162=1,'Rent Roll'!$F$20*'Rent Roll'!$X$20/12*T$6,0)</f>
        <v>0</v>
      </c>
      <c r="U163" s="49">
        <f>IF(U162=1,'Rent Roll'!$F$20*'Rent Roll'!$X$20/12*U$6,0)</f>
        <v>0</v>
      </c>
      <c r="V163" s="49">
        <f>IF(V162=1,'Rent Roll'!$F$20*'Rent Roll'!$X$20/12*V$6,0)</f>
        <v>0</v>
      </c>
      <c r="W163" s="49">
        <f>IF(W162=1,'Rent Roll'!$F$20*'Rent Roll'!$X$20/12*W$6,0)</f>
        <v>0</v>
      </c>
      <c r="X163" s="49">
        <f>IF(X162=1,'Rent Roll'!$F$20*'Rent Roll'!$X$20/12*X$6,0)</f>
        <v>0</v>
      </c>
      <c r="Y163" s="49">
        <f>IF(Y162=1,'Rent Roll'!$F$20*'Rent Roll'!$X$20/12*Y$6,0)</f>
        <v>0</v>
      </c>
      <c r="Z163" s="49">
        <f>IF(Z162=1,'Rent Roll'!$F$20*'Rent Roll'!$X$20/12*Z$6,0)</f>
        <v>0</v>
      </c>
      <c r="AA163" s="49">
        <f>IF(AA162=1,'Rent Roll'!$F$20*'Rent Roll'!$X$20/12*AA$6,0)</f>
        <v>0</v>
      </c>
      <c r="AB163" s="49">
        <f>IF(AB162=1,'Rent Roll'!$F$20*'Rent Roll'!$X$20/12*AB$6,0)</f>
        <v>0</v>
      </c>
      <c r="AC163" s="49">
        <f>IF(AC162=1,'Rent Roll'!$F$20*'Rent Roll'!$X$20/12*AC$6,0)</f>
        <v>0</v>
      </c>
      <c r="AD163" s="49">
        <f>IF(AD162=1,'Rent Roll'!$F$20*'Rent Roll'!$X$20/12*AD$6,0)</f>
        <v>0</v>
      </c>
      <c r="AE163" s="49">
        <f>IF(AE162=1,'Rent Roll'!$F$20*'Rent Roll'!$X$20/12*AE$6,0)</f>
        <v>0</v>
      </c>
      <c r="AF163" s="49">
        <f>IF(AF162=1,'Rent Roll'!$F$20*'Rent Roll'!$X$20/12*AF$6,0)</f>
        <v>0</v>
      </c>
      <c r="AG163" s="49">
        <f>IF(AG162=1,'Rent Roll'!$F$20*'Rent Roll'!$X$20/12*AG$6,0)</f>
        <v>0</v>
      </c>
      <c r="AH163" s="49">
        <f>IF(AH162=1,'Rent Roll'!$F$20*'Rent Roll'!$X$20/12*AH$6,0)</f>
        <v>0</v>
      </c>
      <c r="AI163" s="49">
        <f>IF(AI162=1,'Rent Roll'!$F$20*'Rent Roll'!$X$20/12*AI$6,0)</f>
        <v>0</v>
      </c>
      <c r="AJ163" s="49">
        <f>IF(AJ162=1,'Rent Roll'!$F$20*'Rent Roll'!$X$20/12*AJ$6,0)</f>
        <v>0</v>
      </c>
      <c r="AK163" s="49">
        <f>IF(AK162=1,'Rent Roll'!$F$20*'Rent Roll'!$X$20/12*AK$6,0)</f>
        <v>0</v>
      </c>
      <c r="AL163" s="49">
        <f>IF(AL162=1,'Rent Roll'!$F$20*'Rent Roll'!$X$20/12*AL$6,0)</f>
        <v>0</v>
      </c>
      <c r="AM163" s="49">
        <f>IF(AM162=1,'Rent Roll'!$F$20*'Rent Roll'!$X$20/12*AM$6,0)</f>
        <v>0</v>
      </c>
      <c r="AN163" s="49">
        <f>IF(AN162=1,'Rent Roll'!$F$20*'Rent Roll'!$X$20/12*AN$6,0)</f>
        <v>0</v>
      </c>
      <c r="AO163" s="49">
        <f>IF(AO162=1,'Rent Roll'!$F$20*'Rent Roll'!$X$20/12*AO$6,0)</f>
        <v>0</v>
      </c>
      <c r="AP163" s="49">
        <f>IF(AP162=1,'Rent Roll'!$F$20*'Rent Roll'!$X$20/12*AP$6,0)</f>
        <v>0</v>
      </c>
      <c r="AQ163" s="49">
        <f>IF(AQ162=1,'Rent Roll'!$F$20*'Rent Roll'!$X$20/12*AQ$6,0)</f>
        <v>0</v>
      </c>
      <c r="AR163" s="49">
        <f>IF(AR162=1,'Rent Roll'!$F$20*'Rent Roll'!$X$20/12*AR$6,0)</f>
        <v>0</v>
      </c>
      <c r="AS163" s="49">
        <f>IF(AS162=1,'Rent Roll'!$F$20*'Rent Roll'!$X$20/12*AS$6,0)</f>
        <v>0</v>
      </c>
      <c r="AT163" s="49">
        <f>IF(AT162=1,'Rent Roll'!$F$20*'Rent Roll'!$X$20/12*AT$6,0)</f>
        <v>0</v>
      </c>
      <c r="AU163" s="49">
        <f>IF(AU162=1,'Rent Roll'!$F$20*'Rent Roll'!$X$20/12*AU$6,0)</f>
        <v>0</v>
      </c>
      <c r="AV163" s="49">
        <f>IF(AV162=1,'Rent Roll'!$F$20*'Rent Roll'!$X$20/12*AV$6,0)</f>
        <v>0</v>
      </c>
      <c r="AW163" s="49">
        <f>IF(AW162=1,'Rent Roll'!$F$20*'Rent Roll'!$X$20/12*AW$6,0)</f>
        <v>0</v>
      </c>
      <c r="AX163" s="49">
        <f>IF(AX162=1,'Rent Roll'!$F$20*'Rent Roll'!$X$20/12*AX$6,0)</f>
        <v>0</v>
      </c>
      <c r="AY163" s="49">
        <f>IF(AY162=1,'Rent Roll'!$F$20*'Rent Roll'!$X$20/12*AY$6,0)</f>
        <v>0</v>
      </c>
      <c r="AZ163" s="49">
        <f>IF(AZ162=1,'Rent Roll'!$F$20*'Rent Roll'!$X$20/12*AZ$6,0)</f>
        <v>0</v>
      </c>
      <c r="BA163" s="49">
        <f>IF(BA162=1,'Rent Roll'!$F$20*'Rent Roll'!$X$20/12*BA$6,0)</f>
        <v>0</v>
      </c>
      <c r="BB163" s="49">
        <f>IF(BB162=1,'Rent Roll'!$F$20*'Rent Roll'!$X$20/12*BB$6,0)</f>
        <v>0</v>
      </c>
      <c r="BC163" s="49">
        <f>IF(BC162=1,'Rent Roll'!$F$20*'Rent Roll'!$X$20/12*BC$6,0)</f>
        <v>0</v>
      </c>
      <c r="BD163" s="49">
        <f>IF(BD162=1,'Rent Roll'!$F$20*'Rent Roll'!$X$20/12*BD$6,0)</f>
        <v>0</v>
      </c>
      <c r="BE163" s="49">
        <f>IF(BE162=1,'Rent Roll'!$F$20*'Rent Roll'!$X$20/12*BE$6,0)</f>
        <v>0</v>
      </c>
      <c r="BF163" s="49">
        <f>IF(BF162=1,'Rent Roll'!$F$20*'Rent Roll'!$X$20/12*BF$6,0)</f>
        <v>0</v>
      </c>
      <c r="BG163" s="49">
        <f>IF(BG162=1,'Rent Roll'!$F$20*'Rent Roll'!$X$20/12*BG$6,0)</f>
        <v>0</v>
      </c>
      <c r="BH163" s="49">
        <f>IF(BH162=1,'Rent Roll'!$F$20*'Rent Roll'!$X$20/12*BH$6,0)</f>
        <v>0</v>
      </c>
      <c r="BI163" s="49">
        <f>IF(BI162=1,'Rent Roll'!$F$20*'Rent Roll'!$X$20/12*BI$6,0)</f>
        <v>0</v>
      </c>
      <c r="BJ163" s="49">
        <f>IF(BJ162=1,'Rent Roll'!$F$20*'Rent Roll'!$X$20/12*BJ$6,0)</f>
        <v>0</v>
      </c>
      <c r="BK163" s="49">
        <f>IF(BK162=1,'Rent Roll'!$F$20*'Rent Roll'!$X$20/12*BK$6,0)</f>
        <v>0</v>
      </c>
      <c r="BL163" s="49">
        <f>IF(BL162=1,'Rent Roll'!$F$20*'Rent Roll'!$X$20/12*BL$6,0)</f>
        <v>0</v>
      </c>
      <c r="BM163" s="49">
        <f>IF(BM162=1,'Rent Roll'!$F$20*'Rent Roll'!$X$20/12*BM$6,0)</f>
        <v>0</v>
      </c>
      <c r="BN163" s="49">
        <f>IF(BN162=1,'Rent Roll'!$F$20*'Rent Roll'!$X$20/12*BN$6,0)</f>
        <v>9721.8716022852714</v>
      </c>
      <c r="BO163" s="49">
        <f>IF(BO162=1,'Rent Roll'!$F$20*'Rent Roll'!$X$20/12*BO$6,0)</f>
        <v>9721.8716022852714</v>
      </c>
      <c r="BP163" s="49">
        <f>IF(BP162=1,'Rent Roll'!$F$20*'Rent Roll'!$X$20/12*BP$6,0)</f>
        <v>9721.8716022852714</v>
      </c>
      <c r="BQ163" s="49">
        <f>IF(BQ162=1,'Rent Roll'!$F$20*'Rent Roll'!$X$20/12*BQ$6,0)</f>
        <v>9984.3621355469713</v>
      </c>
      <c r="BR163" s="49">
        <f>IF(BR162=1,'Rent Roll'!$F$20*'Rent Roll'!$X$20/12*BR$6,0)</f>
        <v>9984.3621355469713</v>
      </c>
      <c r="BS163" s="49">
        <f>IF(BS162=1,'Rent Roll'!$F$20*'Rent Roll'!$X$20/12*BS$6,0)</f>
        <v>9984.3621355469713</v>
      </c>
      <c r="BT163" s="49">
        <f>IF(BT162=1,'Rent Roll'!$F$20*'Rent Roll'!$X$20/12*BT$6,0)</f>
        <v>9984.3621355469713</v>
      </c>
      <c r="BU163" s="49">
        <f>IF(BU162=1,'Rent Roll'!$F$20*'Rent Roll'!$X$20/12*BU$6,0)</f>
        <v>9984.3621355469713</v>
      </c>
      <c r="BV163" s="49">
        <f>IF(BV162=1,'Rent Roll'!$F$20*'Rent Roll'!$X$20/12*BV$6,0)</f>
        <v>9984.3621355469713</v>
      </c>
      <c r="BW163" s="49">
        <f>IF(BW162=1,'Rent Roll'!$F$20*'Rent Roll'!$X$20/12*BW$6,0)</f>
        <v>9984.3621355469713</v>
      </c>
      <c r="BX163" s="49">
        <f>IF(BX162=1,'Rent Roll'!$F$20*'Rent Roll'!$X$20/12*BX$6,0)</f>
        <v>9984.3621355469713</v>
      </c>
    </row>
    <row r="164" spans="1:76" outlineLevel="1">
      <c r="B164" t="s">
        <v>163</v>
      </c>
      <c r="D164" s="49">
        <f>IF(AND(D$4&gt;EOMONTH(CloseDate,'Rent Roll'!$O$20+'Rent Roll'!$S$20-1),D$4&lt;=EOMONTH(CloseDate,'Rent Roll'!$O$20+'Rent Roll'!$S$20-1+'Rent Roll'!$V$20)),-D163,0)</f>
        <v>0</v>
      </c>
      <c r="E164" s="49">
        <f>IF(AND(E$4&gt;EOMONTH(CloseDate,'Rent Roll'!$O$20+'Rent Roll'!$S$20-1),E$4&lt;=EOMONTH(CloseDate,'Rent Roll'!$O$20+'Rent Roll'!$S$20-1+'Rent Roll'!$V$20)),-E163,0)</f>
        <v>0</v>
      </c>
      <c r="F164" s="49">
        <f>IF(AND(F$4&gt;EOMONTH(CloseDate,'Rent Roll'!$O$20+'Rent Roll'!$S$20-1),F$4&lt;=EOMONTH(CloseDate,'Rent Roll'!$O$20+'Rent Roll'!$S$20-1+'Rent Roll'!$V$20)),-F163,0)</f>
        <v>0</v>
      </c>
      <c r="G164" s="49">
        <f>IF(AND(G$4&gt;EOMONTH(CloseDate,'Rent Roll'!$O$20+'Rent Roll'!$S$20-1),G$4&lt;=EOMONTH(CloseDate,'Rent Roll'!$O$20+'Rent Roll'!$S$20-1+'Rent Roll'!$V$20)),-G163,0)</f>
        <v>0</v>
      </c>
      <c r="H164" s="49">
        <f>IF(AND(H$4&gt;EOMONTH(CloseDate,'Rent Roll'!$O$20+'Rent Roll'!$S$20-1),H$4&lt;=EOMONTH(CloseDate,'Rent Roll'!$O$20+'Rent Roll'!$S$20-1+'Rent Roll'!$V$20)),-H163,0)</f>
        <v>0</v>
      </c>
      <c r="I164" s="49">
        <f>IF(AND(I$4&gt;EOMONTH(CloseDate,'Rent Roll'!$O$20+'Rent Roll'!$S$20-1),I$4&lt;=EOMONTH(CloseDate,'Rent Roll'!$O$20+'Rent Roll'!$S$20-1+'Rent Roll'!$V$20)),-I163,0)</f>
        <v>0</v>
      </c>
      <c r="J164" s="49">
        <f>IF(AND(J$4&gt;EOMONTH(CloseDate,'Rent Roll'!$O$20+'Rent Roll'!$S$20-1),J$4&lt;=EOMONTH(CloseDate,'Rent Roll'!$O$20+'Rent Roll'!$S$20-1+'Rent Roll'!$V$20)),-J163,0)</f>
        <v>0</v>
      </c>
      <c r="K164" s="49">
        <f>IF(AND(K$4&gt;EOMONTH(CloseDate,'Rent Roll'!$O$20+'Rent Roll'!$S$20-1),K$4&lt;=EOMONTH(CloseDate,'Rent Roll'!$O$20+'Rent Roll'!$S$20-1+'Rent Roll'!$V$20)),-K163,0)</f>
        <v>0</v>
      </c>
      <c r="L164" s="49">
        <f>IF(AND(L$4&gt;EOMONTH(CloseDate,'Rent Roll'!$O$20+'Rent Roll'!$S$20-1),L$4&lt;=EOMONTH(CloseDate,'Rent Roll'!$O$20+'Rent Roll'!$S$20-1+'Rent Roll'!$V$20)),-L163,0)</f>
        <v>0</v>
      </c>
      <c r="M164" s="49">
        <f>IF(AND(M$4&gt;EOMONTH(CloseDate,'Rent Roll'!$O$20+'Rent Roll'!$S$20-1),M$4&lt;=EOMONTH(CloseDate,'Rent Roll'!$O$20+'Rent Roll'!$S$20-1+'Rent Roll'!$V$20)),-M163,0)</f>
        <v>0</v>
      </c>
      <c r="N164" s="49">
        <f>IF(AND(N$4&gt;EOMONTH(CloseDate,'Rent Roll'!$O$20+'Rent Roll'!$S$20-1),N$4&lt;=EOMONTH(CloseDate,'Rent Roll'!$O$20+'Rent Roll'!$S$20-1+'Rent Roll'!$V$20)),-N163,0)</f>
        <v>0</v>
      </c>
      <c r="O164" s="49">
        <f>IF(AND(O$4&gt;EOMONTH(CloseDate,'Rent Roll'!$O$20+'Rent Roll'!$S$20-1),O$4&lt;=EOMONTH(CloseDate,'Rent Roll'!$O$20+'Rent Roll'!$S$20-1+'Rent Roll'!$V$20)),-O163,0)</f>
        <v>0</v>
      </c>
      <c r="P164" s="49">
        <f>IF(AND(P$4&gt;EOMONTH(CloseDate,'Rent Roll'!$O$20+'Rent Roll'!$S$20-1),P$4&lt;=EOMONTH(CloseDate,'Rent Roll'!$O$20+'Rent Roll'!$S$20-1+'Rent Roll'!$V$20)),-P163,0)</f>
        <v>0</v>
      </c>
      <c r="Q164" s="49">
        <f>IF(AND(Q$4&gt;EOMONTH(CloseDate,'Rent Roll'!$O$20+'Rent Roll'!$S$20-1),Q$4&lt;=EOMONTH(CloseDate,'Rent Roll'!$O$20+'Rent Roll'!$S$20-1+'Rent Roll'!$V$20)),-Q163,0)</f>
        <v>0</v>
      </c>
      <c r="R164" s="49">
        <f>IF(AND(R$4&gt;EOMONTH(CloseDate,'Rent Roll'!$O$20+'Rent Roll'!$S$20-1),R$4&lt;=EOMONTH(CloseDate,'Rent Roll'!$O$20+'Rent Roll'!$S$20-1+'Rent Roll'!$V$20)),-R163,0)</f>
        <v>0</v>
      </c>
      <c r="S164" s="49">
        <f>IF(AND(S$4&gt;EOMONTH(CloseDate,'Rent Roll'!$O$20+'Rent Roll'!$S$20-1),S$4&lt;=EOMONTH(CloseDate,'Rent Roll'!$O$20+'Rent Roll'!$S$20-1+'Rent Roll'!$V$20)),-S163,0)</f>
        <v>0</v>
      </c>
      <c r="T164" s="49">
        <f>IF(AND(T$4&gt;EOMONTH(CloseDate,'Rent Roll'!$O$20+'Rent Roll'!$S$20-1),T$4&lt;=EOMONTH(CloseDate,'Rent Roll'!$O$20+'Rent Roll'!$S$20-1+'Rent Roll'!$V$20)),-T163,0)</f>
        <v>0</v>
      </c>
      <c r="U164" s="49">
        <f>IF(AND(U$4&gt;EOMONTH(CloseDate,'Rent Roll'!$O$20+'Rent Roll'!$S$20-1),U$4&lt;=EOMONTH(CloseDate,'Rent Roll'!$O$20+'Rent Roll'!$S$20-1+'Rent Roll'!$V$20)),-U163,0)</f>
        <v>0</v>
      </c>
      <c r="V164" s="49">
        <f>IF(AND(V$4&gt;EOMONTH(CloseDate,'Rent Roll'!$O$20+'Rent Roll'!$S$20-1),V$4&lt;=EOMONTH(CloseDate,'Rent Roll'!$O$20+'Rent Roll'!$S$20-1+'Rent Roll'!$V$20)),-V163,0)</f>
        <v>0</v>
      </c>
      <c r="W164" s="49">
        <f>IF(AND(W$4&gt;EOMONTH(CloseDate,'Rent Roll'!$O$20+'Rent Roll'!$S$20-1),W$4&lt;=EOMONTH(CloseDate,'Rent Roll'!$O$20+'Rent Roll'!$S$20-1+'Rent Roll'!$V$20)),-W163,0)</f>
        <v>0</v>
      </c>
      <c r="X164" s="49">
        <f>IF(AND(X$4&gt;EOMONTH(CloseDate,'Rent Roll'!$O$20+'Rent Roll'!$S$20-1),X$4&lt;=EOMONTH(CloseDate,'Rent Roll'!$O$20+'Rent Roll'!$S$20-1+'Rent Roll'!$V$20)),-X163,0)</f>
        <v>0</v>
      </c>
      <c r="Y164" s="49">
        <f>IF(AND(Y$4&gt;EOMONTH(CloseDate,'Rent Roll'!$O$20+'Rent Roll'!$S$20-1),Y$4&lt;=EOMONTH(CloseDate,'Rent Roll'!$O$20+'Rent Roll'!$S$20-1+'Rent Roll'!$V$20)),-Y163,0)</f>
        <v>0</v>
      </c>
      <c r="Z164" s="49">
        <f>IF(AND(Z$4&gt;EOMONTH(CloseDate,'Rent Roll'!$O$20+'Rent Roll'!$S$20-1),Z$4&lt;=EOMONTH(CloseDate,'Rent Roll'!$O$20+'Rent Roll'!$S$20-1+'Rent Roll'!$V$20)),-Z163,0)</f>
        <v>0</v>
      </c>
      <c r="AA164" s="49">
        <f>IF(AND(AA$4&gt;EOMONTH(CloseDate,'Rent Roll'!$O$20+'Rent Roll'!$S$20-1),AA$4&lt;=EOMONTH(CloseDate,'Rent Roll'!$O$20+'Rent Roll'!$S$20-1+'Rent Roll'!$V$20)),-AA163,0)</f>
        <v>0</v>
      </c>
      <c r="AB164" s="49">
        <f>IF(AND(AB$4&gt;EOMONTH(CloseDate,'Rent Roll'!$O$20+'Rent Roll'!$S$20-1),AB$4&lt;=EOMONTH(CloseDate,'Rent Roll'!$O$20+'Rent Roll'!$S$20-1+'Rent Roll'!$V$20)),-AB163,0)</f>
        <v>0</v>
      </c>
      <c r="AC164" s="49">
        <f>IF(AND(AC$4&gt;EOMONTH(CloseDate,'Rent Roll'!$O$20+'Rent Roll'!$S$20-1),AC$4&lt;=EOMONTH(CloseDate,'Rent Roll'!$O$20+'Rent Roll'!$S$20-1+'Rent Roll'!$V$20)),-AC163,0)</f>
        <v>0</v>
      </c>
      <c r="AD164" s="49">
        <f>IF(AND(AD$4&gt;EOMONTH(CloseDate,'Rent Roll'!$O$20+'Rent Roll'!$S$20-1),AD$4&lt;=EOMONTH(CloseDate,'Rent Roll'!$O$20+'Rent Roll'!$S$20-1+'Rent Roll'!$V$20)),-AD163,0)</f>
        <v>0</v>
      </c>
      <c r="AE164" s="49">
        <f>IF(AND(AE$4&gt;EOMONTH(CloseDate,'Rent Roll'!$O$20+'Rent Roll'!$S$20-1),AE$4&lt;=EOMONTH(CloseDate,'Rent Roll'!$O$20+'Rent Roll'!$S$20-1+'Rent Roll'!$V$20)),-AE163,0)</f>
        <v>0</v>
      </c>
      <c r="AF164" s="49">
        <f>IF(AND(AF$4&gt;EOMONTH(CloseDate,'Rent Roll'!$O$20+'Rent Roll'!$S$20-1),AF$4&lt;=EOMONTH(CloseDate,'Rent Roll'!$O$20+'Rent Roll'!$S$20-1+'Rent Roll'!$V$20)),-AF163,0)</f>
        <v>0</v>
      </c>
      <c r="AG164" s="49">
        <f>IF(AND(AG$4&gt;EOMONTH(CloseDate,'Rent Roll'!$O$20+'Rent Roll'!$S$20-1),AG$4&lt;=EOMONTH(CloseDate,'Rent Roll'!$O$20+'Rent Roll'!$S$20-1+'Rent Roll'!$V$20)),-AG163,0)</f>
        <v>0</v>
      </c>
      <c r="AH164" s="49">
        <f>IF(AND(AH$4&gt;EOMONTH(CloseDate,'Rent Roll'!$O$20+'Rent Roll'!$S$20-1),AH$4&lt;=EOMONTH(CloseDate,'Rent Roll'!$O$20+'Rent Roll'!$S$20-1+'Rent Roll'!$V$20)),-AH163,0)</f>
        <v>0</v>
      </c>
      <c r="AI164" s="49">
        <f>IF(AND(AI$4&gt;EOMONTH(CloseDate,'Rent Roll'!$O$20+'Rent Roll'!$S$20-1),AI$4&lt;=EOMONTH(CloseDate,'Rent Roll'!$O$20+'Rent Roll'!$S$20-1+'Rent Roll'!$V$20)),-AI163,0)</f>
        <v>0</v>
      </c>
      <c r="AJ164" s="49">
        <f>IF(AND(AJ$4&gt;EOMONTH(CloseDate,'Rent Roll'!$O$20+'Rent Roll'!$S$20-1),AJ$4&lt;=EOMONTH(CloseDate,'Rent Roll'!$O$20+'Rent Roll'!$S$20-1+'Rent Roll'!$V$20)),-AJ163,0)</f>
        <v>0</v>
      </c>
      <c r="AK164" s="49">
        <f>IF(AND(AK$4&gt;EOMONTH(CloseDate,'Rent Roll'!$O$20+'Rent Roll'!$S$20-1),AK$4&lt;=EOMONTH(CloseDate,'Rent Roll'!$O$20+'Rent Roll'!$S$20-1+'Rent Roll'!$V$20)),-AK163,0)</f>
        <v>0</v>
      </c>
      <c r="AL164" s="49">
        <f>IF(AND(AL$4&gt;EOMONTH(CloseDate,'Rent Roll'!$O$20+'Rent Roll'!$S$20-1),AL$4&lt;=EOMONTH(CloseDate,'Rent Roll'!$O$20+'Rent Roll'!$S$20-1+'Rent Roll'!$V$20)),-AL163,0)</f>
        <v>0</v>
      </c>
      <c r="AM164" s="49">
        <f>IF(AND(AM$4&gt;EOMONTH(CloseDate,'Rent Roll'!$O$20+'Rent Roll'!$S$20-1),AM$4&lt;=EOMONTH(CloseDate,'Rent Roll'!$O$20+'Rent Roll'!$S$20-1+'Rent Roll'!$V$20)),-AM163,0)</f>
        <v>0</v>
      </c>
      <c r="AN164" s="49">
        <f>IF(AND(AN$4&gt;EOMONTH(CloseDate,'Rent Roll'!$O$20+'Rent Roll'!$S$20-1),AN$4&lt;=EOMONTH(CloseDate,'Rent Roll'!$O$20+'Rent Roll'!$S$20-1+'Rent Roll'!$V$20)),-AN163,0)</f>
        <v>0</v>
      </c>
      <c r="AO164" s="49">
        <f>IF(AND(AO$4&gt;EOMONTH(CloseDate,'Rent Roll'!$O$20+'Rent Roll'!$S$20-1),AO$4&lt;=EOMONTH(CloseDate,'Rent Roll'!$O$20+'Rent Roll'!$S$20-1+'Rent Roll'!$V$20)),-AO163,0)</f>
        <v>0</v>
      </c>
      <c r="AP164" s="49">
        <f>IF(AND(AP$4&gt;EOMONTH(CloseDate,'Rent Roll'!$O$20+'Rent Roll'!$S$20-1),AP$4&lt;=EOMONTH(CloseDate,'Rent Roll'!$O$20+'Rent Roll'!$S$20-1+'Rent Roll'!$V$20)),-AP163,0)</f>
        <v>0</v>
      </c>
      <c r="AQ164" s="49">
        <f>IF(AND(AQ$4&gt;EOMONTH(CloseDate,'Rent Roll'!$O$20+'Rent Roll'!$S$20-1),AQ$4&lt;=EOMONTH(CloseDate,'Rent Roll'!$O$20+'Rent Roll'!$S$20-1+'Rent Roll'!$V$20)),-AQ163,0)</f>
        <v>0</v>
      </c>
      <c r="AR164" s="49">
        <f>IF(AND(AR$4&gt;EOMONTH(CloseDate,'Rent Roll'!$O$20+'Rent Roll'!$S$20-1),AR$4&lt;=EOMONTH(CloseDate,'Rent Roll'!$O$20+'Rent Roll'!$S$20-1+'Rent Roll'!$V$20)),-AR163,0)</f>
        <v>0</v>
      </c>
      <c r="AS164" s="49">
        <f>IF(AND(AS$4&gt;EOMONTH(CloseDate,'Rent Roll'!$O$20+'Rent Roll'!$S$20-1),AS$4&lt;=EOMONTH(CloseDate,'Rent Roll'!$O$20+'Rent Roll'!$S$20-1+'Rent Roll'!$V$20)),-AS163,0)</f>
        <v>0</v>
      </c>
      <c r="AT164" s="49">
        <f>IF(AND(AT$4&gt;EOMONTH(CloseDate,'Rent Roll'!$O$20+'Rent Roll'!$S$20-1),AT$4&lt;=EOMONTH(CloseDate,'Rent Roll'!$O$20+'Rent Roll'!$S$20-1+'Rent Roll'!$V$20)),-AT163,0)</f>
        <v>0</v>
      </c>
      <c r="AU164" s="49">
        <f>IF(AND(AU$4&gt;EOMONTH(CloseDate,'Rent Roll'!$O$20+'Rent Roll'!$S$20-1),AU$4&lt;=EOMONTH(CloseDate,'Rent Roll'!$O$20+'Rent Roll'!$S$20-1+'Rent Roll'!$V$20)),-AU163,0)</f>
        <v>0</v>
      </c>
      <c r="AV164" s="49">
        <f>IF(AND(AV$4&gt;EOMONTH(CloseDate,'Rent Roll'!$O$20+'Rent Roll'!$S$20-1),AV$4&lt;=EOMONTH(CloseDate,'Rent Roll'!$O$20+'Rent Roll'!$S$20-1+'Rent Roll'!$V$20)),-AV163,0)</f>
        <v>0</v>
      </c>
      <c r="AW164" s="49">
        <f>IF(AND(AW$4&gt;EOMONTH(CloseDate,'Rent Roll'!$O$20+'Rent Roll'!$S$20-1),AW$4&lt;=EOMONTH(CloseDate,'Rent Roll'!$O$20+'Rent Roll'!$S$20-1+'Rent Roll'!$V$20)),-AW163,0)</f>
        <v>0</v>
      </c>
      <c r="AX164" s="49">
        <f>IF(AND(AX$4&gt;EOMONTH(CloseDate,'Rent Roll'!$O$20+'Rent Roll'!$S$20-1),AX$4&lt;=EOMONTH(CloseDate,'Rent Roll'!$O$20+'Rent Roll'!$S$20-1+'Rent Roll'!$V$20)),-AX163,0)</f>
        <v>0</v>
      </c>
      <c r="AY164" s="49">
        <f>IF(AND(AY$4&gt;EOMONTH(CloseDate,'Rent Roll'!$O$20+'Rent Roll'!$S$20-1),AY$4&lt;=EOMONTH(CloseDate,'Rent Roll'!$O$20+'Rent Roll'!$S$20-1+'Rent Roll'!$V$20)),-AY163,0)</f>
        <v>0</v>
      </c>
      <c r="AZ164" s="49">
        <f>IF(AND(AZ$4&gt;EOMONTH(CloseDate,'Rent Roll'!$O$20+'Rent Roll'!$S$20-1),AZ$4&lt;=EOMONTH(CloseDate,'Rent Roll'!$O$20+'Rent Roll'!$S$20-1+'Rent Roll'!$V$20)),-AZ163,0)</f>
        <v>0</v>
      </c>
      <c r="BA164" s="49">
        <f>IF(AND(BA$4&gt;EOMONTH(CloseDate,'Rent Roll'!$O$20+'Rent Roll'!$S$20-1),BA$4&lt;=EOMONTH(CloseDate,'Rent Roll'!$O$20+'Rent Roll'!$S$20-1+'Rent Roll'!$V$20)),-BA163,0)</f>
        <v>0</v>
      </c>
      <c r="BB164" s="49">
        <f>IF(AND(BB$4&gt;EOMONTH(CloseDate,'Rent Roll'!$O$20+'Rent Roll'!$S$20-1),BB$4&lt;=EOMONTH(CloseDate,'Rent Roll'!$O$20+'Rent Roll'!$S$20-1+'Rent Roll'!$V$20)),-BB163,0)</f>
        <v>0</v>
      </c>
      <c r="BC164" s="49">
        <f>IF(AND(BC$4&gt;EOMONTH(CloseDate,'Rent Roll'!$O$20+'Rent Roll'!$S$20-1),BC$4&lt;=EOMONTH(CloseDate,'Rent Roll'!$O$20+'Rent Roll'!$S$20-1+'Rent Roll'!$V$20)),-BC163,0)</f>
        <v>0</v>
      </c>
      <c r="BD164" s="49">
        <f>IF(AND(BD$4&gt;EOMONTH(CloseDate,'Rent Roll'!$O$20+'Rent Roll'!$S$20-1),BD$4&lt;=EOMONTH(CloseDate,'Rent Roll'!$O$20+'Rent Roll'!$S$20-1+'Rent Roll'!$V$20)),-BD163,0)</f>
        <v>0</v>
      </c>
      <c r="BE164" s="49">
        <f>IF(AND(BE$4&gt;EOMONTH(CloseDate,'Rent Roll'!$O$20+'Rent Roll'!$S$20-1),BE$4&lt;=EOMONTH(CloseDate,'Rent Roll'!$O$20+'Rent Roll'!$S$20-1+'Rent Roll'!$V$20)),-BE163,0)</f>
        <v>0</v>
      </c>
      <c r="BF164" s="49">
        <f>IF(AND(BF$4&gt;EOMONTH(CloseDate,'Rent Roll'!$O$20+'Rent Roll'!$S$20-1),BF$4&lt;=EOMONTH(CloseDate,'Rent Roll'!$O$20+'Rent Roll'!$S$20-1+'Rent Roll'!$V$20)),-BF163,0)</f>
        <v>0</v>
      </c>
      <c r="BG164" s="49">
        <f>IF(AND(BG$4&gt;EOMONTH(CloseDate,'Rent Roll'!$O$20+'Rent Roll'!$S$20-1),BG$4&lt;=EOMONTH(CloseDate,'Rent Roll'!$O$20+'Rent Roll'!$S$20-1+'Rent Roll'!$V$20)),-BG163,0)</f>
        <v>0</v>
      </c>
      <c r="BH164" s="49">
        <f>IF(AND(BH$4&gt;EOMONTH(CloseDate,'Rent Roll'!$O$20+'Rent Roll'!$S$20-1),BH$4&lt;=EOMONTH(CloseDate,'Rent Roll'!$O$20+'Rent Roll'!$S$20-1+'Rent Roll'!$V$20)),-BH163,0)</f>
        <v>0</v>
      </c>
      <c r="BI164" s="49">
        <f>IF(AND(BI$4&gt;EOMONTH(CloseDate,'Rent Roll'!$O$20+'Rent Roll'!$S$20-1),BI$4&lt;=EOMONTH(CloseDate,'Rent Roll'!$O$20+'Rent Roll'!$S$20-1+'Rent Roll'!$V$20)),-BI163,0)</f>
        <v>0</v>
      </c>
      <c r="BJ164" s="49">
        <f>IF(AND(BJ$4&gt;EOMONTH(CloseDate,'Rent Roll'!$O$20+'Rent Roll'!$S$20-1),BJ$4&lt;=EOMONTH(CloseDate,'Rent Roll'!$O$20+'Rent Roll'!$S$20-1+'Rent Roll'!$V$20)),-BJ163,0)</f>
        <v>0</v>
      </c>
      <c r="BK164" s="49">
        <f>IF(AND(BK$4&gt;EOMONTH(CloseDate,'Rent Roll'!$O$20+'Rent Roll'!$S$20-1),BK$4&lt;=EOMONTH(CloseDate,'Rent Roll'!$O$20+'Rent Roll'!$S$20-1+'Rent Roll'!$V$20)),-BK163,0)</f>
        <v>0</v>
      </c>
      <c r="BL164" s="49">
        <f>IF(AND(BL$4&gt;EOMONTH(CloseDate,'Rent Roll'!$O$20+'Rent Roll'!$S$20-1),BL$4&lt;=EOMONTH(CloseDate,'Rent Roll'!$O$20+'Rent Roll'!$S$20-1+'Rent Roll'!$V$20)),-BL163,0)</f>
        <v>0</v>
      </c>
      <c r="BM164" s="49">
        <f>IF(AND(BM$4&gt;EOMONTH(CloseDate,'Rent Roll'!$O$20+'Rent Roll'!$S$20-1),BM$4&lt;=EOMONTH(CloseDate,'Rent Roll'!$O$20+'Rent Roll'!$S$20-1+'Rent Roll'!$V$20)),-BM163,0)</f>
        <v>0</v>
      </c>
      <c r="BN164" s="49">
        <f>IF(AND(BN$4&gt;EOMONTH(CloseDate,'Rent Roll'!$O$20+'Rent Roll'!$S$20-1),BN$4&lt;=EOMONTH(CloseDate,'Rent Roll'!$O$20+'Rent Roll'!$S$20-1+'Rent Roll'!$V$20)),-BN163,0)</f>
        <v>-9721.8716022852714</v>
      </c>
      <c r="BO164" s="49">
        <f>IF(AND(BO$4&gt;EOMONTH(CloseDate,'Rent Roll'!$O$20+'Rent Roll'!$S$20-1),BO$4&lt;=EOMONTH(CloseDate,'Rent Roll'!$O$20+'Rent Roll'!$S$20-1+'Rent Roll'!$V$20)),-BO163,0)</f>
        <v>-9721.8716022852714</v>
      </c>
      <c r="BP164" s="49">
        <f>IF(AND(BP$4&gt;EOMONTH(CloseDate,'Rent Roll'!$O$20+'Rent Roll'!$S$20-1),BP$4&lt;=EOMONTH(CloseDate,'Rent Roll'!$O$20+'Rent Roll'!$S$20-1+'Rent Roll'!$V$20)),-BP163,0)</f>
        <v>0</v>
      </c>
      <c r="BQ164" s="49">
        <f>IF(AND(BQ$4&gt;EOMONTH(CloseDate,'Rent Roll'!$O$20+'Rent Roll'!$S$20-1),BQ$4&lt;=EOMONTH(CloseDate,'Rent Roll'!$O$20+'Rent Roll'!$S$20-1+'Rent Roll'!$V$20)),-BQ163,0)</f>
        <v>0</v>
      </c>
      <c r="BR164" s="49">
        <f>IF(AND(BR$4&gt;EOMONTH(CloseDate,'Rent Roll'!$O$20+'Rent Roll'!$S$20-1),BR$4&lt;=EOMONTH(CloseDate,'Rent Roll'!$O$20+'Rent Roll'!$S$20-1+'Rent Roll'!$V$20)),-BR163,0)</f>
        <v>0</v>
      </c>
      <c r="BS164" s="49">
        <f>IF(AND(BS$4&gt;EOMONTH(CloseDate,'Rent Roll'!$O$20+'Rent Roll'!$S$20-1),BS$4&lt;=EOMONTH(CloseDate,'Rent Roll'!$O$20+'Rent Roll'!$S$20-1+'Rent Roll'!$V$20)),-BS163,0)</f>
        <v>0</v>
      </c>
      <c r="BT164" s="49">
        <f>IF(AND(BT$4&gt;EOMONTH(CloseDate,'Rent Roll'!$O$20+'Rent Roll'!$S$20-1),BT$4&lt;=EOMONTH(CloseDate,'Rent Roll'!$O$20+'Rent Roll'!$S$20-1+'Rent Roll'!$V$20)),-BT163,0)</f>
        <v>0</v>
      </c>
      <c r="BU164" s="49">
        <f>IF(AND(BU$4&gt;EOMONTH(CloseDate,'Rent Roll'!$O$20+'Rent Roll'!$S$20-1),BU$4&lt;=EOMONTH(CloseDate,'Rent Roll'!$O$20+'Rent Roll'!$S$20-1+'Rent Roll'!$V$20)),-BU163,0)</f>
        <v>0</v>
      </c>
      <c r="BV164" s="49">
        <f>IF(AND(BV$4&gt;EOMONTH(CloseDate,'Rent Roll'!$O$20+'Rent Roll'!$S$20-1),BV$4&lt;=EOMONTH(CloseDate,'Rent Roll'!$O$20+'Rent Roll'!$S$20-1+'Rent Roll'!$V$20)),-BV163,0)</f>
        <v>0</v>
      </c>
      <c r="BW164" s="49">
        <f>IF(AND(BW$4&gt;EOMONTH(CloseDate,'Rent Roll'!$O$20+'Rent Roll'!$S$20-1),BW$4&lt;=EOMONTH(CloseDate,'Rent Roll'!$O$20+'Rent Roll'!$S$20-1+'Rent Roll'!$V$20)),-BW163,0)</f>
        <v>0</v>
      </c>
      <c r="BX164" s="49">
        <f>IF(AND(BX$4&gt;EOMONTH(CloseDate,'Rent Roll'!$O$20+'Rent Roll'!$S$20-1),BX$4&lt;=EOMONTH(CloseDate,'Rent Roll'!$O$20+'Rent Roll'!$S$20-1+'Rent Roll'!$V$20)),-BX163,0)</f>
        <v>0</v>
      </c>
    </row>
    <row r="165" spans="1:76" outlineLevel="1">
      <c r="B165" t="s">
        <v>84</v>
      </c>
      <c r="D165" s="49">
        <f>D161+D163+D164</f>
        <v>7350</v>
      </c>
      <c r="E165" s="49">
        <f t="shared" ref="E165:BJ165" si="59">E161+E163+E164</f>
        <v>7350</v>
      </c>
      <c r="F165" s="49">
        <f t="shared" si="59"/>
        <v>7350</v>
      </c>
      <c r="G165" s="49">
        <f t="shared" si="59"/>
        <v>7350</v>
      </c>
      <c r="H165" s="49">
        <f t="shared" si="59"/>
        <v>7350</v>
      </c>
      <c r="I165" s="49">
        <f t="shared" si="59"/>
        <v>7350</v>
      </c>
      <c r="J165" s="49">
        <f t="shared" si="59"/>
        <v>7350</v>
      </c>
      <c r="K165" s="49">
        <f t="shared" si="59"/>
        <v>7350</v>
      </c>
      <c r="L165" s="49">
        <f t="shared" si="59"/>
        <v>7497</v>
      </c>
      <c r="M165" s="49">
        <f t="shared" si="59"/>
        <v>7497</v>
      </c>
      <c r="N165" s="49">
        <f t="shared" si="59"/>
        <v>7497</v>
      </c>
      <c r="O165" s="49">
        <f t="shared" si="59"/>
        <v>7497</v>
      </c>
      <c r="P165" s="49">
        <f t="shared" si="59"/>
        <v>7497</v>
      </c>
      <c r="Q165" s="49">
        <f t="shared" si="59"/>
        <v>7497</v>
      </c>
      <c r="R165" s="49">
        <f t="shared" si="59"/>
        <v>7497</v>
      </c>
      <c r="S165" s="49">
        <f t="shared" si="59"/>
        <v>7497</v>
      </c>
      <c r="T165" s="49">
        <f t="shared" si="59"/>
        <v>7497</v>
      </c>
      <c r="U165" s="49">
        <f t="shared" si="59"/>
        <v>7646.94</v>
      </c>
      <c r="V165" s="49">
        <f t="shared" si="59"/>
        <v>7646.94</v>
      </c>
      <c r="W165" s="49">
        <f t="shared" si="59"/>
        <v>7646.94</v>
      </c>
      <c r="X165" s="49">
        <f t="shared" si="59"/>
        <v>7646.94</v>
      </c>
      <c r="Y165" s="49">
        <f t="shared" si="59"/>
        <v>7646.94</v>
      </c>
      <c r="Z165" s="49">
        <f t="shared" si="59"/>
        <v>7646.94</v>
      </c>
      <c r="AA165" s="49">
        <f t="shared" si="59"/>
        <v>7646.94</v>
      </c>
      <c r="AB165" s="49">
        <f t="shared" si="59"/>
        <v>7646.94</v>
      </c>
      <c r="AC165" s="49">
        <f t="shared" si="59"/>
        <v>7646.94</v>
      </c>
      <c r="AD165" s="49">
        <f t="shared" si="59"/>
        <v>7646.94</v>
      </c>
      <c r="AE165" s="49">
        <f t="shared" si="59"/>
        <v>7646.94</v>
      </c>
      <c r="AF165" s="49">
        <f t="shared" si="59"/>
        <v>7646.94</v>
      </c>
      <c r="AG165" s="49">
        <f t="shared" si="59"/>
        <v>7799.8787999999995</v>
      </c>
      <c r="AH165" s="49">
        <f t="shared" si="59"/>
        <v>7799.8787999999995</v>
      </c>
      <c r="AI165" s="49">
        <f t="shared" si="59"/>
        <v>7799.8787999999995</v>
      </c>
      <c r="AJ165" s="49">
        <f t="shared" si="59"/>
        <v>7799.8787999999995</v>
      </c>
      <c r="AK165" s="49">
        <f t="shared" si="59"/>
        <v>7799.8787999999995</v>
      </c>
      <c r="AL165" s="49">
        <f t="shared" si="59"/>
        <v>7799.8787999999995</v>
      </c>
      <c r="AM165" s="49">
        <f t="shared" si="59"/>
        <v>7799.8787999999995</v>
      </c>
      <c r="AN165" s="49">
        <f t="shared" si="59"/>
        <v>7799.8787999999995</v>
      </c>
      <c r="AO165" s="49">
        <f t="shared" si="59"/>
        <v>7799.8787999999995</v>
      </c>
      <c r="AP165" s="49">
        <f t="shared" si="59"/>
        <v>7799.8787999999995</v>
      </c>
      <c r="AQ165" s="49">
        <f t="shared" si="59"/>
        <v>7799.8787999999995</v>
      </c>
      <c r="AR165" s="49">
        <f t="shared" si="59"/>
        <v>7799.8787999999995</v>
      </c>
      <c r="AS165" s="49">
        <f t="shared" si="59"/>
        <v>7955.8763760000002</v>
      </c>
      <c r="AT165" s="49">
        <f t="shared" si="59"/>
        <v>7955.8763760000002</v>
      </c>
      <c r="AU165" s="49">
        <f t="shared" si="59"/>
        <v>7955.8763760000002</v>
      </c>
      <c r="AV165" s="49">
        <f t="shared" si="59"/>
        <v>7955.8763760000002</v>
      </c>
      <c r="AW165" s="49">
        <f t="shared" si="59"/>
        <v>7955.8763760000002</v>
      </c>
      <c r="AX165" s="49">
        <f t="shared" si="59"/>
        <v>7955.8763760000002</v>
      </c>
      <c r="AY165" s="49">
        <f t="shared" si="59"/>
        <v>7955.8763760000002</v>
      </c>
      <c r="AZ165" s="49">
        <f t="shared" si="59"/>
        <v>7955.8763760000002</v>
      </c>
      <c r="BA165" s="49">
        <f t="shared" si="59"/>
        <v>7955.8763760000002</v>
      </c>
      <c r="BB165" s="49">
        <f t="shared" si="59"/>
        <v>7955.8763760000002</v>
      </c>
      <c r="BC165" s="49">
        <f t="shared" si="59"/>
        <v>7955.8763760000002</v>
      </c>
      <c r="BD165" s="49">
        <f t="shared" si="59"/>
        <v>7955.8763760000002</v>
      </c>
      <c r="BE165" s="49">
        <f t="shared" si="59"/>
        <v>8114.9939035200005</v>
      </c>
      <c r="BF165" s="49">
        <f t="shared" si="59"/>
        <v>8114.9939035200005</v>
      </c>
      <c r="BG165" s="49">
        <f t="shared" si="59"/>
        <v>8114.9939035200005</v>
      </c>
      <c r="BH165" s="49">
        <f t="shared" si="59"/>
        <v>0</v>
      </c>
      <c r="BI165" s="49">
        <f t="shared" si="59"/>
        <v>0</v>
      </c>
      <c r="BJ165" s="49">
        <f t="shared" si="59"/>
        <v>0</v>
      </c>
      <c r="BK165" s="49">
        <f t="shared" ref="BK165" si="60">BK161+BK163+BK164</f>
        <v>0</v>
      </c>
      <c r="BL165" s="49">
        <f t="shared" ref="BL165:BX165" si="61">BL161+BL163+BL164</f>
        <v>0</v>
      </c>
      <c r="BM165" s="49">
        <f t="shared" si="61"/>
        <v>0</v>
      </c>
      <c r="BN165" s="49">
        <f t="shared" si="61"/>
        <v>0</v>
      </c>
      <c r="BO165" s="49">
        <f t="shared" si="61"/>
        <v>0</v>
      </c>
      <c r="BP165" s="49">
        <f t="shared" si="61"/>
        <v>9721.8716022852714</v>
      </c>
      <c r="BQ165" s="49">
        <f t="shared" si="61"/>
        <v>9984.3621355469713</v>
      </c>
      <c r="BR165" s="49">
        <f t="shared" si="61"/>
        <v>9984.3621355469713</v>
      </c>
      <c r="BS165" s="49">
        <f t="shared" si="61"/>
        <v>9984.3621355469713</v>
      </c>
      <c r="BT165" s="49">
        <f t="shared" si="61"/>
        <v>9984.3621355469713</v>
      </c>
      <c r="BU165" s="49">
        <f t="shared" si="61"/>
        <v>9984.3621355469713</v>
      </c>
      <c r="BV165" s="49">
        <f t="shared" si="61"/>
        <v>9984.3621355469713</v>
      </c>
      <c r="BW165" s="49">
        <f t="shared" si="61"/>
        <v>9984.3621355469713</v>
      </c>
      <c r="BX165" s="49">
        <f t="shared" si="61"/>
        <v>9984.3621355469713</v>
      </c>
    </row>
    <row r="166" spans="1:76" outlineLevel="1">
      <c r="B166" t="s">
        <v>85</v>
      </c>
      <c r="D166" s="49">
        <f>IF(OR(D160=1,D162=1),'Rent Roll'!$F$20/BldgSF*ReimbPool/12*D$7,0)</f>
        <v>3664.5</v>
      </c>
      <c r="E166" s="49">
        <f>IF(OR(E160=1,E162=1),'Rent Roll'!$F$20/BldgSF*ReimbPool/12*E$7,0)</f>
        <v>3664.5</v>
      </c>
      <c r="F166" s="49">
        <f>IF(OR(F160=1,F162=1),'Rent Roll'!$F$20/BldgSF*ReimbPool/12*F$7,0)</f>
        <v>3664.5</v>
      </c>
      <c r="G166" s="49">
        <f>IF(OR(G160=1,G162=1),'Rent Roll'!$F$20/BldgSF*ReimbPool/12*G$7,0)</f>
        <v>3664.5</v>
      </c>
      <c r="H166" s="49">
        <f>IF(OR(H160=1,H162=1),'Rent Roll'!$F$20/BldgSF*ReimbPool/12*H$7,0)</f>
        <v>3664.5</v>
      </c>
      <c r="I166" s="49">
        <f>IF(OR(I160=1,I162=1),'Rent Roll'!$F$20/BldgSF*ReimbPool/12*I$7,0)</f>
        <v>3763.4414999999999</v>
      </c>
      <c r="J166" s="49">
        <f>IF(OR(J160=1,J162=1),'Rent Roll'!$F$20/BldgSF*ReimbPool/12*J$7,0)</f>
        <v>3763.4414999999999</v>
      </c>
      <c r="K166" s="49">
        <f>IF(OR(K160=1,K162=1),'Rent Roll'!$F$20/BldgSF*ReimbPool/12*K$7,0)</f>
        <v>3763.4414999999999</v>
      </c>
      <c r="L166" s="49">
        <f>IF(OR(L160=1,L162=1),'Rent Roll'!$F$20/BldgSF*ReimbPool/12*L$7,0)</f>
        <v>3763.4414999999999</v>
      </c>
      <c r="M166" s="49">
        <f>IF(OR(M160=1,M162=1),'Rent Roll'!$F$20/BldgSF*ReimbPool/12*M$7,0)</f>
        <v>3763.4414999999999</v>
      </c>
      <c r="N166" s="49">
        <f>IF(OR(N160=1,N162=1),'Rent Roll'!$F$20/BldgSF*ReimbPool/12*N$7,0)</f>
        <v>3763.4414999999999</v>
      </c>
      <c r="O166" s="49">
        <f>IF(OR(O160=1,O162=1),'Rent Roll'!$F$20/BldgSF*ReimbPool/12*O$7,0)</f>
        <v>3763.4414999999999</v>
      </c>
      <c r="P166" s="49">
        <f>IF(OR(P160=1,P162=1),'Rent Roll'!$F$20/BldgSF*ReimbPool/12*P$7,0)</f>
        <v>3763.4414999999999</v>
      </c>
      <c r="Q166" s="49">
        <f>IF(OR(Q160=1,Q162=1),'Rent Roll'!$F$20/BldgSF*ReimbPool/12*Q$7,0)</f>
        <v>3763.4414999999999</v>
      </c>
      <c r="R166" s="49">
        <f>IF(OR(R160=1,R162=1),'Rent Roll'!$F$20/BldgSF*ReimbPool/12*R$7,0)</f>
        <v>3763.4414999999999</v>
      </c>
      <c r="S166" s="49">
        <f>IF(OR(S160=1,S162=1),'Rent Roll'!$F$20/BldgSF*ReimbPool/12*S$7,0)</f>
        <v>3763.4414999999999</v>
      </c>
      <c r="T166" s="49">
        <f>IF(OR(T160=1,T162=1),'Rent Roll'!$F$20/BldgSF*ReimbPool/12*T$7,0)</f>
        <v>3763.4414999999999</v>
      </c>
      <c r="U166" s="49">
        <f>IF(OR(U160=1,U162=1),'Rent Roll'!$F$20/BldgSF*ReimbPool/12*U$7,0)</f>
        <v>3865.0544204999992</v>
      </c>
      <c r="V166" s="49">
        <f>IF(OR(V160=1,V162=1),'Rent Roll'!$F$20/BldgSF*ReimbPool/12*V$7,0)</f>
        <v>3865.0544204999992</v>
      </c>
      <c r="W166" s="49">
        <f>IF(OR(W160=1,W162=1),'Rent Roll'!$F$20/BldgSF*ReimbPool/12*W$7,0)</f>
        <v>3865.0544204999992</v>
      </c>
      <c r="X166" s="49">
        <f>IF(OR(X160=1,X162=1),'Rent Roll'!$F$20/BldgSF*ReimbPool/12*X$7,0)</f>
        <v>3865.0544204999992</v>
      </c>
      <c r="Y166" s="49">
        <f>IF(OR(Y160=1,Y162=1),'Rent Roll'!$F$20/BldgSF*ReimbPool/12*Y$7,0)</f>
        <v>3865.0544204999992</v>
      </c>
      <c r="Z166" s="49">
        <f>IF(OR(Z160=1,Z162=1),'Rent Roll'!$F$20/BldgSF*ReimbPool/12*Z$7,0)</f>
        <v>3865.0544204999992</v>
      </c>
      <c r="AA166" s="49">
        <f>IF(OR(AA160=1,AA162=1),'Rent Roll'!$F$20/BldgSF*ReimbPool/12*AA$7,0)</f>
        <v>3865.0544204999992</v>
      </c>
      <c r="AB166" s="49">
        <f>IF(OR(AB160=1,AB162=1),'Rent Roll'!$F$20/BldgSF*ReimbPool/12*AB$7,0)</f>
        <v>3865.0544204999992</v>
      </c>
      <c r="AC166" s="49">
        <f>IF(OR(AC160=1,AC162=1),'Rent Roll'!$F$20/BldgSF*ReimbPool/12*AC$7,0)</f>
        <v>3865.0544204999992</v>
      </c>
      <c r="AD166" s="49">
        <f>IF(OR(AD160=1,AD162=1),'Rent Roll'!$F$20/BldgSF*ReimbPool/12*AD$7,0)</f>
        <v>3865.0544204999992</v>
      </c>
      <c r="AE166" s="49">
        <f>IF(OR(AE160=1,AE162=1),'Rent Roll'!$F$20/BldgSF*ReimbPool/12*AE$7,0)</f>
        <v>3865.0544204999992</v>
      </c>
      <c r="AF166" s="49">
        <f>IF(OR(AF160=1,AF162=1),'Rent Roll'!$F$20/BldgSF*ReimbPool/12*AF$7,0)</f>
        <v>3865.0544204999992</v>
      </c>
      <c r="AG166" s="49">
        <f>IF(OR(AG160=1,AG162=1),'Rent Roll'!$F$20/BldgSF*ReimbPool/12*AG$7,0)</f>
        <v>3969.4108898534992</v>
      </c>
      <c r="AH166" s="49">
        <f>IF(OR(AH160=1,AH162=1),'Rent Roll'!$F$20/BldgSF*ReimbPool/12*AH$7,0)</f>
        <v>3969.4108898534992</v>
      </c>
      <c r="AI166" s="49">
        <f>IF(OR(AI160=1,AI162=1),'Rent Roll'!$F$20/BldgSF*ReimbPool/12*AI$7,0)</f>
        <v>3969.4108898534992</v>
      </c>
      <c r="AJ166" s="49">
        <f>IF(OR(AJ160=1,AJ162=1),'Rent Roll'!$F$20/BldgSF*ReimbPool/12*AJ$7,0)</f>
        <v>3969.4108898534992</v>
      </c>
      <c r="AK166" s="49">
        <f>IF(OR(AK160=1,AK162=1),'Rent Roll'!$F$20/BldgSF*ReimbPool/12*AK$7,0)</f>
        <v>3969.4108898534992</v>
      </c>
      <c r="AL166" s="49">
        <f>IF(OR(AL160=1,AL162=1),'Rent Roll'!$F$20/BldgSF*ReimbPool/12*AL$7,0)</f>
        <v>3969.4108898534992</v>
      </c>
      <c r="AM166" s="49">
        <f>IF(OR(AM160=1,AM162=1),'Rent Roll'!$F$20/BldgSF*ReimbPool/12*AM$7,0)</f>
        <v>3969.4108898534992</v>
      </c>
      <c r="AN166" s="49">
        <f>IF(OR(AN160=1,AN162=1),'Rent Roll'!$F$20/BldgSF*ReimbPool/12*AN$7,0)</f>
        <v>3969.4108898534992</v>
      </c>
      <c r="AO166" s="49">
        <f>IF(OR(AO160=1,AO162=1),'Rent Roll'!$F$20/BldgSF*ReimbPool/12*AO$7,0)</f>
        <v>3969.4108898534992</v>
      </c>
      <c r="AP166" s="49">
        <f>IF(OR(AP160=1,AP162=1),'Rent Roll'!$F$20/BldgSF*ReimbPool/12*AP$7,0)</f>
        <v>3969.4108898534992</v>
      </c>
      <c r="AQ166" s="49">
        <f>IF(OR(AQ160=1,AQ162=1),'Rent Roll'!$F$20/BldgSF*ReimbPool/12*AQ$7,0)</f>
        <v>3969.4108898534992</v>
      </c>
      <c r="AR166" s="49">
        <f>IF(OR(AR160=1,AR162=1),'Rent Roll'!$F$20/BldgSF*ReimbPool/12*AR$7,0)</f>
        <v>3969.4108898534992</v>
      </c>
      <c r="AS166" s="49">
        <f>IF(OR(AS160=1,AS162=1),'Rent Roll'!$F$20/BldgSF*ReimbPool/12*AS$7,0)</f>
        <v>4076.584983879543</v>
      </c>
      <c r="AT166" s="49">
        <f>IF(OR(AT160=1,AT162=1),'Rent Roll'!$F$20/BldgSF*ReimbPool/12*AT$7,0)</f>
        <v>4076.584983879543</v>
      </c>
      <c r="AU166" s="49">
        <f>IF(OR(AU160=1,AU162=1),'Rent Roll'!$F$20/BldgSF*ReimbPool/12*AU$7,0)</f>
        <v>4076.584983879543</v>
      </c>
      <c r="AV166" s="49">
        <f>IF(OR(AV160=1,AV162=1),'Rent Roll'!$F$20/BldgSF*ReimbPool/12*AV$7,0)</f>
        <v>4076.584983879543</v>
      </c>
      <c r="AW166" s="49">
        <f>IF(OR(AW160=1,AW162=1),'Rent Roll'!$F$20/BldgSF*ReimbPool/12*AW$7,0)</f>
        <v>4076.584983879543</v>
      </c>
      <c r="AX166" s="49">
        <f>IF(OR(AX160=1,AX162=1),'Rent Roll'!$F$20/BldgSF*ReimbPool/12*AX$7,0)</f>
        <v>4076.584983879543</v>
      </c>
      <c r="AY166" s="49">
        <f>IF(OR(AY160=1,AY162=1),'Rent Roll'!$F$20/BldgSF*ReimbPool/12*AY$7,0)</f>
        <v>4076.584983879543</v>
      </c>
      <c r="AZ166" s="49">
        <f>IF(OR(AZ160=1,AZ162=1),'Rent Roll'!$F$20/BldgSF*ReimbPool/12*AZ$7,0)</f>
        <v>4076.584983879543</v>
      </c>
      <c r="BA166" s="49">
        <f>IF(OR(BA160=1,BA162=1),'Rent Roll'!$F$20/BldgSF*ReimbPool/12*BA$7,0)</f>
        <v>4076.584983879543</v>
      </c>
      <c r="BB166" s="49">
        <f>IF(OR(BB160=1,BB162=1),'Rent Roll'!$F$20/BldgSF*ReimbPool/12*BB$7,0)</f>
        <v>4076.584983879543</v>
      </c>
      <c r="BC166" s="49">
        <f>IF(OR(BC160=1,BC162=1),'Rent Roll'!$F$20/BldgSF*ReimbPool/12*BC$7,0)</f>
        <v>4076.584983879543</v>
      </c>
      <c r="BD166" s="49">
        <f>IF(OR(BD160=1,BD162=1),'Rent Roll'!$F$20/BldgSF*ReimbPool/12*BD$7,0)</f>
        <v>4076.584983879543</v>
      </c>
      <c r="BE166" s="49">
        <f>IF(OR(BE160=1,BE162=1),'Rent Roll'!$F$20/BldgSF*ReimbPool/12*BE$7,0)</f>
        <v>4186.6527784442906</v>
      </c>
      <c r="BF166" s="49">
        <f>IF(OR(BF160=1,BF162=1),'Rent Roll'!$F$20/BldgSF*ReimbPool/12*BF$7,0)</f>
        <v>4186.6527784442906</v>
      </c>
      <c r="BG166" s="49">
        <f>IF(OR(BG160=1,BG162=1),'Rent Roll'!$F$20/BldgSF*ReimbPool/12*BG$7,0)</f>
        <v>4186.6527784442906</v>
      </c>
      <c r="BH166" s="49">
        <f>IF(OR(BH160=1,BH162=1),'Rent Roll'!$F$20/BldgSF*ReimbPool/12*BH$7,0)</f>
        <v>0</v>
      </c>
      <c r="BI166" s="49">
        <f>IF(OR(BI160=1,BI162=1),'Rent Roll'!$F$20/BldgSF*ReimbPool/12*BI$7,0)</f>
        <v>0</v>
      </c>
      <c r="BJ166" s="49">
        <f>IF(OR(BJ160=1,BJ162=1),'Rent Roll'!$F$20/BldgSF*ReimbPool/12*BJ$7,0)</f>
        <v>0</v>
      </c>
      <c r="BK166" s="49">
        <f>IF(OR(BK160=1,BK162=1),'Rent Roll'!$F$20/BldgSF*ReimbPool/12*BK$7,0)</f>
        <v>0</v>
      </c>
      <c r="BL166" s="49">
        <f>IF(OR(BL160=1,BL162=1),'Rent Roll'!$F$20/BldgSF*ReimbPool/12*BL$7,0)</f>
        <v>0</v>
      </c>
      <c r="BM166" s="49">
        <f>IF(OR(BM160=1,BM162=1),'Rent Roll'!$F$20/BldgSF*ReimbPool/12*BM$7,0)</f>
        <v>0</v>
      </c>
      <c r="BN166" s="49">
        <f>IF(OR(BN160=1,BN162=1),'Rent Roll'!$F$20/BldgSF*ReimbPool/12*BN$7,0)</f>
        <v>4186.6527784442906</v>
      </c>
      <c r="BO166" s="49">
        <f>IF(OR(BO160=1,BO162=1),'Rent Roll'!$F$20/BldgSF*ReimbPool/12*BO$7,0)</f>
        <v>4186.6527784442906</v>
      </c>
      <c r="BP166" s="49">
        <f>IF(OR(BP160=1,BP162=1),'Rent Roll'!$F$20/BldgSF*ReimbPool/12*BP$7,0)</f>
        <v>4186.6527784442906</v>
      </c>
      <c r="BQ166" s="49">
        <f>IF(OR(BQ160=1,BQ162=1),'Rent Roll'!$F$20/BldgSF*ReimbPool/12*BQ$7,0)</f>
        <v>4299.6924034622853</v>
      </c>
      <c r="BR166" s="49">
        <f>IF(OR(BR160=1,BR162=1),'Rent Roll'!$F$20/BldgSF*ReimbPool/12*BR$7,0)</f>
        <v>4299.6924034622853</v>
      </c>
      <c r="BS166" s="49">
        <f>IF(OR(BS160=1,BS162=1),'Rent Roll'!$F$20/BldgSF*ReimbPool/12*BS$7,0)</f>
        <v>4299.6924034622853</v>
      </c>
      <c r="BT166" s="49">
        <f>IF(OR(BT160=1,BT162=1),'Rent Roll'!$F$20/BldgSF*ReimbPool/12*BT$7,0)</f>
        <v>4299.6924034622853</v>
      </c>
      <c r="BU166" s="49">
        <f>IF(OR(BU160=1,BU162=1),'Rent Roll'!$F$20/BldgSF*ReimbPool/12*BU$7,0)</f>
        <v>4299.6924034622853</v>
      </c>
      <c r="BV166" s="49">
        <f>IF(OR(BV160=1,BV162=1),'Rent Roll'!$F$20/BldgSF*ReimbPool/12*BV$7,0)</f>
        <v>4299.6924034622853</v>
      </c>
      <c r="BW166" s="49">
        <f>IF(OR(BW160=1,BW162=1),'Rent Roll'!$F$20/BldgSF*ReimbPool/12*BW$7,0)</f>
        <v>4299.6924034622853</v>
      </c>
      <c r="BX166" s="49">
        <f>IF(OR(BX160=1,BX162=1),'Rent Roll'!$F$20/BldgSF*ReimbPool/12*BX$7,0)</f>
        <v>4299.6924034622853</v>
      </c>
    </row>
    <row r="167" spans="1:76" outlineLevel="1">
      <c r="B167" t="s">
        <v>86</v>
      </c>
      <c r="D167" s="49">
        <f>IF(D$4=EOMONTH(CloseDate,'Rent Roll'!$O$20+'Rent Roll'!$S$20),-'Rent Roll'!$F$20*'Rent Roll'!$T$20,0)</f>
        <v>0</v>
      </c>
      <c r="E167" s="49">
        <f>IF(E$4=EOMONTH(CloseDate,'Rent Roll'!$O$20+'Rent Roll'!$S$20),-'Rent Roll'!$F$20*'Rent Roll'!$T$20,0)</f>
        <v>0</v>
      </c>
      <c r="F167" s="49">
        <f>IF(F$4=EOMONTH(CloseDate,'Rent Roll'!$O$20+'Rent Roll'!$S$20),-'Rent Roll'!$F$20*'Rent Roll'!$T$20,0)</f>
        <v>0</v>
      </c>
      <c r="G167" s="49">
        <f>IF(G$4=EOMONTH(CloseDate,'Rent Roll'!$O$20+'Rent Roll'!$S$20),-'Rent Roll'!$F$20*'Rent Roll'!$T$20,0)</f>
        <v>0</v>
      </c>
      <c r="H167" s="49">
        <f>IF(H$4=EOMONTH(CloseDate,'Rent Roll'!$O$20+'Rent Roll'!$S$20),-'Rent Roll'!$F$20*'Rent Roll'!$T$20,0)</f>
        <v>0</v>
      </c>
      <c r="I167" s="49">
        <f>IF(I$4=EOMONTH(CloseDate,'Rent Roll'!$O$20+'Rent Roll'!$S$20),-'Rent Roll'!$F$20*'Rent Roll'!$T$20,0)</f>
        <v>0</v>
      </c>
      <c r="J167" s="49">
        <f>IF(J$4=EOMONTH(CloseDate,'Rent Roll'!$O$20+'Rent Roll'!$S$20),-'Rent Roll'!$F$20*'Rent Roll'!$T$20,0)</f>
        <v>0</v>
      </c>
      <c r="K167" s="49">
        <f>IF(K$4=EOMONTH(CloseDate,'Rent Roll'!$O$20+'Rent Roll'!$S$20),-'Rent Roll'!$F$20*'Rent Roll'!$T$20,0)</f>
        <v>0</v>
      </c>
      <c r="L167" s="49">
        <f>IF(L$4=EOMONTH(CloseDate,'Rent Roll'!$O$20+'Rent Roll'!$S$20),-'Rent Roll'!$F$20*'Rent Roll'!$T$20,0)</f>
        <v>0</v>
      </c>
      <c r="M167" s="49">
        <f>IF(M$4=EOMONTH(CloseDate,'Rent Roll'!$O$20+'Rent Roll'!$S$20),-'Rent Roll'!$F$20*'Rent Roll'!$T$20,0)</f>
        <v>0</v>
      </c>
      <c r="N167" s="49">
        <f>IF(N$4=EOMONTH(CloseDate,'Rent Roll'!$O$20+'Rent Roll'!$S$20),-'Rent Roll'!$F$20*'Rent Roll'!$T$20,0)</f>
        <v>0</v>
      </c>
      <c r="O167" s="49">
        <f>IF(O$4=EOMONTH(CloseDate,'Rent Roll'!$O$20+'Rent Roll'!$S$20),-'Rent Roll'!$F$20*'Rent Roll'!$T$20,0)</f>
        <v>0</v>
      </c>
      <c r="P167" s="49">
        <f>IF(P$4=EOMONTH(CloseDate,'Rent Roll'!$O$20+'Rent Roll'!$S$20),-'Rent Roll'!$F$20*'Rent Roll'!$T$20,0)</f>
        <v>0</v>
      </c>
      <c r="Q167" s="49">
        <f>IF(Q$4=EOMONTH(CloseDate,'Rent Roll'!$O$20+'Rent Roll'!$S$20),-'Rent Roll'!$F$20*'Rent Roll'!$T$20,0)</f>
        <v>0</v>
      </c>
      <c r="R167" s="49">
        <f>IF(R$4=EOMONTH(CloseDate,'Rent Roll'!$O$20+'Rent Roll'!$S$20),-'Rent Roll'!$F$20*'Rent Roll'!$T$20,0)</f>
        <v>0</v>
      </c>
      <c r="S167" s="49">
        <f>IF(S$4=EOMONTH(CloseDate,'Rent Roll'!$O$20+'Rent Roll'!$S$20),-'Rent Roll'!$F$20*'Rent Roll'!$T$20,0)</f>
        <v>0</v>
      </c>
      <c r="T167" s="49">
        <f>IF(T$4=EOMONTH(CloseDate,'Rent Roll'!$O$20+'Rent Roll'!$S$20),-'Rent Roll'!$F$20*'Rent Roll'!$T$20,0)</f>
        <v>0</v>
      </c>
      <c r="U167" s="49">
        <f>IF(U$4=EOMONTH(CloseDate,'Rent Roll'!$O$20+'Rent Roll'!$S$20),-'Rent Roll'!$F$20*'Rent Roll'!$T$20,0)</f>
        <v>0</v>
      </c>
      <c r="V167" s="49">
        <f>IF(V$4=EOMONTH(CloseDate,'Rent Roll'!$O$20+'Rent Roll'!$S$20),-'Rent Roll'!$F$20*'Rent Roll'!$T$20,0)</f>
        <v>0</v>
      </c>
      <c r="W167" s="49">
        <f>IF(W$4=EOMONTH(CloseDate,'Rent Roll'!$O$20+'Rent Roll'!$S$20),-'Rent Roll'!$F$20*'Rent Roll'!$T$20,0)</f>
        <v>0</v>
      </c>
      <c r="X167" s="49">
        <f>IF(X$4=EOMONTH(CloseDate,'Rent Roll'!$O$20+'Rent Roll'!$S$20),-'Rent Roll'!$F$20*'Rent Roll'!$T$20,0)</f>
        <v>0</v>
      </c>
      <c r="Y167" s="49">
        <f>IF(Y$4=EOMONTH(CloseDate,'Rent Roll'!$O$20+'Rent Roll'!$S$20),-'Rent Roll'!$F$20*'Rent Roll'!$T$20,0)</f>
        <v>0</v>
      </c>
      <c r="Z167" s="49">
        <f>IF(Z$4=EOMONTH(CloseDate,'Rent Roll'!$O$20+'Rent Roll'!$S$20),-'Rent Roll'!$F$20*'Rent Roll'!$T$20,0)</f>
        <v>0</v>
      </c>
      <c r="AA167" s="49">
        <f>IF(AA$4=EOMONTH(CloseDate,'Rent Roll'!$O$20+'Rent Roll'!$S$20),-'Rent Roll'!$F$20*'Rent Roll'!$T$20,0)</f>
        <v>0</v>
      </c>
      <c r="AB167" s="49">
        <f>IF(AB$4=EOMONTH(CloseDate,'Rent Roll'!$O$20+'Rent Roll'!$S$20),-'Rent Roll'!$F$20*'Rent Roll'!$T$20,0)</f>
        <v>0</v>
      </c>
      <c r="AC167" s="49">
        <f>IF(AC$4=EOMONTH(CloseDate,'Rent Roll'!$O$20+'Rent Roll'!$S$20),-'Rent Roll'!$F$20*'Rent Roll'!$T$20,0)</f>
        <v>0</v>
      </c>
      <c r="AD167" s="49">
        <f>IF(AD$4=EOMONTH(CloseDate,'Rent Roll'!$O$20+'Rent Roll'!$S$20),-'Rent Roll'!$F$20*'Rent Roll'!$T$20,0)</f>
        <v>0</v>
      </c>
      <c r="AE167" s="49">
        <f>IF(AE$4=EOMONTH(CloseDate,'Rent Roll'!$O$20+'Rent Roll'!$S$20),-'Rent Roll'!$F$20*'Rent Roll'!$T$20,0)</f>
        <v>0</v>
      </c>
      <c r="AF167" s="49">
        <f>IF(AF$4=EOMONTH(CloseDate,'Rent Roll'!$O$20+'Rent Roll'!$S$20),-'Rent Roll'!$F$20*'Rent Roll'!$T$20,0)</f>
        <v>0</v>
      </c>
      <c r="AG167" s="49">
        <f>IF(AG$4=EOMONTH(CloseDate,'Rent Roll'!$O$20+'Rent Roll'!$S$20),-'Rent Roll'!$F$20*'Rent Roll'!$T$20,0)</f>
        <v>0</v>
      </c>
      <c r="AH167" s="49">
        <f>IF(AH$4=EOMONTH(CloseDate,'Rent Roll'!$O$20+'Rent Roll'!$S$20),-'Rent Roll'!$F$20*'Rent Roll'!$T$20,0)</f>
        <v>0</v>
      </c>
      <c r="AI167" s="49">
        <f>IF(AI$4=EOMONTH(CloseDate,'Rent Roll'!$O$20+'Rent Roll'!$S$20),-'Rent Roll'!$F$20*'Rent Roll'!$T$20,0)</f>
        <v>0</v>
      </c>
      <c r="AJ167" s="49">
        <f>IF(AJ$4=EOMONTH(CloseDate,'Rent Roll'!$O$20+'Rent Roll'!$S$20),-'Rent Roll'!$F$20*'Rent Roll'!$T$20,0)</f>
        <v>0</v>
      </c>
      <c r="AK167" s="49">
        <f>IF(AK$4=EOMONTH(CloseDate,'Rent Roll'!$O$20+'Rent Roll'!$S$20),-'Rent Roll'!$F$20*'Rent Roll'!$T$20,0)</f>
        <v>0</v>
      </c>
      <c r="AL167" s="49">
        <f>IF(AL$4=EOMONTH(CloseDate,'Rent Roll'!$O$20+'Rent Roll'!$S$20),-'Rent Roll'!$F$20*'Rent Roll'!$T$20,0)</f>
        <v>0</v>
      </c>
      <c r="AM167" s="49">
        <f>IF(AM$4=EOMONTH(CloseDate,'Rent Roll'!$O$20+'Rent Roll'!$S$20),-'Rent Roll'!$F$20*'Rent Roll'!$T$20,0)</f>
        <v>0</v>
      </c>
      <c r="AN167" s="49">
        <f>IF(AN$4=EOMONTH(CloseDate,'Rent Roll'!$O$20+'Rent Roll'!$S$20),-'Rent Roll'!$F$20*'Rent Roll'!$T$20,0)</f>
        <v>0</v>
      </c>
      <c r="AO167" s="49">
        <f>IF(AO$4=EOMONTH(CloseDate,'Rent Roll'!$O$20+'Rent Roll'!$S$20),-'Rent Roll'!$F$20*'Rent Roll'!$T$20,0)</f>
        <v>0</v>
      </c>
      <c r="AP167" s="49">
        <f>IF(AP$4=EOMONTH(CloseDate,'Rent Roll'!$O$20+'Rent Roll'!$S$20),-'Rent Roll'!$F$20*'Rent Roll'!$T$20,0)</f>
        <v>0</v>
      </c>
      <c r="AQ167" s="49">
        <f>IF(AQ$4=EOMONTH(CloseDate,'Rent Roll'!$O$20+'Rent Roll'!$S$20),-'Rent Roll'!$F$20*'Rent Roll'!$T$20,0)</f>
        <v>0</v>
      </c>
      <c r="AR167" s="49">
        <f>IF(AR$4=EOMONTH(CloseDate,'Rent Roll'!$O$20+'Rent Roll'!$S$20),-'Rent Roll'!$F$20*'Rent Roll'!$T$20,0)</f>
        <v>0</v>
      </c>
      <c r="AS167" s="49">
        <f>IF(AS$4=EOMONTH(CloseDate,'Rent Roll'!$O$20+'Rent Roll'!$S$20),-'Rent Roll'!$F$20*'Rent Roll'!$T$20,0)</f>
        <v>0</v>
      </c>
      <c r="AT167" s="49">
        <f>IF(AT$4=EOMONTH(CloseDate,'Rent Roll'!$O$20+'Rent Roll'!$S$20),-'Rent Roll'!$F$20*'Rent Roll'!$T$20,0)</f>
        <v>0</v>
      </c>
      <c r="AU167" s="49">
        <f>IF(AU$4=EOMONTH(CloseDate,'Rent Roll'!$O$20+'Rent Roll'!$S$20),-'Rent Roll'!$F$20*'Rent Roll'!$T$20,0)</f>
        <v>0</v>
      </c>
      <c r="AV167" s="49">
        <f>IF(AV$4=EOMONTH(CloseDate,'Rent Roll'!$O$20+'Rent Roll'!$S$20),-'Rent Roll'!$F$20*'Rent Roll'!$T$20,0)</f>
        <v>0</v>
      </c>
      <c r="AW167" s="49">
        <f>IF(AW$4=EOMONTH(CloseDate,'Rent Roll'!$O$20+'Rent Roll'!$S$20),-'Rent Roll'!$F$20*'Rent Roll'!$T$20,0)</f>
        <v>0</v>
      </c>
      <c r="AX167" s="49">
        <f>IF(AX$4=EOMONTH(CloseDate,'Rent Roll'!$O$20+'Rent Roll'!$S$20),-'Rent Roll'!$F$20*'Rent Roll'!$T$20,0)</f>
        <v>0</v>
      </c>
      <c r="AY167" s="49">
        <f>IF(AY$4=EOMONTH(CloseDate,'Rent Roll'!$O$20+'Rent Roll'!$S$20),-'Rent Roll'!$F$20*'Rent Roll'!$T$20,0)</f>
        <v>0</v>
      </c>
      <c r="AZ167" s="49">
        <f>IF(AZ$4=EOMONTH(CloseDate,'Rent Roll'!$O$20+'Rent Roll'!$S$20),-'Rent Roll'!$F$20*'Rent Roll'!$T$20,0)</f>
        <v>0</v>
      </c>
      <c r="BA167" s="49">
        <f>IF(BA$4=EOMONTH(CloseDate,'Rent Roll'!$O$20+'Rent Roll'!$S$20),-'Rent Roll'!$F$20*'Rent Roll'!$T$20,0)</f>
        <v>0</v>
      </c>
      <c r="BB167" s="49">
        <f>IF(BB$4=EOMONTH(CloseDate,'Rent Roll'!$O$20+'Rent Roll'!$S$20),-'Rent Roll'!$F$20*'Rent Roll'!$T$20,0)</f>
        <v>0</v>
      </c>
      <c r="BC167" s="49">
        <f>IF(BC$4=EOMONTH(CloseDate,'Rent Roll'!$O$20+'Rent Roll'!$S$20),-'Rent Roll'!$F$20*'Rent Roll'!$T$20,0)</f>
        <v>0</v>
      </c>
      <c r="BD167" s="49">
        <f>IF(BD$4=EOMONTH(CloseDate,'Rent Roll'!$O$20+'Rent Roll'!$S$20),-'Rent Roll'!$F$20*'Rent Roll'!$T$20,0)</f>
        <v>0</v>
      </c>
      <c r="BE167" s="49">
        <f>IF(BE$4=EOMONTH(CloseDate,'Rent Roll'!$O$20+'Rent Roll'!$S$20),-'Rent Roll'!$F$20*'Rent Roll'!$T$20,0)</f>
        <v>0</v>
      </c>
      <c r="BF167" s="49">
        <f>IF(BF$4=EOMONTH(CloseDate,'Rent Roll'!$O$20+'Rent Roll'!$S$20),-'Rent Roll'!$F$20*'Rent Roll'!$T$20,0)</f>
        <v>0</v>
      </c>
      <c r="BG167" s="49">
        <f>IF(BG$4=EOMONTH(CloseDate,'Rent Roll'!$O$20+'Rent Roll'!$S$20),-'Rent Roll'!$F$20*'Rent Roll'!$T$20,0)</f>
        <v>0</v>
      </c>
      <c r="BH167" s="49">
        <f>IF(BH$4=EOMONTH(CloseDate,'Rent Roll'!$O$20+'Rent Roll'!$S$20),-'Rent Roll'!$F$20*'Rent Roll'!$T$20,0)</f>
        <v>0</v>
      </c>
      <c r="BI167" s="49">
        <f>IF(BI$4=EOMONTH(CloseDate,'Rent Roll'!$O$20+'Rent Roll'!$S$20),-'Rent Roll'!$F$20*'Rent Roll'!$T$20,0)</f>
        <v>0</v>
      </c>
      <c r="BJ167" s="49">
        <f>IF(BJ$4=EOMONTH(CloseDate,'Rent Roll'!$O$20+'Rent Roll'!$S$20),-'Rent Roll'!$F$20*'Rent Roll'!$T$20,0)</f>
        <v>0</v>
      </c>
      <c r="BK167" s="49">
        <f>IF(BK$4=EOMONTH(CloseDate,'Rent Roll'!$O$20+'Rent Roll'!$S$20),-'Rent Roll'!$F$20*'Rent Roll'!$T$20,0)</f>
        <v>0</v>
      </c>
      <c r="BL167" s="49">
        <f>IF(BL$4=EOMONTH(CloseDate,'Rent Roll'!$O$20+'Rent Roll'!$S$20),-'Rent Roll'!$F$20*'Rent Roll'!$T$20,0)</f>
        <v>0</v>
      </c>
      <c r="BM167" s="49">
        <f>IF(BM$4=EOMONTH(CloseDate,'Rent Roll'!$O$20+'Rent Roll'!$S$20),-'Rent Roll'!$F$20*'Rent Roll'!$T$20,0)</f>
        <v>0</v>
      </c>
      <c r="BN167" s="49">
        <f>IF(BN$4=EOMONTH(CloseDate,'Rent Roll'!$O$20+'Rent Roll'!$S$20),-'Rent Roll'!$F$20*'Rent Roll'!$T$20,0)</f>
        <v>-134400</v>
      </c>
      <c r="BO167" s="49">
        <f>IF(BO$4=EOMONTH(CloseDate,'Rent Roll'!$O$20+'Rent Roll'!$S$20),-'Rent Roll'!$F$20*'Rent Roll'!$T$20,0)</f>
        <v>0</v>
      </c>
      <c r="BP167" s="49">
        <f>IF(BP$4=EOMONTH(CloseDate,'Rent Roll'!$O$20+'Rent Roll'!$S$20),-'Rent Roll'!$F$20*'Rent Roll'!$T$20,0)</f>
        <v>0</v>
      </c>
      <c r="BQ167" s="49">
        <f>IF(BQ$4=EOMONTH(CloseDate,'Rent Roll'!$O$20+'Rent Roll'!$S$20),-'Rent Roll'!$F$20*'Rent Roll'!$T$20,0)</f>
        <v>0</v>
      </c>
      <c r="BR167" s="49">
        <f>IF(BR$4=EOMONTH(CloseDate,'Rent Roll'!$O$20+'Rent Roll'!$S$20),-'Rent Roll'!$F$20*'Rent Roll'!$T$20,0)</f>
        <v>0</v>
      </c>
      <c r="BS167" s="49">
        <f>IF(BS$4=EOMONTH(CloseDate,'Rent Roll'!$O$20+'Rent Roll'!$S$20),-'Rent Roll'!$F$20*'Rent Roll'!$T$20,0)</f>
        <v>0</v>
      </c>
      <c r="BT167" s="49">
        <f>IF(BT$4=EOMONTH(CloseDate,'Rent Roll'!$O$20+'Rent Roll'!$S$20),-'Rent Roll'!$F$20*'Rent Roll'!$T$20,0)</f>
        <v>0</v>
      </c>
      <c r="BU167" s="49">
        <f>IF(BU$4=EOMONTH(CloseDate,'Rent Roll'!$O$20+'Rent Roll'!$S$20),-'Rent Roll'!$F$20*'Rent Roll'!$T$20,0)</f>
        <v>0</v>
      </c>
      <c r="BV167" s="49">
        <f>IF(BV$4=EOMONTH(CloseDate,'Rent Roll'!$O$20+'Rent Roll'!$S$20),-'Rent Roll'!$F$20*'Rent Roll'!$T$20,0)</f>
        <v>0</v>
      </c>
      <c r="BW167" s="49">
        <f>IF(BW$4=EOMONTH(CloseDate,'Rent Roll'!$O$20+'Rent Roll'!$S$20),-'Rent Roll'!$F$20*'Rent Roll'!$T$20,0)</f>
        <v>0</v>
      </c>
      <c r="BX167" s="49">
        <f>IF(BX$4=EOMONTH(CloseDate,'Rent Roll'!$O$20+'Rent Roll'!$S$20),-'Rent Roll'!$F$20*'Rent Roll'!$T$20,0)</f>
        <v>0</v>
      </c>
    </row>
    <row r="168" spans="1:76" outlineLevel="1">
      <c r="B168" t="s">
        <v>87</v>
      </c>
      <c r="D168" s="49">
        <f>IF(D$4=EOMONTH(CloseDate,'Rent Roll'!$O$20+'Rent Roll'!$S$20),-'Rent Roll'!$U$20*'Rent Roll'!$F$20*'Rent Roll'!$X$20,0)</f>
        <v>0</v>
      </c>
      <c r="E168" s="49">
        <f>IF(E$4=EOMONTH(CloseDate,'Rent Roll'!$O$20+'Rent Roll'!$S$20),-'Rent Roll'!$U$20*'Rent Roll'!$F$20*'Rent Roll'!$X$20,0)</f>
        <v>0</v>
      </c>
      <c r="F168" s="49">
        <f>IF(F$4=EOMONTH(CloseDate,'Rent Roll'!$O$20+'Rent Roll'!$S$20),-'Rent Roll'!$U$20*'Rent Roll'!$F$20*'Rent Roll'!$X$20,0)</f>
        <v>0</v>
      </c>
      <c r="G168" s="49">
        <f>IF(G$4=EOMONTH(CloseDate,'Rent Roll'!$O$20+'Rent Roll'!$S$20),-'Rent Roll'!$U$20*'Rent Roll'!$F$20*'Rent Roll'!$X$20,0)</f>
        <v>0</v>
      </c>
      <c r="H168" s="49">
        <f>IF(H$4=EOMONTH(CloseDate,'Rent Roll'!$O$20+'Rent Roll'!$S$20),-'Rent Roll'!$U$20*'Rent Roll'!$F$20*'Rent Roll'!$X$20,0)</f>
        <v>0</v>
      </c>
      <c r="I168" s="49">
        <f>IF(I$4=EOMONTH(CloseDate,'Rent Roll'!$O$20+'Rent Roll'!$S$20),-'Rent Roll'!$U$20*'Rent Roll'!$F$20*'Rent Roll'!$X$20,0)</f>
        <v>0</v>
      </c>
      <c r="J168" s="49">
        <f>IF(J$4=EOMONTH(CloseDate,'Rent Roll'!$O$20+'Rent Roll'!$S$20),-'Rent Roll'!$U$20*'Rent Roll'!$F$20*'Rent Roll'!$X$20,0)</f>
        <v>0</v>
      </c>
      <c r="K168" s="49">
        <f>IF(K$4=EOMONTH(CloseDate,'Rent Roll'!$O$20+'Rent Roll'!$S$20),-'Rent Roll'!$U$20*'Rent Roll'!$F$20*'Rent Roll'!$X$20,0)</f>
        <v>0</v>
      </c>
      <c r="L168" s="49">
        <f>IF(L$4=EOMONTH(CloseDate,'Rent Roll'!$O$20+'Rent Roll'!$S$20),-'Rent Roll'!$U$20*'Rent Roll'!$F$20*'Rent Roll'!$X$20,0)</f>
        <v>0</v>
      </c>
      <c r="M168" s="49">
        <f>IF(M$4=EOMONTH(CloseDate,'Rent Roll'!$O$20+'Rent Roll'!$S$20),-'Rent Roll'!$U$20*'Rent Roll'!$F$20*'Rent Roll'!$X$20,0)</f>
        <v>0</v>
      </c>
      <c r="N168" s="49">
        <f>IF(N$4=EOMONTH(CloseDate,'Rent Roll'!$O$20+'Rent Roll'!$S$20),-'Rent Roll'!$U$20*'Rent Roll'!$F$20*'Rent Roll'!$X$20,0)</f>
        <v>0</v>
      </c>
      <c r="O168" s="49">
        <f>IF(O$4=EOMONTH(CloseDate,'Rent Roll'!$O$20+'Rent Roll'!$S$20),-'Rent Roll'!$U$20*'Rent Roll'!$F$20*'Rent Roll'!$X$20,0)</f>
        <v>0</v>
      </c>
      <c r="P168" s="49">
        <f>IF(P$4=EOMONTH(CloseDate,'Rent Roll'!$O$20+'Rent Roll'!$S$20),-'Rent Roll'!$U$20*'Rent Roll'!$F$20*'Rent Roll'!$X$20,0)</f>
        <v>0</v>
      </c>
      <c r="Q168" s="49">
        <f>IF(Q$4=EOMONTH(CloseDate,'Rent Roll'!$O$20+'Rent Roll'!$S$20),-'Rent Roll'!$U$20*'Rent Roll'!$F$20*'Rent Roll'!$X$20,0)</f>
        <v>0</v>
      </c>
      <c r="R168" s="49">
        <f>IF(R$4=EOMONTH(CloseDate,'Rent Roll'!$O$20+'Rent Roll'!$S$20),-'Rent Roll'!$U$20*'Rent Roll'!$F$20*'Rent Roll'!$X$20,0)</f>
        <v>0</v>
      </c>
      <c r="S168" s="49">
        <f>IF(S$4=EOMONTH(CloseDate,'Rent Roll'!$O$20+'Rent Roll'!$S$20),-'Rent Roll'!$U$20*'Rent Roll'!$F$20*'Rent Roll'!$X$20,0)</f>
        <v>0</v>
      </c>
      <c r="T168" s="49">
        <f>IF(T$4=EOMONTH(CloseDate,'Rent Roll'!$O$20+'Rent Roll'!$S$20),-'Rent Roll'!$U$20*'Rent Roll'!$F$20*'Rent Roll'!$X$20,0)</f>
        <v>0</v>
      </c>
      <c r="U168" s="49">
        <f>IF(U$4=EOMONTH(CloseDate,'Rent Roll'!$O$20+'Rent Roll'!$S$20),-'Rent Roll'!$U$20*'Rent Roll'!$F$20*'Rent Roll'!$X$20,0)</f>
        <v>0</v>
      </c>
      <c r="V168" s="49">
        <f>IF(V$4=EOMONTH(CloseDate,'Rent Roll'!$O$20+'Rent Roll'!$S$20),-'Rent Roll'!$U$20*'Rent Roll'!$F$20*'Rent Roll'!$X$20,0)</f>
        <v>0</v>
      </c>
      <c r="W168" s="49">
        <f>IF(W$4=EOMONTH(CloseDate,'Rent Roll'!$O$20+'Rent Roll'!$S$20),-'Rent Roll'!$U$20*'Rent Roll'!$F$20*'Rent Roll'!$X$20,0)</f>
        <v>0</v>
      </c>
      <c r="X168" s="49">
        <f>IF(X$4=EOMONTH(CloseDate,'Rent Roll'!$O$20+'Rent Roll'!$S$20),-'Rent Roll'!$U$20*'Rent Roll'!$F$20*'Rent Roll'!$X$20,0)</f>
        <v>0</v>
      </c>
      <c r="Y168" s="49">
        <f>IF(Y$4=EOMONTH(CloseDate,'Rent Roll'!$O$20+'Rent Roll'!$S$20),-'Rent Roll'!$U$20*'Rent Roll'!$F$20*'Rent Roll'!$X$20,0)</f>
        <v>0</v>
      </c>
      <c r="Z168" s="49">
        <f>IF(Z$4=EOMONTH(CloseDate,'Rent Roll'!$O$20+'Rent Roll'!$S$20),-'Rent Roll'!$U$20*'Rent Roll'!$F$20*'Rent Roll'!$X$20,0)</f>
        <v>0</v>
      </c>
      <c r="AA168" s="49">
        <f>IF(AA$4=EOMONTH(CloseDate,'Rent Roll'!$O$20+'Rent Roll'!$S$20),-'Rent Roll'!$U$20*'Rent Roll'!$F$20*'Rent Roll'!$X$20,0)</f>
        <v>0</v>
      </c>
      <c r="AB168" s="49">
        <f>IF(AB$4=EOMONTH(CloseDate,'Rent Roll'!$O$20+'Rent Roll'!$S$20),-'Rent Roll'!$U$20*'Rent Roll'!$F$20*'Rent Roll'!$X$20,0)</f>
        <v>0</v>
      </c>
      <c r="AC168" s="49">
        <f>IF(AC$4=EOMONTH(CloseDate,'Rent Roll'!$O$20+'Rent Roll'!$S$20),-'Rent Roll'!$U$20*'Rent Roll'!$F$20*'Rent Roll'!$X$20,0)</f>
        <v>0</v>
      </c>
      <c r="AD168" s="49">
        <f>IF(AD$4=EOMONTH(CloseDate,'Rent Roll'!$O$20+'Rent Roll'!$S$20),-'Rent Roll'!$U$20*'Rent Roll'!$F$20*'Rent Roll'!$X$20,0)</f>
        <v>0</v>
      </c>
      <c r="AE168" s="49">
        <f>IF(AE$4=EOMONTH(CloseDate,'Rent Roll'!$O$20+'Rent Roll'!$S$20),-'Rent Roll'!$U$20*'Rent Roll'!$F$20*'Rent Roll'!$X$20,0)</f>
        <v>0</v>
      </c>
      <c r="AF168" s="49">
        <f>IF(AF$4=EOMONTH(CloseDate,'Rent Roll'!$O$20+'Rent Roll'!$S$20),-'Rent Roll'!$U$20*'Rent Roll'!$F$20*'Rent Roll'!$X$20,0)</f>
        <v>0</v>
      </c>
      <c r="AG168" s="49">
        <f>IF(AG$4=EOMONTH(CloseDate,'Rent Roll'!$O$20+'Rent Roll'!$S$20),-'Rent Roll'!$U$20*'Rent Roll'!$F$20*'Rent Roll'!$X$20,0)</f>
        <v>0</v>
      </c>
      <c r="AH168" s="49">
        <f>IF(AH$4=EOMONTH(CloseDate,'Rent Roll'!$O$20+'Rent Roll'!$S$20),-'Rent Roll'!$U$20*'Rent Roll'!$F$20*'Rent Roll'!$X$20,0)</f>
        <v>0</v>
      </c>
      <c r="AI168" s="49">
        <f>IF(AI$4=EOMONTH(CloseDate,'Rent Roll'!$O$20+'Rent Roll'!$S$20),-'Rent Roll'!$U$20*'Rent Roll'!$F$20*'Rent Roll'!$X$20,0)</f>
        <v>0</v>
      </c>
      <c r="AJ168" s="49">
        <f>IF(AJ$4=EOMONTH(CloseDate,'Rent Roll'!$O$20+'Rent Roll'!$S$20),-'Rent Roll'!$U$20*'Rent Roll'!$F$20*'Rent Roll'!$X$20,0)</f>
        <v>0</v>
      </c>
      <c r="AK168" s="49">
        <f>IF(AK$4=EOMONTH(CloseDate,'Rent Roll'!$O$20+'Rent Roll'!$S$20),-'Rent Roll'!$U$20*'Rent Roll'!$F$20*'Rent Roll'!$X$20,0)</f>
        <v>0</v>
      </c>
      <c r="AL168" s="49">
        <f>IF(AL$4=EOMONTH(CloseDate,'Rent Roll'!$O$20+'Rent Roll'!$S$20),-'Rent Roll'!$U$20*'Rent Roll'!$F$20*'Rent Roll'!$X$20,0)</f>
        <v>0</v>
      </c>
      <c r="AM168" s="49">
        <f>IF(AM$4=EOMONTH(CloseDate,'Rent Roll'!$O$20+'Rent Roll'!$S$20),-'Rent Roll'!$U$20*'Rent Roll'!$F$20*'Rent Roll'!$X$20,0)</f>
        <v>0</v>
      </c>
      <c r="AN168" s="49">
        <f>IF(AN$4=EOMONTH(CloseDate,'Rent Roll'!$O$20+'Rent Roll'!$S$20),-'Rent Roll'!$U$20*'Rent Roll'!$F$20*'Rent Roll'!$X$20,0)</f>
        <v>0</v>
      </c>
      <c r="AO168" s="49">
        <f>IF(AO$4=EOMONTH(CloseDate,'Rent Roll'!$O$20+'Rent Roll'!$S$20),-'Rent Roll'!$U$20*'Rent Roll'!$F$20*'Rent Roll'!$X$20,0)</f>
        <v>0</v>
      </c>
      <c r="AP168" s="49">
        <f>IF(AP$4=EOMONTH(CloseDate,'Rent Roll'!$O$20+'Rent Roll'!$S$20),-'Rent Roll'!$U$20*'Rent Roll'!$F$20*'Rent Roll'!$X$20,0)</f>
        <v>0</v>
      </c>
      <c r="AQ168" s="49">
        <f>IF(AQ$4=EOMONTH(CloseDate,'Rent Roll'!$O$20+'Rent Roll'!$S$20),-'Rent Roll'!$U$20*'Rent Roll'!$F$20*'Rent Roll'!$X$20,0)</f>
        <v>0</v>
      </c>
      <c r="AR168" s="49">
        <f>IF(AR$4=EOMONTH(CloseDate,'Rent Roll'!$O$20+'Rent Roll'!$S$20),-'Rent Roll'!$U$20*'Rent Roll'!$F$20*'Rent Roll'!$X$20,0)</f>
        <v>0</v>
      </c>
      <c r="AS168" s="49">
        <f>IF(AS$4=EOMONTH(CloseDate,'Rent Roll'!$O$20+'Rent Roll'!$S$20),-'Rent Roll'!$U$20*'Rent Roll'!$F$20*'Rent Roll'!$X$20,0)</f>
        <v>0</v>
      </c>
      <c r="AT168" s="49">
        <f>IF(AT$4=EOMONTH(CloseDate,'Rent Roll'!$O$20+'Rent Roll'!$S$20),-'Rent Roll'!$U$20*'Rent Roll'!$F$20*'Rent Roll'!$X$20,0)</f>
        <v>0</v>
      </c>
      <c r="AU168" s="49">
        <f>IF(AU$4=EOMONTH(CloseDate,'Rent Roll'!$O$20+'Rent Roll'!$S$20),-'Rent Roll'!$U$20*'Rent Roll'!$F$20*'Rent Roll'!$X$20,0)</f>
        <v>0</v>
      </c>
      <c r="AV168" s="49">
        <f>IF(AV$4=EOMONTH(CloseDate,'Rent Roll'!$O$20+'Rent Roll'!$S$20),-'Rent Roll'!$U$20*'Rent Roll'!$F$20*'Rent Roll'!$X$20,0)</f>
        <v>0</v>
      </c>
      <c r="AW168" s="49">
        <f>IF(AW$4=EOMONTH(CloseDate,'Rent Roll'!$O$20+'Rent Roll'!$S$20),-'Rent Roll'!$U$20*'Rent Roll'!$F$20*'Rent Roll'!$X$20,0)</f>
        <v>0</v>
      </c>
      <c r="AX168" s="49">
        <f>IF(AX$4=EOMONTH(CloseDate,'Rent Roll'!$O$20+'Rent Roll'!$S$20),-'Rent Roll'!$U$20*'Rent Roll'!$F$20*'Rent Roll'!$X$20,0)</f>
        <v>0</v>
      </c>
      <c r="AY168" s="49">
        <f>IF(AY$4=EOMONTH(CloseDate,'Rent Roll'!$O$20+'Rent Roll'!$S$20),-'Rent Roll'!$U$20*'Rent Roll'!$F$20*'Rent Roll'!$X$20,0)</f>
        <v>0</v>
      </c>
      <c r="AZ168" s="49">
        <f>IF(AZ$4=EOMONTH(CloseDate,'Rent Roll'!$O$20+'Rent Roll'!$S$20),-'Rent Roll'!$U$20*'Rent Roll'!$F$20*'Rent Roll'!$X$20,0)</f>
        <v>0</v>
      </c>
      <c r="BA168" s="49">
        <f>IF(BA$4=EOMONTH(CloseDate,'Rent Roll'!$O$20+'Rent Roll'!$S$20),-'Rent Roll'!$U$20*'Rent Roll'!$F$20*'Rent Roll'!$X$20,0)</f>
        <v>0</v>
      </c>
      <c r="BB168" s="49">
        <f>IF(BB$4=EOMONTH(CloseDate,'Rent Roll'!$O$20+'Rent Roll'!$S$20),-'Rent Roll'!$U$20*'Rent Roll'!$F$20*'Rent Roll'!$X$20,0)</f>
        <v>0</v>
      </c>
      <c r="BC168" s="49">
        <f>IF(BC$4=EOMONTH(CloseDate,'Rent Roll'!$O$20+'Rent Roll'!$S$20),-'Rent Roll'!$U$20*'Rent Roll'!$F$20*'Rent Roll'!$X$20,0)</f>
        <v>0</v>
      </c>
      <c r="BD168" s="49">
        <f>IF(BD$4=EOMONTH(CloseDate,'Rent Roll'!$O$20+'Rent Roll'!$S$20),-'Rent Roll'!$U$20*'Rent Roll'!$F$20*'Rent Roll'!$X$20,0)</f>
        <v>0</v>
      </c>
      <c r="BE168" s="49">
        <f>IF(BE$4=EOMONTH(CloseDate,'Rent Roll'!$O$20+'Rent Roll'!$S$20),-'Rent Roll'!$U$20*'Rent Roll'!$F$20*'Rent Roll'!$X$20,0)</f>
        <v>0</v>
      </c>
      <c r="BF168" s="49">
        <f>IF(BF$4=EOMONTH(CloseDate,'Rent Roll'!$O$20+'Rent Roll'!$S$20),-'Rent Roll'!$U$20*'Rent Roll'!$F$20*'Rent Roll'!$X$20,0)</f>
        <v>0</v>
      </c>
      <c r="BG168" s="49">
        <f>IF(BG$4=EOMONTH(CloseDate,'Rent Roll'!$O$20+'Rent Roll'!$S$20),-'Rent Roll'!$U$20*'Rent Roll'!$F$20*'Rent Roll'!$X$20,0)</f>
        <v>0</v>
      </c>
      <c r="BH168" s="49">
        <f>IF(BH$4=EOMONTH(CloseDate,'Rent Roll'!$O$20+'Rent Roll'!$S$20),-'Rent Roll'!$U$20*'Rent Roll'!$F$20*'Rent Roll'!$X$20,0)</f>
        <v>0</v>
      </c>
      <c r="BI168" s="49">
        <f>IF(BI$4=EOMONTH(CloseDate,'Rent Roll'!$O$20+'Rent Roll'!$S$20),-'Rent Roll'!$U$20*'Rent Roll'!$F$20*'Rent Roll'!$X$20,0)</f>
        <v>0</v>
      </c>
      <c r="BJ168" s="49">
        <f>IF(BJ$4=EOMONTH(CloseDate,'Rent Roll'!$O$20+'Rent Roll'!$S$20),-'Rent Roll'!$U$20*'Rent Roll'!$F$20*'Rent Roll'!$X$20,0)</f>
        <v>0</v>
      </c>
      <c r="BK168" s="49">
        <f>IF(BK$4=EOMONTH(CloseDate,'Rent Roll'!$O$20+'Rent Roll'!$S$20),-'Rent Roll'!$U$20*'Rent Roll'!$F$20*'Rent Roll'!$X$20,0)</f>
        <v>0</v>
      </c>
      <c r="BL168" s="49">
        <f>IF(BL$4=EOMONTH(CloseDate,'Rent Roll'!$O$20+'Rent Roll'!$S$20),-'Rent Roll'!$U$20*'Rent Roll'!$F$20*'Rent Roll'!$X$20,0)</f>
        <v>0</v>
      </c>
      <c r="BM168" s="49">
        <f>IF(BM$4=EOMONTH(CloseDate,'Rent Roll'!$O$20+'Rent Roll'!$S$20),-'Rent Roll'!$U$20*'Rent Roll'!$F$20*'Rent Roll'!$X$20,0)</f>
        <v>0</v>
      </c>
      <c r="BN168" s="49">
        <f>IF(BN$4=EOMONTH(CloseDate,'Rent Roll'!$O$20+'Rent Roll'!$S$20),-'Rent Roll'!$U$20*'Rent Roll'!$F$20*'Rent Roll'!$X$20,0)</f>
        <v>-6126.7499999999991</v>
      </c>
      <c r="BO168" s="49">
        <f>IF(BO$4=EOMONTH(CloseDate,'Rent Roll'!$O$20+'Rent Roll'!$S$20),-'Rent Roll'!$U$20*'Rent Roll'!$F$20*'Rent Roll'!$X$20,0)</f>
        <v>0</v>
      </c>
      <c r="BP168" s="49">
        <f>IF(BP$4=EOMONTH(CloseDate,'Rent Roll'!$O$20+'Rent Roll'!$S$20),-'Rent Roll'!$U$20*'Rent Roll'!$F$20*'Rent Roll'!$X$20,0)</f>
        <v>0</v>
      </c>
      <c r="BQ168" s="49">
        <f>IF(BQ$4=EOMONTH(CloseDate,'Rent Roll'!$O$20+'Rent Roll'!$S$20),-'Rent Roll'!$U$20*'Rent Roll'!$F$20*'Rent Roll'!$X$20,0)</f>
        <v>0</v>
      </c>
      <c r="BR168" s="49">
        <f>IF(BR$4=EOMONTH(CloseDate,'Rent Roll'!$O$20+'Rent Roll'!$S$20),-'Rent Roll'!$U$20*'Rent Roll'!$F$20*'Rent Roll'!$X$20,0)</f>
        <v>0</v>
      </c>
      <c r="BS168" s="49">
        <f>IF(BS$4=EOMONTH(CloseDate,'Rent Roll'!$O$20+'Rent Roll'!$S$20),-'Rent Roll'!$U$20*'Rent Roll'!$F$20*'Rent Roll'!$X$20,0)</f>
        <v>0</v>
      </c>
      <c r="BT168" s="49">
        <f>IF(BT$4=EOMONTH(CloseDate,'Rent Roll'!$O$20+'Rent Roll'!$S$20),-'Rent Roll'!$U$20*'Rent Roll'!$F$20*'Rent Roll'!$X$20,0)</f>
        <v>0</v>
      </c>
      <c r="BU168" s="49">
        <f>IF(BU$4=EOMONTH(CloseDate,'Rent Roll'!$O$20+'Rent Roll'!$S$20),-'Rent Roll'!$U$20*'Rent Roll'!$F$20*'Rent Roll'!$X$20,0)</f>
        <v>0</v>
      </c>
      <c r="BV168" s="49">
        <f>IF(BV$4=EOMONTH(CloseDate,'Rent Roll'!$O$20+'Rent Roll'!$S$20),-'Rent Roll'!$U$20*'Rent Roll'!$F$20*'Rent Roll'!$X$20,0)</f>
        <v>0</v>
      </c>
      <c r="BW168" s="49">
        <f>IF(BW$4=EOMONTH(CloseDate,'Rent Roll'!$O$20+'Rent Roll'!$S$20),-'Rent Roll'!$U$20*'Rent Roll'!$F$20*'Rent Roll'!$X$20,0)</f>
        <v>0</v>
      </c>
      <c r="BX168" s="49">
        <f>IF(BX$4=EOMONTH(CloseDate,'Rent Roll'!$O$20+'Rent Roll'!$S$20),-'Rent Roll'!$U$20*'Rent Roll'!$F$20*'Rent Roll'!$X$20,0)</f>
        <v>0</v>
      </c>
    </row>
    <row r="169" spans="1:76" outlineLevel="1">
      <c r="A169" s="17" t="str">
        <f>'Rent Roll'!C21</f>
        <v>Blue Ridge Legal Services</v>
      </c>
      <c r="B169" s="57">
        <f>INDEX('Rent Roll'!$F$5:$F$46,MATCH('Rent Roll Calc'!A169,'Rent Roll'!$C$5:$C$46,0))</f>
        <v>3800</v>
      </c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  <c r="AA169" s="49"/>
      <c r="AB169" s="49"/>
      <c r="AC169" s="49"/>
      <c r="AD169" s="49"/>
      <c r="AE169" s="49"/>
      <c r="AF169" s="49"/>
      <c r="AG169" s="49"/>
      <c r="AH169" s="49"/>
      <c r="AI169" s="49"/>
      <c r="AJ169" s="49"/>
      <c r="AK169" s="49"/>
      <c r="AL169" s="49"/>
      <c r="AM169" s="49"/>
      <c r="AN169" s="49"/>
      <c r="AO169" s="49"/>
      <c r="AP169" s="49"/>
      <c r="AQ169" s="49"/>
      <c r="AR169" s="49"/>
      <c r="AS169" s="49"/>
      <c r="AT169" s="49"/>
      <c r="AU169" s="49"/>
      <c r="AV169" s="49"/>
      <c r="AW169" s="49"/>
      <c r="AX169" s="49"/>
      <c r="AY169" s="49"/>
      <c r="AZ169" s="49"/>
      <c r="BA169" s="49"/>
      <c r="BB169" s="49"/>
      <c r="BC169" s="49"/>
      <c r="BD169" s="49"/>
      <c r="BE169" s="49"/>
      <c r="BF169" s="49"/>
      <c r="BG169" s="49"/>
      <c r="BH169" s="49"/>
      <c r="BI169" s="49"/>
      <c r="BJ169" s="49"/>
      <c r="BK169" s="49"/>
      <c r="BL169" s="49"/>
      <c r="BM169" s="49"/>
      <c r="BN169" s="49"/>
      <c r="BO169" s="49"/>
      <c r="BP169" s="49"/>
      <c r="BQ169" s="49"/>
      <c r="BR169" s="49"/>
      <c r="BS169" s="49"/>
      <c r="BT169" s="49"/>
      <c r="BU169" s="49"/>
      <c r="BV169" s="49"/>
      <c r="BW169" s="49"/>
      <c r="BX169" s="49"/>
    </row>
    <row r="170" spans="1:76" outlineLevel="1">
      <c r="B170" t="s">
        <v>83</v>
      </c>
      <c r="D170" s="49">
        <f>IF(AND('Rent Roll'!$N$21&lt;&gt;"Ghost",D$4&lt;='Rent Roll'!$L$21),1,0)</f>
        <v>1</v>
      </c>
      <c r="E170" s="49">
        <f>IF(AND('Rent Roll'!$N$21&lt;&gt;"Ghost",E$4&lt;='Rent Roll'!$L$21),1,0)</f>
        <v>1</v>
      </c>
      <c r="F170" s="49">
        <f>IF(AND('Rent Roll'!$N$21&lt;&gt;"Ghost",F$4&lt;='Rent Roll'!$L$21),1,0)</f>
        <v>1</v>
      </c>
      <c r="G170" s="49">
        <f>IF(AND('Rent Roll'!$N$21&lt;&gt;"Ghost",G$4&lt;='Rent Roll'!$L$21),1,0)</f>
        <v>1</v>
      </c>
      <c r="H170" s="49">
        <f>IF(AND('Rent Roll'!$N$21&lt;&gt;"Ghost",H$4&lt;='Rent Roll'!$L$21),1,0)</f>
        <v>1</v>
      </c>
      <c r="I170" s="49">
        <f>IF(AND('Rent Roll'!$N$21&lt;&gt;"Ghost",I$4&lt;='Rent Roll'!$L$21),1,0)</f>
        <v>1</v>
      </c>
      <c r="J170" s="49">
        <f>IF(AND('Rent Roll'!$N$21&lt;&gt;"Ghost",J$4&lt;='Rent Roll'!$L$21),1,0)</f>
        <v>1</v>
      </c>
      <c r="K170" s="49">
        <f>IF(AND('Rent Roll'!$N$21&lt;&gt;"Ghost",K$4&lt;='Rent Roll'!$L$21),1,0)</f>
        <v>1</v>
      </c>
      <c r="L170" s="49">
        <f>IF(AND('Rent Roll'!$N$21&lt;&gt;"Ghost",L$4&lt;='Rent Roll'!$L$21),1,0)</f>
        <v>1</v>
      </c>
      <c r="M170" s="49">
        <f>IF(AND('Rent Roll'!$N$21&lt;&gt;"Ghost",M$4&lt;='Rent Roll'!$L$21),1,0)</f>
        <v>1</v>
      </c>
      <c r="N170" s="49">
        <f>IF(AND('Rent Roll'!$N$21&lt;&gt;"Ghost",N$4&lt;='Rent Roll'!$L$21),1,0)</f>
        <v>1</v>
      </c>
      <c r="O170" s="49">
        <f>IF(AND('Rent Roll'!$N$21&lt;&gt;"Ghost",O$4&lt;='Rent Roll'!$L$21),1,0)</f>
        <v>1</v>
      </c>
      <c r="P170" s="49">
        <f>IF(AND('Rent Roll'!$N$21&lt;&gt;"Ghost",P$4&lt;='Rent Roll'!$L$21),1,0)</f>
        <v>1</v>
      </c>
      <c r="Q170" s="49">
        <f>IF(AND('Rent Roll'!$N$21&lt;&gt;"Ghost",Q$4&lt;='Rent Roll'!$L$21),1,0)</f>
        <v>1</v>
      </c>
      <c r="R170" s="49">
        <f>IF(AND('Rent Roll'!$N$21&lt;&gt;"Ghost",R$4&lt;='Rent Roll'!$L$21),1,0)</f>
        <v>1</v>
      </c>
      <c r="S170" s="49">
        <f>IF(AND('Rent Roll'!$N$21&lt;&gt;"Ghost",S$4&lt;='Rent Roll'!$L$21),1,0)</f>
        <v>1</v>
      </c>
      <c r="T170" s="49">
        <f>IF(AND('Rent Roll'!$N$21&lt;&gt;"Ghost",T$4&lt;='Rent Roll'!$L$21),1,0)</f>
        <v>1</v>
      </c>
      <c r="U170" s="49">
        <f>IF(AND('Rent Roll'!$N$21&lt;&gt;"Ghost",U$4&lt;='Rent Roll'!$L$21),1,0)</f>
        <v>1</v>
      </c>
      <c r="V170" s="49">
        <f>IF(AND('Rent Roll'!$N$21&lt;&gt;"Ghost",V$4&lt;='Rent Roll'!$L$21),1,0)</f>
        <v>1</v>
      </c>
      <c r="W170" s="49">
        <f>IF(AND('Rent Roll'!$N$21&lt;&gt;"Ghost",W$4&lt;='Rent Roll'!$L$21),1,0)</f>
        <v>1</v>
      </c>
      <c r="X170" s="49">
        <f>IF(AND('Rent Roll'!$N$21&lt;&gt;"Ghost",X$4&lt;='Rent Roll'!$L$21),1,0)</f>
        <v>1</v>
      </c>
      <c r="Y170" s="49">
        <f>IF(AND('Rent Roll'!$N$21&lt;&gt;"Ghost",Y$4&lt;='Rent Roll'!$L$21),1,0)</f>
        <v>1</v>
      </c>
      <c r="Z170" s="49">
        <f>IF(AND('Rent Roll'!$N$21&lt;&gt;"Ghost",Z$4&lt;='Rent Roll'!$L$21),1,0)</f>
        <v>1</v>
      </c>
      <c r="AA170" s="49">
        <f>IF(AND('Rent Roll'!$N$21&lt;&gt;"Ghost",AA$4&lt;='Rent Roll'!$L$21),1,0)</f>
        <v>1</v>
      </c>
      <c r="AB170" s="49">
        <f>IF(AND('Rent Roll'!$N$21&lt;&gt;"Ghost",AB$4&lt;='Rent Roll'!$L$21),1,0)</f>
        <v>1</v>
      </c>
      <c r="AC170" s="49">
        <f>IF(AND('Rent Roll'!$N$21&lt;&gt;"Ghost",AC$4&lt;='Rent Roll'!$L$21),1,0)</f>
        <v>0</v>
      </c>
      <c r="AD170" s="49">
        <f>IF(AND('Rent Roll'!$N$21&lt;&gt;"Ghost",AD$4&lt;='Rent Roll'!$L$21),1,0)</f>
        <v>0</v>
      </c>
      <c r="AE170" s="49">
        <f>IF(AND('Rent Roll'!$N$21&lt;&gt;"Ghost",AE$4&lt;='Rent Roll'!$L$21),1,0)</f>
        <v>0</v>
      </c>
      <c r="AF170" s="49">
        <f>IF(AND('Rent Roll'!$N$21&lt;&gt;"Ghost",AF$4&lt;='Rent Roll'!$L$21),1,0)</f>
        <v>0</v>
      </c>
      <c r="AG170" s="49">
        <f>IF(AND('Rent Roll'!$N$21&lt;&gt;"Ghost",AG$4&lt;='Rent Roll'!$L$21),1,0)</f>
        <v>0</v>
      </c>
      <c r="AH170" s="49">
        <f>IF(AND('Rent Roll'!$N$21&lt;&gt;"Ghost",AH$4&lt;='Rent Roll'!$L$21),1,0)</f>
        <v>0</v>
      </c>
      <c r="AI170" s="49">
        <f>IF(AND('Rent Roll'!$N$21&lt;&gt;"Ghost",AI$4&lt;='Rent Roll'!$L$21),1,0)</f>
        <v>0</v>
      </c>
      <c r="AJ170" s="49">
        <f>IF(AND('Rent Roll'!$N$21&lt;&gt;"Ghost",AJ$4&lt;='Rent Roll'!$L$21),1,0)</f>
        <v>0</v>
      </c>
      <c r="AK170" s="49">
        <f>IF(AND('Rent Roll'!$N$21&lt;&gt;"Ghost",AK$4&lt;='Rent Roll'!$L$21),1,0)</f>
        <v>0</v>
      </c>
      <c r="AL170" s="49">
        <f>IF(AND('Rent Roll'!$N$21&lt;&gt;"Ghost",AL$4&lt;='Rent Roll'!$L$21),1,0)</f>
        <v>0</v>
      </c>
      <c r="AM170" s="49">
        <f>IF(AND('Rent Roll'!$N$21&lt;&gt;"Ghost",AM$4&lt;='Rent Roll'!$L$21),1,0)</f>
        <v>0</v>
      </c>
      <c r="AN170" s="49">
        <f>IF(AND('Rent Roll'!$N$21&lt;&gt;"Ghost",AN$4&lt;='Rent Roll'!$L$21),1,0)</f>
        <v>0</v>
      </c>
      <c r="AO170" s="49">
        <f>IF(AND('Rent Roll'!$N$21&lt;&gt;"Ghost",AO$4&lt;='Rent Roll'!$L$21),1,0)</f>
        <v>0</v>
      </c>
      <c r="AP170" s="49">
        <f>IF(AND('Rent Roll'!$N$21&lt;&gt;"Ghost",AP$4&lt;='Rent Roll'!$L$21),1,0)</f>
        <v>0</v>
      </c>
      <c r="AQ170" s="49">
        <f>IF(AND('Rent Roll'!$N$21&lt;&gt;"Ghost",AQ$4&lt;='Rent Roll'!$L$21),1,0)</f>
        <v>0</v>
      </c>
      <c r="AR170" s="49">
        <f>IF(AND('Rent Roll'!$N$21&lt;&gt;"Ghost",AR$4&lt;='Rent Roll'!$L$21),1,0)</f>
        <v>0</v>
      </c>
      <c r="AS170" s="49">
        <f>IF(AND('Rent Roll'!$N$21&lt;&gt;"Ghost",AS$4&lt;='Rent Roll'!$L$21),1,0)</f>
        <v>0</v>
      </c>
      <c r="AT170" s="49">
        <f>IF(AND('Rent Roll'!$N$21&lt;&gt;"Ghost",AT$4&lt;='Rent Roll'!$L$21),1,0)</f>
        <v>0</v>
      </c>
      <c r="AU170" s="49">
        <f>IF(AND('Rent Roll'!$N$21&lt;&gt;"Ghost",AU$4&lt;='Rent Roll'!$L$21),1,0)</f>
        <v>0</v>
      </c>
      <c r="AV170" s="49">
        <f>IF(AND('Rent Roll'!$N$21&lt;&gt;"Ghost",AV$4&lt;='Rent Roll'!$L$21),1,0)</f>
        <v>0</v>
      </c>
      <c r="AW170" s="49">
        <f>IF(AND('Rent Roll'!$N$21&lt;&gt;"Ghost",AW$4&lt;='Rent Roll'!$L$21),1,0)</f>
        <v>0</v>
      </c>
      <c r="AX170" s="49">
        <f>IF(AND('Rent Roll'!$N$21&lt;&gt;"Ghost",AX$4&lt;='Rent Roll'!$L$21),1,0)</f>
        <v>0</v>
      </c>
      <c r="AY170" s="49">
        <f>IF(AND('Rent Roll'!$N$21&lt;&gt;"Ghost",AY$4&lt;='Rent Roll'!$L$21),1,0)</f>
        <v>0</v>
      </c>
      <c r="AZ170" s="49">
        <f>IF(AND('Rent Roll'!$N$21&lt;&gt;"Ghost",AZ$4&lt;='Rent Roll'!$L$21),1,0)</f>
        <v>0</v>
      </c>
      <c r="BA170" s="49">
        <f>IF(AND('Rent Roll'!$N$21&lt;&gt;"Ghost",BA$4&lt;='Rent Roll'!$L$21),1,0)</f>
        <v>0</v>
      </c>
      <c r="BB170" s="49">
        <f>IF(AND('Rent Roll'!$N$21&lt;&gt;"Ghost",BB$4&lt;='Rent Roll'!$L$21),1,0)</f>
        <v>0</v>
      </c>
      <c r="BC170" s="49">
        <f>IF(AND('Rent Roll'!$N$21&lt;&gt;"Ghost",BC$4&lt;='Rent Roll'!$L$21),1,0)</f>
        <v>0</v>
      </c>
      <c r="BD170" s="49">
        <f>IF(AND('Rent Roll'!$N$21&lt;&gt;"Ghost",BD$4&lt;='Rent Roll'!$L$21),1,0)</f>
        <v>0</v>
      </c>
      <c r="BE170" s="49">
        <f>IF(AND('Rent Roll'!$N$21&lt;&gt;"Ghost",BE$4&lt;='Rent Roll'!$L$21),1,0)</f>
        <v>0</v>
      </c>
      <c r="BF170" s="49">
        <f>IF(AND('Rent Roll'!$N$21&lt;&gt;"Ghost",BF$4&lt;='Rent Roll'!$L$21),1,0)</f>
        <v>0</v>
      </c>
      <c r="BG170" s="49">
        <f>IF(AND('Rent Roll'!$N$21&lt;&gt;"Ghost",BG$4&lt;='Rent Roll'!$L$21),1,0)</f>
        <v>0</v>
      </c>
      <c r="BH170" s="49">
        <f>IF(AND('Rent Roll'!$N$21&lt;&gt;"Ghost",BH$4&lt;='Rent Roll'!$L$21),1,0)</f>
        <v>0</v>
      </c>
      <c r="BI170" s="49">
        <f>IF(AND('Rent Roll'!$N$21&lt;&gt;"Ghost",BI$4&lt;='Rent Roll'!$L$21),1,0)</f>
        <v>0</v>
      </c>
      <c r="BJ170" s="49">
        <f>IF(AND('Rent Roll'!$N$21&lt;&gt;"Ghost",BJ$4&lt;='Rent Roll'!$L$21),1,0)</f>
        <v>0</v>
      </c>
      <c r="BK170" s="49">
        <f>IF(AND('Rent Roll'!$N$21&lt;&gt;"Ghost",BK$4&lt;='Rent Roll'!$L$21),1,0)</f>
        <v>0</v>
      </c>
      <c r="BL170" s="49">
        <f>IF(AND('Rent Roll'!$N$21&lt;&gt;"Ghost",BL$4&lt;='Rent Roll'!$L$21),1,0)</f>
        <v>0</v>
      </c>
      <c r="BM170" s="49">
        <f>IF(AND('Rent Roll'!$N$21&lt;&gt;"Ghost",BM$4&lt;='Rent Roll'!$L$21),1,0)</f>
        <v>0</v>
      </c>
      <c r="BN170" s="49">
        <f>IF(AND('Rent Roll'!$N$21&lt;&gt;"Ghost",BN$4&lt;='Rent Roll'!$L$21),1,0)</f>
        <v>0</v>
      </c>
      <c r="BO170" s="49">
        <f>IF(AND('Rent Roll'!$N$21&lt;&gt;"Ghost",BO$4&lt;='Rent Roll'!$L$21),1,0)</f>
        <v>0</v>
      </c>
      <c r="BP170" s="49">
        <f>IF(AND('Rent Roll'!$N$21&lt;&gt;"Ghost",BP$4&lt;='Rent Roll'!$L$21),1,0)</f>
        <v>0</v>
      </c>
      <c r="BQ170" s="49">
        <f>IF(AND('Rent Roll'!$N$21&lt;&gt;"Ghost",BQ$4&lt;='Rent Roll'!$L$21),1,0)</f>
        <v>0</v>
      </c>
      <c r="BR170" s="49">
        <f>IF(AND('Rent Roll'!$N$21&lt;&gt;"Ghost",BR$4&lt;='Rent Roll'!$L$21),1,0)</f>
        <v>0</v>
      </c>
      <c r="BS170" s="49">
        <f>IF(AND('Rent Roll'!$N$21&lt;&gt;"Ghost",BS$4&lt;='Rent Roll'!$L$21),1,0)</f>
        <v>0</v>
      </c>
      <c r="BT170" s="49">
        <f>IF(AND('Rent Roll'!$N$21&lt;&gt;"Ghost",BT$4&lt;='Rent Roll'!$L$21),1,0)</f>
        <v>0</v>
      </c>
      <c r="BU170" s="49">
        <f>IF(AND('Rent Roll'!$N$21&lt;&gt;"Ghost",BU$4&lt;='Rent Roll'!$L$21),1,0)</f>
        <v>0</v>
      </c>
      <c r="BV170" s="49">
        <f>IF(AND('Rent Roll'!$N$21&lt;&gt;"Ghost",BV$4&lt;='Rent Roll'!$L$21),1,0)</f>
        <v>0</v>
      </c>
      <c r="BW170" s="49">
        <f>IF(AND('Rent Roll'!$N$21&lt;&gt;"Ghost",BW$4&lt;='Rent Roll'!$L$21),1,0)</f>
        <v>0</v>
      </c>
      <c r="BX170" s="49">
        <f>IF(AND('Rent Roll'!$N$21&lt;&gt;"Ghost",BX$4&lt;='Rent Roll'!$L$21),1,0)</f>
        <v>0</v>
      </c>
    </row>
    <row r="171" spans="1:76" outlineLevel="1">
      <c r="B171" t="s">
        <v>159</v>
      </c>
      <c r="D171" s="49">
        <f>IF(D170=1,'Rent Roll'!$H$21/12*(1+'Rent Roll'!$I$21)^IF(D$4&lt;'Rent Roll'!$Y$21,0,YEAR(D$4)-YEAR('Rent Roll'!$Y$21)+1),0)</f>
        <v>6333.333333333333</v>
      </c>
      <c r="E171" s="49">
        <f>IF(E170=1,'Rent Roll'!$H$21/12*(1+'Rent Roll'!$I$21)^IF(E$4&lt;'Rent Roll'!$Y$21,0,YEAR(E$4)-YEAR('Rent Roll'!$Y$21)+1),0)</f>
        <v>6491.6666666666661</v>
      </c>
      <c r="F171" s="49">
        <f>IF(F170=1,'Rent Roll'!$H$21/12*(1+'Rent Roll'!$I$21)^IF(F$4&lt;'Rent Roll'!$Y$21,0,YEAR(F$4)-YEAR('Rent Roll'!$Y$21)+1),0)</f>
        <v>6491.6666666666661</v>
      </c>
      <c r="G171" s="49">
        <f>IF(G170=1,'Rent Roll'!$H$21/12*(1+'Rent Roll'!$I$21)^IF(G$4&lt;'Rent Roll'!$Y$21,0,YEAR(G$4)-YEAR('Rent Roll'!$Y$21)+1),0)</f>
        <v>6491.6666666666661</v>
      </c>
      <c r="H171" s="49">
        <f>IF(H170=1,'Rent Roll'!$H$21/12*(1+'Rent Roll'!$I$21)^IF(H$4&lt;'Rent Roll'!$Y$21,0,YEAR(H$4)-YEAR('Rent Roll'!$Y$21)+1),0)</f>
        <v>6491.6666666666661</v>
      </c>
      <c r="I171" s="49">
        <f>IF(I170=1,'Rent Roll'!$H$21/12*(1+'Rent Roll'!$I$21)^IF(I$4&lt;'Rent Roll'!$Y$21,0,YEAR(I$4)-YEAR('Rent Roll'!$Y$21)+1),0)</f>
        <v>6653.9583333333321</v>
      </c>
      <c r="J171" s="49">
        <f>IF(J170=1,'Rent Roll'!$H$21/12*(1+'Rent Roll'!$I$21)^IF(J$4&lt;'Rent Roll'!$Y$21,0,YEAR(J$4)-YEAR('Rent Roll'!$Y$21)+1),0)</f>
        <v>6653.9583333333321</v>
      </c>
      <c r="K171" s="49">
        <f>IF(K170=1,'Rent Roll'!$H$21/12*(1+'Rent Roll'!$I$21)^IF(K$4&lt;'Rent Roll'!$Y$21,0,YEAR(K$4)-YEAR('Rent Roll'!$Y$21)+1),0)</f>
        <v>6653.9583333333321</v>
      </c>
      <c r="L171" s="49">
        <f>IF(L170=1,'Rent Roll'!$H$21/12*(1+'Rent Roll'!$I$21)^IF(L$4&lt;'Rent Roll'!$Y$21,0,YEAR(L$4)-YEAR('Rent Roll'!$Y$21)+1),0)</f>
        <v>6653.9583333333321</v>
      </c>
      <c r="M171" s="49">
        <f>IF(M170=1,'Rent Roll'!$H$21/12*(1+'Rent Roll'!$I$21)^IF(M$4&lt;'Rent Roll'!$Y$21,0,YEAR(M$4)-YEAR('Rent Roll'!$Y$21)+1),0)</f>
        <v>6653.9583333333321</v>
      </c>
      <c r="N171" s="49">
        <f>IF(N170=1,'Rent Roll'!$H$21/12*(1+'Rent Roll'!$I$21)^IF(N$4&lt;'Rent Roll'!$Y$21,0,YEAR(N$4)-YEAR('Rent Roll'!$Y$21)+1),0)</f>
        <v>6653.9583333333321</v>
      </c>
      <c r="O171" s="49">
        <f>IF(O170=1,'Rent Roll'!$H$21/12*(1+'Rent Roll'!$I$21)^IF(O$4&lt;'Rent Roll'!$Y$21,0,YEAR(O$4)-YEAR('Rent Roll'!$Y$21)+1),0)</f>
        <v>6653.9583333333321</v>
      </c>
      <c r="P171" s="49">
        <f>IF(P170=1,'Rent Roll'!$H$21/12*(1+'Rent Roll'!$I$21)^IF(P$4&lt;'Rent Roll'!$Y$21,0,YEAR(P$4)-YEAR('Rent Roll'!$Y$21)+1),0)</f>
        <v>6653.9583333333321</v>
      </c>
      <c r="Q171" s="49">
        <f>IF(Q170=1,'Rent Roll'!$H$21/12*(1+'Rent Roll'!$I$21)^IF(Q$4&lt;'Rent Roll'!$Y$21,0,YEAR(Q$4)-YEAR('Rent Roll'!$Y$21)+1),0)</f>
        <v>6653.9583333333321</v>
      </c>
      <c r="R171" s="49">
        <f>IF(R170=1,'Rent Roll'!$H$21/12*(1+'Rent Roll'!$I$21)^IF(R$4&lt;'Rent Roll'!$Y$21,0,YEAR(R$4)-YEAR('Rent Roll'!$Y$21)+1),0)</f>
        <v>6653.9583333333321</v>
      </c>
      <c r="S171" s="49">
        <f>IF(S170=1,'Rent Roll'!$H$21/12*(1+'Rent Roll'!$I$21)^IF(S$4&lt;'Rent Roll'!$Y$21,0,YEAR(S$4)-YEAR('Rent Roll'!$Y$21)+1),0)</f>
        <v>6653.9583333333321</v>
      </c>
      <c r="T171" s="49">
        <f>IF(T170=1,'Rent Roll'!$H$21/12*(1+'Rent Roll'!$I$21)^IF(T$4&lt;'Rent Roll'!$Y$21,0,YEAR(T$4)-YEAR('Rent Roll'!$Y$21)+1),0)</f>
        <v>6653.9583333333321</v>
      </c>
      <c r="U171" s="49">
        <f>IF(U170=1,'Rent Roll'!$H$21/12*(1+'Rent Roll'!$I$21)^IF(U$4&lt;'Rent Roll'!$Y$21,0,YEAR(U$4)-YEAR('Rent Roll'!$Y$21)+1),0)</f>
        <v>6820.3072916666652</v>
      </c>
      <c r="V171" s="49">
        <f>IF(V170=1,'Rent Roll'!$H$21/12*(1+'Rent Roll'!$I$21)^IF(V$4&lt;'Rent Roll'!$Y$21,0,YEAR(V$4)-YEAR('Rent Roll'!$Y$21)+1),0)</f>
        <v>6820.3072916666652</v>
      </c>
      <c r="W171" s="49">
        <f>IF(W170=1,'Rent Roll'!$H$21/12*(1+'Rent Roll'!$I$21)^IF(W$4&lt;'Rent Roll'!$Y$21,0,YEAR(W$4)-YEAR('Rent Roll'!$Y$21)+1),0)</f>
        <v>6820.3072916666652</v>
      </c>
      <c r="X171" s="49">
        <f>IF(X170=1,'Rent Roll'!$H$21/12*(1+'Rent Roll'!$I$21)^IF(X$4&lt;'Rent Roll'!$Y$21,0,YEAR(X$4)-YEAR('Rent Roll'!$Y$21)+1),0)</f>
        <v>6820.3072916666652</v>
      </c>
      <c r="Y171" s="49">
        <f>IF(Y170=1,'Rent Roll'!$H$21/12*(1+'Rent Roll'!$I$21)^IF(Y$4&lt;'Rent Roll'!$Y$21,0,YEAR(Y$4)-YEAR('Rent Roll'!$Y$21)+1),0)</f>
        <v>6820.3072916666652</v>
      </c>
      <c r="Z171" s="49">
        <f>IF(Z170=1,'Rent Roll'!$H$21/12*(1+'Rent Roll'!$I$21)^IF(Z$4&lt;'Rent Roll'!$Y$21,0,YEAR(Z$4)-YEAR('Rent Roll'!$Y$21)+1),0)</f>
        <v>6820.3072916666652</v>
      </c>
      <c r="AA171" s="49">
        <f>IF(AA170=1,'Rent Roll'!$H$21/12*(1+'Rent Roll'!$I$21)^IF(AA$4&lt;'Rent Roll'!$Y$21,0,YEAR(AA$4)-YEAR('Rent Roll'!$Y$21)+1),0)</f>
        <v>6820.3072916666652</v>
      </c>
      <c r="AB171" s="49">
        <f>IF(AB170=1,'Rent Roll'!$H$21/12*(1+'Rent Roll'!$I$21)^IF(AB$4&lt;'Rent Roll'!$Y$21,0,YEAR(AB$4)-YEAR('Rent Roll'!$Y$21)+1),0)</f>
        <v>6820.3072916666652</v>
      </c>
      <c r="AC171" s="49">
        <f>IF(AC170=1,'Rent Roll'!$H$21/12*(1+'Rent Roll'!$I$21)^IF(AC$4&lt;'Rent Roll'!$Y$21,0,YEAR(AC$4)-YEAR('Rent Roll'!$Y$21)+1),0)</f>
        <v>0</v>
      </c>
      <c r="AD171" s="49">
        <f>IF(AD170=1,'Rent Roll'!$H$21/12*(1+'Rent Roll'!$I$21)^IF(AD$4&lt;'Rent Roll'!$Y$21,0,YEAR(AD$4)-YEAR('Rent Roll'!$Y$21)+1),0)</f>
        <v>0</v>
      </c>
      <c r="AE171" s="49">
        <f>IF(AE170=1,'Rent Roll'!$H$21/12*(1+'Rent Roll'!$I$21)^IF(AE$4&lt;'Rent Roll'!$Y$21,0,YEAR(AE$4)-YEAR('Rent Roll'!$Y$21)+1),0)</f>
        <v>0</v>
      </c>
      <c r="AF171" s="49">
        <f>IF(AF170=1,'Rent Roll'!$H$21/12*(1+'Rent Roll'!$I$21)^IF(AF$4&lt;'Rent Roll'!$Y$21,0,YEAR(AF$4)-YEAR('Rent Roll'!$Y$21)+1),0)</f>
        <v>0</v>
      </c>
      <c r="AG171" s="49">
        <f>IF(AG170=1,'Rent Roll'!$H$21/12*(1+'Rent Roll'!$I$21)^IF(AG$4&lt;'Rent Roll'!$Y$21,0,YEAR(AG$4)-YEAR('Rent Roll'!$Y$21)+1),0)</f>
        <v>0</v>
      </c>
      <c r="AH171" s="49">
        <f>IF(AH170=1,'Rent Roll'!$H$21/12*(1+'Rent Roll'!$I$21)^IF(AH$4&lt;'Rent Roll'!$Y$21,0,YEAR(AH$4)-YEAR('Rent Roll'!$Y$21)+1),0)</f>
        <v>0</v>
      </c>
      <c r="AI171" s="49">
        <f>IF(AI170=1,'Rent Roll'!$H$21/12*(1+'Rent Roll'!$I$21)^IF(AI$4&lt;'Rent Roll'!$Y$21,0,YEAR(AI$4)-YEAR('Rent Roll'!$Y$21)+1),0)</f>
        <v>0</v>
      </c>
      <c r="AJ171" s="49">
        <f>IF(AJ170=1,'Rent Roll'!$H$21/12*(1+'Rent Roll'!$I$21)^IF(AJ$4&lt;'Rent Roll'!$Y$21,0,YEAR(AJ$4)-YEAR('Rent Roll'!$Y$21)+1),0)</f>
        <v>0</v>
      </c>
      <c r="AK171" s="49">
        <f>IF(AK170=1,'Rent Roll'!$H$21/12*(1+'Rent Roll'!$I$21)^IF(AK$4&lt;'Rent Roll'!$Y$21,0,YEAR(AK$4)-YEAR('Rent Roll'!$Y$21)+1),0)</f>
        <v>0</v>
      </c>
      <c r="AL171" s="49">
        <f>IF(AL170=1,'Rent Roll'!$H$21/12*(1+'Rent Roll'!$I$21)^IF(AL$4&lt;'Rent Roll'!$Y$21,0,YEAR(AL$4)-YEAR('Rent Roll'!$Y$21)+1),0)</f>
        <v>0</v>
      </c>
      <c r="AM171" s="49">
        <f>IF(AM170=1,'Rent Roll'!$H$21/12*(1+'Rent Roll'!$I$21)^IF(AM$4&lt;'Rent Roll'!$Y$21,0,YEAR(AM$4)-YEAR('Rent Roll'!$Y$21)+1),0)</f>
        <v>0</v>
      </c>
      <c r="AN171" s="49">
        <f>IF(AN170=1,'Rent Roll'!$H$21/12*(1+'Rent Roll'!$I$21)^IF(AN$4&lt;'Rent Roll'!$Y$21,0,YEAR(AN$4)-YEAR('Rent Roll'!$Y$21)+1),0)</f>
        <v>0</v>
      </c>
      <c r="AO171" s="49">
        <f>IF(AO170=1,'Rent Roll'!$H$21/12*(1+'Rent Roll'!$I$21)^IF(AO$4&lt;'Rent Roll'!$Y$21,0,YEAR(AO$4)-YEAR('Rent Roll'!$Y$21)+1),0)</f>
        <v>0</v>
      </c>
      <c r="AP171" s="49">
        <f>IF(AP170=1,'Rent Roll'!$H$21/12*(1+'Rent Roll'!$I$21)^IF(AP$4&lt;'Rent Roll'!$Y$21,0,YEAR(AP$4)-YEAR('Rent Roll'!$Y$21)+1),0)</f>
        <v>0</v>
      </c>
      <c r="AQ171" s="49">
        <f>IF(AQ170=1,'Rent Roll'!$H$21/12*(1+'Rent Roll'!$I$21)^IF(AQ$4&lt;'Rent Roll'!$Y$21,0,YEAR(AQ$4)-YEAR('Rent Roll'!$Y$21)+1),0)</f>
        <v>0</v>
      </c>
      <c r="AR171" s="49">
        <f>IF(AR170=1,'Rent Roll'!$H$21/12*(1+'Rent Roll'!$I$21)^IF(AR$4&lt;'Rent Roll'!$Y$21,0,YEAR(AR$4)-YEAR('Rent Roll'!$Y$21)+1),0)</f>
        <v>0</v>
      </c>
      <c r="AS171" s="49">
        <f>IF(AS170=1,'Rent Roll'!$H$21/12*(1+'Rent Roll'!$I$21)^IF(AS$4&lt;'Rent Roll'!$Y$21,0,YEAR(AS$4)-YEAR('Rent Roll'!$Y$21)+1),0)</f>
        <v>0</v>
      </c>
      <c r="AT171" s="49">
        <f>IF(AT170=1,'Rent Roll'!$H$21/12*(1+'Rent Roll'!$I$21)^IF(AT$4&lt;'Rent Roll'!$Y$21,0,YEAR(AT$4)-YEAR('Rent Roll'!$Y$21)+1),0)</f>
        <v>0</v>
      </c>
      <c r="AU171" s="49">
        <f>IF(AU170=1,'Rent Roll'!$H$21/12*(1+'Rent Roll'!$I$21)^IF(AU$4&lt;'Rent Roll'!$Y$21,0,YEAR(AU$4)-YEAR('Rent Roll'!$Y$21)+1),0)</f>
        <v>0</v>
      </c>
      <c r="AV171" s="49">
        <f>IF(AV170=1,'Rent Roll'!$H$21/12*(1+'Rent Roll'!$I$21)^IF(AV$4&lt;'Rent Roll'!$Y$21,0,YEAR(AV$4)-YEAR('Rent Roll'!$Y$21)+1),0)</f>
        <v>0</v>
      </c>
      <c r="AW171" s="49">
        <f>IF(AW170=1,'Rent Roll'!$H$21/12*(1+'Rent Roll'!$I$21)^IF(AW$4&lt;'Rent Roll'!$Y$21,0,YEAR(AW$4)-YEAR('Rent Roll'!$Y$21)+1),0)</f>
        <v>0</v>
      </c>
      <c r="AX171" s="49">
        <f>IF(AX170=1,'Rent Roll'!$H$21/12*(1+'Rent Roll'!$I$21)^IF(AX$4&lt;'Rent Roll'!$Y$21,0,YEAR(AX$4)-YEAR('Rent Roll'!$Y$21)+1),0)</f>
        <v>0</v>
      </c>
      <c r="AY171" s="49">
        <f>IF(AY170=1,'Rent Roll'!$H$21/12*(1+'Rent Roll'!$I$21)^IF(AY$4&lt;'Rent Roll'!$Y$21,0,YEAR(AY$4)-YEAR('Rent Roll'!$Y$21)+1),0)</f>
        <v>0</v>
      </c>
      <c r="AZ171" s="49">
        <f>IF(AZ170=1,'Rent Roll'!$H$21/12*(1+'Rent Roll'!$I$21)^IF(AZ$4&lt;'Rent Roll'!$Y$21,0,YEAR(AZ$4)-YEAR('Rent Roll'!$Y$21)+1),0)</f>
        <v>0</v>
      </c>
      <c r="BA171" s="49">
        <f>IF(BA170=1,'Rent Roll'!$H$21/12*(1+'Rent Roll'!$I$21)^IF(BA$4&lt;'Rent Roll'!$Y$21,0,YEAR(BA$4)-YEAR('Rent Roll'!$Y$21)+1),0)</f>
        <v>0</v>
      </c>
      <c r="BB171" s="49">
        <f>IF(BB170=1,'Rent Roll'!$H$21/12*(1+'Rent Roll'!$I$21)^IF(BB$4&lt;'Rent Roll'!$Y$21,0,YEAR(BB$4)-YEAR('Rent Roll'!$Y$21)+1),0)</f>
        <v>0</v>
      </c>
      <c r="BC171" s="49">
        <f>IF(BC170=1,'Rent Roll'!$H$21/12*(1+'Rent Roll'!$I$21)^IF(BC$4&lt;'Rent Roll'!$Y$21,0,YEAR(BC$4)-YEAR('Rent Roll'!$Y$21)+1),0)</f>
        <v>0</v>
      </c>
      <c r="BD171" s="49">
        <f>IF(BD170=1,'Rent Roll'!$H$21/12*(1+'Rent Roll'!$I$21)^IF(BD$4&lt;'Rent Roll'!$Y$21,0,YEAR(BD$4)-YEAR('Rent Roll'!$Y$21)+1),0)</f>
        <v>0</v>
      </c>
      <c r="BE171" s="49">
        <f>IF(BE170=1,'Rent Roll'!$H$21/12*(1+'Rent Roll'!$I$21)^IF(BE$4&lt;'Rent Roll'!$Y$21,0,YEAR(BE$4)-YEAR('Rent Roll'!$Y$21)+1),0)</f>
        <v>0</v>
      </c>
      <c r="BF171" s="49">
        <f>IF(BF170=1,'Rent Roll'!$H$21/12*(1+'Rent Roll'!$I$21)^IF(BF$4&lt;'Rent Roll'!$Y$21,0,YEAR(BF$4)-YEAR('Rent Roll'!$Y$21)+1),0)</f>
        <v>0</v>
      </c>
      <c r="BG171" s="49">
        <f>IF(BG170=1,'Rent Roll'!$H$21/12*(1+'Rent Roll'!$I$21)^IF(BG$4&lt;'Rent Roll'!$Y$21,0,YEAR(BG$4)-YEAR('Rent Roll'!$Y$21)+1),0)</f>
        <v>0</v>
      </c>
      <c r="BH171" s="49">
        <f>IF(BH170=1,'Rent Roll'!$H$21/12*(1+'Rent Roll'!$I$21)^IF(BH$4&lt;'Rent Roll'!$Y$21,0,YEAR(BH$4)-YEAR('Rent Roll'!$Y$21)+1),0)</f>
        <v>0</v>
      </c>
      <c r="BI171" s="49">
        <f>IF(BI170=1,'Rent Roll'!$H$21/12*(1+'Rent Roll'!$I$21)^IF(BI$4&lt;'Rent Roll'!$Y$21,0,YEAR(BI$4)-YEAR('Rent Roll'!$Y$21)+1),0)</f>
        <v>0</v>
      </c>
      <c r="BJ171" s="49">
        <f>IF(BJ170=1,'Rent Roll'!$H$21/12*(1+'Rent Roll'!$I$21)^IF(BJ$4&lt;'Rent Roll'!$Y$21,0,YEAR(BJ$4)-YEAR('Rent Roll'!$Y$21)+1),0)</f>
        <v>0</v>
      </c>
      <c r="BK171" s="49">
        <f>IF(BK170=1,'Rent Roll'!$H$21/12*(1+'Rent Roll'!$I$21)^IF(BK$4&lt;'Rent Roll'!$Y$21,0,YEAR(BK$4)-YEAR('Rent Roll'!$Y$21)+1),0)</f>
        <v>0</v>
      </c>
      <c r="BL171" s="49">
        <f>IF(BL170=1,'Rent Roll'!$H$21/12*(1+'Rent Roll'!$I$21)^IF(BL$4&lt;'Rent Roll'!$Y$21,0,YEAR(BL$4)-YEAR('Rent Roll'!$Y$21)+1),0)</f>
        <v>0</v>
      </c>
      <c r="BM171" s="49">
        <f>IF(BM170=1,'Rent Roll'!$H$21/12*(1+'Rent Roll'!$I$21)^IF(BM$4&lt;'Rent Roll'!$Y$21,0,YEAR(BM$4)-YEAR('Rent Roll'!$Y$21)+1),0)</f>
        <v>0</v>
      </c>
      <c r="BN171" s="49">
        <f>IF(BN170=1,'Rent Roll'!$H$21/12*(1+'Rent Roll'!$I$21)^IF(BN$4&lt;'Rent Roll'!$Y$21,0,YEAR(BN$4)-YEAR('Rent Roll'!$Y$21)+1),0)</f>
        <v>0</v>
      </c>
      <c r="BO171" s="49">
        <f>IF(BO170=1,'Rent Roll'!$H$21/12*(1+'Rent Roll'!$I$21)^IF(BO$4&lt;'Rent Roll'!$Y$21,0,YEAR(BO$4)-YEAR('Rent Roll'!$Y$21)+1),0)</f>
        <v>0</v>
      </c>
      <c r="BP171" s="49">
        <f>IF(BP170=1,'Rent Roll'!$H$21/12*(1+'Rent Roll'!$I$21)^IF(BP$4&lt;'Rent Roll'!$Y$21,0,YEAR(BP$4)-YEAR('Rent Roll'!$Y$21)+1),0)</f>
        <v>0</v>
      </c>
      <c r="BQ171" s="49">
        <f>IF(BQ170=1,'Rent Roll'!$H$21/12*(1+'Rent Roll'!$I$21)^IF(BQ$4&lt;'Rent Roll'!$Y$21,0,YEAR(BQ$4)-YEAR('Rent Roll'!$Y$21)+1),0)</f>
        <v>0</v>
      </c>
      <c r="BR171" s="49">
        <f>IF(BR170=1,'Rent Roll'!$H$21/12*(1+'Rent Roll'!$I$21)^IF(BR$4&lt;'Rent Roll'!$Y$21,0,YEAR(BR$4)-YEAR('Rent Roll'!$Y$21)+1),0)</f>
        <v>0</v>
      </c>
      <c r="BS171" s="49">
        <f>IF(BS170=1,'Rent Roll'!$H$21/12*(1+'Rent Roll'!$I$21)^IF(BS$4&lt;'Rent Roll'!$Y$21,0,YEAR(BS$4)-YEAR('Rent Roll'!$Y$21)+1),0)</f>
        <v>0</v>
      </c>
      <c r="BT171" s="49">
        <f>IF(BT170=1,'Rent Roll'!$H$21/12*(1+'Rent Roll'!$I$21)^IF(BT$4&lt;'Rent Roll'!$Y$21,0,YEAR(BT$4)-YEAR('Rent Roll'!$Y$21)+1),0)</f>
        <v>0</v>
      </c>
      <c r="BU171" s="49">
        <f>IF(BU170=1,'Rent Roll'!$H$21/12*(1+'Rent Roll'!$I$21)^IF(BU$4&lt;'Rent Roll'!$Y$21,0,YEAR(BU$4)-YEAR('Rent Roll'!$Y$21)+1),0)</f>
        <v>0</v>
      </c>
      <c r="BV171" s="49">
        <f>IF(BV170=1,'Rent Roll'!$H$21/12*(1+'Rent Roll'!$I$21)^IF(BV$4&lt;'Rent Roll'!$Y$21,0,YEAR(BV$4)-YEAR('Rent Roll'!$Y$21)+1),0)</f>
        <v>0</v>
      </c>
      <c r="BW171" s="49">
        <f>IF(BW170=1,'Rent Roll'!$H$21/12*(1+'Rent Roll'!$I$21)^IF(BW$4&lt;'Rent Roll'!$Y$21,0,YEAR(BW$4)-YEAR('Rent Roll'!$Y$21)+1),0)</f>
        <v>0</v>
      </c>
      <c r="BX171" s="49">
        <f>IF(BX170=1,'Rent Roll'!$H$21/12*(1+'Rent Roll'!$I$21)^IF(BX$4&lt;'Rent Roll'!$Y$21,0,YEAR(BX$4)-YEAR('Rent Roll'!$Y$21)+1),0)</f>
        <v>0</v>
      </c>
    </row>
    <row r="172" spans="1:76" outlineLevel="1">
      <c r="B172" t="s">
        <v>160</v>
      </c>
      <c r="D172" s="49">
        <f>IF(D$4&gt;EOMONTH(CloseDate,'Rent Roll'!$O$21+'Rent Roll'!$S$21-1),1,0)</f>
        <v>0</v>
      </c>
      <c r="E172" s="49">
        <f>IF(E$4&gt;EOMONTH(CloseDate,'Rent Roll'!$O$21+'Rent Roll'!$S$21-1),1,0)</f>
        <v>0</v>
      </c>
      <c r="F172" s="49">
        <f>IF(F$4&gt;EOMONTH(CloseDate,'Rent Roll'!$O$21+'Rent Roll'!$S$21-1),1,0)</f>
        <v>0</v>
      </c>
      <c r="G172" s="49">
        <f>IF(G$4&gt;EOMONTH(CloseDate,'Rent Roll'!$O$21+'Rent Roll'!$S$21-1),1,0)</f>
        <v>0</v>
      </c>
      <c r="H172" s="49">
        <f>IF(H$4&gt;EOMONTH(CloseDate,'Rent Roll'!$O$21+'Rent Roll'!$S$21-1),1,0)</f>
        <v>0</v>
      </c>
      <c r="I172" s="49">
        <f>IF(I$4&gt;EOMONTH(CloseDate,'Rent Roll'!$O$21+'Rent Roll'!$S$21-1),1,0)</f>
        <v>0</v>
      </c>
      <c r="J172" s="49">
        <f>IF(J$4&gt;EOMONTH(CloseDate,'Rent Roll'!$O$21+'Rent Roll'!$S$21-1),1,0)</f>
        <v>0</v>
      </c>
      <c r="K172" s="49">
        <f>IF(K$4&gt;EOMONTH(CloseDate,'Rent Roll'!$O$21+'Rent Roll'!$S$21-1),1,0)</f>
        <v>0</v>
      </c>
      <c r="L172" s="49">
        <f>IF(L$4&gt;EOMONTH(CloseDate,'Rent Roll'!$O$21+'Rent Roll'!$S$21-1),1,0)</f>
        <v>0</v>
      </c>
      <c r="M172" s="49">
        <f>IF(M$4&gt;EOMONTH(CloseDate,'Rent Roll'!$O$21+'Rent Roll'!$S$21-1),1,0)</f>
        <v>0</v>
      </c>
      <c r="N172" s="49">
        <f>IF(N$4&gt;EOMONTH(CloseDate,'Rent Roll'!$O$21+'Rent Roll'!$S$21-1),1,0)</f>
        <v>0</v>
      </c>
      <c r="O172" s="49">
        <f>IF(O$4&gt;EOMONTH(CloseDate,'Rent Roll'!$O$21+'Rent Roll'!$S$21-1),1,0)</f>
        <v>0</v>
      </c>
      <c r="P172" s="49">
        <f>IF(P$4&gt;EOMONTH(CloseDate,'Rent Roll'!$O$21+'Rent Roll'!$S$21-1),1,0)</f>
        <v>0</v>
      </c>
      <c r="Q172" s="49">
        <f>IF(Q$4&gt;EOMONTH(CloseDate,'Rent Roll'!$O$21+'Rent Roll'!$S$21-1),1,0)</f>
        <v>0</v>
      </c>
      <c r="R172" s="49">
        <f>IF(R$4&gt;EOMONTH(CloseDate,'Rent Roll'!$O$21+'Rent Roll'!$S$21-1),1,0)</f>
        <v>0</v>
      </c>
      <c r="S172" s="49">
        <f>IF(S$4&gt;EOMONTH(CloseDate,'Rent Roll'!$O$21+'Rent Roll'!$S$21-1),1,0)</f>
        <v>0</v>
      </c>
      <c r="T172" s="49">
        <f>IF(T$4&gt;EOMONTH(CloseDate,'Rent Roll'!$O$21+'Rent Roll'!$S$21-1),1,0)</f>
        <v>0</v>
      </c>
      <c r="U172" s="49">
        <f>IF(U$4&gt;EOMONTH(CloseDate,'Rent Roll'!$O$21+'Rent Roll'!$S$21-1),1,0)</f>
        <v>0</v>
      </c>
      <c r="V172" s="49">
        <f>IF(V$4&gt;EOMONTH(CloseDate,'Rent Roll'!$O$21+'Rent Roll'!$S$21-1),1,0)</f>
        <v>0</v>
      </c>
      <c r="W172" s="49">
        <f>IF(W$4&gt;EOMONTH(CloseDate,'Rent Roll'!$O$21+'Rent Roll'!$S$21-1),1,0)</f>
        <v>0</v>
      </c>
      <c r="X172" s="49">
        <f>IF(X$4&gt;EOMONTH(CloseDate,'Rent Roll'!$O$21+'Rent Roll'!$S$21-1),1,0)</f>
        <v>0</v>
      </c>
      <c r="Y172" s="49">
        <f>IF(Y$4&gt;EOMONTH(CloseDate,'Rent Roll'!$O$21+'Rent Roll'!$S$21-1),1,0)</f>
        <v>0</v>
      </c>
      <c r="Z172" s="49">
        <f>IF(Z$4&gt;EOMONTH(CloseDate,'Rent Roll'!$O$21+'Rent Roll'!$S$21-1),1,0)</f>
        <v>0</v>
      </c>
      <c r="AA172" s="49">
        <f>IF(AA$4&gt;EOMONTH(CloseDate,'Rent Roll'!$O$21+'Rent Roll'!$S$21-1),1,0)</f>
        <v>0</v>
      </c>
      <c r="AB172" s="49">
        <f>IF(AB$4&gt;EOMONTH(CloseDate,'Rent Roll'!$O$21+'Rent Roll'!$S$21-1),1,0)</f>
        <v>0</v>
      </c>
      <c r="AC172" s="49">
        <f>IF(AC$4&gt;EOMONTH(CloseDate,'Rent Roll'!$O$21+'Rent Roll'!$S$21-1),1,0)</f>
        <v>0</v>
      </c>
      <c r="AD172" s="49">
        <f>IF(AD$4&gt;EOMONTH(CloseDate,'Rent Roll'!$O$21+'Rent Roll'!$S$21-1),1,0)</f>
        <v>0</v>
      </c>
      <c r="AE172" s="49">
        <f>IF(AE$4&gt;EOMONTH(CloseDate,'Rent Roll'!$O$21+'Rent Roll'!$S$21-1),1,0)</f>
        <v>0</v>
      </c>
      <c r="AF172" s="49">
        <f>IF(AF$4&gt;EOMONTH(CloseDate,'Rent Roll'!$O$21+'Rent Roll'!$S$21-1),1,0)</f>
        <v>0</v>
      </c>
      <c r="AG172" s="49">
        <f>IF(AG$4&gt;EOMONTH(CloseDate,'Rent Roll'!$O$21+'Rent Roll'!$S$21-1),1,0)</f>
        <v>0</v>
      </c>
      <c r="AH172" s="49">
        <f>IF(AH$4&gt;EOMONTH(CloseDate,'Rent Roll'!$O$21+'Rent Roll'!$S$21-1),1,0)</f>
        <v>0</v>
      </c>
      <c r="AI172" s="49">
        <f>IF(AI$4&gt;EOMONTH(CloseDate,'Rent Roll'!$O$21+'Rent Roll'!$S$21-1),1,0)</f>
        <v>1</v>
      </c>
      <c r="AJ172" s="49">
        <f>IF(AJ$4&gt;EOMONTH(CloseDate,'Rent Roll'!$O$21+'Rent Roll'!$S$21-1),1,0)</f>
        <v>1</v>
      </c>
      <c r="AK172" s="49">
        <f>IF(AK$4&gt;EOMONTH(CloseDate,'Rent Roll'!$O$21+'Rent Roll'!$S$21-1),1,0)</f>
        <v>1</v>
      </c>
      <c r="AL172" s="49">
        <f>IF(AL$4&gt;EOMONTH(CloseDate,'Rent Roll'!$O$21+'Rent Roll'!$S$21-1),1,0)</f>
        <v>1</v>
      </c>
      <c r="AM172" s="49">
        <f>IF(AM$4&gt;EOMONTH(CloseDate,'Rent Roll'!$O$21+'Rent Roll'!$S$21-1),1,0)</f>
        <v>1</v>
      </c>
      <c r="AN172" s="49">
        <f>IF(AN$4&gt;EOMONTH(CloseDate,'Rent Roll'!$O$21+'Rent Roll'!$S$21-1),1,0)</f>
        <v>1</v>
      </c>
      <c r="AO172" s="49">
        <f>IF(AO$4&gt;EOMONTH(CloseDate,'Rent Roll'!$O$21+'Rent Roll'!$S$21-1),1,0)</f>
        <v>1</v>
      </c>
      <c r="AP172" s="49">
        <f>IF(AP$4&gt;EOMONTH(CloseDate,'Rent Roll'!$O$21+'Rent Roll'!$S$21-1),1,0)</f>
        <v>1</v>
      </c>
      <c r="AQ172" s="49">
        <f>IF(AQ$4&gt;EOMONTH(CloseDate,'Rent Roll'!$O$21+'Rent Roll'!$S$21-1),1,0)</f>
        <v>1</v>
      </c>
      <c r="AR172" s="49">
        <f>IF(AR$4&gt;EOMONTH(CloseDate,'Rent Roll'!$O$21+'Rent Roll'!$S$21-1),1,0)</f>
        <v>1</v>
      </c>
      <c r="AS172" s="49">
        <f>IF(AS$4&gt;EOMONTH(CloseDate,'Rent Roll'!$O$21+'Rent Roll'!$S$21-1),1,0)</f>
        <v>1</v>
      </c>
      <c r="AT172" s="49">
        <f>IF(AT$4&gt;EOMONTH(CloseDate,'Rent Roll'!$O$21+'Rent Roll'!$S$21-1),1,0)</f>
        <v>1</v>
      </c>
      <c r="AU172" s="49">
        <f>IF(AU$4&gt;EOMONTH(CloseDate,'Rent Roll'!$O$21+'Rent Roll'!$S$21-1),1,0)</f>
        <v>1</v>
      </c>
      <c r="AV172" s="49">
        <f>IF(AV$4&gt;EOMONTH(CloseDate,'Rent Roll'!$O$21+'Rent Roll'!$S$21-1),1,0)</f>
        <v>1</v>
      </c>
      <c r="AW172" s="49">
        <f>IF(AW$4&gt;EOMONTH(CloseDate,'Rent Roll'!$O$21+'Rent Roll'!$S$21-1),1,0)</f>
        <v>1</v>
      </c>
      <c r="AX172" s="49">
        <f>IF(AX$4&gt;EOMONTH(CloseDate,'Rent Roll'!$O$21+'Rent Roll'!$S$21-1),1,0)</f>
        <v>1</v>
      </c>
      <c r="AY172" s="49">
        <f>IF(AY$4&gt;EOMONTH(CloseDate,'Rent Roll'!$O$21+'Rent Roll'!$S$21-1),1,0)</f>
        <v>1</v>
      </c>
      <c r="AZ172" s="49">
        <f>IF(AZ$4&gt;EOMONTH(CloseDate,'Rent Roll'!$O$21+'Rent Roll'!$S$21-1),1,0)</f>
        <v>1</v>
      </c>
      <c r="BA172" s="49">
        <f>IF(BA$4&gt;EOMONTH(CloseDate,'Rent Roll'!$O$21+'Rent Roll'!$S$21-1),1,0)</f>
        <v>1</v>
      </c>
      <c r="BB172" s="49">
        <f>IF(BB$4&gt;EOMONTH(CloseDate,'Rent Roll'!$O$21+'Rent Roll'!$S$21-1),1,0)</f>
        <v>1</v>
      </c>
      <c r="BC172" s="49">
        <f>IF(BC$4&gt;EOMONTH(CloseDate,'Rent Roll'!$O$21+'Rent Roll'!$S$21-1),1,0)</f>
        <v>1</v>
      </c>
      <c r="BD172" s="49">
        <f>IF(BD$4&gt;EOMONTH(CloseDate,'Rent Roll'!$O$21+'Rent Roll'!$S$21-1),1,0)</f>
        <v>1</v>
      </c>
      <c r="BE172" s="49">
        <f>IF(BE$4&gt;EOMONTH(CloseDate,'Rent Roll'!$O$21+'Rent Roll'!$S$21-1),1,0)</f>
        <v>1</v>
      </c>
      <c r="BF172" s="49">
        <f>IF(BF$4&gt;EOMONTH(CloseDate,'Rent Roll'!$O$21+'Rent Roll'!$S$21-1),1,0)</f>
        <v>1</v>
      </c>
      <c r="BG172" s="49">
        <f>IF(BG$4&gt;EOMONTH(CloseDate,'Rent Roll'!$O$21+'Rent Roll'!$S$21-1),1,0)</f>
        <v>1</v>
      </c>
      <c r="BH172" s="49">
        <f>IF(BH$4&gt;EOMONTH(CloseDate,'Rent Roll'!$O$21+'Rent Roll'!$S$21-1),1,0)</f>
        <v>1</v>
      </c>
      <c r="BI172" s="49">
        <f>IF(BI$4&gt;EOMONTH(CloseDate,'Rent Roll'!$O$21+'Rent Roll'!$S$21-1),1,0)</f>
        <v>1</v>
      </c>
      <c r="BJ172" s="49">
        <f>IF(BJ$4&gt;EOMONTH(CloseDate,'Rent Roll'!$O$21+'Rent Roll'!$S$21-1),1,0)</f>
        <v>1</v>
      </c>
      <c r="BK172" s="49">
        <f>IF(BK$4&gt;EOMONTH(CloseDate,'Rent Roll'!$O$21+'Rent Roll'!$S$21-1),1,0)</f>
        <v>1</v>
      </c>
      <c r="BL172" s="49">
        <f>IF(BL$4&gt;EOMONTH(CloseDate,'Rent Roll'!$O$21+'Rent Roll'!$S$21-1),1,0)</f>
        <v>1</v>
      </c>
      <c r="BM172" s="49">
        <f>IF(BM$4&gt;EOMONTH(CloseDate,'Rent Roll'!$O$21+'Rent Roll'!$S$21-1),1,0)</f>
        <v>1</v>
      </c>
      <c r="BN172" s="49">
        <f>IF(BN$4&gt;EOMONTH(CloseDate,'Rent Roll'!$O$21+'Rent Roll'!$S$21-1),1,0)</f>
        <v>1</v>
      </c>
      <c r="BO172" s="49">
        <f>IF(BO$4&gt;EOMONTH(CloseDate,'Rent Roll'!$O$21+'Rent Roll'!$S$21-1),1,0)</f>
        <v>1</v>
      </c>
      <c r="BP172" s="49">
        <f>IF(BP$4&gt;EOMONTH(CloseDate,'Rent Roll'!$O$21+'Rent Roll'!$S$21-1),1,0)</f>
        <v>1</v>
      </c>
      <c r="BQ172" s="49">
        <f>IF(BQ$4&gt;EOMONTH(CloseDate,'Rent Roll'!$O$21+'Rent Roll'!$S$21-1),1,0)</f>
        <v>1</v>
      </c>
      <c r="BR172" s="49">
        <f>IF(BR$4&gt;EOMONTH(CloseDate,'Rent Roll'!$O$21+'Rent Roll'!$S$21-1),1,0)</f>
        <v>1</v>
      </c>
      <c r="BS172" s="49">
        <f>IF(BS$4&gt;EOMONTH(CloseDate,'Rent Roll'!$O$21+'Rent Roll'!$S$21-1),1,0)</f>
        <v>1</v>
      </c>
      <c r="BT172" s="49">
        <f>IF(BT$4&gt;EOMONTH(CloseDate,'Rent Roll'!$O$21+'Rent Roll'!$S$21-1),1,0)</f>
        <v>1</v>
      </c>
      <c r="BU172" s="49">
        <f>IF(BU$4&gt;EOMONTH(CloseDate,'Rent Roll'!$O$21+'Rent Roll'!$S$21-1),1,0)</f>
        <v>1</v>
      </c>
      <c r="BV172" s="49">
        <f>IF(BV$4&gt;EOMONTH(CloseDate,'Rent Roll'!$O$21+'Rent Roll'!$S$21-1),1,0)</f>
        <v>1</v>
      </c>
      <c r="BW172" s="49">
        <f>IF(BW$4&gt;EOMONTH(CloseDate,'Rent Roll'!$O$21+'Rent Roll'!$S$21-1),1,0)</f>
        <v>1</v>
      </c>
      <c r="BX172" s="49">
        <f>IF(BX$4&gt;EOMONTH(CloseDate,'Rent Roll'!$O$21+'Rent Roll'!$S$21-1),1,0)</f>
        <v>1</v>
      </c>
    </row>
    <row r="173" spans="1:76" outlineLevel="1">
      <c r="B173" t="s">
        <v>162</v>
      </c>
      <c r="D173" s="49">
        <f>IF(D172=1,'Rent Roll'!$F$21*'Rent Roll'!$X$21/12*D$6,0)</f>
        <v>0</v>
      </c>
      <c r="E173" s="49">
        <f>IF(E172=1,'Rent Roll'!$F$21*'Rent Roll'!$X$21/12*E$6,0)</f>
        <v>0</v>
      </c>
      <c r="F173" s="49">
        <f>IF(F172=1,'Rent Roll'!$F$21*'Rent Roll'!$X$21/12*F$6,0)</f>
        <v>0</v>
      </c>
      <c r="G173" s="49">
        <f>IF(G172=1,'Rent Roll'!$F$21*'Rent Roll'!$X$21/12*G$6,0)</f>
        <v>0</v>
      </c>
      <c r="H173" s="49">
        <f>IF(H172=1,'Rent Roll'!$F$21*'Rent Roll'!$X$21/12*H$6,0)</f>
        <v>0</v>
      </c>
      <c r="I173" s="49">
        <f>IF(I172=1,'Rent Roll'!$F$21*'Rent Roll'!$X$21/12*I$6,0)</f>
        <v>0</v>
      </c>
      <c r="J173" s="49">
        <f>IF(J172=1,'Rent Roll'!$F$21*'Rent Roll'!$X$21/12*J$6,0)</f>
        <v>0</v>
      </c>
      <c r="K173" s="49">
        <f>IF(K172=1,'Rent Roll'!$F$21*'Rent Roll'!$X$21/12*K$6,0)</f>
        <v>0</v>
      </c>
      <c r="L173" s="49">
        <f>IF(L172=1,'Rent Roll'!$F$21*'Rent Roll'!$X$21/12*L$6,0)</f>
        <v>0</v>
      </c>
      <c r="M173" s="49">
        <f>IF(M172=1,'Rent Roll'!$F$21*'Rent Roll'!$X$21/12*M$6,0)</f>
        <v>0</v>
      </c>
      <c r="N173" s="49">
        <f>IF(N172=1,'Rent Roll'!$F$21*'Rent Roll'!$X$21/12*N$6,0)</f>
        <v>0</v>
      </c>
      <c r="O173" s="49">
        <f>IF(O172=1,'Rent Roll'!$F$21*'Rent Roll'!$X$21/12*O$6,0)</f>
        <v>0</v>
      </c>
      <c r="P173" s="49">
        <f>IF(P172=1,'Rent Roll'!$F$21*'Rent Roll'!$X$21/12*P$6,0)</f>
        <v>0</v>
      </c>
      <c r="Q173" s="49">
        <f>IF(Q172=1,'Rent Roll'!$F$21*'Rent Roll'!$X$21/12*Q$6,0)</f>
        <v>0</v>
      </c>
      <c r="R173" s="49">
        <f>IF(R172=1,'Rent Roll'!$F$21*'Rent Roll'!$X$21/12*R$6,0)</f>
        <v>0</v>
      </c>
      <c r="S173" s="49">
        <f>IF(S172=1,'Rent Roll'!$F$21*'Rent Roll'!$X$21/12*S$6,0)</f>
        <v>0</v>
      </c>
      <c r="T173" s="49">
        <f>IF(T172=1,'Rent Roll'!$F$21*'Rent Roll'!$X$21/12*T$6,0)</f>
        <v>0</v>
      </c>
      <c r="U173" s="49">
        <f>IF(U172=1,'Rent Roll'!$F$21*'Rent Roll'!$X$21/12*U$6,0)</f>
        <v>0</v>
      </c>
      <c r="V173" s="49">
        <f>IF(V172=1,'Rent Roll'!$F$21*'Rent Roll'!$X$21/12*V$6,0)</f>
        <v>0</v>
      </c>
      <c r="W173" s="49">
        <f>IF(W172=1,'Rent Roll'!$F$21*'Rent Roll'!$X$21/12*W$6,0)</f>
        <v>0</v>
      </c>
      <c r="X173" s="49">
        <f>IF(X172=1,'Rent Roll'!$F$21*'Rent Roll'!$X$21/12*X$6,0)</f>
        <v>0</v>
      </c>
      <c r="Y173" s="49">
        <f>IF(Y172=1,'Rent Roll'!$F$21*'Rent Roll'!$X$21/12*Y$6,0)</f>
        <v>0</v>
      </c>
      <c r="Z173" s="49">
        <f>IF(Z172=1,'Rent Roll'!$F$21*'Rent Roll'!$X$21/12*Z$6,0)</f>
        <v>0</v>
      </c>
      <c r="AA173" s="49">
        <f>IF(AA172=1,'Rent Roll'!$F$21*'Rent Roll'!$X$21/12*AA$6,0)</f>
        <v>0</v>
      </c>
      <c r="AB173" s="49">
        <f>IF(AB172=1,'Rent Roll'!$F$21*'Rent Roll'!$X$21/12*AB$6,0)</f>
        <v>0</v>
      </c>
      <c r="AC173" s="49">
        <f>IF(AC172=1,'Rent Roll'!$F$21*'Rent Roll'!$X$21/12*AC$6,0)</f>
        <v>0</v>
      </c>
      <c r="AD173" s="49">
        <f>IF(AD172=1,'Rent Roll'!$F$21*'Rent Roll'!$X$21/12*AD$6,0)</f>
        <v>0</v>
      </c>
      <c r="AE173" s="49">
        <f>IF(AE172=1,'Rent Roll'!$F$21*'Rent Roll'!$X$21/12*AE$6,0)</f>
        <v>0</v>
      </c>
      <c r="AF173" s="49">
        <f>IF(AF172=1,'Rent Roll'!$F$21*'Rent Roll'!$X$21/12*AF$6,0)</f>
        <v>0</v>
      </c>
      <c r="AG173" s="49">
        <f>IF(AG172=1,'Rent Roll'!$F$21*'Rent Roll'!$X$21/12*AG$6,0)</f>
        <v>0</v>
      </c>
      <c r="AH173" s="49">
        <f>IF(AH172=1,'Rent Roll'!$F$21*'Rent Roll'!$X$21/12*AH$6,0)</f>
        <v>0</v>
      </c>
      <c r="AI173" s="49">
        <f>IF(AI172=1,'Rent Roll'!$F$21*'Rent Roll'!$X$21/12*AI$6,0)</f>
        <v>8339.5631188052048</v>
      </c>
      <c r="AJ173" s="49">
        <f>IF(AJ172=1,'Rent Roll'!$F$21*'Rent Roll'!$X$21/12*AJ$6,0)</f>
        <v>8339.5631188052048</v>
      </c>
      <c r="AK173" s="49">
        <f>IF(AK172=1,'Rent Roll'!$F$21*'Rent Roll'!$X$21/12*AK$6,0)</f>
        <v>8339.5631188052048</v>
      </c>
      <c r="AL173" s="49">
        <f>IF(AL172=1,'Rent Roll'!$F$21*'Rent Roll'!$X$21/12*AL$6,0)</f>
        <v>8339.5631188052048</v>
      </c>
      <c r="AM173" s="49">
        <f>IF(AM172=1,'Rent Roll'!$F$21*'Rent Roll'!$X$21/12*AM$6,0)</f>
        <v>8339.5631188052048</v>
      </c>
      <c r="AN173" s="49">
        <f>IF(AN172=1,'Rent Roll'!$F$21*'Rent Roll'!$X$21/12*AN$6,0)</f>
        <v>8339.5631188052048</v>
      </c>
      <c r="AO173" s="49">
        <f>IF(AO172=1,'Rent Roll'!$F$21*'Rent Roll'!$X$21/12*AO$6,0)</f>
        <v>8339.5631188052048</v>
      </c>
      <c r="AP173" s="49">
        <f>IF(AP172=1,'Rent Roll'!$F$21*'Rent Roll'!$X$21/12*AP$6,0)</f>
        <v>8339.5631188052048</v>
      </c>
      <c r="AQ173" s="49">
        <f>IF(AQ172=1,'Rent Roll'!$F$21*'Rent Roll'!$X$21/12*AQ$6,0)</f>
        <v>8339.5631188052048</v>
      </c>
      <c r="AR173" s="49">
        <f>IF(AR172=1,'Rent Roll'!$F$21*'Rent Roll'!$X$21/12*AR$6,0)</f>
        <v>8339.5631188052048</v>
      </c>
      <c r="AS173" s="49">
        <f>IF(AS172=1,'Rent Roll'!$F$21*'Rent Roll'!$X$21/12*AS$6,0)</f>
        <v>8564.7313230129439</v>
      </c>
      <c r="AT173" s="49">
        <f>IF(AT172=1,'Rent Roll'!$F$21*'Rent Roll'!$X$21/12*AT$6,0)</f>
        <v>8564.7313230129439</v>
      </c>
      <c r="AU173" s="49">
        <f>IF(AU172=1,'Rent Roll'!$F$21*'Rent Roll'!$X$21/12*AU$6,0)</f>
        <v>8564.7313230129439</v>
      </c>
      <c r="AV173" s="49">
        <f>IF(AV172=1,'Rent Roll'!$F$21*'Rent Roll'!$X$21/12*AV$6,0)</f>
        <v>8564.7313230129439</v>
      </c>
      <c r="AW173" s="49">
        <f>IF(AW172=1,'Rent Roll'!$F$21*'Rent Roll'!$X$21/12*AW$6,0)</f>
        <v>8564.7313230129439</v>
      </c>
      <c r="AX173" s="49">
        <f>IF(AX172=1,'Rent Roll'!$F$21*'Rent Roll'!$X$21/12*AX$6,0)</f>
        <v>8564.7313230129439</v>
      </c>
      <c r="AY173" s="49">
        <f>IF(AY172=1,'Rent Roll'!$F$21*'Rent Roll'!$X$21/12*AY$6,0)</f>
        <v>8564.7313230129439</v>
      </c>
      <c r="AZ173" s="49">
        <f>IF(AZ172=1,'Rent Roll'!$F$21*'Rent Roll'!$X$21/12*AZ$6,0)</f>
        <v>8564.7313230129439</v>
      </c>
      <c r="BA173" s="49">
        <f>IF(BA172=1,'Rent Roll'!$F$21*'Rent Roll'!$X$21/12*BA$6,0)</f>
        <v>8564.7313230129439</v>
      </c>
      <c r="BB173" s="49">
        <f>IF(BB172=1,'Rent Roll'!$F$21*'Rent Roll'!$X$21/12*BB$6,0)</f>
        <v>8564.7313230129439</v>
      </c>
      <c r="BC173" s="49">
        <f>IF(BC172=1,'Rent Roll'!$F$21*'Rent Roll'!$X$21/12*BC$6,0)</f>
        <v>8564.7313230129439</v>
      </c>
      <c r="BD173" s="49">
        <f>IF(BD172=1,'Rent Roll'!$F$21*'Rent Roll'!$X$21/12*BD$6,0)</f>
        <v>8564.7313230129439</v>
      </c>
      <c r="BE173" s="49">
        <f>IF(BE172=1,'Rent Roll'!$F$21*'Rent Roll'!$X$21/12*BE$6,0)</f>
        <v>8795.9790687342938</v>
      </c>
      <c r="BF173" s="49">
        <f>IF(BF172=1,'Rent Roll'!$F$21*'Rent Roll'!$X$21/12*BF$6,0)</f>
        <v>8795.9790687342938</v>
      </c>
      <c r="BG173" s="49">
        <f>IF(BG172=1,'Rent Roll'!$F$21*'Rent Roll'!$X$21/12*BG$6,0)</f>
        <v>8795.9790687342938</v>
      </c>
      <c r="BH173" s="49">
        <f>IF(BH172=1,'Rent Roll'!$F$21*'Rent Roll'!$X$21/12*BH$6,0)</f>
        <v>8795.9790687342938</v>
      </c>
      <c r="BI173" s="49">
        <f>IF(BI172=1,'Rent Roll'!$F$21*'Rent Roll'!$X$21/12*BI$6,0)</f>
        <v>8795.9790687342938</v>
      </c>
      <c r="BJ173" s="49">
        <f>IF(BJ172=1,'Rent Roll'!$F$21*'Rent Roll'!$X$21/12*BJ$6,0)</f>
        <v>8795.9790687342938</v>
      </c>
      <c r="BK173" s="49">
        <f>IF(BK172=1,'Rent Roll'!$F$21*'Rent Roll'!$X$21/12*BK$6,0)</f>
        <v>8795.9790687342938</v>
      </c>
      <c r="BL173" s="49">
        <f>IF(BL172=1,'Rent Roll'!$F$21*'Rent Roll'!$X$21/12*BL$6,0)</f>
        <v>8795.9790687342938</v>
      </c>
      <c r="BM173" s="49">
        <f>IF(BM172=1,'Rent Roll'!$F$21*'Rent Roll'!$X$21/12*BM$6,0)</f>
        <v>8795.9790687342938</v>
      </c>
      <c r="BN173" s="49">
        <f>IF(BN172=1,'Rent Roll'!$F$21*'Rent Roll'!$X$21/12*BN$6,0)</f>
        <v>8795.9790687342938</v>
      </c>
      <c r="BO173" s="49">
        <f>IF(BO172=1,'Rent Roll'!$F$21*'Rent Roll'!$X$21/12*BO$6,0)</f>
        <v>8795.9790687342938</v>
      </c>
      <c r="BP173" s="49">
        <f>IF(BP172=1,'Rent Roll'!$F$21*'Rent Roll'!$X$21/12*BP$6,0)</f>
        <v>8795.9790687342938</v>
      </c>
      <c r="BQ173" s="49">
        <f>IF(BQ172=1,'Rent Roll'!$F$21*'Rent Roll'!$X$21/12*BQ$6,0)</f>
        <v>9033.4705035901188</v>
      </c>
      <c r="BR173" s="49">
        <f>IF(BR172=1,'Rent Roll'!$F$21*'Rent Roll'!$X$21/12*BR$6,0)</f>
        <v>9033.4705035901188</v>
      </c>
      <c r="BS173" s="49">
        <f>IF(BS172=1,'Rent Roll'!$F$21*'Rent Roll'!$X$21/12*BS$6,0)</f>
        <v>9033.4705035901188</v>
      </c>
      <c r="BT173" s="49">
        <f>IF(BT172=1,'Rent Roll'!$F$21*'Rent Roll'!$X$21/12*BT$6,0)</f>
        <v>9033.4705035901188</v>
      </c>
      <c r="BU173" s="49">
        <f>IF(BU172=1,'Rent Roll'!$F$21*'Rent Roll'!$X$21/12*BU$6,0)</f>
        <v>9033.4705035901188</v>
      </c>
      <c r="BV173" s="49">
        <f>IF(BV172=1,'Rent Roll'!$F$21*'Rent Roll'!$X$21/12*BV$6,0)</f>
        <v>9033.4705035901188</v>
      </c>
      <c r="BW173" s="49">
        <f>IF(BW172=1,'Rent Roll'!$F$21*'Rent Roll'!$X$21/12*BW$6,0)</f>
        <v>9033.4705035901188</v>
      </c>
      <c r="BX173" s="49">
        <f>IF(BX172=1,'Rent Roll'!$F$21*'Rent Roll'!$X$21/12*BX$6,0)</f>
        <v>9033.4705035901188</v>
      </c>
    </row>
    <row r="174" spans="1:76">
      <c r="B174" t="s">
        <v>163</v>
      </c>
      <c r="D174" s="49">
        <f>IF(AND(D$4&gt;EOMONTH(CloseDate,'Rent Roll'!$O$21+'Rent Roll'!$S$21-1),D$4&lt;=EOMONTH(CloseDate,'Rent Roll'!$O$21+'Rent Roll'!$S$21-1+'Rent Roll'!$V$21)),-D173,0)</f>
        <v>0</v>
      </c>
      <c r="E174" s="49">
        <f>IF(AND(E$4&gt;EOMONTH(CloseDate,'Rent Roll'!$O$21+'Rent Roll'!$S$21-1),E$4&lt;=EOMONTH(CloseDate,'Rent Roll'!$O$21+'Rent Roll'!$S$21-1+'Rent Roll'!$V$21)),-E173,0)</f>
        <v>0</v>
      </c>
      <c r="F174" s="49">
        <f>IF(AND(F$4&gt;EOMONTH(CloseDate,'Rent Roll'!$O$21+'Rent Roll'!$S$21-1),F$4&lt;=EOMONTH(CloseDate,'Rent Roll'!$O$21+'Rent Roll'!$S$21-1+'Rent Roll'!$V$21)),-F173,0)</f>
        <v>0</v>
      </c>
      <c r="G174" s="49">
        <f>IF(AND(G$4&gt;EOMONTH(CloseDate,'Rent Roll'!$O$21+'Rent Roll'!$S$21-1),G$4&lt;=EOMONTH(CloseDate,'Rent Roll'!$O$21+'Rent Roll'!$S$21-1+'Rent Roll'!$V$21)),-G173,0)</f>
        <v>0</v>
      </c>
      <c r="H174" s="49">
        <f>IF(AND(H$4&gt;EOMONTH(CloseDate,'Rent Roll'!$O$21+'Rent Roll'!$S$21-1),H$4&lt;=EOMONTH(CloseDate,'Rent Roll'!$O$21+'Rent Roll'!$S$21-1+'Rent Roll'!$V$21)),-H173,0)</f>
        <v>0</v>
      </c>
      <c r="I174" s="49">
        <f>IF(AND(I$4&gt;EOMONTH(CloseDate,'Rent Roll'!$O$21+'Rent Roll'!$S$21-1),I$4&lt;=EOMONTH(CloseDate,'Rent Roll'!$O$21+'Rent Roll'!$S$21-1+'Rent Roll'!$V$21)),-I173,0)</f>
        <v>0</v>
      </c>
      <c r="J174" s="49">
        <f>IF(AND(J$4&gt;EOMONTH(CloseDate,'Rent Roll'!$O$21+'Rent Roll'!$S$21-1),J$4&lt;=EOMONTH(CloseDate,'Rent Roll'!$O$21+'Rent Roll'!$S$21-1+'Rent Roll'!$V$21)),-J173,0)</f>
        <v>0</v>
      </c>
      <c r="K174" s="49">
        <f>IF(AND(K$4&gt;EOMONTH(CloseDate,'Rent Roll'!$O$21+'Rent Roll'!$S$21-1),K$4&lt;=EOMONTH(CloseDate,'Rent Roll'!$O$21+'Rent Roll'!$S$21-1+'Rent Roll'!$V$21)),-K173,0)</f>
        <v>0</v>
      </c>
      <c r="L174" s="49">
        <f>IF(AND(L$4&gt;EOMONTH(CloseDate,'Rent Roll'!$O$21+'Rent Roll'!$S$21-1),L$4&lt;=EOMONTH(CloseDate,'Rent Roll'!$O$21+'Rent Roll'!$S$21-1+'Rent Roll'!$V$21)),-L173,0)</f>
        <v>0</v>
      </c>
      <c r="M174" s="49">
        <f>IF(AND(M$4&gt;EOMONTH(CloseDate,'Rent Roll'!$O$21+'Rent Roll'!$S$21-1),M$4&lt;=EOMONTH(CloseDate,'Rent Roll'!$O$21+'Rent Roll'!$S$21-1+'Rent Roll'!$V$21)),-M173,0)</f>
        <v>0</v>
      </c>
      <c r="N174" s="49">
        <f>IF(AND(N$4&gt;EOMONTH(CloseDate,'Rent Roll'!$O$21+'Rent Roll'!$S$21-1),N$4&lt;=EOMONTH(CloseDate,'Rent Roll'!$O$21+'Rent Roll'!$S$21-1+'Rent Roll'!$V$21)),-N173,0)</f>
        <v>0</v>
      </c>
      <c r="O174" s="49">
        <f>IF(AND(O$4&gt;EOMONTH(CloseDate,'Rent Roll'!$O$21+'Rent Roll'!$S$21-1),O$4&lt;=EOMONTH(CloseDate,'Rent Roll'!$O$21+'Rent Roll'!$S$21-1+'Rent Roll'!$V$21)),-O173,0)</f>
        <v>0</v>
      </c>
      <c r="P174" s="49">
        <f>IF(AND(P$4&gt;EOMONTH(CloseDate,'Rent Roll'!$O$21+'Rent Roll'!$S$21-1),P$4&lt;=EOMONTH(CloseDate,'Rent Roll'!$O$21+'Rent Roll'!$S$21-1+'Rent Roll'!$V$21)),-P173,0)</f>
        <v>0</v>
      </c>
      <c r="Q174" s="49">
        <f>IF(AND(Q$4&gt;EOMONTH(CloseDate,'Rent Roll'!$O$21+'Rent Roll'!$S$21-1),Q$4&lt;=EOMONTH(CloseDate,'Rent Roll'!$O$21+'Rent Roll'!$S$21-1+'Rent Roll'!$V$21)),-Q173,0)</f>
        <v>0</v>
      </c>
      <c r="R174" s="49">
        <f>IF(AND(R$4&gt;EOMONTH(CloseDate,'Rent Roll'!$O$21+'Rent Roll'!$S$21-1),R$4&lt;=EOMONTH(CloseDate,'Rent Roll'!$O$21+'Rent Roll'!$S$21-1+'Rent Roll'!$V$21)),-R173,0)</f>
        <v>0</v>
      </c>
      <c r="S174" s="49">
        <f>IF(AND(S$4&gt;EOMONTH(CloseDate,'Rent Roll'!$O$21+'Rent Roll'!$S$21-1),S$4&lt;=EOMONTH(CloseDate,'Rent Roll'!$O$21+'Rent Roll'!$S$21-1+'Rent Roll'!$V$21)),-S173,0)</f>
        <v>0</v>
      </c>
      <c r="T174" s="49">
        <f>IF(AND(T$4&gt;EOMONTH(CloseDate,'Rent Roll'!$O$21+'Rent Roll'!$S$21-1),T$4&lt;=EOMONTH(CloseDate,'Rent Roll'!$O$21+'Rent Roll'!$S$21-1+'Rent Roll'!$V$21)),-T173,0)</f>
        <v>0</v>
      </c>
      <c r="U174" s="49">
        <f>IF(AND(U$4&gt;EOMONTH(CloseDate,'Rent Roll'!$O$21+'Rent Roll'!$S$21-1),U$4&lt;=EOMONTH(CloseDate,'Rent Roll'!$O$21+'Rent Roll'!$S$21-1+'Rent Roll'!$V$21)),-U173,0)</f>
        <v>0</v>
      </c>
      <c r="V174" s="49">
        <f>IF(AND(V$4&gt;EOMONTH(CloseDate,'Rent Roll'!$O$21+'Rent Roll'!$S$21-1),V$4&lt;=EOMONTH(CloseDate,'Rent Roll'!$O$21+'Rent Roll'!$S$21-1+'Rent Roll'!$V$21)),-V173,0)</f>
        <v>0</v>
      </c>
      <c r="W174" s="49">
        <f>IF(AND(W$4&gt;EOMONTH(CloseDate,'Rent Roll'!$O$21+'Rent Roll'!$S$21-1),W$4&lt;=EOMONTH(CloseDate,'Rent Roll'!$O$21+'Rent Roll'!$S$21-1+'Rent Roll'!$V$21)),-W173,0)</f>
        <v>0</v>
      </c>
      <c r="X174" s="49">
        <f>IF(AND(X$4&gt;EOMONTH(CloseDate,'Rent Roll'!$O$21+'Rent Roll'!$S$21-1),X$4&lt;=EOMONTH(CloseDate,'Rent Roll'!$O$21+'Rent Roll'!$S$21-1+'Rent Roll'!$V$21)),-X173,0)</f>
        <v>0</v>
      </c>
      <c r="Y174" s="49">
        <f>IF(AND(Y$4&gt;EOMONTH(CloseDate,'Rent Roll'!$O$21+'Rent Roll'!$S$21-1),Y$4&lt;=EOMONTH(CloseDate,'Rent Roll'!$O$21+'Rent Roll'!$S$21-1+'Rent Roll'!$V$21)),-Y173,0)</f>
        <v>0</v>
      </c>
      <c r="Z174" s="49">
        <f>IF(AND(Z$4&gt;EOMONTH(CloseDate,'Rent Roll'!$O$21+'Rent Roll'!$S$21-1),Z$4&lt;=EOMONTH(CloseDate,'Rent Roll'!$O$21+'Rent Roll'!$S$21-1+'Rent Roll'!$V$21)),-Z173,0)</f>
        <v>0</v>
      </c>
      <c r="AA174" s="49">
        <f>IF(AND(AA$4&gt;EOMONTH(CloseDate,'Rent Roll'!$O$21+'Rent Roll'!$S$21-1),AA$4&lt;=EOMONTH(CloseDate,'Rent Roll'!$O$21+'Rent Roll'!$S$21-1+'Rent Roll'!$V$21)),-AA173,0)</f>
        <v>0</v>
      </c>
      <c r="AB174" s="49">
        <f>IF(AND(AB$4&gt;EOMONTH(CloseDate,'Rent Roll'!$O$21+'Rent Roll'!$S$21-1),AB$4&lt;=EOMONTH(CloseDate,'Rent Roll'!$O$21+'Rent Roll'!$S$21-1+'Rent Roll'!$V$21)),-AB173,0)</f>
        <v>0</v>
      </c>
      <c r="AC174" s="49">
        <f>IF(AND(AC$4&gt;EOMONTH(CloseDate,'Rent Roll'!$O$21+'Rent Roll'!$S$21-1),AC$4&lt;=EOMONTH(CloseDate,'Rent Roll'!$O$21+'Rent Roll'!$S$21-1+'Rent Roll'!$V$21)),-AC173,0)</f>
        <v>0</v>
      </c>
      <c r="AD174" s="49">
        <f>IF(AND(AD$4&gt;EOMONTH(CloseDate,'Rent Roll'!$O$21+'Rent Roll'!$S$21-1),AD$4&lt;=EOMONTH(CloseDate,'Rent Roll'!$O$21+'Rent Roll'!$S$21-1+'Rent Roll'!$V$21)),-AD173,0)</f>
        <v>0</v>
      </c>
      <c r="AE174" s="49">
        <f>IF(AND(AE$4&gt;EOMONTH(CloseDate,'Rent Roll'!$O$21+'Rent Roll'!$S$21-1),AE$4&lt;=EOMONTH(CloseDate,'Rent Roll'!$O$21+'Rent Roll'!$S$21-1+'Rent Roll'!$V$21)),-AE173,0)</f>
        <v>0</v>
      </c>
      <c r="AF174" s="49">
        <f>IF(AND(AF$4&gt;EOMONTH(CloseDate,'Rent Roll'!$O$21+'Rent Roll'!$S$21-1),AF$4&lt;=EOMONTH(CloseDate,'Rent Roll'!$O$21+'Rent Roll'!$S$21-1+'Rent Roll'!$V$21)),-AF173,0)</f>
        <v>0</v>
      </c>
      <c r="AG174" s="49">
        <f>IF(AND(AG$4&gt;EOMONTH(CloseDate,'Rent Roll'!$O$21+'Rent Roll'!$S$21-1),AG$4&lt;=EOMONTH(CloseDate,'Rent Roll'!$O$21+'Rent Roll'!$S$21-1+'Rent Roll'!$V$21)),-AG173,0)</f>
        <v>0</v>
      </c>
      <c r="AH174" s="49">
        <f>IF(AND(AH$4&gt;EOMONTH(CloseDate,'Rent Roll'!$O$21+'Rent Roll'!$S$21-1),AH$4&lt;=EOMONTH(CloseDate,'Rent Roll'!$O$21+'Rent Roll'!$S$21-1+'Rent Roll'!$V$21)),-AH173,0)</f>
        <v>0</v>
      </c>
      <c r="AI174" s="49">
        <f>IF(AND(AI$4&gt;EOMONTH(CloseDate,'Rent Roll'!$O$21+'Rent Roll'!$S$21-1),AI$4&lt;=EOMONTH(CloseDate,'Rent Roll'!$O$21+'Rent Roll'!$S$21-1+'Rent Roll'!$V$21)),-AI173,0)</f>
        <v>-8339.5631188052048</v>
      </c>
      <c r="AJ174" s="49">
        <f>IF(AND(AJ$4&gt;EOMONTH(CloseDate,'Rent Roll'!$O$21+'Rent Roll'!$S$21-1),AJ$4&lt;=EOMONTH(CloseDate,'Rent Roll'!$O$21+'Rent Roll'!$S$21-1+'Rent Roll'!$V$21)),-AJ173,0)</f>
        <v>-8339.5631188052048</v>
      </c>
      <c r="AK174" s="49">
        <f>IF(AND(AK$4&gt;EOMONTH(CloseDate,'Rent Roll'!$O$21+'Rent Roll'!$S$21-1),AK$4&lt;=EOMONTH(CloseDate,'Rent Roll'!$O$21+'Rent Roll'!$S$21-1+'Rent Roll'!$V$21)),-AK173,0)</f>
        <v>0</v>
      </c>
      <c r="AL174" s="49">
        <f>IF(AND(AL$4&gt;EOMONTH(CloseDate,'Rent Roll'!$O$21+'Rent Roll'!$S$21-1),AL$4&lt;=EOMONTH(CloseDate,'Rent Roll'!$O$21+'Rent Roll'!$S$21-1+'Rent Roll'!$V$21)),-AL173,0)</f>
        <v>0</v>
      </c>
      <c r="AM174" s="49">
        <f>IF(AND(AM$4&gt;EOMONTH(CloseDate,'Rent Roll'!$O$21+'Rent Roll'!$S$21-1),AM$4&lt;=EOMONTH(CloseDate,'Rent Roll'!$O$21+'Rent Roll'!$S$21-1+'Rent Roll'!$V$21)),-AM173,0)</f>
        <v>0</v>
      </c>
      <c r="AN174" s="49">
        <f>IF(AND(AN$4&gt;EOMONTH(CloseDate,'Rent Roll'!$O$21+'Rent Roll'!$S$21-1),AN$4&lt;=EOMONTH(CloseDate,'Rent Roll'!$O$21+'Rent Roll'!$S$21-1+'Rent Roll'!$V$21)),-AN173,0)</f>
        <v>0</v>
      </c>
      <c r="AO174" s="49">
        <f>IF(AND(AO$4&gt;EOMONTH(CloseDate,'Rent Roll'!$O$21+'Rent Roll'!$S$21-1),AO$4&lt;=EOMONTH(CloseDate,'Rent Roll'!$O$21+'Rent Roll'!$S$21-1+'Rent Roll'!$V$21)),-AO173,0)</f>
        <v>0</v>
      </c>
      <c r="AP174" s="49">
        <f>IF(AND(AP$4&gt;EOMONTH(CloseDate,'Rent Roll'!$O$21+'Rent Roll'!$S$21-1),AP$4&lt;=EOMONTH(CloseDate,'Rent Roll'!$O$21+'Rent Roll'!$S$21-1+'Rent Roll'!$V$21)),-AP173,0)</f>
        <v>0</v>
      </c>
      <c r="AQ174" s="49">
        <f>IF(AND(AQ$4&gt;EOMONTH(CloseDate,'Rent Roll'!$O$21+'Rent Roll'!$S$21-1),AQ$4&lt;=EOMONTH(CloseDate,'Rent Roll'!$O$21+'Rent Roll'!$S$21-1+'Rent Roll'!$V$21)),-AQ173,0)</f>
        <v>0</v>
      </c>
      <c r="AR174" s="49">
        <f>IF(AND(AR$4&gt;EOMONTH(CloseDate,'Rent Roll'!$O$21+'Rent Roll'!$S$21-1),AR$4&lt;=EOMONTH(CloseDate,'Rent Roll'!$O$21+'Rent Roll'!$S$21-1+'Rent Roll'!$V$21)),-AR173,0)</f>
        <v>0</v>
      </c>
      <c r="AS174" s="49">
        <f>IF(AND(AS$4&gt;EOMONTH(CloseDate,'Rent Roll'!$O$21+'Rent Roll'!$S$21-1),AS$4&lt;=EOMONTH(CloseDate,'Rent Roll'!$O$21+'Rent Roll'!$S$21-1+'Rent Roll'!$V$21)),-AS173,0)</f>
        <v>0</v>
      </c>
      <c r="AT174" s="49">
        <f>IF(AND(AT$4&gt;EOMONTH(CloseDate,'Rent Roll'!$O$21+'Rent Roll'!$S$21-1),AT$4&lt;=EOMONTH(CloseDate,'Rent Roll'!$O$21+'Rent Roll'!$S$21-1+'Rent Roll'!$V$21)),-AT173,0)</f>
        <v>0</v>
      </c>
      <c r="AU174" s="49">
        <f>IF(AND(AU$4&gt;EOMONTH(CloseDate,'Rent Roll'!$O$21+'Rent Roll'!$S$21-1),AU$4&lt;=EOMONTH(CloseDate,'Rent Roll'!$O$21+'Rent Roll'!$S$21-1+'Rent Roll'!$V$21)),-AU173,0)</f>
        <v>0</v>
      </c>
      <c r="AV174" s="49">
        <f>IF(AND(AV$4&gt;EOMONTH(CloseDate,'Rent Roll'!$O$21+'Rent Roll'!$S$21-1),AV$4&lt;=EOMONTH(CloseDate,'Rent Roll'!$O$21+'Rent Roll'!$S$21-1+'Rent Roll'!$V$21)),-AV173,0)</f>
        <v>0</v>
      </c>
      <c r="AW174" s="49">
        <f>IF(AND(AW$4&gt;EOMONTH(CloseDate,'Rent Roll'!$O$21+'Rent Roll'!$S$21-1),AW$4&lt;=EOMONTH(CloseDate,'Rent Roll'!$O$21+'Rent Roll'!$S$21-1+'Rent Roll'!$V$21)),-AW173,0)</f>
        <v>0</v>
      </c>
      <c r="AX174" s="49">
        <f>IF(AND(AX$4&gt;EOMONTH(CloseDate,'Rent Roll'!$O$21+'Rent Roll'!$S$21-1),AX$4&lt;=EOMONTH(CloseDate,'Rent Roll'!$O$21+'Rent Roll'!$S$21-1+'Rent Roll'!$V$21)),-AX173,0)</f>
        <v>0</v>
      </c>
      <c r="AY174" s="49">
        <f>IF(AND(AY$4&gt;EOMONTH(CloseDate,'Rent Roll'!$O$21+'Rent Roll'!$S$21-1),AY$4&lt;=EOMONTH(CloseDate,'Rent Roll'!$O$21+'Rent Roll'!$S$21-1+'Rent Roll'!$V$21)),-AY173,0)</f>
        <v>0</v>
      </c>
      <c r="AZ174" s="49">
        <f>IF(AND(AZ$4&gt;EOMONTH(CloseDate,'Rent Roll'!$O$21+'Rent Roll'!$S$21-1),AZ$4&lt;=EOMONTH(CloseDate,'Rent Roll'!$O$21+'Rent Roll'!$S$21-1+'Rent Roll'!$V$21)),-AZ173,0)</f>
        <v>0</v>
      </c>
      <c r="BA174" s="49">
        <f>IF(AND(BA$4&gt;EOMONTH(CloseDate,'Rent Roll'!$O$21+'Rent Roll'!$S$21-1),BA$4&lt;=EOMONTH(CloseDate,'Rent Roll'!$O$21+'Rent Roll'!$S$21-1+'Rent Roll'!$V$21)),-BA173,0)</f>
        <v>0</v>
      </c>
      <c r="BB174" s="49">
        <f>IF(AND(BB$4&gt;EOMONTH(CloseDate,'Rent Roll'!$O$21+'Rent Roll'!$S$21-1),BB$4&lt;=EOMONTH(CloseDate,'Rent Roll'!$O$21+'Rent Roll'!$S$21-1+'Rent Roll'!$V$21)),-BB173,0)</f>
        <v>0</v>
      </c>
      <c r="BC174" s="49">
        <f>IF(AND(BC$4&gt;EOMONTH(CloseDate,'Rent Roll'!$O$21+'Rent Roll'!$S$21-1),BC$4&lt;=EOMONTH(CloseDate,'Rent Roll'!$O$21+'Rent Roll'!$S$21-1+'Rent Roll'!$V$21)),-BC173,0)</f>
        <v>0</v>
      </c>
      <c r="BD174" s="49">
        <f>IF(AND(BD$4&gt;EOMONTH(CloseDate,'Rent Roll'!$O$21+'Rent Roll'!$S$21-1),BD$4&lt;=EOMONTH(CloseDate,'Rent Roll'!$O$21+'Rent Roll'!$S$21-1+'Rent Roll'!$V$21)),-BD173,0)</f>
        <v>0</v>
      </c>
      <c r="BE174" s="49">
        <f>IF(AND(BE$4&gt;EOMONTH(CloseDate,'Rent Roll'!$O$21+'Rent Roll'!$S$21-1),BE$4&lt;=EOMONTH(CloseDate,'Rent Roll'!$O$21+'Rent Roll'!$S$21-1+'Rent Roll'!$V$21)),-BE173,0)</f>
        <v>0</v>
      </c>
      <c r="BF174" s="49">
        <f>IF(AND(BF$4&gt;EOMONTH(CloseDate,'Rent Roll'!$O$21+'Rent Roll'!$S$21-1),BF$4&lt;=EOMONTH(CloseDate,'Rent Roll'!$O$21+'Rent Roll'!$S$21-1+'Rent Roll'!$V$21)),-BF173,0)</f>
        <v>0</v>
      </c>
      <c r="BG174" s="49">
        <f>IF(AND(BG$4&gt;EOMONTH(CloseDate,'Rent Roll'!$O$21+'Rent Roll'!$S$21-1),BG$4&lt;=EOMONTH(CloseDate,'Rent Roll'!$O$21+'Rent Roll'!$S$21-1+'Rent Roll'!$V$21)),-BG173,0)</f>
        <v>0</v>
      </c>
      <c r="BH174" s="49">
        <f>IF(AND(BH$4&gt;EOMONTH(CloseDate,'Rent Roll'!$O$21+'Rent Roll'!$S$21-1),BH$4&lt;=EOMONTH(CloseDate,'Rent Roll'!$O$21+'Rent Roll'!$S$21-1+'Rent Roll'!$V$21)),-BH173,0)</f>
        <v>0</v>
      </c>
      <c r="BI174" s="49">
        <f>IF(AND(BI$4&gt;EOMONTH(CloseDate,'Rent Roll'!$O$21+'Rent Roll'!$S$21-1),BI$4&lt;=EOMONTH(CloseDate,'Rent Roll'!$O$21+'Rent Roll'!$S$21-1+'Rent Roll'!$V$21)),-BI173,0)</f>
        <v>0</v>
      </c>
      <c r="BJ174" s="49">
        <f>IF(AND(BJ$4&gt;EOMONTH(CloseDate,'Rent Roll'!$O$21+'Rent Roll'!$S$21-1),BJ$4&lt;=EOMONTH(CloseDate,'Rent Roll'!$O$21+'Rent Roll'!$S$21-1+'Rent Roll'!$V$21)),-BJ173,0)</f>
        <v>0</v>
      </c>
      <c r="BK174" s="49">
        <f>IF(AND(BK$4&gt;EOMONTH(CloseDate,'Rent Roll'!$O$21+'Rent Roll'!$S$21-1),BK$4&lt;=EOMONTH(CloseDate,'Rent Roll'!$O$21+'Rent Roll'!$S$21-1+'Rent Roll'!$V$21)),-BK173,0)</f>
        <v>0</v>
      </c>
      <c r="BL174" s="49">
        <f>IF(AND(BL$4&gt;EOMONTH(CloseDate,'Rent Roll'!$O$21+'Rent Roll'!$S$21-1),BL$4&lt;=EOMONTH(CloseDate,'Rent Roll'!$O$21+'Rent Roll'!$S$21-1+'Rent Roll'!$V$21)),-BL173,0)</f>
        <v>0</v>
      </c>
      <c r="BM174" s="49">
        <f>IF(AND(BM$4&gt;EOMONTH(CloseDate,'Rent Roll'!$O$21+'Rent Roll'!$S$21-1),BM$4&lt;=EOMONTH(CloseDate,'Rent Roll'!$O$21+'Rent Roll'!$S$21-1+'Rent Roll'!$V$21)),-BM173,0)</f>
        <v>0</v>
      </c>
      <c r="BN174" s="49">
        <f>IF(AND(BN$4&gt;EOMONTH(CloseDate,'Rent Roll'!$O$21+'Rent Roll'!$S$21-1),BN$4&lt;=EOMONTH(CloseDate,'Rent Roll'!$O$21+'Rent Roll'!$S$21-1+'Rent Roll'!$V$21)),-BN173,0)</f>
        <v>0</v>
      </c>
      <c r="BO174" s="49">
        <f>IF(AND(BO$4&gt;EOMONTH(CloseDate,'Rent Roll'!$O$21+'Rent Roll'!$S$21-1),BO$4&lt;=EOMONTH(CloseDate,'Rent Roll'!$O$21+'Rent Roll'!$S$21-1+'Rent Roll'!$V$21)),-BO173,0)</f>
        <v>0</v>
      </c>
      <c r="BP174" s="49">
        <f>IF(AND(BP$4&gt;EOMONTH(CloseDate,'Rent Roll'!$O$21+'Rent Roll'!$S$21-1),BP$4&lt;=EOMONTH(CloseDate,'Rent Roll'!$O$21+'Rent Roll'!$S$21-1+'Rent Roll'!$V$21)),-BP173,0)</f>
        <v>0</v>
      </c>
      <c r="BQ174" s="49">
        <f>IF(AND(BQ$4&gt;EOMONTH(CloseDate,'Rent Roll'!$O$21+'Rent Roll'!$S$21-1),BQ$4&lt;=EOMONTH(CloseDate,'Rent Roll'!$O$21+'Rent Roll'!$S$21-1+'Rent Roll'!$V$21)),-BQ173,0)</f>
        <v>0</v>
      </c>
      <c r="BR174" s="49">
        <f>IF(AND(BR$4&gt;EOMONTH(CloseDate,'Rent Roll'!$O$21+'Rent Roll'!$S$21-1),BR$4&lt;=EOMONTH(CloseDate,'Rent Roll'!$O$21+'Rent Roll'!$S$21-1+'Rent Roll'!$V$21)),-BR173,0)</f>
        <v>0</v>
      </c>
      <c r="BS174" s="49">
        <f>IF(AND(BS$4&gt;EOMONTH(CloseDate,'Rent Roll'!$O$21+'Rent Roll'!$S$21-1),BS$4&lt;=EOMONTH(CloseDate,'Rent Roll'!$O$21+'Rent Roll'!$S$21-1+'Rent Roll'!$V$21)),-BS173,0)</f>
        <v>0</v>
      </c>
      <c r="BT174" s="49">
        <f>IF(AND(BT$4&gt;EOMONTH(CloseDate,'Rent Roll'!$O$21+'Rent Roll'!$S$21-1),BT$4&lt;=EOMONTH(CloseDate,'Rent Roll'!$O$21+'Rent Roll'!$S$21-1+'Rent Roll'!$V$21)),-BT173,0)</f>
        <v>0</v>
      </c>
      <c r="BU174" s="49">
        <f>IF(AND(BU$4&gt;EOMONTH(CloseDate,'Rent Roll'!$O$21+'Rent Roll'!$S$21-1),BU$4&lt;=EOMONTH(CloseDate,'Rent Roll'!$O$21+'Rent Roll'!$S$21-1+'Rent Roll'!$V$21)),-BU173,0)</f>
        <v>0</v>
      </c>
      <c r="BV174" s="49">
        <f>IF(AND(BV$4&gt;EOMONTH(CloseDate,'Rent Roll'!$O$21+'Rent Roll'!$S$21-1),BV$4&lt;=EOMONTH(CloseDate,'Rent Roll'!$O$21+'Rent Roll'!$S$21-1+'Rent Roll'!$V$21)),-BV173,0)</f>
        <v>0</v>
      </c>
      <c r="BW174" s="49">
        <f>IF(AND(BW$4&gt;EOMONTH(CloseDate,'Rent Roll'!$O$21+'Rent Roll'!$S$21-1),BW$4&lt;=EOMONTH(CloseDate,'Rent Roll'!$O$21+'Rent Roll'!$S$21-1+'Rent Roll'!$V$21)),-BW173,0)</f>
        <v>0</v>
      </c>
      <c r="BX174" s="49">
        <f>IF(AND(BX$4&gt;EOMONTH(CloseDate,'Rent Roll'!$O$21+'Rent Roll'!$S$21-1),BX$4&lt;=EOMONTH(CloseDate,'Rent Roll'!$O$21+'Rent Roll'!$S$21-1+'Rent Roll'!$V$21)),-BX173,0)</f>
        <v>0</v>
      </c>
    </row>
    <row r="175" spans="1:76">
      <c r="B175" t="s">
        <v>84</v>
      </c>
      <c r="D175" s="49">
        <f>D171+D173+D174</f>
        <v>6333.333333333333</v>
      </c>
      <c r="E175" s="49">
        <f t="shared" ref="E175:BJ175" si="62">E171+E173+E174</f>
        <v>6491.6666666666661</v>
      </c>
      <c r="F175" s="49">
        <f t="shared" si="62"/>
        <v>6491.6666666666661</v>
      </c>
      <c r="G175" s="49">
        <f t="shared" si="62"/>
        <v>6491.6666666666661</v>
      </c>
      <c r="H175" s="49">
        <f t="shared" si="62"/>
        <v>6491.6666666666661</v>
      </c>
      <c r="I175" s="49">
        <f t="shared" si="62"/>
        <v>6653.9583333333321</v>
      </c>
      <c r="J175" s="49">
        <f t="shared" si="62"/>
        <v>6653.9583333333321</v>
      </c>
      <c r="K175" s="49">
        <f t="shared" si="62"/>
        <v>6653.9583333333321</v>
      </c>
      <c r="L175" s="49">
        <f t="shared" si="62"/>
        <v>6653.9583333333321</v>
      </c>
      <c r="M175" s="49">
        <f t="shared" si="62"/>
        <v>6653.9583333333321</v>
      </c>
      <c r="N175" s="49">
        <f t="shared" si="62"/>
        <v>6653.9583333333321</v>
      </c>
      <c r="O175" s="49">
        <f t="shared" si="62"/>
        <v>6653.9583333333321</v>
      </c>
      <c r="P175" s="49">
        <f t="shared" si="62"/>
        <v>6653.9583333333321</v>
      </c>
      <c r="Q175" s="49">
        <f t="shared" si="62"/>
        <v>6653.9583333333321</v>
      </c>
      <c r="R175" s="49">
        <f t="shared" si="62"/>
        <v>6653.9583333333321</v>
      </c>
      <c r="S175" s="49">
        <f t="shared" si="62"/>
        <v>6653.9583333333321</v>
      </c>
      <c r="T175" s="49">
        <f t="shared" si="62"/>
        <v>6653.9583333333321</v>
      </c>
      <c r="U175" s="49">
        <f t="shared" si="62"/>
        <v>6820.3072916666652</v>
      </c>
      <c r="V175" s="49">
        <f t="shared" si="62"/>
        <v>6820.3072916666652</v>
      </c>
      <c r="W175" s="49">
        <f t="shared" si="62"/>
        <v>6820.3072916666652</v>
      </c>
      <c r="X175" s="49">
        <f t="shared" si="62"/>
        <v>6820.3072916666652</v>
      </c>
      <c r="Y175" s="49">
        <f t="shared" si="62"/>
        <v>6820.3072916666652</v>
      </c>
      <c r="Z175" s="49">
        <f t="shared" si="62"/>
        <v>6820.3072916666652</v>
      </c>
      <c r="AA175" s="49">
        <f t="shared" si="62"/>
        <v>6820.3072916666652</v>
      </c>
      <c r="AB175" s="49">
        <f t="shared" si="62"/>
        <v>6820.3072916666652</v>
      </c>
      <c r="AC175" s="49">
        <f t="shared" si="62"/>
        <v>0</v>
      </c>
      <c r="AD175" s="49">
        <f t="shared" si="62"/>
        <v>0</v>
      </c>
      <c r="AE175" s="49">
        <f t="shared" si="62"/>
        <v>0</v>
      </c>
      <c r="AF175" s="49">
        <f t="shared" si="62"/>
        <v>0</v>
      </c>
      <c r="AG175" s="49">
        <f t="shared" si="62"/>
        <v>0</v>
      </c>
      <c r="AH175" s="49">
        <f t="shared" si="62"/>
        <v>0</v>
      </c>
      <c r="AI175" s="49">
        <f t="shared" si="62"/>
        <v>0</v>
      </c>
      <c r="AJ175" s="49">
        <f t="shared" si="62"/>
        <v>0</v>
      </c>
      <c r="AK175" s="49">
        <f t="shared" si="62"/>
        <v>8339.5631188052048</v>
      </c>
      <c r="AL175" s="49">
        <f t="shared" si="62"/>
        <v>8339.5631188052048</v>
      </c>
      <c r="AM175" s="49">
        <f t="shared" si="62"/>
        <v>8339.5631188052048</v>
      </c>
      <c r="AN175" s="49">
        <f t="shared" si="62"/>
        <v>8339.5631188052048</v>
      </c>
      <c r="AO175" s="49">
        <f t="shared" si="62"/>
        <v>8339.5631188052048</v>
      </c>
      <c r="AP175" s="49">
        <f t="shared" si="62"/>
        <v>8339.5631188052048</v>
      </c>
      <c r="AQ175" s="49">
        <f t="shared" si="62"/>
        <v>8339.5631188052048</v>
      </c>
      <c r="AR175" s="49">
        <f t="shared" si="62"/>
        <v>8339.5631188052048</v>
      </c>
      <c r="AS175" s="49">
        <f t="shared" si="62"/>
        <v>8564.7313230129439</v>
      </c>
      <c r="AT175" s="49">
        <f t="shared" si="62"/>
        <v>8564.7313230129439</v>
      </c>
      <c r="AU175" s="49">
        <f t="shared" si="62"/>
        <v>8564.7313230129439</v>
      </c>
      <c r="AV175" s="49">
        <f t="shared" si="62"/>
        <v>8564.7313230129439</v>
      </c>
      <c r="AW175" s="49">
        <f t="shared" si="62"/>
        <v>8564.7313230129439</v>
      </c>
      <c r="AX175" s="49">
        <f t="shared" si="62"/>
        <v>8564.7313230129439</v>
      </c>
      <c r="AY175" s="49">
        <f t="shared" si="62"/>
        <v>8564.7313230129439</v>
      </c>
      <c r="AZ175" s="49">
        <f t="shared" si="62"/>
        <v>8564.7313230129439</v>
      </c>
      <c r="BA175" s="49">
        <f t="shared" si="62"/>
        <v>8564.7313230129439</v>
      </c>
      <c r="BB175" s="49">
        <f t="shared" si="62"/>
        <v>8564.7313230129439</v>
      </c>
      <c r="BC175" s="49">
        <f t="shared" si="62"/>
        <v>8564.7313230129439</v>
      </c>
      <c r="BD175" s="49">
        <f t="shared" si="62"/>
        <v>8564.7313230129439</v>
      </c>
      <c r="BE175" s="49">
        <f t="shared" si="62"/>
        <v>8795.9790687342938</v>
      </c>
      <c r="BF175" s="49">
        <f t="shared" si="62"/>
        <v>8795.9790687342938</v>
      </c>
      <c r="BG175" s="49">
        <f t="shared" si="62"/>
        <v>8795.9790687342938</v>
      </c>
      <c r="BH175" s="49">
        <f t="shared" si="62"/>
        <v>8795.9790687342938</v>
      </c>
      <c r="BI175" s="49">
        <f t="shared" si="62"/>
        <v>8795.9790687342938</v>
      </c>
      <c r="BJ175" s="49">
        <f t="shared" si="62"/>
        <v>8795.9790687342938</v>
      </c>
      <c r="BK175" s="49">
        <f t="shared" ref="BK175" si="63">BK171+BK173+BK174</f>
        <v>8795.9790687342938</v>
      </c>
      <c r="BL175" s="49">
        <f t="shared" ref="BL175:BX175" si="64">BL171+BL173+BL174</f>
        <v>8795.9790687342938</v>
      </c>
      <c r="BM175" s="49">
        <f t="shared" si="64"/>
        <v>8795.9790687342938</v>
      </c>
      <c r="BN175" s="49">
        <f t="shared" si="64"/>
        <v>8795.9790687342938</v>
      </c>
      <c r="BO175" s="49">
        <f t="shared" si="64"/>
        <v>8795.9790687342938</v>
      </c>
      <c r="BP175" s="49">
        <f t="shared" si="64"/>
        <v>8795.9790687342938</v>
      </c>
      <c r="BQ175" s="49">
        <f t="shared" si="64"/>
        <v>9033.4705035901188</v>
      </c>
      <c r="BR175" s="49">
        <f t="shared" si="64"/>
        <v>9033.4705035901188</v>
      </c>
      <c r="BS175" s="49">
        <f t="shared" si="64"/>
        <v>9033.4705035901188</v>
      </c>
      <c r="BT175" s="49">
        <f t="shared" si="64"/>
        <v>9033.4705035901188</v>
      </c>
      <c r="BU175" s="49">
        <f t="shared" si="64"/>
        <v>9033.4705035901188</v>
      </c>
      <c r="BV175" s="49">
        <f t="shared" si="64"/>
        <v>9033.4705035901188</v>
      </c>
      <c r="BW175" s="49">
        <f t="shared" si="64"/>
        <v>9033.4705035901188</v>
      </c>
      <c r="BX175" s="49">
        <f t="shared" si="64"/>
        <v>9033.4705035901188</v>
      </c>
    </row>
    <row r="176" spans="1:76" outlineLevel="1">
      <c r="B176" t="s">
        <v>85</v>
      </c>
      <c r="D176" s="49">
        <f>IF(OR(D170=1,D172=1),'Rent Roll'!$F$21/BldgSF*ReimbPool/12*D$7,0)</f>
        <v>3315.5</v>
      </c>
      <c r="E176" s="49">
        <f>IF(OR(E170=1,E172=1),'Rent Roll'!$F$21/BldgSF*ReimbPool/12*E$7,0)</f>
        <v>3315.5</v>
      </c>
      <c r="F176" s="49">
        <f>IF(OR(F170=1,F172=1),'Rent Roll'!$F$21/BldgSF*ReimbPool/12*F$7,0)</f>
        <v>3315.5</v>
      </c>
      <c r="G176" s="49">
        <f>IF(OR(G170=1,G172=1),'Rent Roll'!$F$21/BldgSF*ReimbPool/12*G$7,0)</f>
        <v>3315.5</v>
      </c>
      <c r="H176" s="49">
        <f>IF(OR(H170=1,H172=1),'Rent Roll'!$F$21/BldgSF*ReimbPool/12*H$7,0)</f>
        <v>3315.5</v>
      </c>
      <c r="I176" s="49">
        <f>IF(OR(I170=1,I172=1),'Rent Roll'!$F$21/BldgSF*ReimbPool/12*I$7,0)</f>
        <v>3405.0184999999997</v>
      </c>
      <c r="J176" s="49">
        <f>IF(OR(J170=1,J172=1),'Rent Roll'!$F$21/BldgSF*ReimbPool/12*J$7,0)</f>
        <v>3405.0184999999997</v>
      </c>
      <c r="K176" s="49">
        <f>IF(OR(K170=1,K172=1),'Rent Roll'!$F$21/BldgSF*ReimbPool/12*K$7,0)</f>
        <v>3405.0184999999997</v>
      </c>
      <c r="L176" s="49">
        <f>IF(OR(L170=1,L172=1),'Rent Roll'!$F$21/BldgSF*ReimbPool/12*L$7,0)</f>
        <v>3405.0184999999997</v>
      </c>
      <c r="M176" s="49">
        <f>IF(OR(M170=1,M172=1),'Rent Roll'!$F$21/BldgSF*ReimbPool/12*M$7,0)</f>
        <v>3405.0184999999997</v>
      </c>
      <c r="N176" s="49">
        <f>IF(OR(N170=1,N172=1),'Rent Roll'!$F$21/BldgSF*ReimbPool/12*N$7,0)</f>
        <v>3405.0184999999997</v>
      </c>
      <c r="O176" s="49">
        <f>IF(OR(O170=1,O172=1),'Rent Roll'!$F$21/BldgSF*ReimbPool/12*O$7,0)</f>
        <v>3405.0184999999997</v>
      </c>
      <c r="P176" s="49">
        <f>IF(OR(P170=1,P172=1),'Rent Roll'!$F$21/BldgSF*ReimbPool/12*P$7,0)</f>
        <v>3405.0184999999997</v>
      </c>
      <c r="Q176" s="49">
        <f>IF(OR(Q170=1,Q172=1),'Rent Roll'!$F$21/BldgSF*ReimbPool/12*Q$7,0)</f>
        <v>3405.0184999999997</v>
      </c>
      <c r="R176" s="49">
        <f>IF(OR(R170=1,R172=1),'Rent Roll'!$F$21/BldgSF*ReimbPool/12*R$7,0)</f>
        <v>3405.0184999999997</v>
      </c>
      <c r="S176" s="49">
        <f>IF(OR(S170=1,S172=1),'Rent Roll'!$F$21/BldgSF*ReimbPool/12*S$7,0)</f>
        <v>3405.0184999999997</v>
      </c>
      <c r="T176" s="49">
        <f>IF(OR(T170=1,T172=1),'Rent Roll'!$F$21/BldgSF*ReimbPool/12*T$7,0)</f>
        <v>3405.0184999999997</v>
      </c>
      <c r="U176" s="49">
        <f>IF(OR(U170=1,U172=1),'Rent Roll'!$F$21/BldgSF*ReimbPool/12*U$7,0)</f>
        <v>3496.9539994999996</v>
      </c>
      <c r="V176" s="49">
        <f>IF(OR(V170=1,V172=1),'Rent Roll'!$F$21/BldgSF*ReimbPool/12*V$7,0)</f>
        <v>3496.9539994999996</v>
      </c>
      <c r="W176" s="49">
        <f>IF(OR(W170=1,W172=1),'Rent Roll'!$F$21/BldgSF*ReimbPool/12*W$7,0)</f>
        <v>3496.9539994999996</v>
      </c>
      <c r="X176" s="49">
        <f>IF(OR(X170=1,X172=1),'Rent Roll'!$F$21/BldgSF*ReimbPool/12*X$7,0)</f>
        <v>3496.9539994999996</v>
      </c>
      <c r="Y176" s="49">
        <f>IF(OR(Y170=1,Y172=1),'Rent Roll'!$F$21/BldgSF*ReimbPool/12*Y$7,0)</f>
        <v>3496.9539994999996</v>
      </c>
      <c r="Z176" s="49">
        <f>IF(OR(Z170=1,Z172=1),'Rent Roll'!$F$21/BldgSF*ReimbPool/12*Z$7,0)</f>
        <v>3496.9539994999996</v>
      </c>
      <c r="AA176" s="49">
        <f>IF(OR(AA170=1,AA172=1),'Rent Roll'!$F$21/BldgSF*ReimbPool/12*AA$7,0)</f>
        <v>3496.9539994999996</v>
      </c>
      <c r="AB176" s="49">
        <f>IF(OR(AB170=1,AB172=1),'Rent Roll'!$F$21/BldgSF*ReimbPool/12*AB$7,0)</f>
        <v>3496.9539994999996</v>
      </c>
      <c r="AC176" s="49">
        <f>IF(OR(AC170=1,AC172=1),'Rent Roll'!$F$21/BldgSF*ReimbPool/12*AC$7,0)</f>
        <v>0</v>
      </c>
      <c r="AD176" s="49">
        <f>IF(OR(AD170=1,AD172=1),'Rent Roll'!$F$21/BldgSF*ReimbPool/12*AD$7,0)</f>
        <v>0</v>
      </c>
      <c r="AE176" s="49">
        <f>IF(OR(AE170=1,AE172=1),'Rent Roll'!$F$21/BldgSF*ReimbPool/12*AE$7,0)</f>
        <v>0</v>
      </c>
      <c r="AF176" s="49">
        <f>IF(OR(AF170=1,AF172=1),'Rent Roll'!$F$21/BldgSF*ReimbPool/12*AF$7,0)</f>
        <v>0</v>
      </c>
      <c r="AG176" s="49">
        <f>IF(OR(AG170=1,AG172=1),'Rent Roll'!$F$21/BldgSF*ReimbPool/12*AG$7,0)</f>
        <v>0</v>
      </c>
      <c r="AH176" s="49">
        <f>IF(OR(AH170=1,AH172=1),'Rent Roll'!$F$21/BldgSF*ReimbPool/12*AH$7,0)</f>
        <v>0</v>
      </c>
      <c r="AI176" s="49">
        <f>IF(OR(AI170=1,AI172=1),'Rent Roll'!$F$21/BldgSF*ReimbPool/12*AI$7,0)</f>
        <v>3591.3717574864991</v>
      </c>
      <c r="AJ176" s="49">
        <f>IF(OR(AJ170=1,AJ172=1),'Rent Roll'!$F$21/BldgSF*ReimbPool/12*AJ$7,0)</f>
        <v>3591.3717574864991</v>
      </c>
      <c r="AK176" s="49">
        <f>IF(OR(AK170=1,AK172=1),'Rent Roll'!$F$21/BldgSF*ReimbPool/12*AK$7,0)</f>
        <v>3591.3717574864991</v>
      </c>
      <c r="AL176" s="49">
        <f>IF(OR(AL170=1,AL172=1),'Rent Roll'!$F$21/BldgSF*ReimbPool/12*AL$7,0)</f>
        <v>3591.3717574864991</v>
      </c>
      <c r="AM176" s="49">
        <f>IF(OR(AM170=1,AM172=1),'Rent Roll'!$F$21/BldgSF*ReimbPool/12*AM$7,0)</f>
        <v>3591.3717574864991</v>
      </c>
      <c r="AN176" s="49">
        <f>IF(OR(AN170=1,AN172=1),'Rent Roll'!$F$21/BldgSF*ReimbPool/12*AN$7,0)</f>
        <v>3591.3717574864991</v>
      </c>
      <c r="AO176" s="49">
        <f>IF(OR(AO170=1,AO172=1),'Rent Roll'!$F$21/BldgSF*ReimbPool/12*AO$7,0)</f>
        <v>3591.3717574864991</v>
      </c>
      <c r="AP176" s="49">
        <f>IF(OR(AP170=1,AP172=1),'Rent Roll'!$F$21/BldgSF*ReimbPool/12*AP$7,0)</f>
        <v>3591.3717574864991</v>
      </c>
      <c r="AQ176" s="49">
        <f>IF(OR(AQ170=1,AQ172=1),'Rent Roll'!$F$21/BldgSF*ReimbPool/12*AQ$7,0)</f>
        <v>3591.3717574864991</v>
      </c>
      <c r="AR176" s="49">
        <f>IF(OR(AR170=1,AR172=1),'Rent Roll'!$F$21/BldgSF*ReimbPool/12*AR$7,0)</f>
        <v>3591.3717574864991</v>
      </c>
      <c r="AS176" s="49">
        <f>IF(OR(AS170=1,AS172=1),'Rent Roll'!$F$21/BldgSF*ReimbPool/12*AS$7,0)</f>
        <v>3688.3387949386342</v>
      </c>
      <c r="AT176" s="49">
        <f>IF(OR(AT170=1,AT172=1),'Rent Roll'!$F$21/BldgSF*ReimbPool/12*AT$7,0)</f>
        <v>3688.3387949386342</v>
      </c>
      <c r="AU176" s="49">
        <f>IF(OR(AU170=1,AU172=1),'Rent Roll'!$F$21/BldgSF*ReimbPool/12*AU$7,0)</f>
        <v>3688.3387949386342</v>
      </c>
      <c r="AV176" s="49">
        <f>IF(OR(AV170=1,AV172=1),'Rent Roll'!$F$21/BldgSF*ReimbPool/12*AV$7,0)</f>
        <v>3688.3387949386342</v>
      </c>
      <c r="AW176" s="49">
        <f>IF(OR(AW170=1,AW172=1),'Rent Roll'!$F$21/BldgSF*ReimbPool/12*AW$7,0)</f>
        <v>3688.3387949386342</v>
      </c>
      <c r="AX176" s="49">
        <f>IF(OR(AX170=1,AX172=1),'Rent Roll'!$F$21/BldgSF*ReimbPool/12*AX$7,0)</f>
        <v>3688.3387949386342</v>
      </c>
      <c r="AY176" s="49">
        <f>IF(OR(AY170=1,AY172=1),'Rent Roll'!$F$21/BldgSF*ReimbPool/12*AY$7,0)</f>
        <v>3688.3387949386342</v>
      </c>
      <c r="AZ176" s="49">
        <f>IF(OR(AZ170=1,AZ172=1),'Rent Roll'!$F$21/BldgSF*ReimbPool/12*AZ$7,0)</f>
        <v>3688.3387949386342</v>
      </c>
      <c r="BA176" s="49">
        <f>IF(OR(BA170=1,BA172=1),'Rent Roll'!$F$21/BldgSF*ReimbPool/12*BA$7,0)</f>
        <v>3688.3387949386342</v>
      </c>
      <c r="BB176" s="49">
        <f>IF(OR(BB170=1,BB172=1),'Rent Roll'!$F$21/BldgSF*ReimbPool/12*BB$7,0)</f>
        <v>3688.3387949386342</v>
      </c>
      <c r="BC176" s="49">
        <f>IF(OR(BC170=1,BC172=1),'Rent Roll'!$F$21/BldgSF*ReimbPool/12*BC$7,0)</f>
        <v>3688.3387949386342</v>
      </c>
      <c r="BD176" s="49">
        <f>IF(OR(BD170=1,BD172=1),'Rent Roll'!$F$21/BldgSF*ReimbPool/12*BD$7,0)</f>
        <v>3688.3387949386342</v>
      </c>
      <c r="BE176" s="49">
        <f>IF(OR(BE170=1,BE172=1),'Rent Roll'!$F$21/BldgSF*ReimbPool/12*BE$7,0)</f>
        <v>3787.923942401977</v>
      </c>
      <c r="BF176" s="49">
        <f>IF(OR(BF170=1,BF172=1),'Rent Roll'!$F$21/BldgSF*ReimbPool/12*BF$7,0)</f>
        <v>3787.923942401977</v>
      </c>
      <c r="BG176" s="49">
        <f>IF(OR(BG170=1,BG172=1),'Rent Roll'!$F$21/BldgSF*ReimbPool/12*BG$7,0)</f>
        <v>3787.923942401977</v>
      </c>
      <c r="BH176" s="49">
        <f>IF(OR(BH170=1,BH172=1),'Rent Roll'!$F$21/BldgSF*ReimbPool/12*BH$7,0)</f>
        <v>3787.923942401977</v>
      </c>
      <c r="BI176" s="49">
        <f>IF(OR(BI170=1,BI172=1),'Rent Roll'!$F$21/BldgSF*ReimbPool/12*BI$7,0)</f>
        <v>3787.923942401977</v>
      </c>
      <c r="BJ176" s="49">
        <f>IF(OR(BJ170=1,BJ172=1),'Rent Roll'!$F$21/BldgSF*ReimbPool/12*BJ$7,0)</f>
        <v>3787.923942401977</v>
      </c>
      <c r="BK176" s="49">
        <f>IF(OR(BK170=1,BK172=1),'Rent Roll'!$F$21/BldgSF*ReimbPool/12*BK$7,0)</f>
        <v>3787.923942401977</v>
      </c>
      <c r="BL176" s="49">
        <f>IF(OR(BL170=1,BL172=1),'Rent Roll'!$F$21/BldgSF*ReimbPool/12*BL$7,0)</f>
        <v>3787.923942401977</v>
      </c>
      <c r="BM176" s="49">
        <f>IF(OR(BM170=1,BM172=1),'Rent Roll'!$F$21/BldgSF*ReimbPool/12*BM$7,0)</f>
        <v>3787.923942401977</v>
      </c>
      <c r="BN176" s="49">
        <f>IF(OR(BN170=1,BN172=1),'Rent Roll'!$F$21/BldgSF*ReimbPool/12*BN$7,0)</f>
        <v>3787.923942401977</v>
      </c>
      <c r="BO176" s="49">
        <f>IF(OR(BO170=1,BO172=1),'Rent Roll'!$F$21/BldgSF*ReimbPool/12*BO$7,0)</f>
        <v>3787.923942401977</v>
      </c>
      <c r="BP176" s="49">
        <f>IF(OR(BP170=1,BP172=1),'Rent Roll'!$F$21/BldgSF*ReimbPool/12*BP$7,0)</f>
        <v>3787.923942401977</v>
      </c>
      <c r="BQ176" s="49">
        <f>IF(OR(BQ170=1,BQ172=1),'Rent Roll'!$F$21/BldgSF*ReimbPool/12*BQ$7,0)</f>
        <v>3890.1978888468298</v>
      </c>
      <c r="BR176" s="49">
        <f>IF(OR(BR170=1,BR172=1),'Rent Roll'!$F$21/BldgSF*ReimbPool/12*BR$7,0)</f>
        <v>3890.1978888468298</v>
      </c>
      <c r="BS176" s="49">
        <f>IF(OR(BS170=1,BS172=1),'Rent Roll'!$F$21/BldgSF*ReimbPool/12*BS$7,0)</f>
        <v>3890.1978888468298</v>
      </c>
      <c r="BT176" s="49">
        <f>IF(OR(BT170=1,BT172=1),'Rent Roll'!$F$21/BldgSF*ReimbPool/12*BT$7,0)</f>
        <v>3890.1978888468298</v>
      </c>
      <c r="BU176" s="49">
        <f>IF(OR(BU170=1,BU172=1),'Rent Roll'!$F$21/BldgSF*ReimbPool/12*BU$7,0)</f>
        <v>3890.1978888468298</v>
      </c>
      <c r="BV176" s="49">
        <f>IF(OR(BV170=1,BV172=1),'Rent Roll'!$F$21/BldgSF*ReimbPool/12*BV$7,0)</f>
        <v>3890.1978888468298</v>
      </c>
      <c r="BW176" s="49">
        <f>IF(OR(BW170=1,BW172=1),'Rent Roll'!$F$21/BldgSF*ReimbPool/12*BW$7,0)</f>
        <v>3890.1978888468298</v>
      </c>
      <c r="BX176" s="49">
        <f>IF(OR(BX170=1,BX172=1),'Rent Roll'!$F$21/BldgSF*ReimbPool/12*BX$7,0)</f>
        <v>3890.1978888468298</v>
      </c>
    </row>
    <row r="177" spans="1:76" outlineLevel="1">
      <c r="B177" t="s">
        <v>86</v>
      </c>
      <c r="D177" s="49">
        <f>IF(D$4=EOMONTH(CloseDate,'Rent Roll'!$O$21+'Rent Roll'!$S$21),-'Rent Roll'!$F$21*'Rent Roll'!$T$21,0)</f>
        <v>0</v>
      </c>
      <c r="E177" s="49">
        <f>IF(E$4=EOMONTH(CloseDate,'Rent Roll'!$O$21+'Rent Roll'!$S$21),-'Rent Roll'!$F$21*'Rent Roll'!$T$21,0)</f>
        <v>0</v>
      </c>
      <c r="F177" s="49">
        <f>IF(F$4=EOMONTH(CloseDate,'Rent Roll'!$O$21+'Rent Roll'!$S$21),-'Rent Roll'!$F$21*'Rent Roll'!$T$21,0)</f>
        <v>0</v>
      </c>
      <c r="G177" s="49">
        <f>IF(G$4=EOMONTH(CloseDate,'Rent Roll'!$O$21+'Rent Roll'!$S$21),-'Rent Roll'!$F$21*'Rent Roll'!$T$21,0)</f>
        <v>0</v>
      </c>
      <c r="H177" s="49">
        <f>IF(H$4=EOMONTH(CloseDate,'Rent Roll'!$O$21+'Rent Roll'!$S$21),-'Rent Roll'!$F$21*'Rent Roll'!$T$21,0)</f>
        <v>0</v>
      </c>
      <c r="I177" s="49">
        <f>IF(I$4=EOMONTH(CloseDate,'Rent Roll'!$O$21+'Rent Roll'!$S$21),-'Rent Roll'!$F$21*'Rent Roll'!$T$21,0)</f>
        <v>0</v>
      </c>
      <c r="J177" s="49">
        <f>IF(J$4=EOMONTH(CloseDate,'Rent Roll'!$O$21+'Rent Roll'!$S$21),-'Rent Roll'!$F$21*'Rent Roll'!$T$21,0)</f>
        <v>0</v>
      </c>
      <c r="K177" s="49">
        <f>IF(K$4=EOMONTH(CloseDate,'Rent Roll'!$O$21+'Rent Roll'!$S$21),-'Rent Roll'!$F$21*'Rent Roll'!$T$21,0)</f>
        <v>0</v>
      </c>
      <c r="L177" s="49">
        <f>IF(L$4=EOMONTH(CloseDate,'Rent Roll'!$O$21+'Rent Roll'!$S$21),-'Rent Roll'!$F$21*'Rent Roll'!$T$21,0)</f>
        <v>0</v>
      </c>
      <c r="M177" s="49">
        <f>IF(M$4=EOMONTH(CloseDate,'Rent Roll'!$O$21+'Rent Roll'!$S$21),-'Rent Roll'!$F$21*'Rent Roll'!$T$21,0)</f>
        <v>0</v>
      </c>
      <c r="N177" s="49">
        <f>IF(N$4=EOMONTH(CloseDate,'Rent Roll'!$O$21+'Rent Roll'!$S$21),-'Rent Roll'!$F$21*'Rent Roll'!$T$21,0)</f>
        <v>0</v>
      </c>
      <c r="O177" s="49">
        <f>IF(O$4=EOMONTH(CloseDate,'Rent Roll'!$O$21+'Rent Roll'!$S$21),-'Rent Roll'!$F$21*'Rent Roll'!$T$21,0)</f>
        <v>0</v>
      </c>
      <c r="P177" s="49">
        <f>IF(P$4=EOMONTH(CloseDate,'Rent Roll'!$O$21+'Rent Roll'!$S$21),-'Rent Roll'!$F$21*'Rent Roll'!$T$21,0)</f>
        <v>0</v>
      </c>
      <c r="Q177" s="49">
        <f>IF(Q$4=EOMONTH(CloseDate,'Rent Roll'!$O$21+'Rent Roll'!$S$21),-'Rent Roll'!$F$21*'Rent Roll'!$T$21,0)</f>
        <v>0</v>
      </c>
      <c r="R177" s="49">
        <f>IF(R$4=EOMONTH(CloseDate,'Rent Roll'!$O$21+'Rent Roll'!$S$21),-'Rent Roll'!$F$21*'Rent Roll'!$T$21,0)</f>
        <v>0</v>
      </c>
      <c r="S177" s="49">
        <f>IF(S$4=EOMONTH(CloseDate,'Rent Roll'!$O$21+'Rent Roll'!$S$21),-'Rent Roll'!$F$21*'Rent Roll'!$T$21,0)</f>
        <v>0</v>
      </c>
      <c r="T177" s="49">
        <f>IF(T$4=EOMONTH(CloseDate,'Rent Roll'!$O$21+'Rent Roll'!$S$21),-'Rent Roll'!$F$21*'Rent Roll'!$T$21,0)</f>
        <v>0</v>
      </c>
      <c r="U177" s="49">
        <f>IF(U$4=EOMONTH(CloseDate,'Rent Roll'!$O$21+'Rent Roll'!$S$21),-'Rent Roll'!$F$21*'Rent Roll'!$T$21,0)</f>
        <v>0</v>
      </c>
      <c r="V177" s="49">
        <f>IF(V$4=EOMONTH(CloseDate,'Rent Roll'!$O$21+'Rent Roll'!$S$21),-'Rent Roll'!$F$21*'Rent Roll'!$T$21,0)</f>
        <v>0</v>
      </c>
      <c r="W177" s="49">
        <f>IF(W$4=EOMONTH(CloseDate,'Rent Roll'!$O$21+'Rent Roll'!$S$21),-'Rent Roll'!$F$21*'Rent Roll'!$T$21,0)</f>
        <v>0</v>
      </c>
      <c r="X177" s="49">
        <f>IF(X$4=EOMONTH(CloseDate,'Rent Roll'!$O$21+'Rent Roll'!$S$21),-'Rent Roll'!$F$21*'Rent Roll'!$T$21,0)</f>
        <v>0</v>
      </c>
      <c r="Y177" s="49">
        <f>IF(Y$4=EOMONTH(CloseDate,'Rent Roll'!$O$21+'Rent Roll'!$S$21),-'Rent Roll'!$F$21*'Rent Roll'!$T$21,0)</f>
        <v>0</v>
      </c>
      <c r="Z177" s="49">
        <f>IF(Z$4=EOMONTH(CloseDate,'Rent Roll'!$O$21+'Rent Roll'!$S$21),-'Rent Roll'!$F$21*'Rent Roll'!$T$21,0)</f>
        <v>0</v>
      </c>
      <c r="AA177" s="49">
        <f>IF(AA$4=EOMONTH(CloseDate,'Rent Roll'!$O$21+'Rent Roll'!$S$21),-'Rent Roll'!$F$21*'Rent Roll'!$T$21,0)</f>
        <v>0</v>
      </c>
      <c r="AB177" s="49">
        <f>IF(AB$4=EOMONTH(CloseDate,'Rent Roll'!$O$21+'Rent Roll'!$S$21),-'Rent Roll'!$F$21*'Rent Roll'!$T$21,0)</f>
        <v>0</v>
      </c>
      <c r="AC177" s="49">
        <f>IF(AC$4=EOMONTH(CloseDate,'Rent Roll'!$O$21+'Rent Roll'!$S$21),-'Rent Roll'!$F$21*'Rent Roll'!$T$21,0)</f>
        <v>0</v>
      </c>
      <c r="AD177" s="49">
        <f>IF(AD$4=EOMONTH(CloseDate,'Rent Roll'!$O$21+'Rent Roll'!$S$21),-'Rent Roll'!$F$21*'Rent Roll'!$T$21,0)</f>
        <v>0</v>
      </c>
      <c r="AE177" s="49">
        <f>IF(AE$4=EOMONTH(CloseDate,'Rent Roll'!$O$21+'Rent Roll'!$S$21),-'Rent Roll'!$F$21*'Rent Roll'!$T$21,0)</f>
        <v>0</v>
      </c>
      <c r="AF177" s="49">
        <f>IF(AF$4=EOMONTH(CloseDate,'Rent Roll'!$O$21+'Rent Roll'!$S$21),-'Rent Roll'!$F$21*'Rent Roll'!$T$21,0)</f>
        <v>0</v>
      </c>
      <c r="AG177" s="49">
        <f>IF(AG$4=EOMONTH(CloseDate,'Rent Roll'!$O$21+'Rent Roll'!$S$21),-'Rent Roll'!$F$21*'Rent Roll'!$T$21,0)</f>
        <v>0</v>
      </c>
      <c r="AH177" s="49">
        <f>IF(AH$4=EOMONTH(CloseDate,'Rent Roll'!$O$21+'Rent Roll'!$S$21),-'Rent Roll'!$F$21*'Rent Roll'!$T$21,0)</f>
        <v>0</v>
      </c>
      <c r="AI177" s="49">
        <f>IF(AI$4=EOMONTH(CloseDate,'Rent Roll'!$O$21+'Rent Roll'!$S$21),-'Rent Roll'!$F$21*'Rent Roll'!$T$21,0)</f>
        <v>-121600</v>
      </c>
      <c r="AJ177" s="49">
        <f>IF(AJ$4=EOMONTH(CloseDate,'Rent Roll'!$O$21+'Rent Roll'!$S$21),-'Rent Roll'!$F$21*'Rent Roll'!$T$21,0)</f>
        <v>0</v>
      </c>
      <c r="AK177" s="49">
        <f>IF(AK$4=EOMONTH(CloseDate,'Rent Roll'!$O$21+'Rent Roll'!$S$21),-'Rent Roll'!$F$21*'Rent Roll'!$T$21,0)</f>
        <v>0</v>
      </c>
      <c r="AL177" s="49">
        <f>IF(AL$4=EOMONTH(CloseDate,'Rent Roll'!$O$21+'Rent Roll'!$S$21),-'Rent Roll'!$F$21*'Rent Roll'!$T$21,0)</f>
        <v>0</v>
      </c>
      <c r="AM177" s="49">
        <f>IF(AM$4=EOMONTH(CloseDate,'Rent Roll'!$O$21+'Rent Roll'!$S$21),-'Rent Roll'!$F$21*'Rent Roll'!$T$21,0)</f>
        <v>0</v>
      </c>
      <c r="AN177" s="49">
        <f>IF(AN$4=EOMONTH(CloseDate,'Rent Roll'!$O$21+'Rent Roll'!$S$21),-'Rent Roll'!$F$21*'Rent Roll'!$T$21,0)</f>
        <v>0</v>
      </c>
      <c r="AO177" s="49">
        <f>IF(AO$4=EOMONTH(CloseDate,'Rent Roll'!$O$21+'Rent Roll'!$S$21),-'Rent Roll'!$F$21*'Rent Roll'!$T$21,0)</f>
        <v>0</v>
      </c>
      <c r="AP177" s="49">
        <f>IF(AP$4=EOMONTH(CloseDate,'Rent Roll'!$O$21+'Rent Roll'!$S$21),-'Rent Roll'!$F$21*'Rent Roll'!$T$21,0)</f>
        <v>0</v>
      </c>
      <c r="AQ177" s="49">
        <f>IF(AQ$4=EOMONTH(CloseDate,'Rent Roll'!$O$21+'Rent Roll'!$S$21),-'Rent Roll'!$F$21*'Rent Roll'!$T$21,0)</f>
        <v>0</v>
      </c>
      <c r="AR177" s="49">
        <f>IF(AR$4=EOMONTH(CloseDate,'Rent Roll'!$O$21+'Rent Roll'!$S$21),-'Rent Roll'!$F$21*'Rent Roll'!$T$21,0)</f>
        <v>0</v>
      </c>
      <c r="AS177" s="49">
        <f>IF(AS$4=EOMONTH(CloseDate,'Rent Roll'!$O$21+'Rent Roll'!$S$21),-'Rent Roll'!$F$21*'Rent Roll'!$T$21,0)</f>
        <v>0</v>
      </c>
      <c r="AT177" s="49">
        <f>IF(AT$4=EOMONTH(CloseDate,'Rent Roll'!$O$21+'Rent Roll'!$S$21),-'Rent Roll'!$F$21*'Rent Roll'!$T$21,0)</f>
        <v>0</v>
      </c>
      <c r="AU177" s="49">
        <f>IF(AU$4=EOMONTH(CloseDate,'Rent Roll'!$O$21+'Rent Roll'!$S$21),-'Rent Roll'!$F$21*'Rent Roll'!$T$21,0)</f>
        <v>0</v>
      </c>
      <c r="AV177" s="49">
        <f>IF(AV$4=EOMONTH(CloseDate,'Rent Roll'!$O$21+'Rent Roll'!$S$21),-'Rent Roll'!$F$21*'Rent Roll'!$T$21,0)</f>
        <v>0</v>
      </c>
      <c r="AW177" s="49">
        <f>IF(AW$4=EOMONTH(CloseDate,'Rent Roll'!$O$21+'Rent Roll'!$S$21),-'Rent Roll'!$F$21*'Rent Roll'!$T$21,0)</f>
        <v>0</v>
      </c>
      <c r="AX177" s="49">
        <f>IF(AX$4=EOMONTH(CloseDate,'Rent Roll'!$O$21+'Rent Roll'!$S$21),-'Rent Roll'!$F$21*'Rent Roll'!$T$21,0)</f>
        <v>0</v>
      </c>
      <c r="AY177" s="49">
        <f>IF(AY$4=EOMONTH(CloseDate,'Rent Roll'!$O$21+'Rent Roll'!$S$21),-'Rent Roll'!$F$21*'Rent Roll'!$T$21,0)</f>
        <v>0</v>
      </c>
      <c r="AZ177" s="49">
        <f>IF(AZ$4=EOMONTH(CloseDate,'Rent Roll'!$O$21+'Rent Roll'!$S$21),-'Rent Roll'!$F$21*'Rent Roll'!$T$21,0)</f>
        <v>0</v>
      </c>
      <c r="BA177" s="49">
        <f>IF(BA$4=EOMONTH(CloseDate,'Rent Roll'!$O$21+'Rent Roll'!$S$21),-'Rent Roll'!$F$21*'Rent Roll'!$T$21,0)</f>
        <v>0</v>
      </c>
      <c r="BB177" s="49">
        <f>IF(BB$4=EOMONTH(CloseDate,'Rent Roll'!$O$21+'Rent Roll'!$S$21),-'Rent Roll'!$F$21*'Rent Roll'!$T$21,0)</f>
        <v>0</v>
      </c>
      <c r="BC177" s="49">
        <f>IF(BC$4=EOMONTH(CloseDate,'Rent Roll'!$O$21+'Rent Roll'!$S$21),-'Rent Roll'!$F$21*'Rent Roll'!$T$21,0)</f>
        <v>0</v>
      </c>
      <c r="BD177" s="49">
        <f>IF(BD$4=EOMONTH(CloseDate,'Rent Roll'!$O$21+'Rent Roll'!$S$21),-'Rent Roll'!$F$21*'Rent Roll'!$T$21,0)</f>
        <v>0</v>
      </c>
      <c r="BE177" s="49">
        <f>IF(BE$4=EOMONTH(CloseDate,'Rent Roll'!$O$21+'Rent Roll'!$S$21),-'Rent Roll'!$F$21*'Rent Roll'!$T$21,0)</f>
        <v>0</v>
      </c>
      <c r="BF177" s="49">
        <f>IF(BF$4=EOMONTH(CloseDate,'Rent Roll'!$O$21+'Rent Roll'!$S$21),-'Rent Roll'!$F$21*'Rent Roll'!$T$21,0)</f>
        <v>0</v>
      </c>
      <c r="BG177" s="49">
        <f>IF(BG$4=EOMONTH(CloseDate,'Rent Roll'!$O$21+'Rent Roll'!$S$21),-'Rent Roll'!$F$21*'Rent Roll'!$T$21,0)</f>
        <v>0</v>
      </c>
      <c r="BH177" s="49">
        <f>IF(BH$4=EOMONTH(CloseDate,'Rent Roll'!$O$21+'Rent Roll'!$S$21),-'Rent Roll'!$F$21*'Rent Roll'!$T$21,0)</f>
        <v>0</v>
      </c>
      <c r="BI177" s="49">
        <f>IF(BI$4=EOMONTH(CloseDate,'Rent Roll'!$O$21+'Rent Roll'!$S$21),-'Rent Roll'!$F$21*'Rent Roll'!$T$21,0)</f>
        <v>0</v>
      </c>
      <c r="BJ177" s="49">
        <f>IF(BJ$4=EOMONTH(CloseDate,'Rent Roll'!$O$21+'Rent Roll'!$S$21),-'Rent Roll'!$F$21*'Rent Roll'!$T$21,0)</f>
        <v>0</v>
      </c>
      <c r="BK177" s="49">
        <f>IF(BK$4=EOMONTH(CloseDate,'Rent Roll'!$O$21+'Rent Roll'!$S$21),-'Rent Roll'!$F$21*'Rent Roll'!$T$21,0)</f>
        <v>0</v>
      </c>
      <c r="BL177" s="49">
        <f>IF(BL$4=EOMONTH(CloseDate,'Rent Roll'!$O$21+'Rent Roll'!$S$21),-'Rent Roll'!$F$21*'Rent Roll'!$T$21,0)</f>
        <v>0</v>
      </c>
      <c r="BM177" s="49">
        <f>IF(BM$4=EOMONTH(CloseDate,'Rent Roll'!$O$21+'Rent Roll'!$S$21),-'Rent Roll'!$F$21*'Rent Roll'!$T$21,0)</f>
        <v>0</v>
      </c>
      <c r="BN177" s="49">
        <f>IF(BN$4=EOMONTH(CloseDate,'Rent Roll'!$O$21+'Rent Roll'!$S$21),-'Rent Roll'!$F$21*'Rent Roll'!$T$21,0)</f>
        <v>0</v>
      </c>
      <c r="BO177" s="49">
        <f>IF(BO$4=EOMONTH(CloseDate,'Rent Roll'!$O$21+'Rent Roll'!$S$21),-'Rent Roll'!$F$21*'Rent Roll'!$T$21,0)</f>
        <v>0</v>
      </c>
      <c r="BP177" s="49">
        <f>IF(BP$4=EOMONTH(CloseDate,'Rent Roll'!$O$21+'Rent Roll'!$S$21),-'Rent Roll'!$F$21*'Rent Roll'!$T$21,0)</f>
        <v>0</v>
      </c>
      <c r="BQ177" s="49">
        <f>IF(BQ$4=EOMONTH(CloseDate,'Rent Roll'!$O$21+'Rent Roll'!$S$21),-'Rent Roll'!$F$21*'Rent Roll'!$T$21,0)</f>
        <v>0</v>
      </c>
      <c r="BR177" s="49">
        <f>IF(BR$4=EOMONTH(CloseDate,'Rent Roll'!$O$21+'Rent Roll'!$S$21),-'Rent Roll'!$F$21*'Rent Roll'!$T$21,0)</f>
        <v>0</v>
      </c>
      <c r="BS177" s="49">
        <f>IF(BS$4=EOMONTH(CloseDate,'Rent Roll'!$O$21+'Rent Roll'!$S$21),-'Rent Roll'!$F$21*'Rent Roll'!$T$21,0)</f>
        <v>0</v>
      </c>
      <c r="BT177" s="49">
        <f>IF(BT$4=EOMONTH(CloseDate,'Rent Roll'!$O$21+'Rent Roll'!$S$21),-'Rent Roll'!$F$21*'Rent Roll'!$T$21,0)</f>
        <v>0</v>
      </c>
      <c r="BU177" s="49">
        <f>IF(BU$4=EOMONTH(CloseDate,'Rent Roll'!$O$21+'Rent Roll'!$S$21),-'Rent Roll'!$F$21*'Rent Roll'!$T$21,0)</f>
        <v>0</v>
      </c>
      <c r="BV177" s="49">
        <f>IF(BV$4=EOMONTH(CloseDate,'Rent Roll'!$O$21+'Rent Roll'!$S$21),-'Rent Roll'!$F$21*'Rent Roll'!$T$21,0)</f>
        <v>0</v>
      </c>
      <c r="BW177" s="49">
        <f>IF(BW$4=EOMONTH(CloseDate,'Rent Roll'!$O$21+'Rent Roll'!$S$21),-'Rent Roll'!$F$21*'Rent Roll'!$T$21,0)</f>
        <v>0</v>
      </c>
      <c r="BX177" s="49">
        <f>IF(BX$4=EOMONTH(CloseDate,'Rent Roll'!$O$21+'Rent Roll'!$S$21),-'Rent Roll'!$F$21*'Rent Roll'!$T$21,0)</f>
        <v>0</v>
      </c>
    </row>
    <row r="178" spans="1:76" outlineLevel="1">
      <c r="B178" t="s">
        <v>87</v>
      </c>
      <c r="D178" s="49">
        <f>IF(D$4=EOMONTH(CloseDate,'Rent Roll'!$O$21+'Rent Roll'!$S$21),-'Rent Roll'!$U$21*'Rent Roll'!$F$21*'Rent Roll'!$X$21,0)</f>
        <v>0</v>
      </c>
      <c r="E178" s="49">
        <f>IF(E$4=EOMONTH(CloseDate,'Rent Roll'!$O$21+'Rent Roll'!$S$21),-'Rent Roll'!$U$21*'Rent Roll'!$F$21*'Rent Roll'!$X$21,0)</f>
        <v>0</v>
      </c>
      <c r="F178" s="49">
        <f>IF(F$4=EOMONTH(CloseDate,'Rent Roll'!$O$21+'Rent Roll'!$S$21),-'Rent Roll'!$U$21*'Rent Roll'!$F$21*'Rent Roll'!$X$21,0)</f>
        <v>0</v>
      </c>
      <c r="G178" s="49">
        <f>IF(G$4=EOMONTH(CloseDate,'Rent Roll'!$O$21+'Rent Roll'!$S$21),-'Rent Roll'!$U$21*'Rent Roll'!$F$21*'Rent Roll'!$X$21,0)</f>
        <v>0</v>
      </c>
      <c r="H178" s="49">
        <f>IF(H$4=EOMONTH(CloseDate,'Rent Roll'!$O$21+'Rent Roll'!$S$21),-'Rent Roll'!$U$21*'Rent Roll'!$F$21*'Rent Roll'!$X$21,0)</f>
        <v>0</v>
      </c>
      <c r="I178" s="49">
        <f>IF(I$4=EOMONTH(CloseDate,'Rent Roll'!$O$21+'Rent Roll'!$S$21),-'Rent Roll'!$U$21*'Rent Roll'!$F$21*'Rent Roll'!$X$21,0)</f>
        <v>0</v>
      </c>
      <c r="J178" s="49">
        <f>IF(J$4=EOMONTH(CloseDate,'Rent Roll'!$O$21+'Rent Roll'!$S$21),-'Rent Roll'!$U$21*'Rent Roll'!$F$21*'Rent Roll'!$X$21,0)</f>
        <v>0</v>
      </c>
      <c r="K178" s="49">
        <f>IF(K$4=EOMONTH(CloseDate,'Rent Roll'!$O$21+'Rent Roll'!$S$21),-'Rent Roll'!$U$21*'Rent Roll'!$F$21*'Rent Roll'!$X$21,0)</f>
        <v>0</v>
      </c>
      <c r="L178" s="49">
        <f>IF(L$4=EOMONTH(CloseDate,'Rent Roll'!$O$21+'Rent Roll'!$S$21),-'Rent Roll'!$U$21*'Rent Roll'!$F$21*'Rent Roll'!$X$21,0)</f>
        <v>0</v>
      </c>
      <c r="M178" s="49">
        <f>IF(M$4=EOMONTH(CloseDate,'Rent Roll'!$O$21+'Rent Roll'!$S$21),-'Rent Roll'!$U$21*'Rent Roll'!$F$21*'Rent Roll'!$X$21,0)</f>
        <v>0</v>
      </c>
      <c r="N178" s="49">
        <f>IF(N$4=EOMONTH(CloseDate,'Rent Roll'!$O$21+'Rent Roll'!$S$21),-'Rent Roll'!$U$21*'Rent Roll'!$F$21*'Rent Roll'!$X$21,0)</f>
        <v>0</v>
      </c>
      <c r="O178" s="49">
        <f>IF(O$4=EOMONTH(CloseDate,'Rent Roll'!$O$21+'Rent Roll'!$S$21),-'Rent Roll'!$U$21*'Rent Roll'!$F$21*'Rent Roll'!$X$21,0)</f>
        <v>0</v>
      </c>
      <c r="P178" s="49">
        <f>IF(P$4=EOMONTH(CloseDate,'Rent Roll'!$O$21+'Rent Roll'!$S$21),-'Rent Roll'!$U$21*'Rent Roll'!$F$21*'Rent Roll'!$X$21,0)</f>
        <v>0</v>
      </c>
      <c r="Q178" s="49">
        <f>IF(Q$4=EOMONTH(CloseDate,'Rent Roll'!$O$21+'Rent Roll'!$S$21),-'Rent Roll'!$U$21*'Rent Roll'!$F$21*'Rent Roll'!$X$21,0)</f>
        <v>0</v>
      </c>
      <c r="R178" s="49">
        <f>IF(R$4=EOMONTH(CloseDate,'Rent Roll'!$O$21+'Rent Roll'!$S$21),-'Rent Roll'!$U$21*'Rent Roll'!$F$21*'Rent Roll'!$X$21,0)</f>
        <v>0</v>
      </c>
      <c r="S178" s="49">
        <f>IF(S$4=EOMONTH(CloseDate,'Rent Roll'!$O$21+'Rent Roll'!$S$21),-'Rent Roll'!$U$21*'Rent Roll'!$F$21*'Rent Roll'!$X$21,0)</f>
        <v>0</v>
      </c>
      <c r="T178" s="49">
        <f>IF(T$4=EOMONTH(CloseDate,'Rent Roll'!$O$21+'Rent Roll'!$S$21),-'Rent Roll'!$U$21*'Rent Roll'!$F$21*'Rent Roll'!$X$21,0)</f>
        <v>0</v>
      </c>
      <c r="U178" s="49">
        <f>IF(U$4=EOMONTH(CloseDate,'Rent Roll'!$O$21+'Rent Roll'!$S$21),-'Rent Roll'!$U$21*'Rent Roll'!$F$21*'Rent Roll'!$X$21,0)</f>
        <v>0</v>
      </c>
      <c r="V178" s="49">
        <f>IF(V$4=EOMONTH(CloseDate,'Rent Roll'!$O$21+'Rent Roll'!$S$21),-'Rent Roll'!$U$21*'Rent Roll'!$F$21*'Rent Roll'!$X$21,0)</f>
        <v>0</v>
      </c>
      <c r="W178" s="49">
        <f>IF(W$4=EOMONTH(CloseDate,'Rent Roll'!$O$21+'Rent Roll'!$S$21),-'Rent Roll'!$U$21*'Rent Roll'!$F$21*'Rent Roll'!$X$21,0)</f>
        <v>0</v>
      </c>
      <c r="X178" s="49">
        <f>IF(X$4=EOMONTH(CloseDate,'Rent Roll'!$O$21+'Rent Roll'!$S$21),-'Rent Roll'!$U$21*'Rent Roll'!$F$21*'Rent Roll'!$X$21,0)</f>
        <v>0</v>
      </c>
      <c r="Y178" s="49">
        <f>IF(Y$4=EOMONTH(CloseDate,'Rent Roll'!$O$21+'Rent Roll'!$S$21),-'Rent Roll'!$U$21*'Rent Roll'!$F$21*'Rent Roll'!$X$21,0)</f>
        <v>0</v>
      </c>
      <c r="Z178" s="49">
        <f>IF(Z$4=EOMONTH(CloseDate,'Rent Roll'!$O$21+'Rent Roll'!$S$21),-'Rent Roll'!$U$21*'Rent Roll'!$F$21*'Rent Roll'!$X$21,0)</f>
        <v>0</v>
      </c>
      <c r="AA178" s="49">
        <f>IF(AA$4=EOMONTH(CloseDate,'Rent Roll'!$O$21+'Rent Roll'!$S$21),-'Rent Roll'!$U$21*'Rent Roll'!$F$21*'Rent Roll'!$X$21,0)</f>
        <v>0</v>
      </c>
      <c r="AB178" s="49">
        <f>IF(AB$4=EOMONTH(CloseDate,'Rent Roll'!$O$21+'Rent Roll'!$S$21),-'Rent Roll'!$U$21*'Rent Roll'!$F$21*'Rent Roll'!$X$21,0)</f>
        <v>0</v>
      </c>
      <c r="AC178" s="49">
        <f>IF(AC$4=EOMONTH(CloseDate,'Rent Roll'!$O$21+'Rent Roll'!$S$21),-'Rent Roll'!$U$21*'Rent Roll'!$F$21*'Rent Roll'!$X$21,0)</f>
        <v>0</v>
      </c>
      <c r="AD178" s="49">
        <f>IF(AD$4=EOMONTH(CloseDate,'Rent Roll'!$O$21+'Rent Roll'!$S$21),-'Rent Roll'!$U$21*'Rent Roll'!$F$21*'Rent Roll'!$X$21,0)</f>
        <v>0</v>
      </c>
      <c r="AE178" s="49">
        <f>IF(AE$4=EOMONTH(CloseDate,'Rent Roll'!$O$21+'Rent Roll'!$S$21),-'Rent Roll'!$U$21*'Rent Roll'!$F$21*'Rent Roll'!$X$21,0)</f>
        <v>0</v>
      </c>
      <c r="AF178" s="49">
        <f>IF(AF$4=EOMONTH(CloseDate,'Rent Roll'!$O$21+'Rent Roll'!$S$21),-'Rent Roll'!$U$21*'Rent Roll'!$F$21*'Rent Roll'!$X$21,0)</f>
        <v>0</v>
      </c>
      <c r="AG178" s="49">
        <f>IF(AG$4=EOMONTH(CloseDate,'Rent Roll'!$O$21+'Rent Roll'!$S$21),-'Rent Roll'!$U$21*'Rent Roll'!$F$21*'Rent Roll'!$X$21,0)</f>
        <v>0</v>
      </c>
      <c r="AH178" s="49">
        <f>IF(AH$4=EOMONTH(CloseDate,'Rent Roll'!$O$21+'Rent Roll'!$S$21),-'Rent Roll'!$U$21*'Rent Roll'!$F$21*'Rent Roll'!$X$21,0)</f>
        <v>0</v>
      </c>
      <c r="AI178" s="49">
        <f>IF(AI$4=EOMONTH(CloseDate,'Rent Roll'!$O$21+'Rent Roll'!$S$21),-'Rent Roll'!$U$21*'Rent Roll'!$F$21*'Rent Roll'!$X$21,0)</f>
        <v>-5543.2499999999991</v>
      </c>
      <c r="AJ178" s="49">
        <f>IF(AJ$4=EOMONTH(CloseDate,'Rent Roll'!$O$21+'Rent Roll'!$S$21),-'Rent Roll'!$U$21*'Rent Roll'!$F$21*'Rent Roll'!$X$21,0)</f>
        <v>0</v>
      </c>
      <c r="AK178" s="49">
        <f>IF(AK$4=EOMONTH(CloseDate,'Rent Roll'!$O$21+'Rent Roll'!$S$21),-'Rent Roll'!$U$21*'Rent Roll'!$F$21*'Rent Roll'!$X$21,0)</f>
        <v>0</v>
      </c>
      <c r="AL178" s="49">
        <f>IF(AL$4=EOMONTH(CloseDate,'Rent Roll'!$O$21+'Rent Roll'!$S$21),-'Rent Roll'!$U$21*'Rent Roll'!$F$21*'Rent Roll'!$X$21,0)</f>
        <v>0</v>
      </c>
      <c r="AM178" s="49">
        <f>IF(AM$4=EOMONTH(CloseDate,'Rent Roll'!$O$21+'Rent Roll'!$S$21),-'Rent Roll'!$U$21*'Rent Roll'!$F$21*'Rent Roll'!$X$21,0)</f>
        <v>0</v>
      </c>
      <c r="AN178" s="49">
        <f>IF(AN$4=EOMONTH(CloseDate,'Rent Roll'!$O$21+'Rent Roll'!$S$21),-'Rent Roll'!$U$21*'Rent Roll'!$F$21*'Rent Roll'!$X$21,0)</f>
        <v>0</v>
      </c>
      <c r="AO178" s="49">
        <f>IF(AO$4=EOMONTH(CloseDate,'Rent Roll'!$O$21+'Rent Roll'!$S$21),-'Rent Roll'!$U$21*'Rent Roll'!$F$21*'Rent Roll'!$X$21,0)</f>
        <v>0</v>
      </c>
      <c r="AP178" s="49">
        <f>IF(AP$4=EOMONTH(CloseDate,'Rent Roll'!$O$21+'Rent Roll'!$S$21),-'Rent Roll'!$U$21*'Rent Roll'!$F$21*'Rent Roll'!$X$21,0)</f>
        <v>0</v>
      </c>
      <c r="AQ178" s="49">
        <f>IF(AQ$4=EOMONTH(CloseDate,'Rent Roll'!$O$21+'Rent Roll'!$S$21),-'Rent Roll'!$U$21*'Rent Roll'!$F$21*'Rent Roll'!$X$21,0)</f>
        <v>0</v>
      </c>
      <c r="AR178" s="49">
        <f>IF(AR$4=EOMONTH(CloseDate,'Rent Roll'!$O$21+'Rent Roll'!$S$21),-'Rent Roll'!$U$21*'Rent Roll'!$F$21*'Rent Roll'!$X$21,0)</f>
        <v>0</v>
      </c>
      <c r="AS178" s="49">
        <f>IF(AS$4=EOMONTH(CloseDate,'Rent Roll'!$O$21+'Rent Roll'!$S$21),-'Rent Roll'!$U$21*'Rent Roll'!$F$21*'Rent Roll'!$X$21,0)</f>
        <v>0</v>
      </c>
      <c r="AT178" s="49">
        <f>IF(AT$4=EOMONTH(CloseDate,'Rent Roll'!$O$21+'Rent Roll'!$S$21),-'Rent Roll'!$U$21*'Rent Roll'!$F$21*'Rent Roll'!$X$21,0)</f>
        <v>0</v>
      </c>
      <c r="AU178" s="49">
        <f>IF(AU$4=EOMONTH(CloseDate,'Rent Roll'!$O$21+'Rent Roll'!$S$21),-'Rent Roll'!$U$21*'Rent Roll'!$F$21*'Rent Roll'!$X$21,0)</f>
        <v>0</v>
      </c>
      <c r="AV178" s="49">
        <f>IF(AV$4=EOMONTH(CloseDate,'Rent Roll'!$O$21+'Rent Roll'!$S$21),-'Rent Roll'!$U$21*'Rent Roll'!$F$21*'Rent Roll'!$X$21,0)</f>
        <v>0</v>
      </c>
      <c r="AW178" s="49">
        <f>IF(AW$4=EOMONTH(CloseDate,'Rent Roll'!$O$21+'Rent Roll'!$S$21),-'Rent Roll'!$U$21*'Rent Roll'!$F$21*'Rent Roll'!$X$21,0)</f>
        <v>0</v>
      </c>
      <c r="AX178" s="49">
        <f>IF(AX$4=EOMONTH(CloseDate,'Rent Roll'!$O$21+'Rent Roll'!$S$21),-'Rent Roll'!$U$21*'Rent Roll'!$F$21*'Rent Roll'!$X$21,0)</f>
        <v>0</v>
      </c>
      <c r="AY178" s="49">
        <f>IF(AY$4=EOMONTH(CloseDate,'Rent Roll'!$O$21+'Rent Roll'!$S$21),-'Rent Roll'!$U$21*'Rent Roll'!$F$21*'Rent Roll'!$X$21,0)</f>
        <v>0</v>
      </c>
      <c r="AZ178" s="49">
        <f>IF(AZ$4=EOMONTH(CloseDate,'Rent Roll'!$O$21+'Rent Roll'!$S$21),-'Rent Roll'!$U$21*'Rent Roll'!$F$21*'Rent Roll'!$X$21,0)</f>
        <v>0</v>
      </c>
      <c r="BA178" s="49">
        <f>IF(BA$4=EOMONTH(CloseDate,'Rent Roll'!$O$21+'Rent Roll'!$S$21),-'Rent Roll'!$U$21*'Rent Roll'!$F$21*'Rent Roll'!$X$21,0)</f>
        <v>0</v>
      </c>
      <c r="BB178" s="49">
        <f>IF(BB$4=EOMONTH(CloseDate,'Rent Roll'!$O$21+'Rent Roll'!$S$21),-'Rent Roll'!$U$21*'Rent Roll'!$F$21*'Rent Roll'!$X$21,0)</f>
        <v>0</v>
      </c>
      <c r="BC178" s="49">
        <f>IF(BC$4=EOMONTH(CloseDate,'Rent Roll'!$O$21+'Rent Roll'!$S$21),-'Rent Roll'!$U$21*'Rent Roll'!$F$21*'Rent Roll'!$X$21,0)</f>
        <v>0</v>
      </c>
      <c r="BD178" s="49">
        <f>IF(BD$4=EOMONTH(CloseDate,'Rent Roll'!$O$21+'Rent Roll'!$S$21),-'Rent Roll'!$U$21*'Rent Roll'!$F$21*'Rent Roll'!$X$21,0)</f>
        <v>0</v>
      </c>
      <c r="BE178" s="49">
        <f>IF(BE$4=EOMONTH(CloseDate,'Rent Roll'!$O$21+'Rent Roll'!$S$21),-'Rent Roll'!$U$21*'Rent Roll'!$F$21*'Rent Roll'!$X$21,0)</f>
        <v>0</v>
      </c>
      <c r="BF178" s="49">
        <f>IF(BF$4=EOMONTH(CloseDate,'Rent Roll'!$O$21+'Rent Roll'!$S$21),-'Rent Roll'!$U$21*'Rent Roll'!$F$21*'Rent Roll'!$X$21,0)</f>
        <v>0</v>
      </c>
      <c r="BG178" s="49">
        <f>IF(BG$4=EOMONTH(CloseDate,'Rent Roll'!$O$21+'Rent Roll'!$S$21),-'Rent Roll'!$U$21*'Rent Roll'!$F$21*'Rent Roll'!$X$21,0)</f>
        <v>0</v>
      </c>
      <c r="BH178" s="49">
        <f>IF(BH$4=EOMONTH(CloseDate,'Rent Roll'!$O$21+'Rent Roll'!$S$21),-'Rent Roll'!$U$21*'Rent Roll'!$F$21*'Rent Roll'!$X$21,0)</f>
        <v>0</v>
      </c>
      <c r="BI178" s="49">
        <f>IF(BI$4=EOMONTH(CloseDate,'Rent Roll'!$O$21+'Rent Roll'!$S$21),-'Rent Roll'!$U$21*'Rent Roll'!$F$21*'Rent Roll'!$X$21,0)</f>
        <v>0</v>
      </c>
      <c r="BJ178" s="49">
        <f>IF(BJ$4=EOMONTH(CloseDate,'Rent Roll'!$O$21+'Rent Roll'!$S$21),-'Rent Roll'!$U$21*'Rent Roll'!$F$21*'Rent Roll'!$X$21,0)</f>
        <v>0</v>
      </c>
      <c r="BK178" s="49">
        <f>IF(BK$4=EOMONTH(CloseDate,'Rent Roll'!$O$21+'Rent Roll'!$S$21),-'Rent Roll'!$U$21*'Rent Roll'!$F$21*'Rent Roll'!$X$21,0)</f>
        <v>0</v>
      </c>
      <c r="BL178" s="49">
        <f>IF(BL$4=EOMONTH(CloseDate,'Rent Roll'!$O$21+'Rent Roll'!$S$21),-'Rent Roll'!$U$21*'Rent Roll'!$F$21*'Rent Roll'!$X$21,0)</f>
        <v>0</v>
      </c>
      <c r="BM178" s="49">
        <f>IF(BM$4=EOMONTH(CloseDate,'Rent Roll'!$O$21+'Rent Roll'!$S$21),-'Rent Roll'!$U$21*'Rent Roll'!$F$21*'Rent Roll'!$X$21,0)</f>
        <v>0</v>
      </c>
      <c r="BN178" s="49">
        <f>IF(BN$4=EOMONTH(CloseDate,'Rent Roll'!$O$21+'Rent Roll'!$S$21),-'Rent Roll'!$U$21*'Rent Roll'!$F$21*'Rent Roll'!$X$21,0)</f>
        <v>0</v>
      </c>
      <c r="BO178" s="49">
        <f>IF(BO$4=EOMONTH(CloseDate,'Rent Roll'!$O$21+'Rent Roll'!$S$21),-'Rent Roll'!$U$21*'Rent Roll'!$F$21*'Rent Roll'!$X$21,0)</f>
        <v>0</v>
      </c>
      <c r="BP178" s="49">
        <f>IF(BP$4=EOMONTH(CloseDate,'Rent Roll'!$O$21+'Rent Roll'!$S$21),-'Rent Roll'!$U$21*'Rent Roll'!$F$21*'Rent Roll'!$X$21,0)</f>
        <v>0</v>
      </c>
      <c r="BQ178" s="49">
        <f>IF(BQ$4=EOMONTH(CloseDate,'Rent Roll'!$O$21+'Rent Roll'!$S$21),-'Rent Roll'!$U$21*'Rent Roll'!$F$21*'Rent Roll'!$X$21,0)</f>
        <v>0</v>
      </c>
      <c r="BR178" s="49">
        <f>IF(BR$4=EOMONTH(CloseDate,'Rent Roll'!$O$21+'Rent Roll'!$S$21),-'Rent Roll'!$U$21*'Rent Roll'!$F$21*'Rent Roll'!$X$21,0)</f>
        <v>0</v>
      </c>
      <c r="BS178" s="49">
        <f>IF(BS$4=EOMONTH(CloseDate,'Rent Roll'!$O$21+'Rent Roll'!$S$21),-'Rent Roll'!$U$21*'Rent Roll'!$F$21*'Rent Roll'!$X$21,0)</f>
        <v>0</v>
      </c>
      <c r="BT178" s="49">
        <f>IF(BT$4=EOMONTH(CloseDate,'Rent Roll'!$O$21+'Rent Roll'!$S$21),-'Rent Roll'!$U$21*'Rent Roll'!$F$21*'Rent Roll'!$X$21,0)</f>
        <v>0</v>
      </c>
      <c r="BU178" s="49">
        <f>IF(BU$4=EOMONTH(CloseDate,'Rent Roll'!$O$21+'Rent Roll'!$S$21),-'Rent Roll'!$U$21*'Rent Roll'!$F$21*'Rent Roll'!$X$21,0)</f>
        <v>0</v>
      </c>
      <c r="BV178" s="49">
        <f>IF(BV$4=EOMONTH(CloseDate,'Rent Roll'!$O$21+'Rent Roll'!$S$21),-'Rent Roll'!$U$21*'Rent Roll'!$F$21*'Rent Roll'!$X$21,0)</f>
        <v>0</v>
      </c>
      <c r="BW178" s="49">
        <f>IF(BW$4=EOMONTH(CloseDate,'Rent Roll'!$O$21+'Rent Roll'!$S$21),-'Rent Roll'!$U$21*'Rent Roll'!$F$21*'Rent Roll'!$X$21,0)</f>
        <v>0</v>
      </c>
      <c r="BX178" s="49">
        <f>IF(BX$4=EOMONTH(CloseDate,'Rent Roll'!$O$21+'Rent Roll'!$S$21),-'Rent Roll'!$U$21*'Rent Roll'!$F$21*'Rent Roll'!$X$21,0)</f>
        <v>0</v>
      </c>
    </row>
    <row r="179" spans="1:76" outlineLevel="1">
      <c r="A179" s="17" t="str">
        <f>'Rent Roll'!C22</f>
        <v>Magnolia Event Planning</v>
      </c>
      <c r="B179" s="57">
        <f>INDEX('Rent Roll'!$F$5:$F$46,MATCH('Rent Roll Calc'!A179,'Rent Roll'!$C$5:$C$46,0))</f>
        <v>3500</v>
      </c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  <c r="AA179" s="49"/>
      <c r="AB179" s="49"/>
      <c r="AC179" s="49"/>
      <c r="AD179" s="49"/>
      <c r="AE179" s="49"/>
      <c r="AF179" s="49"/>
      <c r="AG179" s="49"/>
      <c r="AH179" s="49"/>
      <c r="AI179" s="49"/>
      <c r="AJ179" s="49"/>
      <c r="AK179" s="49"/>
      <c r="AL179" s="49"/>
      <c r="AM179" s="49"/>
      <c r="AN179" s="49"/>
      <c r="AO179" s="49"/>
      <c r="AP179" s="49"/>
      <c r="AQ179" s="49"/>
      <c r="AR179" s="49"/>
      <c r="AS179" s="49"/>
      <c r="AT179" s="49"/>
      <c r="AU179" s="49"/>
      <c r="AV179" s="49"/>
      <c r="AW179" s="49"/>
      <c r="AX179" s="49"/>
      <c r="AY179" s="49"/>
      <c r="AZ179" s="49"/>
      <c r="BA179" s="49"/>
      <c r="BB179" s="49"/>
      <c r="BC179" s="49"/>
      <c r="BD179" s="49"/>
      <c r="BE179" s="49"/>
      <c r="BF179" s="49"/>
      <c r="BG179" s="49"/>
      <c r="BH179" s="49"/>
      <c r="BI179" s="49"/>
      <c r="BJ179" s="49"/>
      <c r="BK179" s="49"/>
      <c r="BL179" s="49"/>
      <c r="BM179" s="49"/>
      <c r="BN179" s="49"/>
      <c r="BO179" s="49"/>
      <c r="BP179" s="49"/>
      <c r="BQ179" s="49"/>
      <c r="BR179" s="49"/>
      <c r="BS179" s="49"/>
      <c r="BT179" s="49"/>
      <c r="BU179" s="49"/>
      <c r="BV179" s="49"/>
      <c r="BW179" s="49"/>
      <c r="BX179" s="49"/>
    </row>
    <row r="180" spans="1:76" outlineLevel="1">
      <c r="B180" t="s">
        <v>83</v>
      </c>
      <c r="D180" s="49">
        <f>IF(AND('Rent Roll'!$N$22&lt;&gt;"Ghost",D$4&lt;='Rent Roll'!$L$22),1,0)</f>
        <v>1</v>
      </c>
      <c r="E180" s="49">
        <f>IF(AND('Rent Roll'!$N$22&lt;&gt;"Ghost",E$4&lt;='Rent Roll'!$L$22),1,0)</f>
        <v>1</v>
      </c>
      <c r="F180" s="49">
        <f>IF(AND('Rent Roll'!$N$22&lt;&gt;"Ghost",F$4&lt;='Rent Roll'!$L$22),1,0)</f>
        <v>1</v>
      </c>
      <c r="G180" s="49">
        <f>IF(AND('Rent Roll'!$N$22&lt;&gt;"Ghost",G$4&lt;='Rent Roll'!$L$22),1,0)</f>
        <v>1</v>
      </c>
      <c r="H180" s="49">
        <f>IF(AND('Rent Roll'!$N$22&lt;&gt;"Ghost",H$4&lt;='Rent Roll'!$L$22),1,0)</f>
        <v>1</v>
      </c>
      <c r="I180" s="49">
        <f>IF(AND('Rent Roll'!$N$22&lt;&gt;"Ghost",I$4&lt;='Rent Roll'!$L$22),1,0)</f>
        <v>1</v>
      </c>
      <c r="J180" s="49">
        <f>IF(AND('Rent Roll'!$N$22&lt;&gt;"Ghost",J$4&lt;='Rent Roll'!$L$22),1,0)</f>
        <v>1</v>
      </c>
      <c r="K180" s="49">
        <f>IF(AND('Rent Roll'!$N$22&lt;&gt;"Ghost",K$4&lt;='Rent Roll'!$L$22),1,0)</f>
        <v>1</v>
      </c>
      <c r="L180" s="49">
        <f>IF(AND('Rent Roll'!$N$22&lt;&gt;"Ghost",L$4&lt;='Rent Roll'!$L$22),1,0)</f>
        <v>1</v>
      </c>
      <c r="M180" s="49">
        <f>IF(AND('Rent Roll'!$N$22&lt;&gt;"Ghost",M$4&lt;='Rent Roll'!$L$22),1,0)</f>
        <v>1</v>
      </c>
      <c r="N180" s="49">
        <f>IF(AND('Rent Roll'!$N$22&lt;&gt;"Ghost",N$4&lt;='Rent Roll'!$L$22),1,0)</f>
        <v>1</v>
      </c>
      <c r="O180" s="49">
        <f>IF(AND('Rent Roll'!$N$22&lt;&gt;"Ghost",O$4&lt;='Rent Roll'!$L$22),1,0)</f>
        <v>1</v>
      </c>
      <c r="P180" s="49">
        <f>IF(AND('Rent Roll'!$N$22&lt;&gt;"Ghost",P$4&lt;='Rent Roll'!$L$22),1,0)</f>
        <v>1</v>
      </c>
      <c r="Q180" s="49">
        <f>IF(AND('Rent Roll'!$N$22&lt;&gt;"Ghost",Q$4&lt;='Rent Roll'!$L$22),1,0)</f>
        <v>1</v>
      </c>
      <c r="R180" s="49">
        <f>IF(AND('Rent Roll'!$N$22&lt;&gt;"Ghost",R$4&lt;='Rent Roll'!$L$22),1,0)</f>
        <v>1</v>
      </c>
      <c r="S180" s="49">
        <f>IF(AND('Rent Roll'!$N$22&lt;&gt;"Ghost",S$4&lt;='Rent Roll'!$L$22),1,0)</f>
        <v>1</v>
      </c>
      <c r="T180" s="49">
        <f>IF(AND('Rent Roll'!$N$22&lt;&gt;"Ghost",T$4&lt;='Rent Roll'!$L$22),1,0)</f>
        <v>1</v>
      </c>
      <c r="U180" s="49">
        <f>IF(AND('Rent Roll'!$N$22&lt;&gt;"Ghost",U$4&lt;='Rent Roll'!$L$22),1,0)</f>
        <v>1</v>
      </c>
      <c r="V180" s="49">
        <f>IF(AND('Rent Roll'!$N$22&lt;&gt;"Ghost",V$4&lt;='Rent Roll'!$L$22),1,0)</f>
        <v>1</v>
      </c>
      <c r="W180" s="49">
        <f>IF(AND('Rent Roll'!$N$22&lt;&gt;"Ghost",W$4&lt;='Rent Roll'!$L$22),1,0)</f>
        <v>1</v>
      </c>
      <c r="X180" s="49">
        <f>IF(AND('Rent Roll'!$N$22&lt;&gt;"Ghost",X$4&lt;='Rent Roll'!$L$22),1,0)</f>
        <v>1</v>
      </c>
      <c r="Y180" s="49">
        <f>IF(AND('Rent Roll'!$N$22&lt;&gt;"Ghost",Y$4&lt;='Rent Roll'!$L$22),1,0)</f>
        <v>1</v>
      </c>
      <c r="Z180" s="49">
        <f>IF(AND('Rent Roll'!$N$22&lt;&gt;"Ghost",Z$4&lt;='Rent Roll'!$L$22),1,0)</f>
        <v>1</v>
      </c>
      <c r="AA180" s="49">
        <f>IF(AND('Rent Roll'!$N$22&lt;&gt;"Ghost",AA$4&lt;='Rent Roll'!$L$22),1,0)</f>
        <v>1</v>
      </c>
      <c r="AB180" s="49">
        <f>IF(AND('Rent Roll'!$N$22&lt;&gt;"Ghost",AB$4&lt;='Rent Roll'!$L$22),1,0)</f>
        <v>1</v>
      </c>
      <c r="AC180" s="49">
        <f>IF(AND('Rent Roll'!$N$22&lt;&gt;"Ghost",AC$4&lt;='Rent Roll'!$L$22),1,0)</f>
        <v>1</v>
      </c>
      <c r="AD180" s="49">
        <f>IF(AND('Rent Roll'!$N$22&lt;&gt;"Ghost",AD$4&lt;='Rent Roll'!$L$22),1,0)</f>
        <v>1</v>
      </c>
      <c r="AE180" s="49">
        <f>IF(AND('Rent Roll'!$N$22&lt;&gt;"Ghost",AE$4&lt;='Rent Roll'!$L$22),1,0)</f>
        <v>1</v>
      </c>
      <c r="AF180" s="49">
        <f>IF(AND('Rent Roll'!$N$22&lt;&gt;"Ghost",AF$4&lt;='Rent Roll'!$L$22),1,0)</f>
        <v>1</v>
      </c>
      <c r="AG180" s="49">
        <f>IF(AND('Rent Roll'!$N$22&lt;&gt;"Ghost",AG$4&lt;='Rent Roll'!$L$22),1,0)</f>
        <v>1</v>
      </c>
      <c r="AH180" s="49">
        <f>IF(AND('Rent Roll'!$N$22&lt;&gt;"Ghost",AH$4&lt;='Rent Roll'!$L$22),1,0)</f>
        <v>1</v>
      </c>
      <c r="AI180" s="49">
        <f>IF(AND('Rent Roll'!$N$22&lt;&gt;"Ghost",AI$4&lt;='Rent Roll'!$L$22),1,0)</f>
        <v>1</v>
      </c>
      <c r="AJ180" s="49">
        <f>IF(AND('Rent Roll'!$N$22&lt;&gt;"Ghost",AJ$4&lt;='Rent Roll'!$L$22),1,0)</f>
        <v>1</v>
      </c>
      <c r="AK180" s="49">
        <f>IF(AND('Rent Roll'!$N$22&lt;&gt;"Ghost",AK$4&lt;='Rent Roll'!$L$22),1,0)</f>
        <v>1</v>
      </c>
      <c r="AL180" s="49">
        <f>IF(AND('Rent Roll'!$N$22&lt;&gt;"Ghost",AL$4&lt;='Rent Roll'!$L$22),1,0)</f>
        <v>1</v>
      </c>
      <c r="AM180" s="49">
        <f>IF(AND('Rent Roll'!$N$22&lt;&gt;"Ghost",AM$4&lt;='Rent Roll'!$L$22),1,0)</f>
        <v>1</v>
      </c>
      <c r="AN180" s="49">
        <f>IF(AND('Rent Roll'!$N$22&lt;&gt;"Ghost",AN$4&lt;='Rent Roll'!$L$22),1,0)</f>
        <v>1</v>
      </c>
      <c r="AO180" s="49">
        <f>IF(AND('Rent Roll'!$N$22&lt;&gt;"Ghost",AO$4&lt;='Rent Roll'!$L$22),1,0)</f>
        <v>1</v>
      </c>
      <c r="AP180" s="49">
        <f>IF(AND('Rent Roll'!$N$22&lt;&gt;"Ghost",AP$4&lt;='Rent Roll'!$L$22),1,0)</f>
        <v>1</v>
      </c>
      <c r="AQ180" s="49">
        <f>IF(AND('Rent Roll'!$N$22&lt;&gt;"Ghost",AQ$4&lt;='Rent Roll'!$L$22),1,0)</f>
        <v>1</v>
      </c>
      <c r="AR180" s="49">
        <f>IF(AND('Rent Roll'!$N$22&lt;&gt;"Ghost",AR$4&lt;='Rent Roll'!$L$22),1,0)</f>
        <v>0</v>
      </c>
      <c r="AS180" s="49">
        <f>IF(AND('Rent Roll'!$N$22&lt;&gt;"Ghost",AS$4&lt;='Rent Roll'!$L$22),1,0)</f>
        <v>0</v>
      </c>
      <c r="AT180" s="49">
        <f>IF(AND('Rent Roll'!$N$22&lt;&gt;"Ghost",AT$4&lt;='Rent Roll'!$L$22),1,0)</f>
        <v>0</v>
      </c>
      <c r="AU180" s="49">
        <f>IF(AND('Rent Roll'!$N$22&lt;&gt;"Ghost",AU$4&lt;='Rent Roll'!$L$22),1,0)</f>
        <v>0</v>
      </c>
      <c r="AV180" s="49">
        <f>IF(AND('Rent Roll'!$N$22&lt;&gt;"Ghost",AV$4&lt;='Rent Roll'!$L$22),1,0)</f>
        <v>0</v>
      </c>
      <c r="AW180" s="49">
        <f>IF(AND('Rent Roll'!$N$22&lt;&gt;"Ghost",AW$4&lt;='Rent Roll'!$L$22),1,0)</f>
        <v>0</v>
      </c>
      <c r="AX180" s="49">
        <f>IF(AND('Rent Roll'!$N$22&lt;&gt;"Ghost",AX$4&lt;='Rent Roll'!$L$22),1,0)</f>
        <v>0</v>
      </c>
      <c r="AY180" s="49">
        <f>IF(AND('Rent Roll'!$N$22&lt;&gt;"Ghost",AY$4&lt;='Rent Roll'!$L$22),1,0)</f>
        <v>0</v>
      </c>
      <c r="AZ180" s="49">
        <f>IF(AND('Rent Roll'!$N$22&lt;&gt;"Ghost",AZ$4&lt;='Rent Roll'!$L$22),1,0)</f>
        <v>0</v>
      </c>
      <c r="BA180" s="49">
        <f>IF(AND('Rent Roll'!$N$22&lt;&gt;"Ghost",BA$4&lt;='Rent Roll'!$L$22),1,0)</f>
        <v>0</v>
      </c>
      <c r="BB180" s="49">
        <f>IF(AND('Rent Roll'!$N$22&lt;&gt;"Ghost",BB$4&lt;='Rent Roll'!$L$22),1,0)</f>
        <v>0</v>
      </c>
      <c r="BC180" s="49">
        <f>IF(AND('Rent Roll'!$N$22&lt;&gt;"Ghost",BC$4&lt;='Rent Roll'!$L$22),1,0)</f>
        <v>0</v>
      </c>
      <c r="BD180" s="49">
        <f>IF(AND('Rent Roll'!$N$22&lt;&gt;"Ghost",BD$4&lt;='Rent Roll'!$L$22),1,0)</f>
        <v>0</v>
      </c>
      <c r="BE180" s="49">
        <f>IF(AND('Rent Roll'!$N$22&lt;&gt;"Ghost",BE$4&lt;='Rent Roll'!$L$22),1,0)</f>
        <v>0</v>
      </c>
      <c r="BF180" s="49">
        <f>IF(AND('Rent Roll'!$N$22&lt;&gt;"Ghost",BF$4&lt;='Rent Roll'!$L$22),1,0)</f>
        <v>0</v>
      </c>
      <c r="BG180" s="49">
        <f>IF(AND('Rent Roll'!$N$22&lt;&gt;"Ghost",BG$4&lt;='Rent Roll'!$L$22),1,0)</f>
        <v>0</v>
      </c>
      <c r="BH180" s="49">
        <f>IF(AND('Rent Roll'!$N$22&lt;&gt;"Ghost",BH$4&lt;='Rent Roll'!$L$22),1,0)</f>
        <v>0</v>
      </c>
      <c r="BI180" s="49">
        <f>IF(AND('Rent Roll'!$N$22&lt;&gt;"Ghost",BI$4&lt;='Rent Roll'!$L$22),1,0)</f>
        <v>0</v>
      </c>
      <c r="BJ180" s="49">
        <f>IF(AND('Rent Roll'!$N$22&lt;&gt;"Ghost",BJ$4&lt;='Rent Roll'!$L$22),1,0)</f>
        <v>0</v>
      </c>
      <c r="BK180" s="49">
        <f>IF(AND('Rent Roll'!$N$22&lt;&gt;"Ghost",BK$4&lt;='Rent Roll'!$L$22),1,0)</f>
        <v>0</v>
      </c>
      <c r="BL180" s="49">
        <f>IF(AND('Rent Roll'!$N$22&lt;&gt;"Ghost",BL$4&lt;='Rent Roll'!$L$22),1,0)</f>
        <v>0</v>
      </c>
      <c r="BM180" s="49">
        <f>IF(AND('Rent Roll'!$N$22&lt;&gt;"Ghost",BM$4&lt;='Rent Roll'!$L$22),1,0)</f>
        <v>0</v>
      </c>
      <c r="BN180" s="49">
        <f>IF(AND('Rent Roll'!$N$22&lt;&gt;"Ghost",BN$4&lt;='Rent Roll'!$L$22),1,0)</f>
        <v>0</v>
      </c>
      <c r="BO180" s="49">
        <f>IF(AND('Rent Roll'!$N$22&lt;&gt;"Ghost",BO$4&lt;='Rent Roll'!$L$22),1,0)</f>
        <v>0</v>
      </c>
      <c r="BP180" s="49">
        <f>IF(AND('Rent Roll'!$N$22&lt;&gt;"Ghost",BP$4&lt;='Rent Roll'!$L$22),1,0)</f>
        <v>0</v>
      </c>
      <c r="BQ180" s="49">
        <f>IF(AND('Rent Roll'!$N$22&lt;&gt;"Ghost",BQ$4&lt;='Rent Roll'!$L$22),1,0)</f>
        <v>0</v>
      </c>
      <c r="BR180" s="49">
        <f>IF(AND('Rent Roll'!$N$22&lt;&gt;"Ghost",BR$4&lt;='Rent Roll'!$L$22),1,0)</f>
        <v>0</v>
      </c>
      <c r="BS180" s="49">
        <f>IF(AND('Rent Roll'!$N$22&lt;&gt;"Ghost",BS$4&lt;='Rent Roll'!$L$22),1,0)</f>
        <v>0</v>
      </c>
      <c r="BT180" s="49">
        <f>IF(AND('Rent Roll'!$N$22&lt;&gt;"Ghost",BT$4&lt;='Rent Roll'!$L$22),1,0)</f>
        <v>0</v>
      </c>
      <c r="BU180" s="49">
        <f>IF(AND('Rent Roll'!$N$22&lt;&gt;"Ghost",BU$4&lt;='Rent Roll'!$L$22),1,0)</f>
        <v>0</v>
      </c>
      <c r="BV180" s="49">
        <f>IF(AND('Rent Roll'!$N$22&lt;&gt;"Ghost",BV$4&lt;='Rent Roll'!$L$22),1,0)</f>
        <v>0</v>
      </c>
      <c r="BW180" s="49">
        <f>IF(AND('Rent Roll'!$N$22&lt;&gt;"Ghost",BW$4&lt;='Rent Roll'!$L$22),1,0)</f>
        <v>0</v>
      </c>
      <c r="BX180" s="49">
        <f>IF(AND('Rent Roll'!$N$22&lt;&gt;"Ghost",BX$4&lt;='Rent Roll'!$L$22),1,0)</f>
        <v>0</v>
      </c>
    </row>
    <row r="181" spans="1:76" outlineLevel="1">
      <c r="B181" t="s">
        <v>159</v>
      </c>
      <c r="D181" s="49">
        <f>IF(D180=1,'Rent Roll'!$H$22/12*(1+'Rent Roll'!$I$22)^IF(D$4&lt;'Rent Roll'!$Y$22,0,YEAR(D$4)-YEAR('Rent Roll'!$Y$22)+1),0)</f>
        <v>6197.916666666667</v>
      </c>
      <c r="E181" s="49">
        <f>IF(E180=1,'Rent Roll'!$H$22/12*(1+'Rent Roll'!$I$22)^IF(E$4&lt;'Rent Roll'!$Y$22,0,YEAR(E$4)-YEAR('Rent Roll'!$Y$22)+1),0)</f>
        <v>6197.916666666667</v>
      </c>
      <c r="F181" s="49">
        <f>IF(F180=1,'Rent Roll'!$H$22/12*(1+'Rent Roll'!$I$22)^IF(F$4&lt;'Rent Roll'!$Y$22,0,YEAR(F$4)-YEAR('Rent Roll'!$Y$22)+1),0)</f>
        <v>6197.916666666667</v>
      </c>
      <c r="G181" s="49">
        <f>IF(G180=1,'Rent Roll'!$H$22/12*(1+'Rent Roll'!$I$22)^IF(G$4&lt;'Rent Roll'!$Y$22,0,YEAR(G$4)-YEAR('Rent Roll'!$Y$22)+1),0)</f>
        <v>6197.916666666667</v>
      </c>
      <c r="H181" s="49">
        <f>IF(H180=1,'Rent Roll'!$H$22/12*(1+'Rent Roll'!$I$22)^IF(H$4&lt;'Rent Roll'!$Y$22,0,YEAR(H$4)-YEAR('Rent Roll'!$Y$22)+1),0)</f>
        <v>6383.854166666667</v>
      </c>
      <c r="I181" s="49">
        <f>IF(I180=1,'Rent Roll'!$H$22/12*(1+'Rent Roll'!$I$22)^IF(I$4&lt;'Rent Roll'!$Y$22,0,YEAR(I$4)-YEAR('Rent Roll'!$Y$22)+1),0)</f>
        <v>6575.369791666667</v>
      </c>
      <c r="J181" s="49">
        <f>IF(J180=1,'Rent Roll'!$H$22/12*(1+'Rent Roll'!$I$22)^IF(J$4&lt;'Rent Roll'!$Y$22,0,YEAR(J$4)-YEAR('Rent Roll'!$Y$22)+1),0)</f>
        <v>6575.369791666667</v>
      </c>
      <c r="K181" s="49">
        <f>IF(K180=1,'Rent Roll'!$H$22/12*(1+'Rent Roll'!$I$22)^IF(K$4&lt;'Rent Roll'!$Y$22,0,YEAR(K$4)-YEAR('Rent Roll'!$Y$22)+1),0)</f>
        <v>6575.369791666667</v>
      </c>
      <c r="L181" s="49">
        <f>IF(L180=1,'Rent Roll'!$H$22/12*(1+'Rent Roll'!$I$22)^IF(L$4&lt;'Rent Roll'!$Y$22,0,YEAR(L$4)-YEAR('Rent Roll'!$Y$22)+1),0)</f>
        <v>6575.369791666667</v>
      </c>
      <c r="M181" s="49">
        <f>IF(M180=1,'Rent Roll'!$H$22/12*(1+'Rent Roll'!$I$22)^IF(M$4&lt;'Rent Roll'!$Y$22,0,YEAR(M$4)-YEAR('Rent Roll'!$Y$22)+1),0)</f>
        <v>6575.369791666667</v>
      </c>
      <c r="N181" s="49">
        <f>IF(N180=1,'Rent Roll'!$H$22/12*(1+'Rent Roll'!$I$22)^IF(N$4&lt;'Rent Roll'!$Y$22,0,YEAR(N$4)-YEAR('Rent Roll'!$Y$22)+1),0)</f>
        <v>6575.369791666667</v>
      </c>
      <c r="O181" s="49">
        <f>IF(O180=1,'Rent Roll'!$H$22/12*(1+'Rent Roll'!$I$22)^IF(O$4&lt;'Rent Roll'!$Y$22,0,YEAR(O$4)-YEAR('Rent Roll'!$Y$22)+1),0)</f>
        <v>6575.369791666667</v>
      </c>
      <c r="P181" s="49">
        <f>IF(P180=1,'Rent Roll'!$H$22/12*(1+'Rent Roll'!$I$22)^IF(P$4&lt;'Rent Roll'!$Y$22,0,YEAR(P$4)-YEAR('Rent Roll'!$Y$22)+1),0)</f>
        <v>6575.369791666667</v>
      </c>
      <c r="Q181" s="49">
        <f>IF(Q180=1,'Rent Roll'!$H$22/12*(1+'Rent Roll'!$I$22)^IF(Q$4&lt;'Rent Roll'!$Y$22,0,YEAR(Q$4)-YEAR('Rent Roll'!$Y$22)+1),0)</f>
        <v>6575.369791666667</v>
      </c>
      <c r="R181" s="49">
        <f>IF(R180=1,'Rent Roll'!$H$22/12*(1+'Rent Roll'!$I$22)^IF(R$4&lt;'Rent Roll'!$Y$22,0,YEAR(R$4)-YEAR('Rent Roll'!$Y$22)+1),0)</f>
        <v>6575.369791666667</v>
      </c>
      <c r="S181" s="49">
        <f>IF(S180=1,'Rent Roll'!$H$22/12*(1+'Rent Roll'!$I$22)^IF(S$4&lt;'Rent Roll'!$Y$22,0,YEAR(S$4)-YEAR('Rent Roll'!$Y$22)+1),0)</f>
        <v>6575.369791666667</v>
      </c>
      <c r="T181" s="49">
        <f>IF(T180=1,'Rent Roll'!$H$22/12*(1+'Rent Roll'!$I$22)^IF(T$4&lt;'Rent Roll'!$Y$22,0,YEAR(T$4)-YEAR('Rent Roll'!$Y$22)+1),0)</f>
        <v>6575.369791666667</v>
      </c>
      <c r="U181" s="49">
        <f>IF(U180=1,'Rent Roll'!$H$22/12*(1+'Rent Roll'!$I$22)^IF(U$4&lt;'Rent Roll'!$Y$22,0,YEAR(U$4)-YEAR('Rent Roll'!$Y$22)+1),0)</f>
        <v>6772.6308854166673</v>
      </c>
      <c r="V181" s="49">
        <f>IF(V180=1,'Rent Roll'!$H$22/12*(1+'Rent Roll'!$I$22)^IF(V$4&lt;'Rent Roll'!$Y$22,0,YEAR(V$4)-YEAR('Rent Roll'!$Y$22)+1),0)</f>
        <v>6772.6308854166673</v>
      </c>
      <c r="W181" s="49">
        <f>IF(W180=1,'Rent Roll'!$H$22/12*(1+'Rent Roll'!$I$22)^IF(W$4&lt;'Rent Roll'!$Y$22,0,YEAR(W$4)-YEAR('Rent Roll'!$Y$22)+1),0)</f>
        <v>6772.6308854166673</v>
      </c>
      <c r="X181" s="49">
        <f>IF(X180=1,'Rent Roll'!$H$22/12*(1+'Rent Roll'!$I$22)^IF(X$4&lt;'Rent Roll'!$Y$22,0,YEAR(X$4)-YEAR('Rent Roll'!$Y$22)+1),0)</f>
        <v>6772.6308854166673</v>
      </c>
      <c r="Y181" s="49">
        <f>IF(Y180=1,'Rent Roll'!$H$22/12*(1+'Rent Roll'!$I$22)^IF(Y$4&lt;'Rent Roll'!$Y$22,0,YEAR(Y$4)-YEAR('Rent Roll'!$Y$22)+1),0)</f>
        <v>6772.6308854166673</v>
      </c>
      <c r="Z181" s="49">
        <f>IF(Z180=1,'Rent Roll'!$H$22/12*(1+'Rent Roll'!$I$22)^IF(Z$4&lt;'Rent Roll'!$Y$22,0,YEAR(Z$4)-YEAR('Rent Roll'!$Y$22)+1),0)</f>
        <v>6772.6308854166673</v>
      </c>
      <c r="AA181" s="49">
        <f>IF(AA180=1,'Rent Roll'!$H$22/12*(1+'Rent Roll'!$I$22)^IF(AA$4&lt;'Rent Roll'!$Y$22,0,YEAR(AA$4)-YEAR('Rent Roll'!$Y$22)+1),0)</f>
        <v>6772.6308854166673</v>
      </c>
      <c r="AB181" s="49">
        <f>IF(AB180=1,'Rent Roll'!$H$22/12*(1+'Rent Roll'!$I$22)^IF(AB$4&lt;'Rent Roll'!$Y$22,0,YEAR(AB$4)-YEAR('Rent Roll'!$Y$22)+1),0)</f>
        <v>6772.6308854166673</v>
      </c>
      <c r="AC181" s="49">
        <f>IF(AC180=1,'Rent Roll'!$H$22/12*(1+'Rent Roll'!$I$22)^IF(AC$4&lt;'Rent Roll'!$Y$22,0,YEAR(AC$4)-YEAR('Rent Roll'!$Y$22)+1),0)</f>
        <v>6772.6308854166673</v>
      </c>
      <c r="AD181" s="49">
        <f>IF(AD180=1,'Rent Roll'!$H$22/12*(1+'Rent Roll'!$I$22)^IF(AD$4&lt;'Rent Roll'!$Y$22,0,YEAR(AD$4)-YEAR('Rent Roll'!$Y$22)+1),0)</f>
        <v>6772.6308854166673</v>
      </c>
      <c r="AE181" s="49">
        <f>IF(AE180=1,'Rent Roll'!$H$22/12*(1+'Rent Roll'!$I$22)^IF(AE$4&lt;'Rent Roll'!$Y$22,0,YEAR(AE$4)-YEAR('Rent Roll'!$Y$22)+1),0)</f>
        <v>6772.6308854166673</v>
      </c>
      <c r="AF181" s="49">
        <f>IF(AF180=1,'Rent Roll'!$H$22/12*(1+'Rent Roll'!$I$22)^IF(AF$4&lt;'Rent Roll'!$Y$22,0,YEAR(AF$4)-YEAR('Rent Roll'!$Y$22)+1),0)</f>
        <v>6772.6308854166673</v>
      </c>
      <c r="AG181" s="49">
        <f>IF(AG180=1,'Rent Roll'!$H$22/12*(1+'Rent Roll'!$I$22)^IF(AG$4&lt;'Rent Roll'!$Y$22,0,YEAR(AG$4)-YEAR('Rent Roll'!$Y$22)+1),0)</f>
        <v>6975.8098119791666</v>
      </c>
      <c r="AH181" s="49">
        <f>IF(AH180=1,'Rent Roll'!$H$22/12*(1+'Rent Roll'!$I$22)^IF(AH$4&lt;'Rent Roll'!$Y$22,0,YEAR(AH$4)-YEAR('Rent Roll'!$Y$22)+1),0)</f>
        <v>6975.8098119791666</v>
      </c>
      <c r="AI181" s="49">
        <f>IF(AI180=1,'Rent Roll'!$H$22/12*(1+'Rent Roll'!$I$22)^IF(AI$4&lt;'Rent Roll'!$Y$22,0,YEAR(AI$4)-YEAR('Rent Roll'!$Y$22)+1),0)</f>
        <v>6975.8098119791666</v>
      </c>
      <c r="AJ181" s="49">
        <f>IF(AJ180=1,'Rent Roll'!$H$22/12*(1+'Rent Roll'!$I$22)^IF(AJ$4&lt;'Rent Roll'!$Y$22,0,YEAR(AJ$4)-YEAR('Rent Roll'!$Y$22)+1),0)</f>
        <v>6975.8098119791666</v>
      </c>
      <c r="AK181" s="49">
        <f>IF(AK180=1,'Rent Roll'!$H$22/12*(1+'Rent Roll'!$I$22)^IF(AK$4&lt;'Rent Roll'!$Y$22,0,YEAR(AK$4)-YEAR('Rent Roll'!$Y$22)+1),0)</f>
        <v>6975.8098119791666</v>
      </c>
      <c r="AL181" s="49">
        <f>IF(AL180=1,'Rent Roll'!$H$22/12*(1+'Rent Roll'!$I$22)^IF(AL$4&lt;'Rent Roll'!$Y$22,0,YEAR(AL$4)-YEAR('Rent Roll'!$Y$22)+1),0)</f>
        <v>6975.8098119791666</v>
      </c>
      <c r="AM181" s="49">
        <f>IF(AM180=1,'Rent Roll'!$H$22/12*(1+'Rent Roll'!$I$22)^IF(AM$4&lt;'Rent Roll'!$Y$22,0,YEAR(AM$4)-YEAR('Rent Roll'!$Y$22)+1),0)</f>
        <v>6975.8098119791666</v>
      </c>
      <c r="AN181" s="49">
        <f>IF(AN180=1,'Rent Roll'!$H$22/12*(1+'Rent Roll'!$I$22)^IF(AN$4&lt;'Rent Roll'!$Y$22,0,YEAR(AN$4)-YEAR('Rent Roll'!$Y$22)+1),0)</f>
        <v>6975.8098119791666</v>
      </c>
      <c r="AO181" s="49">
        <f>IF(AO180=1,'Rent Roll'!$H$22/12*(1+'Rent Roll'!$I$22)^IF(AO$4&lt;'Rent Roll'!$Y$22,0,YEAR(AO$4)-YEAR('Rent Roll'!$Y$22)+1),0)</f>
        <v>6975.8098119791666</v>
      </c>
      <c r="AP181" s="49">
        <f>IF(AP180=1,'Rent Roll'!$H$22/12*(1+'Rent Roll'!$I$22)^IF(AP$4&lt;'Rent Roll'!$Y$22,0,YEAR(AP$4)-YEAR('Rent Roll'!$Y$22)+1),0)</f>
        <v>6975.8098119791666</v>
      </c>
      <c r="AQ181" s="49">
        <f>IF(AQ180=1,'Rent Roll'!$H$22/12*(1+'Rent Roll'!$I$22)^IF(AQ$4&lt;'Rent Roll'!$Y$22,0,YEAR(AQ$4)-YEAR('Rent Roll'!$Y$22)+1),0)</f>
        <v>6975.8098119791666</v>
      </c>
      <c r="AR181" s="49">
        <f>IF(AR180=1,'Rent Roll'!$H$22/12*(1+'Rent Roll'!$I$22)^IF(AR$4&lt;'Rent Roll'!$Y$22,0,YEAR(AR$4)-YEAR('Rent Roll'!$Y$22)+1),0)</f>
        <v>0</v>
      </c>
      <c r="AS181" s="49">
        <f>IF(AS180=1,'Rent Roll'!$H$22/12*(1+'Rent Roll'!$I$22)^IF(AS$4&lt;'Rent Roll'!$Y$22,0,YEAR(AS$4)-YEAR('Rent Roll'!$Y$22)+1),0)</f>
        <v>0</v>
      </c>
      <c r="AT181" s="49">
        <f>IF(AT180=1,'Rent Roll'!$H$22/12*(1+'Rent Roll'!$I$22)^IF(AT$4&lt;'Rent Roll'!$Y$22,0,YEAR(AT$4)-YEAR('Rent Roll'!$Y$22)+1),0)</f>
        <v>0</v>
      </c>
      <c r="AU181" s="49">
        <f>IF(AU180=1,'Rent Roll'!$H$22/12*(1+'Rent Roll'!$I$22)^IF(AU$4&lt;'Rent Roll'!$Y$22,0,YEAR(AU$4)-YEAR('Rent Roll'!$Y$22)+1),0)</f>
        <v>0</v>
      </c>
      <c r="AV181" s="49">
        <f>IF(AV180=1,'Rent Roll'!$H$22/12*(1+'Rent Roll'!$I$22)^IF(AV$4&lt;'Rent Roll'!$Y$22,0,YEAR(AV$4)-YEAR('Rent Roll'!$Y$22)+1),0)</f>
        <v>0</v>
      </c>
      <c r="AW181" s="49">
        <f>IF(AW180=1,'Rent Roll'!$H$22/12*(1+'Rent Roll'!$I$22)^IF(AW$4&lt;'Rent Roll'!$Y$22,0,YEAR(AW$4)-YEAR('Rent Roll'!$Y$22)+1),0)</f>
        <v>0</v>
      </c>
      <c r="AX181" s="49">
        <f>IF(AX180=1,'Rent Roll'!$H$22/12*(1+'Rent Roll'!$I$22)^IF(AX$4&lt;'Rent Roll'!$Y$22,0,YEAR(AX$4)-YEAR('Rent Roll'!$Y$22)+1),0)</f>
        <v>0</v>
      </c>
      <c r="AY181" s="49">
        <f>IF(AY180=1,'Rent Roll'!$H$22/12*(1+'Rent Roll'!$I$22)^IF(AY$4&lt;'Rent Roll'!$Y$22,0,YEAR(AY$4)-YEAR('Rent Roll'!$Y$22)+1),0)</f>
        <v>0</v>
      </c>
      <c r="AZ181" s="49">
        <f>IF(AZ180=1,'Rent Roll'!$H$22/12*(1+'Rent Roll'!$I$22)^IF(AZ$4&lt;'Rent Roll'!$Y$22,0,YEAR(AZ$4)-YEAR('Rent Roll'!$Y$22)+1),0)</f>
        <v>0</v>
      </c>
      <c r="BA181" s="49">
        <f>IF(BA180=1,'Rent Roll'!$H$22/12*(1+'Rent Roll'!$I$22)^IF(BA$4&lt;'Rent Roll'!$Y$22,0,YEAR(BA$4)-YEAR('Rent Roll'!$Y$22)+1),0)</f>
        <v>0</v>
      </c>
      <c r="BB181" s="49">
        <f>IF(BB180=1,'Rent Roll'!$H$22/12*(1+'Rent Roll'!$I$22)^IF(BB$4&lt;'Rent Roll'!$Y$22,0,YEAR(BB$4)-YEAR('Rent Roll'!$Y$22)+1),0)</f>
        <v>0</v>
      </c>
      <c r="BC181" s="49">
        <f>IF(BC180=1,'Rent Roll'!$H$22/12*(1+'Rent Roll'!$I$22)^IF(BC$4&lt;'Rent Roll'!$Y$22,0,YEAR(BC$4)-YEAR('Rent Roll'!$Y$22)+1),0)</f>
        <v>0</v>
      </c>
      <c r="BD181" s="49">
        <f>IF(BD180=1,'Rent Roll'!$H$22/12*(1+'Rent Roll'!$I$22)^IF(BD$4&lt;'Rent Roll'!$Y$22,0,YEAR(BD$4)-YEAR('Rent Roll'!$Y$22)+1),0)</f>
        <v>0</v>
      </c>
      <c r="BE181" s="49">
        <f>IF(BE180=1,'Rent Roll'!$H$22/12*(1+'Rent Roll'!$I$22)^IF(BE$4&lt;'Rent Roll'!$Y$22,0,YEAR(BE$4)-YEAR('Rent Roll'!$Y$22)+1),0)</f>
        <v>0</v>
      </c>
      <c r="BF181" s="49">
        <f>IF(BF180=1,'Rent Roll'!$H$22/12*(1+'Rent Roll'!$I$22)^IF(BF$4&lt;'Rent Roll'!$Y$22,0,YEAR(BF$4)-YEAR('Rent Roll'!$Y$22)+1),0)</f>
        <v>0</v>
      </c>
      <c r="BG181" s="49">
        <f>IF(BG180=1,'Rent Roll'!$H$22/12*(1+'Rent Roll'!$I$22)^IF(BG$4&lt;'Rent Roll'!$Y$22,0,YEAR(BG$4)-YEAR('Rent Roll'!$Y$22)+1),0)</f>
        <v>0</v>
      </c>
      <c r="BH181" s="49">
        <f>IF(BH180=1,'Rent Roll'!$H$22/12*(1+'Rent Roll'!$I$22)^IF(BH$4&lt;'Rent Roll'!$Y$22,0,YEAR(BH$4)-YEAR('Rent Roll'!$Y$22)+1),0)</f>
        <v>0</v>
      </c>
      <c r="BI181" s="49">
        <f>IF(BI180=1,'Rent Roll'!$H$22/12*(1+'Rent Roll'!$I$22)^IF(BI$4&lt;'Rent Roll'!$Y$22,0,YEAR(BI$4)-YEAR('Rent Roll'!$Y$22)+1),0)</f>
        <v>0</v>
      </c>
      <c r="BJ181" s="49">
        <f>IF(BJ180=1,'Rent Roll'!$H$22/12*(1+'Rent Roll'!$I$22)^IF(BJ$4&lt;'Rent Roll'!$Y$22,0,YEAR(BJ$4)-YEAR('Rent Roll'!$Y$22)+1),0)</f>
        <v>0</v>
      </c>
      <c r="BK181" s="49">
        <f>IF(BK180=1,'Rent Roll'!$H$22/12*(1+'Rent Roll'!$I$22)^IF(BK$4&lt;'Rent Roll'!$Y$22,0,YEAR(BK$4)-YEAR('Rent Roll'!$Y$22)+1),0)</f>
        <v>0</v>
      </c>
      <c r="BL181" s="49">
        <f>IF(BL180=1,'Rent Roll'!$H$22/12*(1+'Rent Roll'!$I$22)^IF(BL$4&lt;'Rent Roll'!$Y$22,0,YEAR(BL$4)-YEAR('Rent Roll'!$Y$22)+1),0)</f>
        <v>0</v>
      </c>
      <c r="BM181" s="49">
        <f>IF(BM180=1,'Rent Roll'!$H$22/12*(1+'Rent Roll'!$I$22)^IF(BM$4&lt;'Rent Roll'!$Y$22,0,YEAR(BM$4)-YEAR('Rent Roll'!$Y$22)+1),0)</f>
        <v>0</v>
      </c>
      <c r="BN181" s="49">
        <f>IF(BN180=1,'Rent Roll'!$H$22/12*(1+'Rent Roll'!$I$22)^IF(BN$4&lt;'Rent Roll'!$Y$22,0,YEAR(BN$4)-YEAR('Rent Roll'!$Y$22)+1),0)</f>
        <v>0</v>
      </c>
      <c r="BO181" s="49">
        <f>IF(BO180=1,'Rent Roll'!$H$22/12*(1+'Rent Roll'!$I$22)^IF(BO$4&lt;'Rent Roll'!$Y$22,0,YEAR(BO$4)-YEAR('Rent Roll'!$Y$22)+1),0)</f>
        <v>0</v>
      </c>
      <c r="BP181" s="49">
        <f>IF(BP180=1,'Rent Roll'!$H$22/12*(1+'Rent Roll'!$I$22)^IF(BP$4&lt;'Rent Roll'!$Y$22,0,YEAR(BP$4)-YEAR('Rent Roll'!$Y$22)+1),0)</f>
        <v>0</v>
      </c>
      <c r="BQ181" s="49">
        <f>IF(BQ180=1,'Rent Roll'!$H$22/12*(1+'Rent Roll'!$I$22)^IF(BQ$4&lt;'Rent Roll'!$Y$22,0,YEAR(BQ$4)-YEAR('Rent Roll'!$Y$22)+1),0)</f>
        <v>0</v>
      </c>
      <c r="BR181" s="49">
        <f>IF(BR180=1,'Rent Roll'!$H$22/12*(1+'Rent Roll'!$I$22)^IF(BR$4&lt;'Rent Roll'!$Y$22,0,YEAR(BR$4)-YEAR('Rent Roll'!$Y$22)+1),0)</f>
        <v>0</v>
      </c>
      <c r="BS181" s="49">
        <f>IF(BS180=1,'Rent Roll'!$H$22/12*(1+'Rent Roll'!$I$22)^IF(BS$4&lt;'Rent Roll'!$Y$22,0,YEAR(BS$4)-YEAR('Rent Roll'!$Y$22)+1),0)</f>
        <v>0</v>
      </c>
      <c r="BT181" s="49">
        <f>IF(BT180=1,'Rent Roll'!$H$22/12*(1+'Rent Roll'!$I$22)^IF(BT$4&lt;'Rent Roll'!$Y$22,0,YEAR(BT$4)-YEAR('Rent Roll'!$Y$22)+1),0)</f>
        <v>0</v>
      </c>
      <c r="BU181" s="49">
        <f>IF(BU180=1,'Rent Roll'!$H$22/12*(1+'Rent Roll'!$I$22)^IF(BU$4&lt;'Rent Roll'!$Y$22,0,YEAR(BU$4)-YEAR('Rent Roll'!$Y$22)+1),0)</f>
        <v>0</v>
      </c>
      <c r="BV181" s="49">
        <f>IF(BV180=1,'Rent Roll'!$H$22/12*(1+'Rent Roll'!$I$22)^IF(BV$4&lt;'Rent Roll'!$Y$22,0,YEAR(BV$4)-YEAR('Rent Roll'!$Y$22)+1),0)</f>
        <v>0</v>
      </c>
      <c r="BW181" s="49">
        <f>IF(BW180=1,'Rent Roll'!$H$22/12*(1+'Rent Roll'!$I$22)^IF(BW$4&lt;'Rent Roll'!$Y$22,0,YEAR(BW$4)-YEAR('Rent Roll'!$Y$22)+1),0)</f>
        <v>0</v>
      </c>
      <c r="BX181" s="49">
        <f>IF(BX180=1,'Rent Roll'!$H$22/12*(1+'Rent Roll'!$I$22)^IF(BX$4&lt;'Rent Roll'!$Y$22,0,YEAR(BX$4)-YEAR('Rent Roll'!$Y$22)+1),0)</f>
        <v>0</v>
      </c>
    </row>
    <row r="182" spans="1:76" outlineLevel="1">
      <c r="B182" t="s">
        <v>160</v>
      </c>
      <c r="D182" s="49">
        <f>IF(D$4&gt;EOMONTH(CloseDate,'Rent Roll'!$O$22+'Rent Roll'!$S$22-1),1,0)</f>
        <v>0</v>
      </c>
      <c r="E182" s="49">
        <f>IF(E$4&gt;EOMONTH(CloseDate,'Rent Roll'!$O$22+'Rent Roll'!$S$22-1),1,0)</f>
        <v>0</v>
      </c>
      <c r="F182" s="49">
        <f>IF(F$4&gt;EOMONTH(CloseDate,'Rent Roll'!$O$22+'Rent Roll'!$S$22-1),1,0)</f>
        <v>0</v>
      </c>
      <c r="G182" s="49">
        <f>IF(G$4&gt;EOMONTH(CloseDate,'Rent Roll'!$O$22+'Rent Roll'!$S$22-1),1,0)</f>
        <v>0</v>
      </c>
      <c r="H182" s="49">
        <f>IF(H$4&gt;EOMONTH(CloseDate,'Rent Roll'!$O$22+'Rent Roll'!$S$22-1),1,0)</f>
        <v>0</v>
      </c>
      <c r="I182" s="49">
        <f>IF(I$4&gt;EOMONTH(CloseDate,'Rent Roll'!$O$22+'Rent Roll'!$S$22-1),1,0)</f>
        <v>0</v>
      </c>
      <c r="J182" s="49">
        <f>IF(J$4&gt;EOMONTH(CloseDate,'Rent Roll'!$O$22+'Rent Roll'!$S$22-1),1,0)</f>
        <v>0</v>
      </c>
      <c r="K182" s="49">
        <f>IF(K$4&gt;EOMONTH(CloseDate,'Rent Roll'!$O$22+'Rent Roll'!$S$22-1),1,0)</f>
        <v>0</v>
      </c>
      <c r="L182" s="49">
        <f>IF(L$4&gt;EOMONTH(CloseDate,'Rent Roll'!$O$22+'Rent Roll'!$S$22-1),1,0)</f>
        <v>0</v>
      </c>
      <c r="M182" s="49">
        <f>IF(M$4&gt;EOMONTH(CloseDate,'Rent Roll'!$O$22+'Rent Roll'!$S$22-1),1,0)</f>
        <v>0</v>
      </c>
      <c r="N182" s="49">
        <f>IF(N$4&gt;EOMONTH(CloseDate,'Rent Roll'!$O$22+'Rent Roll'!$S$22-1),1,0)</f>
        <v>0</v>
      </c>
      <c r="O182" s="49">
        <f>IF(O$4&gt;EOMONTH(CloseDate,'Rent Roll'!$O$22+'Rent Roll'!$S$22-1),1,0)</f>
        <v>0</v>
      </c>
      <c r="P182" s="49">
        <f>IF(P$4&gt;EOMONTH(CloseDate,'Rent Roll'!$O$22+'Rent Roll'!$S$22-1),1,0)</f>
        <v>0</v>
      </c>
      <c r="Q182" s="49">
        <f>IF(Q$4&gt;EOMONTH(CloseDate,'Rent Roll'!$O$22+'Rent Roll'!$S$22-1),1,0)</f>
        <v>0</v>
      </c>
      <c r="R182" s="49">
        <f>IF(R$4&gt;EOMONTH(CloseDate,'Rent Roll'!$O$22+'Rent Roll'!$S$22-1),1,0)</f>
        <v>0</v>
      </c>
      <c r="S182" s="49">
        <f>IF(S$4&gt;EOMONTH(CloseDate,'Rent Roll'!$O$22+'Rent Roll'!$S$22-1),1,0)</f>
        <v>0</v>
      </c>
      <c r="T182" s="49">
        <f>IF(T$4&gt;EOMONTH(CloseDate,'Rent Roll'!$O$22+'Rent Roll'!$S$22-1),1,0)</f>
        <v>0</v>
      </c>
      <c r="U182" s="49">
        <f>IF(U$4&gt;EOMONTH(CloseDate,'Rent Roll'!$O$22+'Rent Roll'!$S$22-1),1,0)</f>
        <v>0</v>
      </c>
      <c r="V182" s="49">
        <f>IF(V$4&gt;EOMONTH(CloseDate,'Rent Roll'!$O$22+'Rent Roll'!$S$22-1),1,0)</f>
        <v>0</v>
      </c>
      <c r="W182" s="49">
        <f>IF(W$4&gt;EOMONTH(CloseDate,'Rent Roll'!$O$22+'Rent Roll'!$S$22-1),1,0)</f>
        <v>0</v>
      </c>
      <c r="X182" s="49">
        <f>IF(X$4&gt;EOMONTH(CloseDate,'Rent Roll'!$O$22+'Rent Roll'!$S$22-1),1,0)</f>
        <v>0</v>
      </c>
      <c r="Y182" s="49">
        <f>IF(Y$4&gt;EOMONTH(CloseDate,'Rent Roll'!$O$22+'Rent Roll'!$S$22-1),1,0)</f>
        <v>0</v>
      </c>
      <c r="Z182" s="49">
        <f>IF(Z$4&gt;EOMONTH(CloseDate,'Rent Roll'!$O$22+'Rent Roll'!$S$22-1),1,0)</f>
        <v>0</v>
      </c>
      <c r="AA182" s="49">
        <f>IF(AA$4&gt;EOMONTH(CloseDate,'Rent Roll'!$O$22+'Rent Roll'!$S$22-1),1,0)</f>
        <v>0</v>
      </c>
      <c r="AB182" s="49">
        <f>IF(AB$4&gt;EOMONTH(CloseDate,'Rent Roll'!$O$22+'Rent Roll'!$S$22-1),1,0)</f>
        <v>0</v>
      </c>
      <c r="AC182" s="49">
        <f>IF(AC$4&gt;EOMONTH(CloseDate,'Rent Roll'!$O$22+'Rent Roll'!$S$22-1),1,0)</f>
        <v>0</v>
      </c>
      <c r="AD182" s="49">
        <f>IF(AD$4&gt;EOMONTH(CloseDate,'Rent Roll'!$O$22+'Rent Roll'!$S$22-1),1,0)</f>
        <v>0</v>
      </c>
      <c r="AE182" s="49">
        <f>IF(AE$4&gt;EOMONTH(CloseDate,'Rent Roll'!$O$22+'Rent Roll'!$S$22-1),1,0)</f>
        <v>0</v>
      </c>
      <c r="AF182" s="49">
        <f>IF(AF$4&gt;EOMONTH(CloseDate,'Rent Roll'!$O$22+'Rent Roll'!$S$22-1),1,0)</f>
        <v>0</v>
      </c>
      <c r="AG182" s="49">
        <f>IF(AG$4&gt;EOMONTH(CloseDate,'Rent Roll'!$O$22+'Rent Roll'!$S$22-1),1,0)</f>
        <v>0</v>
      </c>
      <c r="AH182" s="49">
        <f>IF(AH$4&gt;EOMONTH(CloseDate,'Rent Roll'!$O$22+'Rent Roll'!$S$22-1),1,0)</f>
        <v>0</v>
      </c>
      <c r="AI182" s="49">
        <f>IF(AI$4&gt;EOMONTH(CloseDate,'Rent Roll'!$O$22+'Rent Roll'!$S$22-1),1,0)</f>
        <v>0</v>
      </c>
      <c r="AJ182" s="49">
        <f>IF(AJ$4&gt;EOMONTH(CloseDate,'Rent Roll'!$O$22+'Rent Roll'!$S$22-1),1,0)</f>
        <v>0</v>
      </c>
      <c r="AK182" s="49">
        <f>IF(AK$4&gt;EOMONTH(CloseDate,'Rent Roll'!$O$22+'Rent Roll'!$S$22-1),1,0)</f>
        <v>0</v>
      </c>
      <c r="AL182" s="49">
        <f>IF(AL$4&gt;EOMONTH(CloseDate,'Rent Roll'!$O$22+'Rent Roll'!$S$22-1),1,0)</f>
        <v>0</v>
      </c>
      <c r="AM182" s="49">
        <f>IF(AM$4&gt;EOMONTH(CloseDate,'Rent Roll'!$O$22+'Rent Roll'!$S$22-1),1,0)</f>
        <v>0</v>
      </c>
      <c r="AN182" s="49">
        <f>IF(AN$4&gt;EOMONTH(CloseDate,'Rent Roll'!$O$22+'Rent Roll'!$S$22-1),1,0)</f>
        <v>0</v>
      </c>
      <c r="AO182" s="49">
        <f>IF(AO$4&gt;EOMONTH(CloseDate,'Rent Roll'!$O$22+'Rent Roll'!$S$22-1),1,0)</f>
        <v>0</v>
      </c>
      <c r="AP182" s="49">
        <f>IF(AP$4&gt;EOMONTH(CloseDate,'Rent Roll'!$O$22+'Rent Roll'!$S$22-1),1,0)</f>
        <v>0</v>
      </c>
      <c r="AQ182" s="49">
        <f>IF(AQ$4&gt;EOMONTH(CloseDate,'Rent Roll'!$O$22+'Rent Roll'!$S$22-1),1,0)</f>
        <v>0</v>
      </c>
      <c r="AR182" s="49">
        <f>IF(AR$4&gt;EOMONTH(CloseDate,'Rent Roll'!$O$22+'Rent Roll'!$S$22-1),1,0)</f>
        <v>0</v>
      </c>
      <c r="AS182" s="49">
        <f>IF(AS$4&gt;EOMONTH(CloseDate,'Rent Roll'!$O$22+'Rent Roll'!$S$22-1),1,0)</f>
        <v>0</v>
      </c>
      <c r="AT182" s="49">
        <f>IF(AT$4&gt;EOMONTH(CloseDate,'Rent Roll'!$O$22+'Rent Roll'!$S$22-1),1,0)</f>
        <v>0</v>
      </c>
      <c r="AU182" s="49">
        <f>IF(AU$4&gt;EOMONTH(CloseDate,'Rent Roll'!$O$22+'Rent Roll'!$S$22-1),1,0)</f>
        <v>0</v>
      </c>
      <c r="AV182" s="49">
        <f>IF(AV$4&gt;EOMONTH(CloseDate,'Rent Roll'!$O$22+'Rent Roll'!$S$22-1),1,0)</f>
        <v>0</v>
      </c>
      <c r="AW182" s="49">
        <f>IF(AW$4&gt;EOMONTH(CloseDate,'Rent Roll'!$O$22+'Rent Roll'!$S$22-1),1,0)</f>
        <v>1</v>
      </c>
      <c r="AX182" s="49">
        <f>IF(AX$4&gt;EOMONTH(CloseDate,'Rent Roll'!$O$22+'Rent Roll'!$S$22-1),1,0)</f>
        <v>1</v>
      </c>
      <c r="AY182" s="49">
        <f>IF(AY$4&gt;EOMONTH(CloseDate,'Rent Roll'!$O$22+'Rent Roll'!$S$22-1),1,0)</f>
        <v>1</v>
      </c>
      <c r="AZ182" s="49">
        <f>IF(AZ$4&gt;EOMONTH(CloseDate,'Rent Roll'!$O$22+'Rent Roll'!$S$22-1),1,0)</f>
        <v>1</v>
      </c>
      <c r="BA182" s="49">
        <f>IF(BA$4&gt;EOMONTH(CloseDate,'Rent Roll'!$O$22+'Rent Roll'!$S$22-1),1,0)</f>
        <v>1</v>
      </c>
      <c r="BB182" s="49">
        <f>IF(BB$4&gt;EOMONTH(CloseDate,'Rent Roll'!$O$22+'Rent Roll'!$S$22-1),1,0)</f>
        <v>1</v>
      </c>
      <c r="BC182" s="49">
        <f>IF(BC$4&gt;EOMONTH(CloseDate,'Rent Roll'!$O$22+'Rent Roll'!$S$22-1),1,0)</f>
        <v>1</v>
      </c>
      <c r="BD182" s="49">
        <f>IF(BD$4&gt;EOMONTH(CloseDate,'Rent Roll'!$O$22+'Rent Roll'!$S$22-1),1,0)</f>
        <v>1</v>
      </c>
      <c r="BE182" s="49">
        <f>IF(BE$4&gt;EOMONTH(CloseDate,'Rent Roll'!$O$22+'Rent Roll'!$S$22-1),1,0)</f>
        <v>1</v>
      </c>
      <c r="BF182" s="49">
        <f>IF(BF$4&gt;EOMONTH(CloseDate,'Rent Roll'!$O$22+'Rent Roll'!$S$22-1),1,0)</f>
        <v>1</v>
      </c>
      <c r="BG182" s="49">
        <f>IF(BG$4&gt;EOMONTH(CloseDate,'Rent Roll'!$O$22+'Rent Roll'!$S$22-1),1,0)</f>
        <v>1</v>
      </c>
      <c r="BH182" s="49">
        <f>IF(BH$4&gt;EOMONTH(CloseDate,'Rent Roll'!$O$22+'Rent Roll'!$S$22-1),1,0)</f>
        <v>1</v>
      </c>
      <c r="BI182" s="49">
        <f>IF(BI$4&gt;EOMONTH(CloseDate,'Rent Roll'!$O$22+'Rent Roll'!$S$22-1),1,0)</f>
        <v>1</v>
      </c>
      <c r="BJ182" s="49">
        <f>IF(BJ$4&gt;EOMONTH(CloseDate,'Rent Roll'!$O$22+'Rent Roll'!$S$22-1),1,0)</f>
        <v>1</v>
      </c>
      <c r="BK182" s="49">
        <f>IF(BK$4&gt;EOMONTH(CloseDate,'Rent Roll'!$O$22+'Rent Roll'!$S$22-1),1,0)</f>
        <v>1</v>
      </c>
      <c r="BL182" s="49">
        <f>IF(BL$4&gt;EOMONTH(CloseDate,'Rent Roll'!$O$22+'Rent Roll'!$S$22-1),1,0)</f>
        <v>1</v>
      </c>
      <c r="BM182" s="49">
        <f>IF(BM$4&gt;EOMONTH(CloseDate,'Rent Roll'!$O$22+'Rent Roll'!$S$22-1),1,0)</f>
        <v>1</v>
      </c>
      <c r="BN182" s="49">
        <f>IF(BN$4&gt;EOMONTH(CloseDate,'Rent Roll'!$O$22+'Rent Roll'!$S$22-1),1,0)</f>
        <v>1</v>
      </c>
      <c r="BO182" s="49">
        <f>IF(BO$4&gt;EOMONTH(CloseDate,'Rent Roll'!$O$22+'Rent Roll'!$S$22-1),1,0)</f>
        <v>1</v>
      </c>
      <c r="BP182" s="49">
        <f>IF(BP$4&gt;EOMONTH(CloseDate,'Rent Roll'!$O$22+'Rent Roll'!$S$22-1),1,0)</f>
        <v>1</v>
      </c>
      <c r="BQ182" s="49">
        <f>IF(BQ$4&gt;EOMONTH(CloseDate,'Rent Roll'!$O$22+'Rent Roll'!$S$22-1),1,0)</f>
        <v>1</v>
      </c>
      <c r="BR182" s="49">
        <f>IF(BR$4&gt;EOMONTH(CloseDate,'Rent Roll'!$O$22+'Rent Roll'!$S$22-1),1,0)</f>
        <v>1</v>
      </c>
      <c r="BS182" s="49">
        <f>IF(BS$4&gt;EOMONTH(CloseDate,'Rent Roll'!$O$22+'Rent Roll'!$S$22-1),1,0)</f>
        <v>1</v>
      </c>
      <c r="BT182" s="49">
        <f>IF(BT$4&gt;EOMONTH(CloseDate,'Rent Roll'!$O$22+'Rent Roll'!$S$22-1),1,0)</f>
        <v>1</v>
      </c>
      <c r="BU182" s="49">
        <f>IF(BU$4&gt;EOMONTH(CloseDate,'Rent Roll'!$O$22+'Rent Roll'!$S$22-1),1,0)</f>
        <v>1</v>
      </c>
      <c r="BV182" s="49">
        <f>IF(BV$4&gt;EOMONTH(CloseDate,'Rent Roll'!$O$22+'Rent Roll'!$S$22-1),1,0)</f>
        <v>1</v>
      </c>
      <c r="BW182" s="49">
        <f>IF(BW$4&gt;EOMONTH(CloseDate,'Rent Roll'!$O$22+'Rent Roll'!$S$22-1),1,0)</f>
        <v>1</v>
      </c>
      <c r="BX182" s="49">
        <f>IF(BX$4&gt;EOMONTH(CloseDate,'Rent Roll'!$O$22+'Rent Roll'!$S$22-1),1,0)</f>
        <v>1</v>
      </c>
    </row>
    <row r="183" spans="1:76" outlineLevel="1">
      <c r="B183" t="s">
        <v>162</v>
      </c>
      <c r="D183" s="49">
        <f>IF(D182=1,'Rent Roll'!$F$22*'Rent Roll'!$X$22/12*D$6,0)</f>
        <v>0</v>
      </c>
      <c r="E183" s="49">
        <f>IF(E182=1,'Rent Roll'!$F$22*'Rent Roll'!$X$22/12*E$6,0)</f>
        <v>0</v>
      </c>
      <c r="F183" s="49">
        <f>IF(F182=1,'Rent Roll'!$F$22*'Rent Roll'!$X$22/12*F$6,0)</f>
        <v>0</v>
      </c>
      <c r="G183" s="49">
        <f>IF(G182=1,'Rent Roll'!$F$22*'Rent Roll'!$X$22/12*G$6,0)</f>
        <v>0</v>
      </c>
      <c r="H183" s="49">
        <f>IF(H182=1,'Rent Roll'!$F$22*'Rent Roll'!$X$22/12*H$6,0)</f>
        <v>0</v>
      </c>
      <c r="I183" s="49">
        <f>IF(I182=1,'Rent Roll'!$F$22*'Rent Roll'!$X$22/12*I$6,0)</f>
        <v>0</v>
      </c>
      <c r="J183" s="49">
        <f>IF(J182=1,'Rent Roll'!$F$22*'Rent Roll'!$X$22/12*J$6,0)</f>
        <v>0</v>
      </c>
      <c r="K183" s="49">
        <f>IF(K182=1,'Rent Roll'!$F$22*'Rent Roll'!$X$22/12*K$6,0)</f>
        <v>0</v>
      </c>
      <c r="L183" s="49">
        <f>IF(L182=1,'Rent Roll'!$F$22*'Rent Roll'!$X$22/12*L$6,0)</f>
        <v>0</v>
      </c>
      <c r="M183" s="49">
        <f>IF(M182=1,'Rent Roll'!$F$22*'Rent Roll'!$X$22/12*M$6,0)</f>
        <v>0</v>
      </c>
      <c r="N183" s="49">
        <f>IF(N182=1,'Rent Roll'!$F$22*'Rent Roll'!$X$22/12*N$6,0)</f>
        <v>0</v>
      </c>
      <c r="O183" s="49">
        <f>IF(O182=1,'Rent Roll'!$F$22*'Rent Roll'!$X$22/12*O$6,0)</f>
        <v>0</v>
      </c>
      <c r="P183" s="49">
        <f>IF(P182=1,'Rent Roll'!$F$22*'Rent Roll'!$X$22/12*P$6,0)</f>
        <v>0</v>
      </c>
      <c r="Q183" s="49">
        <f>IF(Q182=1,'Rent Roll'!$F$22*'Rent Roll'!$X$22/12*Q$6,0)</f>
        <v>0</v>
      </c>
      <c r="R183" s="49">
        <f>IF(R182=1,'Rent Roll'!$F$22*'Rent Roll'!$X$22/12*R$6,0)</f>
        <v>0</v>
      </c>
      <c r="S183" s="49">
        <f>IF(S182=1,'Rent Roll'!$F$22*'Rent Roll'!$X$22/12*S$6,0)</f>
        <v>0</v>
      </c>
      <c r="T183" s="49">
        <f>IF(T182=1,'Rent Roll'!$F$22*'Rent Roll'!$X$22/12*T$6,0)</f>
        <v>0</v>
      </c>
      <c r="U183" s="49">
        <f>IF(U182=1,'Rent Roll'!$F$22*'Rent Roll'!$X$22/12*U$6,0)</f>
        <v>0</v>
      </c>
      <c r="V183" s="49">
        <f>IF(V182=1,'Rent Roll'!$F$22*'Rent Roll'!$X$22/12*V$6,0)</f>
        <v>0</v>
      </c>
      <c r="W183" s="49">
        <f>IF(W182=1,'Rent Roll'!$F$22*'Rent Roll'!$X$22/12*W$6,0)</f>
        <v>0</v>
      </c>
      <c r="X183" s="49">
        <f>IF(X182=1,'Rent Roll'!$F$22*'Rent Roll'!$X$22/12*X$6,0)</f>
        <v>0</v>
      </c>
      <c r="Y183" s="49">
        <f>IF(Y182=1,'Rent Roll'!$F$22*'Rent Roll'!$X$22/12*Y$6,0)</f>
        <v>0</v>
      </c>
      <c r="Z183" s="49">
        <f>IF(Z182=1,'Rent Roll'!$F$22*'Rent Roll'!$X$22/12*Z$6,0)</f>
        <v>0</v>
      </c>
      <c r="AA183" s="49">
        <f>IF(AA182=1,'Rent Roll'!$F$22*'Rent Roll'!$X$22/12*AA$6,0)</f>
        <v>0</v>
      </c>
      <c r="AB183" s="49">
        <f>IF(AB182=1,'Rent Roll'!$F$22*'Rent Roll'!$X$22/12*AB$6,0)</f>
        <v>0</v>
      </c>
      <c r="AC183" s="49">
        <f>IF(AC182=1,'Rent Roll'!$F$22*'Rent Roll'!$X$22/12*AC$6,0)</f>
        <v>0</v>
      </c>
      <c r="AD183" s="49">
        <f>IF(AD182=1,'Rent Roll'!$F$22*'Rent Roll'!$X$22/12*AD$6,0)</f>
        <v>0</v>
      </c>
      <c r="AE183" s="49">
        <f>IF(AE182=1,'Rent Roll'!$F$22*'Rent Roll'!$X$22/12*AE$6,0)</f>
        <v>0</v>
      </c>
      <c r="AF183" s="49">
        <f>IF(AF182=1,'Rent Roll'!$F$22*'Rent Roll'!$X$22/12*AF$6,0)</f>
        <v>0</v>
      </c>
      <c r="AG183" s="49">
        <f>IF(AG182=1,'Rent Roll'!$F$22*'Rent Roll'!$X$22/12*AG$6,0)</f>
        <v>0</v>
      </c>
      <c r="AH183" s="49">
        <f>IF(AH182=1,'Rent Roll'!$F$22*'Rent Roll'!$X$22/12*AH$6,0)</f>
        <v>0</v>
      </c>
      <c r="AI183" s="49">
        <f>IF(AI182=1,'Rent Roll'!$F$22*'Rent Roll'!$X$22/12*AI$6,0)</f>
        <v>0</v>
      </c>
      <c r="AJ183" s="49">
        <f>IF(AJ182=1,'Rent Roll'!$F$22*'Rent Roll'!$X$22/12*AJ$6,0)</f>
        <v>0</v>
      </c>
      <c r="AK183" s="49">
        <f>IF(AK182=1,'Rent Roll'!$F$22*'Rent Roll'!$X$22/12*AK$6,0)</f>
        <v>0</v>
      </c>
      <c r="AL183" s="49">
        <f>IF(AL182=1,'Rent Roll'!$F$22*'Rent Roll'!$X$22/12*AL$6,0)</f>
        <v>0</v>
      </c>
      <c r="AM183" s="49">
        <f>IF(AM182=1,'Rent Roll'!$F$22*'Rent Roll'!$X$22/12*AM$6,0)</f>
        <v>0</v>
      </c>
      <c r="AN183" s="49">
        <f>IF(AN182=1,'Rent Roll'!$F$22*'Rent Roll'!$X$22/12*AN$6,0)</f>
        <v>0</v>
      </c>
      <c r="AO183" s="49">
        <f>IF(AO182=1,'Rent Roll'!$F$22*'Rent Roll'!$X$22/12*AO$6,0)</f>
        <v>0</v>
      </c>
      <c r="AP183" s="49">
        <f>IF(AP182=1,'Rent Roll'!$F$22*'Rent Roll'!$X$22/12*AP$6,0)</f>
        <v>0</v>
      </c>
      <c r="AQ183" s="49">
        <f>IF(AQ182=1,'Rent Roll'!$F$22*'Rent Roll'!$X$22/12*AQ$6,0)</f>
        <v>0</v>
      </c>
      <c r="AR183" s="49">
        <f>IF(AR182=1,'Rent Roll'!$F$22*'Rent Roll'!$X$22/12*AR$6,0)</f>
        <v>0</v>
      </c>
      <c r="AS183" s="49">
        <f>IF(AS182=1,'Rent Roll'!$F$22*'Rent Roll'!$X$22/12*AS$6,0)</f>
        <v>0</v>
      </c>
      <c r="AT183" s="49">
        <f>IF(AT182=1,'Rent Roll'!$F$22*'Rent Roll'!$X$22/12*AT$6,0)</f>
        <v>0</v>
      </c>
      <c r="AU183" s="49">
        <f>IF(AU182=1,'Rent Roll'!$F$22*'Rent Roll'!$X$22/12*AU$6,0)</f>
        <v>0</v>
      </c>
      <c r="AV183" s="49">
        <f>IF(AV182=1,'Rent Roll'!$F$22*'Rent Roll'!$X$22/12*AV$6,0)</f>
        <v>0</v>
      </c>
      <c r="AW183" s="49">
        <f>IF(AW182=1,'Rent Roll'!$F$22*'Rent Roll'!$X$22/12*AW$6,0)</f>
        <v>7888.5683238277115</v>
      </c>
      <c r="AX183" s="49">
        <f>IF(AX182=1,'Rent Roll'!$F$22*'Rent Roll'!$X$22/12*AX$6,0)</f>
        <v>7888.5683238277115</v>
      </c>
      <c r="AY183" s="49">
        <f>IF(AY182=1,'Rent Roll'!$F$22*'Rent Roll'!$X$22/12*AY$6,0)</f>
        <v>7888.5683238277115</v>
      </c>
      <c r="AZ183" s="49">
        <f>IF(AZ182=1,'Rent Roll'!$F$22*'Rent Roll'!$X$22/12*AZ$6,0)</f>
        <v>7888.5683238277115</v>
      </c>
      <c r="BA183" s="49">
        <f>IF(BA182=1,'Rent Roll'!$F$22*'Rent Roll'!$X$22/12*BA$6,0)</f>
        <v>7888.5683238277115</v>
      </c>
      <c r="BB183" s="49">
        <f>IF(BB182=1,'Rent Roll'!$F$22*'Rent Roll'!$X$22/12*BB$6,0)</f>
        <v>7888.5683238277115</v>
      </c>
      <c r="BC183" s="49">
        <f>IF(BC182=1,'Rent Roll'!$F$22*'Rent Roll'!$X$22/12*BC$6,0)</f>
        <v>7888.5683238277115</v>
      </c>
      <c r="BD183" s="49">
        <f>IF(BD182=1,'Rent Roll'!$F$22*'Rent Roll'!$X$22/12*BD$6,0)</f>
        <v>7888.5683238277115</v>
      </c>
      <c r="BE183" s="49">
        <f>IF(BE182=1,'Rent Roll'!$F$22*'Rent Roll'!$X$22/12*BE$6,0)</f>
        <v>8101.5596685710598</v>
      </c>
      <c r="BF183" s="49">
        <f>IF(BF182=1,'Rent Roll'!$F$22*'Rent Roll'!$X$22/12*BF$6,0)</f>
        <v>8101.5596685710598</v>
      </c>
      <c r="BG183" s="49">
        <f>IF(BG182=1,'Rent Roll'!$F$22*'Rent Roll'!$X$22/12*BG$6,0)</f>
        <v>8101.5596685710598</v>
      </c>
      <c r="BH183" s="49">
        <f>IF(BH182=1,'Rent Roll'!$F$22*'Rent Roll'!$X$22/12*BH$6,0)</f>
        <v>8101.5596685710598</v>
      </c>
      <c r="BI183" s="49">
        <f>IF(BI182=1,'Rent Roll'!$F$22*'Rent Roll'!$X$22/12*BI$6,0)</f>
        <v>8101.5596685710598</v>
      </c>
      <c r="BJ183" s="49">
        <f>IF(BJ182=1,'Rent Roll'!$F$22*'Rent Roll'!$X$22/12*BJ$6,0)</f>
        <v>8101.5596685710598</v>
      </c>
      <c r="BK183" s="49">
        <f>IF(BK182=1,'Rent Roll'!$F$22*'Rent Roll'!$X$22/12*BK$6,0)</f>
        <v>8101.5596685710598</v>
      </c>
      <c r="BL183" s="49">
        <f>IF(BL182=1,'Rent Roll'!$F$22*'Rent Roll'!$X$22/12*BL$6,0)</f>
        <v>8101.5596685710598</v>
      </c>
      <c r="BM183" s="49">
        <f>IF(BM182=1,'Rent Roll'!$F$22*'Rent Roll'!$X$22/12*BM$6,0)</f>
        <v>8101.5596685710598</v>
      </c>
      <c r="BN183" s="49">
        <f>IF(BN182=1,'Rent Roll'!$F$22*'Rent Roll'!$X$22/12*BN$6,0)</f>
        <v>8101.5596685710598</v>
      </c>
      <c r="BO183" s="49">
        <f>IF(BO182=1,'Rent Roll'!$F$22*'Rent Roll'!$X$22/12*BO$6,0)</f>
        <v>8101.5596685710598</v>
      </c>
      <c r="BP183" s="49">
        <f>IF(BP182=1,'Rent Roll'!$F$22*'Rent Roll'!$X$22/12*BP$6,0)</f>
        <v>8101.5596685710598</v>
      </c>
      <c r="BQ183" s="49">
        <f>IF(BQ182=1,'Rent Roll'!$F$22*'Rent Roll'!$X$22/12*BQ$6,0)</f>
        <v>8320.3017796224776</v>
      </c>
      <c r="BR183" s="49">
        <f>IF(BR182=1,'Rent Roll'!$F$22*'Rent Roll'!$X$22/12*BR$6,0)</f>
        <v>8320.3017796224776</v>
      </c>
      <c r="BS183" s="49">
        <f>IF(BS182=1,'Rent Roll'!$F$22*'Rent Roll'!$X$22/12*BS$6,0)</f>
        <v>8320.3017796224776</v>
      </c>
      <c r="BT183" s="49">
        <f>IF(BT182=1,'Rent Roll'!$F$22*'Rent Roll'!$X$22/12*BT$6,0)</f>
        <v>8320.3017796224776</v>
      </c>
      <c r="BU183" s="49">
        <f>IF(BU182=1,'Rent Roll'!$F$22*'Rent Roll'!$X$22/12*BU$6,0)</f>
        <v>8320.3017796224776</v>
      </c>
      <c r="BV183" s="49">
        <f>IF(BV182=1,'Rent Roll'!$F$22*'Rent Roll'!$X$22/12*BV$6,0)</f>
        <v>8320.3017796224776</v>
      </c>
      <c r="BW183" s="49">
        <f>IF(BW182=1,'Rent Roll'!$F$22*'Rent Roll'!$X$22/12*BW$6,0)</f>
        <v>8320.3017796224776</v>
      </c>
      <c r="BX183" s="49">
        <f>IF(BX182=1,'Rent Roll'!$F$22*'Rent Roll'!$X$22/12*BX$6,0)</f>
        <v>8320.3017796224776</v>
      </c>
    </row>
    <row r="184" spans="1:76" outlineLevel="1">
      <c r="B184" t="s">
        <v>163</v>
      </c>
      <c r="D184" s="49">
        <f>IF(AND(D$4&gt;EOMONTH(CloseDate,'Rent Roll'!$O$22+'Rent Roll'!$S$22-1),D$4&lt;=EOMONTH(CloseDate,'Rent Roll'!$O$22+'Rent Roll'!$S$22-1+'Rent Roll'!$V$22)),-D183,0)</f>
        <v>0</v>
      </c>
      <c r="E184" s="49">
        <f>IF(AND(E$4&gt;EOMONTH(CloseDate,'Rent Roll'!$O$22+'Rent Roll'!$S$22-1),E$4&lt;=EOMONTH(CloseDate,'Rent Roll'!$O$22+'Rent Roll'!$S$22-1+'Rent Roll'!$V$22)),-E183,0)</f>
        <v>0</v>
      </c>
      <c r="F184" s="49">
        <f>IF(AND(F$4&gt;EOMONTH(CloseDate,'Rent Roll'!$O$22+'Rent Roll'!$S$22-1),F$4&lt;=EOMONTH(CloseDate,'Rent Roll'!$O$22+'Rent Roll'!$S$22-1+'Rent Roll'!$V$22)),-F183,0)</f>
        <v>0</v>
      </c>
      <c r="G184" s="49">
        <f>IF(AND(G$4&gt;EOMONTH(CloseDate,'Rent Roll'!$O$22+'Rent Roll'!$S$22-1),G$4&lt;=EOMONTH(CloseDate,'Rent Roll'!$O$22+'Rent Roll'!$S$22-1+'Rent Roll'!$V$22)),-G183,0)</f>
        <v>0</v>
      </c>
      <c r="H184" s="49">
        <f>IF(AND(H$4&gt;EOMONTH(CloseDate,'Rent Roll'!$O$22+'Rent Roll'!$S$22-1),H$4&lt;=EOMONTH(CloseDate,'Rent Roll'!$O$22+'Rent Roll'!$S$22-1+'Rent Roll'!$V$22)),-H183,0)</f>
        <v>0</v>
      </c>
      <c r="I184" s="49">
        <f>IF(AND(I$4&gt;EOMONTH(CloseDate,'Rent Roll'!$O$22+'Rent Roll'!$S$22-1),I$4&lt;=EOMONTH(CloseDate,'Rent Roll'!$O$22+'Rent Roll'!$S$22-1+'Rent Roll'!$V$22)),-I183,0)</f>
        <v>0</v>
      </c>
      <c r="J184" s="49">
        <f>IF(AND(J$4&gt;EOMONTH(CloseDate,'Rent Roll'!$O$22+'Rent Roll'!$S$22-1),J$4&lt;=EOMONTH(CloseDate,'Rent Roll'!$O$22+'Rent Roll'!$S$22-1+'Rent Roll'!$V$22)),-J183,0)</f>
        <v>0</v>
      </c>
      <c r="K184" s="49">
        <f>IF(AND(K$4&gt;EOMONTH(CloseDate,'Rent Roll'!$O$22+'Rent Roll'!$S$22-1),K$4&lt;=EOMONTH(CloseDate,'Rent Roll'!$O$22+'Rent Roll'!$S$22-1+'Rent Roll'!$V$22)),-K183,0)</f>
        <v>0</v>
      </c>
      <c r="L184" s="49">
        <f>IF(AND(L$4&gt;EOMONTH(CloseDate,'Rent Roll'!$O$22+'Rent Roll'!$S$22-1),L$4&lt;=EOMONTH(CloseDate,'Rent Roll'!$O$22+'Rent Roll'!$S$22-1+'Rent Roll'!$V$22)),-L183,0)</f>
        <v>0</v>
      </c>
      <c r="M184" s="49">
        <f>IF(AND(M$4&gt;EOMONTH(CloseDate,'Rent Roll'!$O$22+'Rent Roll'!$S$22-1),M$4&lt;=EOMONTH(CloseDate,'Rent Roll'!$O$22+'Rent Roll'!$S$22-1+'Rent Roll'!$V$22)),-M183,0)</f>
        <v>0</v>
      </c>
      <c r="N184" s="49">
        <f>IF(AND(N$4&gt;EOMONTH(CloseDate,'Rent Roll'!$O$22+'Rent Roll'!$S$22-1),N$4&lt;=EOMONTH(CloseDate,'Rent Roll'!$O$22+'Rent Roll'!$S$22-1+'Rent Roll'!$V$22)),-N183,0)</f>
        <v>0</v>
      </c>
      <c r="O184" s="49">
        <f>IF(AND(O$4&gt;EOMONTH(CloseDate,'Rent Roll'!$O$22+'Rent Roll'!$S$22-1),O$4&lt;=EOMONTH(CloseDate,'Rent Roll'!$O$22+'Rent Roll'!$S$22-1+'Rent Roll'!$V$22)),-O183,0)</f>
        <v>0</v>
      </c>
      <c r="P184" s="49">
        <f>IF(AND(P$4&gt;EOMONTH(CloseDate,'Rent Roll'!$O$22+'Rent Roll'!$S$22-1),P$4&lt;=EOMONTH(CloseDate,'Rent Roll'!$O$22+'Rent Roll'!$S$22-1+'Rent Roll'!$V$22)),-P183,0)</f>
        <v>0</v>
      </c>
      <c r="Q184" s="49">
        <f>IF(AND(Q$4&gt;EOMONTH(CloseDate,'Rent Roll'!$O$22+'Rent Roll'!$S$22-1),Q$4&lt;=EOMONTH(CloseDate,'Rent Roll'!$O$22+'Rent Roll'!$S$22-1+'Rent Roll'!$V$22)),-Q183,0)</f>
        <v>0</v>
      </c>
      <c r="R184" s="49">
        <f>IF(AND(R$4&gt;EOMONTH(CloseDate,'Rent Roll'!$O$22+'Rent Roll'!$S$22-1),R$4&lt;=EOMONTH(CloseDate,'Rent Roll'!$O$22+'Rent Roll'!$S$22-1+'Rent Roll'!$V$22)),-R183,0)</f>
        <v>0</v>
      </c>
      <c r="S184" s="49">
        <f>IF(AND(S$4&gt;EOMONTH(CloseDate,'Rent Roll'!$O$22+'Rent Roll'!$S$22-1),S$4&lt;=EOMONTH(CloseDate,'Rent Roll'!$O$22+'Rent Roll'!$S$22-1+'Rent Roll'!$V$22)),-S183,0)</f>
        <v>0</v>
      </c>
      <c r="T184" s="49">
        <f>IF(AND(T$4&gt;EOMONTH(CloseDate,'Rent Roll'!$O$22+'Rent Roll'!$S$22-1),T$4&lt;=EOMONTH(CloseDate,'Rent Roll'!$O$22+'Rent Roll'!$S$22-1+'Rent Roll'!$V$22)),-T183,0)</f>
        <v>0</v>
      </c>
      <c r="U184" s="49">
        <f>IF(AND(U$4&gt;EOMONTH(CloseDate,'Rent Roll'!$O$22+'Rent Roll'!$S$22-1),U$4&lt;=EOMONTH(CloseDate,'Rent Roll'!$O$22+'Rent Roll'!$S$22-1+'Rent Roll'!$V$22)),-U183,0)</f>
        <v>0</v>
      </c>
      <c r="V184" s="49">
        <f>IF(AND(V$4&gt;EOMONTH(CloseDate,'Rent Roll'!$O$22+'Rent Roll'!$S$22-1),V$4&lt;=EOMONTH(CloseDate,'Rent Roll'!$O$22+'Rent Roll'!$S$22-1+'Rent Roll'!$V$22)),-V183,0)</f>
        <v>0</v>
      </c>
      <c r="W184" s="49">
        <f>IF(AND(W$4&gt;EOMONTH(CloseDate,'Rent Roll'!$O$22+'Rent Roll'!$S$22-1),W$4&lt;=EOMONTH(CloseDate,'Rent Roll'!$O$22+'Rent Roll'!$S$22-1+'Rent Roll'!$V$22)),-W183,0)</f>
        <v>0</v>
      </c>
      <c r="X184" s="49">
        <f>IF(AND(X$4&gt;EOMONTH(CloseDate,'Rent Roll'!$O$22+'Rent Roll'!$S$22-1),X$4&lt;=EOMONTH(CloseDate,'Rent Roll'!$O$22+'Rent Roll'!$S$22-1+'Rent Roll'!$V$22)),-X183,0)</f>
        <v>0</v>
      </c>
      <c r="Y184" s="49">
        <f>IF(AND(Y$4&gt;EOMONTH(CloseDate,'Rent Roll'!$O$22+'Rent Roll'!$S$22-1),Y$4&lt;=EOMONTH(CloseDate,'Rent Roll'!$O$22+'Rent Roll'!$S$22-1+'Rent Roll'!$V$22)),-Y183,0)</f>
        <v>0</v>
      </c>
      <c r="Z184" s="49">
        <f>IF(AND(Z$4&gt;EOMONTH(CloseDate,'Rent Roll'!$O$22+'Rent Roll'!$S$22-1),Z$4&lt;=EOMONTH(CloseDate,'Rent Roll'!$O$22+'Rent Roll'!$S$22-1+'Rent Roll'!$V$22)),-Z183,0)</f>
        <v>0</v>
      </c>
      <c r="AA184" s="49">
        <f>IF(AND(AA$4&gt;EOMONTH(CloseDate,'Rent Roll'!$O$22+'Rent Roll'!$S$22-1),AA$4&lt;=EOMONTH(CloseDate,'Rent Roll'!$O$22+'Rent Roll'!$S$22-1+'Rent Roll'!$V$22)),-AA183,0)</f>
        <v>0</v>
      </c>
      <c r="AB184" s="49">
        <f>IF(AND(AB$4&gt;EOMONTH(CloseDate,'Rent Roll'!$O$22+'Rent Roll'!$S$22-1),AB$4&lt;=EOMONTH(CloseDate,'Rent Roll'!$O$22+'Rent Roll'!$S$22-1+'Rent Roll'!$V$22)),-AB183,0)</f>
        <v>0</v>
      </c>
      <c r="AC184" s="49">
        <f>IF(AND(AC$4&gt;EOMONTH(CloseDate,'Rent Roll'!$O$22+'Rent Roll'!$S$22-1),AC$4&lt;=EOMONTH(CloseDate,'Rent Roll'!$O$22+'Rent Roll'!$S$22-1+'Rent Roll'!$V$22)),-AC183,0)</f>
        <v>0</v>
      </c>
      <c r="AD184" s="49">
        <f>IF(AND(AD$4&gt;EOMONTH(CloseDate,'Rent Roll'!$O$22+'Rent Roll'!$S$22-1),AD$4&lt;=EOMONTH(CloseDate,'Rent Roll'!$O$22+'Rent Roll'!$S$22-1+'Rent Roll'!$V$22)),-AD183,0)</f>
        <v>0</v>
      </c>
      <c r="AE184" s="49">
        <f>IF(AND(AE$4&gt;EOMONTH(CloseDate,'Rent Roll'!$O$22+'Rent Roll'!$S$22-1),AE$4&lt;=EOMONTH(CloseDate,'Rent Roll'!$O$22+'Rent Roll'!$S$22-1+'Rent Roll'!$V$22)),-AE183,0)</f>
        <v>0</v>
      </c>
      <c r="AF184" s="49">
        <f>IF(AND(AF$4&gt;EOMONTH(CloseDate,'Rent Roll'!$O$22+'Rent Roll'!$S$22-1),AF$4&lt;=EOMONTH(CloseDate,'Rent Roll'!$O$22+'Rent Roll'!$S$22-1+'Rent Roll'!$V$22)),-AF183,0)</f>
        <v>0</v>
      </c>
      <c r="AG184" s="49">
        <f>IF(AND(AG$4&gt;EOMONTH(CloseDate,'Rent Roll'!$O$22+'Rent Roll'!$S$22-1),AG$4&lt;=EOMONTH(CloseDate,'Rent Roll'!$O$22+'Rent Roll'!$S$22-1+'Rent Roll'!$V$22)),-AG183,0)</f>
        <v>0</v>
      </c>
      <c r="AH184" s="49">
        <f>IF(AND(AH$4&gt;EOMONTH(CloseDate,'Rent Roll'!$O$22+'Rent Roll'!$S$22-1),AH$4&lt;=EOMONTH(CloseDate,'Rent Roll'!$O$22+'Rent Roll'!$S$22-1+'Rent Roll'!$V$22)),-AH183,0)</f>
        <v>0</v>
      </c>
      <c r="AI184" s="49">
        <f>IF(AND(AI$4&gt;EOMONTH(CloseDate,'Rent Roll'!$O$22+'Rent Roll'!$S$22-1),AI$4&lt;=EOMONTH(CloseDate,'Rent Roll'!$O$22+'Rent Roll'!$S$22-1+'Rent Roll'!$V$22)),-AI183,0)</f>
        <v>0</v>
      </c>
      <c r="AJ184" s="49">
        <f>IF(AND(AJ$4&gt;EOMONTH(CloseDate,'Rent Roll'!$O$22+'Rent Roll'!$S$22-1),AJ$4&lt;=EOMONTH(CloseDate,'Rent Roll'!$O$22+'Rent Roll'!$S$22-1+'Rent Roll'!$V$22)),-AJ183,0)</f>
        <v>0</v>
      </c>
      <c r="AK184" s="49">
        <f>IF(AND(AK$4&gt;EOMONTH(CloseDate,'Rent Roll'!$O$22+'Rent Roll'!$S$22-1),AK$4&lt;=EOMONTH(CloseDate,'Rent Roll'!$O$22+'Rent Roll'!$S$22-1+'Rent Roll'!$V$22)),-AK183,0)</f>
        <v>0</v>
      </c>
      <c r="AL184" s="49">
        <f>IF(AND(AL$4&gt;EOMONTH(CloseDate,'Rent Roll'!$O$22+'Rent Roll'!$S$22-1),AL$4&lt;=EOMONTH(CloseDate,'Rent Roll'!$O$22+'Rent Roll'!$S$22-1+'Rent Roll'!$V$22)),-AL183,0)</f>
        <v>0</v>
      </c>
      <c r="AM184" s="49">
        <f>IF(AND(AM$4&gt;EOMONTH(CloseDate,'Rent Roll'!$O$22+'Rent Roll'!$S$22-1),AM$4&lt;=EOMONTH(CloseDate,'Rent Roll'!$O$22+'Rent Roll'!$S$22-1+'Rent Roll'!$V$22)),-AM183,0)</f>
        <v>0</v>
      </c>
      <c r="AN184" s="49">
        <f>IF(AND(AN$4&gt;EOMONTH(CloseDate,'Rent Roll'!$O$22+'Rent Roll'!$S$22-1),AN$4&lt;=EOMONTH(CloseDate,'Rent Roll'!$O$22+'Rent Roll'!$S$22-1+'Rent Roll'!$V$22)),-AN183,0)</f>
        <v>0</v>
      </c>
      <c r="AO184" s="49">
        <f>IF(AND(AO$4&gt;EOMONTH(CloseDate,'Rent Roll'!$O$22+'Rent Roll'!$S$22-1),AO$4&lt;=EOMONTH(CloseDate,'Rent Roll'!$O$22+'Rent Roll'!$S$22-1+'Rent Roll'!$V$22)),-AO183,0)</f>
        <v>0</v>
      </c>
      <c r="AP184" s="49">
        <f>IF(AND(AP$4&gt;EOMONTH(CloseDate,'Rent Roll'!$O$22+'Rent Roll'!$S$22-1),AP$4&lt;=EOMONTH(CloseDate,'Rent Roll'!$O$22+'Rent Roll'!$S$22-1+'Rent Roll'!$V$22)),-AP183,0)</f>
        <v>0</v>
      </c>
      <c r="AQ184" s="49">
        <f>IF(AND(AQ$4&gt;EOMONTH(CloseDate,'Rent Roll'!$O$22+'Rent Roll'!$S$22-1),AQ$4&lt;=EOMONTH(CloseDate,'Rent Roll'!$O$22+'Rent Roll'!$S$22-1+'Rent Roll'!$V$22)),-AQ183,0)</f>
        <v>0</v>
      </c>
      <c r="AR184" s="49">
        <f>IF(AND(AR$4&gt;EOMONTH(CloseDate,'Rent Roll'!$O$22+'Rent Roll'!$S$22-1),AR$4&lt;=EOMONTH(CloseDate,'Rent Roll'!$O$22+'Rent Roll'!$S$22-1+'Rent Roll'!$V$22)),-AR183,0)</f>
        <v>0</v>
      </c>
      <c r="AS184" s="49">
        <f>IF(AND(AS$4&gt;EOMONTH(CloseDate,'Rent Roll'!$O$22+'Rent Roll'!$S$22-1),AS$4&lt;=EOMONTH(CloseDate,'Rent Roll'!$O$22+'Rent Roll'!$S$22-1+'Rent Roll'!$V$22)),-AS183,0)</f>
        <v>0</v>
      </c>
      <c r="AT184" s="49">
        <f>IF(AND(AT$4&gt;EOMONTH(CloseDate,'Rent Roll'!$O$22+'Rent Roll'!$S$22-1),AT$4&lt;=EOMONTH(CloseDate,'Rent Roll'!$O$22+'Rent Roll'!$S$22-1+'Rent Roll'!$V$22)),-AT183,0)</f>
        <v>0</v>
      </c>
      <c r="AU184" s="49">
        <f>IF(AND(AU$4&gt;EOMONTH(CloseDate,'Rent Roll'!$O$22+'Rent Roll'!$S$22-1),AU$4&lt;=EOMONTH(CloseDate,'Rent Roll'!$O$22+'Rent Roll'!$S$22-1+'Rent Roll'!$V$22)),-AU183,0)</f>
        <v>0</v>
      </c>
      <c r="AV184" s="49">
        <f>IF(AND(AV$4&gt;EOMONTH(CloseDate,'Rent Roll'!$O$22+'Rent Roll'!$S$22-1),AV$4&lt;=EOMONTH(CloseDate,'Rent Roll'!$O$22+'Rent Roll'!$S$22-1+'Rent Roll'!$V$22)),-AV183,0)</f>
        <v>0</v>
      </c>
      <c r="AW184" s="49">
        <f>IF(AND(AW$4&gt;EOMONTH(CloseDate,'Rent Roll'!$O$22+'Rent Roll'!$S$22-1),AW$4&lt;=EOMONTH(CloseDate,'Rent Roll'!$O$22+'Rent Roll'!$S$22-1+'Rent Roll'!$V$22)),-AW183,0)</f>
        <v>-7888.5683238277115</v>
      </c>
      <c r="AX184" s="49">
        <f>IF(AND(AX$4&gt;EOMONTH(CloseDate,'Rent Roll'!$O$22+'Rent Roll'!$S$22-1),AX$4&lt;=EOMONTH(CloseDate,'Rent Roll'!$O$22+'Rent Roll'!$S$22-1+'Rent Roll'!$V$22)),-AX183,0)</f>
        <v>-7888.5683238277115</v>
      </c>
      <c r="AY184" s="49">
        <f>IF(AND(AY$4&gt;EOMONTH(CloseDate,'Rent Roll'!$O$22+'Rent Roll'!$S$22-1),AY$4&lt;=EOMONTH(CloseDate,'Rent Roll'!$O$22+'Rent Roll'!$S$22-1+'Rent Roll'!$V$22)),-AY183,0)</f>
        <v>0</v>
      </c>
      <c r="AZ184" s="49">
        <f>IF(AND(AZ$4&gt;EOMONTH(CloseDate,'Rent Roll'!$O$22+'Rent Roll'!$S$22-1),AZ$4&lt;=EOMONTH(CloseDate,'Rent Roll'!$O$22+'Rent Roll'!$S$22-1+'Rent Roll'!$V$22)),-AZ183,0)</f>
        <v>0</v>
      </c>
      <c r="BA184" s="49">
        <f>IF(AND(BA$4&gt;EOMONTH(CloseDate,'Rent Roll'!$O$22+'Rent Roll'!$S$22-1),BA$4&lt;=EOMONTH(CloseDate,'Rent Roll'!$O$22+'Rent Roll'!$S$22-1+'Rent Roll'!$V$22)),-BA183,0)</f>
        <v>0</v>
      </c>
      <c r="BB184" s="49">
        <f>IF(AND(BB$4&gt;EOMONTH(CloseDate,'Rent Roll'!$O$22+'Rent Roll'!$S$22-1),BB$4&lt;=EOMONTH(CloseDate,'Rent Roll'!$O$22+'Rent Roll'!$S$22-1+'Rent Roll'!$V$22)),-BB183,0)</f>
        <v>0</v>
      </c>
      <c r="BC184" s="49">
        <f>IF(AND(BC$4&gt;EOMONTH(CloseDate,'Rent Roll'!$O$22+'Rent Roll'!$S$22-1),BC$4&lt;=EOMONTH(CloseDate,'Rent Roll'!$O$22+'Rent Roll'!$S$22-1+'Rent Roll'!$V$22)),-BC183,0)</f>
        <v>0</v>
      </c>
      <c r="BD184" s="49">
        <f>IF(AND(BD$4&gt;EOMONTH(CloseDate,'Rent Roll'!$O$22+'Rent Roll'!$S$22-1),BD$4&lt;=EOMONTH(CloseDate,'Rent Roll'!$O$22+'Rent Roll'!$S$22-1+'Rent Roll'!$V$22)),-BD183,0)</f>
        <v>0</v>
      </c>
      <c r="BE184" s="49">
        <f>IF(AND(BE$4&gt;EOMONTH(CloseDate,'Rent Roll'!$O$22+'Rent Roll'!$S$22-1),BE$4&lt;=EOMONTH(CloseDate,'Rent Roll'!$O$22+'Rent Roll'!$S$22-1+'Rent Roll'!$V$22)),-BE183,0)</f>
        <v>0</v>
      </c>
      <c r="BF184" s="49">
        <f>IF(AND(BF$4&gt;EOMONTH(CloseDate,'Rent Roll'!$O$22+'Rent Roll'!$S$22-1),BF$4&lt;=EOMONTH(CloseDate,'Rent Roll'!$O$22+'Rent Roll'!$S$22-1+'Rent Roll'!$V$22)),-BF183,0)</f>
        <v>0</v>
      </c>
      <c r="BG184" s="49">
        <f>IF(AND(BG$4&gt;EOMONTH(CloseDate,'Rent Roll'!$O$22+'Rent Roll'!$S$22-1),BG$4&lt;=EOMONTH(CloseDate,'Rent Roll'!$O$22+'Rent Roll'!$S$22-1+'Rent Roll'!$V$22)),-BG183,0)</f>
        <v>0</v>
      </c>
      <c r="BH184" s="49">
        <f>IF(AND(BH$4&gt;EOMONTH(CloseDate,'Rent Roll'!$O$22+'Rent Roll'!$S$22-1),BH$4&lt;=EOMONTH(CloseDate,'Rent Roll'!$O$22+'Rent Roll'!$S$22-1+'Rent Roll'!$V$22)),-BH183,0)</f>
        <v>0</v>
      </c>
      <c r="BI184" s="49">
        <f>IF(AND(BI$4&gt;EOMONTH(CloseDate,'Rent Roll'!$O$22+'Rent Roll'!$S$22-1),BI$4&lt;=EOMONTH(CloseDate,'Rent Roll'!$O$22+'Rent Roll'!$S$22-1+'Rent Roll'!$V$22)),-BI183,0)</f>
        <v>0</v>
      </c>
      <c r="BJ184" s="49">
        <f>IF(AND(BJ$4&gt;EOMONTH(CloseDate,'Rent Roll'!$O$22+'Rent Roll'!$S$22-1),BJ$4&lt;=EOMONTH(CloseDate,'Rent Roll'!$O$22+'Rent Roll'!$S$22-1+'Rent Roll'!$V$22)),-BJ183,0)</f>
        <v>0</v>
      </c>
      <c r="BK184" s="49">
        <f>IF(AND(BK$4&gt;EOMONTH(CloseDate,'Rent Roll'!$O$22+'Rent Roll'!$S$22-1),BK$4&lt;=EOMONTH(CloseDate,'Rent Roll'!$O$22+'Rent Roll'!$S$22-1+'Rent Roll'!$V$22)),-BK183,0)</f>
        <v>0</v>
      </c>
      <c r="BL184" s="49">
        <f>IF(AND(BL$4&gt;EOMONTH(CloseDate,'Rent Roll'!$O$22+'Rent Roll'!$S$22-1),BL$4&lt;=EOMONTH(CloseDate,'Rent Roll'!$O$22+'Rent Roll'!$S$22-1+'Rent Roll'!$V$22)),-BL183,0)</f>
        <v>0</v>
      </c>
      <c r="BM184" s="49">
        <f>IF(AND(BM$4&gt;EOMONTH(CloseDate,'Rent Roll'!$O$22+'Rent Roll'!$S$22-1),BM$4&lt;=EOMONTH(CloseDate,'Rent Roll'!$O$22+'Rent Roll'!$S$22-1+'Rent Roll'!$V$22)),-BM183,0)</f>
        <v>0</v>
      </c>
      <c r="BN184" s="49">
        <f>IF(AND(BN$4&gt;EOMONTH(CloseDate,'Rent Roll'!$O$22+'Rent Roll'!$S$22-1),BN$4&lt;=EOMONTH(CloseDate,'Rent Roll'!$O$22+'Rent Roll'!$S$22-1+'Rent Roll'!$V$22)),-BN183,0)</f>
        <v>0</v>
      </c>
      <c r="BO184" s="49">
        <f>IF(AND(BO$4&gt;EOMONTH(CloseDate,'Rent Roll'!$O$22+'Rent Roll'!$S$22-1),BO$4&lt;=EOMONTH(CloseDate,'Rent Roll'!$O$22+'Rent Roll'!$S$22-1+'Rent Roll'!$V$22)),-BO183,0)</f>
        <v>0</v>
      </c>
      <c r="BP184" s="49">
        <f>IF(AND(BP$4&gt;EOMONTH(CloseDate,'Rent Roll'!$O$22+'Rent Roll'!$S$22-1),BP$4&lt;=EOMONTH(CloseDate,'Rent Roll'!$O$22+'Rent Roll'!$S$22-1+'Rent Roll'!$V$22)),-BP183,0)</f>
        <v>0</v>
      </c>
      <c r="BQ184" s="49">
        <f>IF(AND(BQ$4&gt;EOMONTH(CloseDate,'Rent Roll'!$O$22+'Rent Roll'!$S$22-1),BQ$4&lt;=EOMONTH(CloseDate,'Rent Roll'!$O$22+'Rent Roll'!$S$22-1+'Rent Roll'!$V$22)),-BQ183,0)</f>
        <v>0</v>
      </c>
      <c r="BR184" s="49">
        <f>IF(AND(BR$4&gt;EOMONTH(CloseDate,'Rent Roll'!$O$22+'Rent Roll'!$S$22-1),BR$4&lt;=EOMONTH(CloseDate,'Rent Roll'!$O$22+'Rent Roll'!$S$22-1+'Rent Roll'!$V$22)),-BR183,0)</f>
        <v>0</v>
      </c>
      <c r="BS184" s="49">
        <f>IF(AND(BS$4&gt;EOMONTH(CloseDate,'Rent Roll'!$O$22+'Rent Roll'!$S$22-1),BS$4&lt;=EOMONTH(CloseDate,'Rent Roll'!$O$22+'Rent Roll'!$S$22-1+'Rent Roll'!$V$22)),-BS183,0)</f>
        <v>0</v>
      </c>
      <c r="BT184" s="49">
        <f>IF(AND(BT$4&gt;EOMONTH(CloseDate,'Rent Roll'!$O$22+'Rent Roll'!$S$22-1),BT$4&lt;=EOMONTH(CloseDate,'Rent Roll'!$O$22+'Rent Roll'!$S$22-1+'Rent Roll'!$V$22)),-BT183,0)</f>
        <v>0</v>
      </c>
      <c r="BU184" s="49">
        <f>IF(AND(BU$4&gt;EOMONTH(CloseDate,'Rent Roll'!$O$22+'Rent Roll'!$S$22-1),BU$4&lt;=EOMONTH(CloseDate,'Rent Roll'!$O$22+'Rent Roll'!$S$22-1+'Rent Roll'!$V$22)),-BU183,0)</f>
        <v>0</v>
      </c>
      <c r="BV184" s="49">
        <f>IF(AND(BV$4&gt;EOMONTH(CloseDate,'Rent Roll'!$O$22+'Rent Roll'!$S$22-1),BV$4&lt;=EOMONTH(CloseDate,'Rent Roll'!$O$22+'Rent Roll'!$S$22-1+'Rent Roll'!$V$22)),-BV183,0)</f>
        <v>0</v>
      </c>
      <c r="BW184" s="49">
        <f>IF(AND(BW$4&gt;EOMONTH(CloseDate,'Rent Roll'!$O$22+'Rent Roll'!$S$22-1),BW$4&lt;=EOMONTH(CloseDate,'Rent Roll'!$O$22+'Rent Roll'!$S$22-1+'Rent Roll'!$V$22)),-BW183,0)</f>
        <v>0</v>
      </c>
      <c r="BX184" s="49">
        <f>IF(AND(BX$4&gt;EOMONTH(CloseDate,'Rent Roll'!$O$22+'Rent Roll'!$S$22-1),BX$4&lt;=EOMONTH(CloseDate,'Rent Roll'!$O$22+'Rent Roll'!$S$22-1+'Rent Roll'!$V$22)),-BX183,0)</f>
        <v>0</v>
      </c>
    </row>
    <row r="185" spans="1:76" outlineLevel="1">
      <c r="B185" t="s">
        <v>84</v>
      </c>
      <c r="D185" s="49">
        <f>D181+D183+D184</f>
        <v>6197.916666666667</v>
      </c>
      <c r="E185" s="49">
        <f t="shared" ref="E185:BJ185" si="65">E181+E183+E184</f>
        <v>6197.916666666667</v>
      </c>
      <c r="F185" s="49">
        <f t="shared" si="65"/>
        <v>6197.916666666667</v>
      </c>
      <c r="G185" s="49">
        <f t="shared" si="65"/>
        <v>6197.916666666667</v>
      </c>
      <c r="H185" s="49">
        <f t="shared" si="65"/>
        <v>6383.854166666667</v>
      </c>
      <c r="I185" s="49">
        <f t="shared" si="65"/>
        <v>6575.369791666667</v>
      </c>
      <c r="J185" s="49">
        <f t="shared" si="65"/>
        <v>6575.369791666667</v>
      </c>
      <c r="K185" s="49">
        <f t="shared" si="65"/>
        <v>6575.369791666667</v>
      </c>
      <c r="L185" s="49">
        <f t="shared" si="65"/>
        <v>6575.369791666667</v>
      </c>
      <c r="M185" s="49">
        <f t="shared" si="65"/>
        <v>6575.369791666667</v>
      </c>
      <c r="N185" s="49">
        <f t="shared" si="65"/>
        <v>6575.369791666667</v>
      </c>
      <c r="O185" s="49">
        <f t="shared" si="65"/>
        <v>6575.369791666667</v>
      </c>
      <c r="P185" s="49">
        <f t="shared" si="65"/>
        <v>6575.369791666667</v>
      </c>
      <c r="Q185" s="49">
        <f t="shared" si="65"/>
        <v>6575.369791666667</v>
      </c>
      <c r="R185" s="49">
        <f t="shared" si="65"/>
        <v>6575.369791666667</v>
      </c>
      <c r="S185" s="49">
        <f t="shared" si="65"/>
        <v>6575.369791666667</v>
      </c>
      <c r="T185" s="49">
        <f t="shared" si="65"/>
        <v>6575.369791666667</v>
      </c>
      <c r="U185" s="49">
        <f t="shared" si="65"/>
        <v>6772.6308854166673</v>
      </c>
      <c r="V185" s="49">
        <f t="shared" si="65"/>
        <v>6772.6308854166673</v>
      </c>
      <c r="W185" s="49">
        <f t="shared" si="65"/>
        <v>6772.6308854166673</v>
      </c>
      <c r="X185" s="49">
        <f t="shared" si="65"/>
        <v>6772.6308854166673</v>
      </c>
      <c r="Y185" s="49">
        <f t="shared" si="65"/>
        <v>6772.6308854166673</v>
      </c>
      <c r="Z185" s="49">
        <f t="shared" si="65"/>
        <v>6772.6308854166673</v>
      </c>
      <c r="AA185" s="49">
        <f t="shared" si="65"/>
        <v>6772.6308854166673</v>
      </c>
      <c r="AB185" s="49">
        <f t="shared" si="65"/>
        <v>6772.6308854166673</v>
      </c>
      <c r="AC185" s="49">
        <f t="shared" si="65"/>
        <v>6772.6308854166673</v>
      </c>
      <c r="AD185" s="49">
        <f t="shared" si="65"/>
        <v>6772.6308854166673</v>
      </c>
      <c r="AE185" s="49">
        <f t="shared" si="65"/>
        <v>6772.6308854166673</v>
      </c>
      <c r="AF185" s="49">
        <f t="shared" si="65"/>
        <v>6772.6308854166673</v>
      </c>
      <c r="AG185" s="49">
        <f t="shared" si="65"/>
        <v>6975.8098119791666</v>
      </c>
      <c r="AH185" s="49">
        <f t="shared" si="65"/>
        <v>6975.8098119791666</v>
      </c>
      <c r="AI185" s="49">
        <f t="shared" si="65"/>
        <v>6975.8098119791666</v>
      </c>
      <c r="AJ185" s="49">
        <f t="shared" si="65"/>
        <v>6975.8098119791666</v>
      </c>
      <c r="AK185" s="49">
        <f t="shared" si="65"/>
        <v>6975.8098119791666</v>
      </c>
      <c r="AL185" s="49">
        <f t="shared" si="65"/>
        <v>6975.8098119791666</v>
      </c>
      <c r="AM185" s="49">
        <f t="shared" si="65"/>
        <v>6975.8098119791666</v>
      </c>
      <c r="AN185" s="49">
        <f t="shared" si="65"/>
        <v>6975.8098119791666</v>
      </c>
      <c r="AO185" s="49">
        <f t="shared" si="65"/>
        <v>6975.8098119791666</v>
      </c>
      <c r="AP185" s="49">
        <f t="shared" si="65"/>
        <v>6975.8098119791666</v>
      </c>
      <c r="AQ185" s="49">
        <f t="shared" si="65"/>
        <v>6975.8098119791666</v>
      </c>
      <c r="AR185" s="49">
        <f t="shared" si="65"/>
        <v>0</v>
      </c>
      <c r="AS185" s="49">
        <f t="shared" si="65"/>
        <v>0</v>
      </c>
      <c r="AT185" s="49">
        <f t="shared" si="65"/>
        <v>0</v>
      </c>
      <c r="AU185" s="49">
        <f t="shared" si="65"/>
        <v>0</v>
      </c>
      <c r="AV185" s="49">
        <f t="shared" si="65"/>
        <v>0</v>
      </c>
      <c r="AW185" s="49">
        <f t="shared" si="65"/>
        <v>0</v>
      </c>
      <c r="AX185" s="49">
        <f t="shared" si="65"/>
        <v>0</v>
      </c>
      <c r="AY185" s="49">
        <f t="shared" si="65"/>
        <v>7888.5683238277115</v>
      </c>
      <c r="AZ185" s="49">
        <f t="shared" si="65"/>
        <v>7888.5683238277115</v>
      </c>
      <c r="BA185" s="49">
        <f t="shared" si="65"/>
        <v>7888.5683238277115</v>
      </c>
      <c r="BB185" s="49">
        <f t="shared" si="65"/>
        <v>7888.5683238277115</v>
      </c>
      <c r="BC185" s="49">
        <f t="shared" si="65"/>
        <v>7888.5683238277115</v>
      </c>
      <c r="BD185" s="49">
        <f t="shared" si="65"/>
        <v>7888.5683238277115</v>
      </c>
      <c r="BE185" s="49">
        <f t="shared" si="65"/>
        <v>8101.5596685710598</v>
      </c>
      <c r="BF185" s="49">
        <f t="shared" si="65"/>
        <v>8101.5596685710598</v>
      </c>
      <c r="BG185" s="49">
        <f t="shared" si="65"/>
        <v>8101.5596685710598</v>
      </c>
      <c r="BH185" s="49">
        <f t="shared" si="65"/>
        <v>8101.5596685710598</v>
      </c>
      <c r="BI185" s="49">
        <f t="shared" si="65"/>
        <v>8101.5596685710598</v>
      </c>
      <c r="BJ185" s="49">
        <f t="shared" si="65"/>
        <v>8101.5596685710598</v>
      </c>
      <c r="BK185" s="49">
        <f t="shared" ref="BK185" si="66">BK181+BK183+BK184</f>
        <v>8101.5596685710598</v>
      </c>
      <c r="BL185" s="49">
        <f t="shared" ref="BL185:BX185" si="67">BL181+BL183+BL184</f>
        <v>8101.5596685710598</v>
      </c>
      <c r="BM185" s="49">
        <f t="shared" si="67"/>
        <v>8101.5596685710598</v>
      </c>
      <c r="BN185" s="49">
        <f t="shared" si="67"/>
        <v>8101.5596685710598</v>
      </c>
      <c r="BO185" s="49">
        <f t="shared" si="67"/>
        <v>8101.5596685710598</v>
      </c>
      <c r="BP185" s="49">
        <f t="shared" si="67"/>
        <v>8101.5596685710598</v>
      </c>
      <c r="BQ185" s="49">
        <f t="shared" si="67"/>
        <v>8320.3017796224776</v>
      </c>
      <c r="BR185" s="49">
        <f t="shared" si="67"/>
        <v>8320.3017796224776</v>
      </c>
      <c r="BS185" s="49">
        <f t="shared" si="67"/>
        <v>8320.3017796224776</v>
      </c>
      <c r="BT185" s="49">
        <f t="shared" si="67"/>
        <v>8320.3017796224776</v>
      </c>
      <c r="BU185" s="49">
        <f t="shared" si="67"/>
        <v>8320.3017796224776</v>
      </c>
      <c r="BV185" s="49">
        <f t="shared" si="67"/>
        <v>8320.3017796224776</v>
      </c>
      <c r="BW185" s="49">
        <f t="shared" si="67"/>
        <v>8320.3017796224776</v>
      </c>
      <c r="BX185" s="49">
        <f t="shared" si="67"/>
        <v>8320.3017796224776</v>
      </c>
    </row>
    <row r="186" spans="1:76" outlineLevel="1">
      <c r="B186" t="s">
        <v>85</v>
      </c>
      <c r="D186" s="49">
        <f>IF(OR(D180=1,D182=1),'Rent Roll'!$F$22/BldgSF*ReimbPool/12*D$7,0)</f>
        <v>3053.75</v>
      </c>
      <c r="E186" s="49">
        <f>IF(OR(E180=1,E182=1),'Rent Roll'!$F$22/BldgSF*ReimbPool/12*E$7,0)</f>
        <v>3053.75</v>
      </c>
      <c r="F186" s="49">
        <f>IF(OR(F180=1,F182=1),'Rent Roll'!$F$22/BldgSF*ReimbPool/12*F$7,0)</f>
        <v>3053.75</v>
      </c>
      <c r="G186" s="49">
        <f>IF(OR(G180=1,G182=1),'Rent Roll'!$F$22/BldgSF*ReimbPool/12*G$7,0)</f>
        <v>3053.75</v>
      </c>
      <c r="H186" s="49">
        <f>IF(OR(H180=1,H182=1),'Rent Roll'!$F$22/BldgSF*ReimbPool/12*H$7,0)</f>
        <v>3053.75</v>
      </c>
      <c r="I186" s="49">
        <f>IF(OR(I180=1,I182=1),'Rent Roll'!$F$22/BldgSF*ReimbPool/12*I$7,0)</f>
        <v>3136.2012499999996</v>
      </c>
      <c r="J186" s="49">
        <f>IF(OR(J180=1,J182=1),'Rent Roll'!$F$22/BldgSF*ReimbPool/12*J$7,0)</f>
        <v>3136.2012499999996</v>
      </c>
      <c r="K186" s="49">
        <f>IF(OR(K180=1,K182=1),'Rent Roll'!$F$22/BldgSF*ReimbPool/12*K$7,0)</f>
        <v>3136.2012499999996</v>
      </c>
      <c r="L186" s="49">
        <f>IF(OR(L180=1,L182=1),'Rent Roll'!$F$22/BldgSF*ReimbPool/12*L$7,0)</f>
        <v>3136.2012499999996</v>
      </c>
      <c r="M186" s="49">
        <f>IF(OR(M180=1,M182=1),'Rent Roll'!$F$22/BldgSF*ReimbPool/12*M$7,0)</f>
        <v>3136.2012499999996</v>
      </c>
      <c r="N186" s="49">
        <f>IF(OR(N180=1,N182=1),'Rent Roll'!$F$22/BldgSF*ReimbPool/12*N$7,0)</f>
        <v>3136.2012499999996</v>
      </c>
      <c r="O186" s="49">
        <f>IF(OR(O180=1,O182=1),'Rent Roll'!$F$22/BldgSF*ReimbPool/12*O$7,0)</f>
        <v>3136.2012499999996</v>
      </c>
      <c r="P186" s="49">
        <f>IF(OR(P180=1,P182=1),'Rent Roll'!$F$22/BldgSF*ReimbPool/12*P$7,0)</f>
        <v>3136.2012499999996</v>
      </c>
      <c r="Q186" s="49">
        <f>IF(OR(Q180=1,Q182=1),'Rent Roll'!$F$22/BldgSF*ReimbPool/12*Q$7,0)</f>
        <v>3136.2012499999996</v>
      </c>
      <c r="R186" s="49">
        <f>IF(OR(R180=1,R182=1),'Rent Roll'!$F$22/BldgSF*ReimbPool/12*R$7,0)</f>
        <v>3136.2012499999996</v>
      </c>
      <c r="S186" s="49">
        <f>IF(OR(S180=1,S182=1),'Rent Roll'!$F$22/BldgSF*ReimbPool/12*S$7,0)</f>
        <v>3136.2012499999996</v>
      </c>
      <c r="T186" s="49">
        <f>IF(OR(T180=1,T182=1),'Rent Roll'!$F$22/BldgSF*ReimbPool/12*T$7,0)</f>
        <v>3136.2012499999996</v>
      </c>
      <c r="U186" s="49">
        <f>IF(OR(U180=1,U182=1),'Rent Roll'!$F$22/BldgSF*ReimbPool/12*U$7,0)</f>
        <v>3220.8786837499993</v>
      </c>
      <c r="V186" s="49">
        <f>IF(OR(V180=1,V182=1),'Rent Roll'!$F$22/BldgSF*ReimbPool/12*V$7,0)</f>
        <v>3220.8786837499993</v>
      </c>
      <c r="W186" s="49">
        <f>IF(OR(W180=1,W182=1),'Rent Roll'!$F$22/BldgSF*ReimbPool/12*W$7,0)</f>
        <v>3220.8786837499993</v>
      </c>
      <c r="X186" s="49">
        <f>IF(OR(X180=1,X182=1),'Rent Roll'!$F$22/BldgSF*ReimbPool/12*X$7,0)</f>
        <v>3220.8786837499993</v>
      </c>
      <c r="Y186" s="49">
        <f>IF(OR(Y180=1,Y182=1),'Rent Roll'!$F$22/BldgSF*ReimbPool/12*Y$7,0)</f>
        <v>3220.8786837499993</v>
      </c>
      <c r="Z186" s="49">
        <f>IF(OR(Z180=1,Z182=1),'Rent Roll'!$F$22/BldgSF*ReimbPool/12*Z$7,0)</f>
        <v>3220.8786837499993</v>
      </c>
      <c r="AA186" s="49">
        <f>IF(OR(AA180=1,AA182=1),'Rent Roll'!$F$22/BldgSF*ReimbPool/12*AA$7,0)</f>
        <v>3220.8786837499993</v>
      </c>
      <c r="AB186" s="49">
        <f>IF(OR(AB180=1,AB182=1),'Rent Roll'!$F$22/BldgSF*ReimbPool/12*AB$7,0)</f>
        <v>3220.8786837499993</v>
      </c>
      <c r="AC186" s="49">
        <f>IF(OR(AC180=1,AC182=1),'Rent Roll'!$F$22/BldgSF*ReimbPool/12*AC$7,0)</f>
        <v>3220.8786837499993</v>
      </c>
      <c r="AD186" s="49">
        <f>IF(OR(AD180=1,AD182=1),'Rent Roll'!$F$22/BldgSF*ReimbPool/12*AD$7,0)</f>
        <v>3220.8786837499993</v>
      </c>
      <c r="AE186" s="49">
        <f>IF(OR(AE180=1,AE182=1),'Rent Roll'!$F$22/BldgSF*ReimbPool/12*AE$7,0)</f>
        <v>3220.8786837499993</v>
      </c>
      <c r="AF186" s="49">
        <f>IF(OR(AF180=1,AF182=1),'Rent Roll'!$F$22/BldgSF*ReimbPool/12*AF$7,0)</f>
        <v>3220.8786837499993</v>
      </c>
      <c r="AG186" s="49">
        <f>IF(OR(AG180=1,AG182=1),'Rent Roll'!$F$22/BldgSF*ReimbPool/12*AG$7,0)</f>
        <v>3307.8424082112492</v>
      </c>
      <c r="AH186" s="49">
        <f>IF(OR(AH180=1,AH182=1),'Rent Roll'!$F$22/BldgSF*ReimbPool/12*AH$7,0)</f>
        <v>3307.8424082112492</v>
      </c>
      <c r="AI186" s="49">
        <f>IF(OR(AI180=1,AI182=1),'Rent Roll'!$F$22/BldgSF*ReimbPool/12*AI$7,0)</f>
        <v>3307.8424082112492</v>
      </c>
      <c r="AJ186" s="49">
        <f>IF(OR(AJ180=1,AJ182=1),'Rent Roll'!$F$22/BldgSF*ReimbPool/12*AJ$7,0)</f>
        <v>3307.8424082112492</v>
      </c>
      <c r="AK186" s="49">
        <f>IF(OR(AK180=1,AK182=1),'Rent Roll'!$F$22/BldgSF*ReimbPool/12*AK$7,0)</f>
        <v>3307.8424082112492</v>
      </c>
      <c r="AL186" s="49">
        <f>IF(OR(AL180=1,AL182=1),'Rent Roll'!$F$22/BldgSF*ReimbPool/12*AL$7,0)</f>
        <v>3307.8424082112492</v>
      </c>
      <c r="AM186" s="49">
        <f>IF(OR(AM180=1,AM182=1),'Rent Roll'!$F$22/BldgSF*ReimbPool/12*AM$7,0)</f>
        <v>3307.8424082112492</v>
      </c>
      <c r="AN186" s="49">
        <f>IF(OR(AN180=1,AN182=1),'Rent Roll'!$F$22/BldgSF*ReimbPool/12*AN$7,0)</f>
        <v>3307.8424082112492</v>
      </c>
      <c r="AO186" s="49">
        <f>IF(OR(AO180=1,AO182=1),'Rent Roll'!$F$22/BldgSF*ReimbPool/12*AO$7,0)</f>
        <v>3307.8424082112492</v>
      </c>
      <c r="AP186" s="49">
        <f>IF(OR(AP180=1,AP182=1),'Rent Roll'!$F$22/BldgSF*ReimbPool/12*AP$7,0)</f>
        <v>3307.8424082112492</v>
      </c>
      <c r="AQ186" s="49">
        <f>IF(OR(AQ180=1,AQ182=1),'Rent Roll'!$F$22/BldgSF*ReimbPool/12*AQ$7,0)</f>
        <v>3307.8424082112492</v>
      </c>
      <c r="AR186" s="49">
        <f>IF(OR(AR180=1,AR182=1),'Rent Roll'!$F$22/BldgSF*ReimbPool/12*AR$7,0)</f>
        <v>0</v>
      </c>
      <c r="AS186" s="49">
        <f>IF(OR(AS180=1,AS182=1),'Rent Roll'!$F$22/BldgSF*ReimbPool/12*AS$7,0)</f>
        <v>0</v>
      </c>
      <c r="AT186" s="49">
        <f>IF(OR(AT180=1,AT182=1),'Rent Roll'!$F$22/BldgSF*ReimbPool/12*AT$7,0)</f>
        <v>0</v>
      </c>
      <c r="AU186" s="49">
        <f>IF(OR(AU180=1,AU182=1),'Rent Roll'!$F$22/BldgSF*ReimbPool/12*AU$7,0)</f>
        <v>0</v>
      </c>
      <c r="AV186" s="49">
        <f>IF(OR(AV180=1,AV182=1),'Rent Roll'!$F$22/BldgSF*ReimbPool/12*AV$7,0)</f>
        <v>0</v>
      </c>
      <c r="AW186" s="49">
        <f>IF(OR(AW180=1,AW182=1),'Rent Roll'!$F$22/BldgSF*ReimbPool/12*AW$7,0)</f>
        <v>3397.1541532329525</v>
      </c>
      <c r="AX186" s="49">
        <f>IF(OR(AX180=1,AX182=1),'Rent Roll'!$F$22/BldgSF*ReimbPool/12*AX$7,0)</f>
        <v>3397.1541532329525</v>
      </c>
      <c r="AY186" s="49">
        <f>IF(OR(AY180=1,AY182=1),'Rent Roll'!$F$22/BldgSF*ReimbPool/12*AY$7,0)</f>
        <v>3397.1541532329525</v>
      </c>
      <c r="AZ186" s="49">
        <f>IF(OR(AZ180=1,AZ182=1),'Rent Roll'!$F$22/BldgSF*ReimbPool/12*AZ$7,0)</f>
        <v>3397.1541532329525</v>
      </c>
      <c r="BA186" s="49">
        <f>IF(OR(BA180=1,BA182=1),'Rent Roll'!$F$22/BldgSF*ReimbPool/12*BA$7,0)</f>
        <v>3397.1541532329525</v>
      </c>
      <c r="BB186" s="49">
        <f>IF(OR(BB180=1,BB182=1),'Rent Roll'!$F$22/BldgSF*ReimbPool/12*BB$7,0)</f>
        <v>3397.1541532329525</v>
      </c>
      <c r="BC186" s="49">
        <f>IF(OR(BC180=1,BC182=1),'Rent Roll'!$F$22/BldgSF*ReimbPool/12*BC$7,0)</f>
        <v>3397.1541532329525</v>
      </c>
      <c r="BD186" s="49">
        <f>IF(OR(BD180=1,BD182=1),'Rent Roll'!$F$22/BldgSF*ReimbPool/12*BD$7,0)</f>
        <v>3397.1541532329525</v>
      </c>
      <c r="BE186" s="49">
        <f>IF(OR(BE180=1,BE182=1),'Rent Roll'!$F$22/BldgSF*ReimbPool/12*BE$7,0)</f>
        <v>3488.8773153702418</v>
      </c>
      <c r="BF186" s="49">
        <f>IF(OR(BF180=1,BF182=1),'Rent Roll'!$F$22/BldgSF*ReimbPool/12*BF$7,0)</f>
        <v>3488.8773153702418</v>
      </c>
      <c r="BG186" s="49">
        <f>IF(OR(BG180=1,BG182=1),'Rent Roll'!$F$22/BldgSF*ReimbPool/12*BG$7,0)</f>
        <v>3488.8773153702418</v>
      </c>
      <c r="BH186" s="49">
        <f>IF(OR(BH180=1,BH182=1),'Rent Roll'!$F$22/BldgSF*ReimbPool/12*BH$7,0)</f>
        <v>3488.8773153702418</v>
      </c>
      <c r="BI186" s="49">
        <f>IF(OR(BI180=1,BI182=1),'Rent Roll'!$F$22/BldgSF*ReimbPool/12*BI$7,0)</f>
        <v>3488.8773153702418</v>
      </c>
      <c r="BJ186" s="49">
        <f>IF(OR(BJ180=1,BJ182=1),'Rent Roll'!$F$22/BldgSF*ReimbPool/12*BJ$7,0)</f>
        <v>3488.8773153702418</v>
      </c>
      <c r="BK186" s="49">
        <f>IF(OR(BK180=1,BK182=1),'Rent Roll'!$F$22/BldgSF*ReimbPool/12*BK$7,0)</f>
        <v>3488.8773153702418</v>
      </c>
      <c r="BL186" s="49">
        <f>IF(OR(BL180=1,BL182=1),'Rent Roll'!$F$22/BldgSF*ReimbPool/12*BL$7,0)</f>
        <v>3488.8773153702418</v>
      </c>
      <c r="BM186" s="49">
        <f>IF(OR(BM180=1,BM182=1),'Rent Roll'!$F$22/BldgSF*ReimbPool/12*BM$7,0)</f>
        <v>3488.8773153702418</v>
      </c>
      <c r="BN186" s="49">
        <f>IF(OR(BN180=1,BN182=1),'Rent Roll'!$F$22/BldgSF*ReimbPool/12*BN$7,0)</f>
        <v>3488.8773153702418</v>
      </c>
      <c r="BO186" s="49">
        <f>IF(OR(BO180=1,BO182=1),'Rent Roll'!$F$22/BldgSF*ReimbPool/12*BO$7,0)</f>
        <v>3488.8773153702418</v>
      </c>
      <c r="BP186" s="49">
        <f>IF(OR(BP180=1,BP182=1),'Rent Roll'!$F$22/BldgSF*ReimbPool/12*BP$7,0)</f>
        <v>3488.8773153702418</v>
      </c>
      <c r="BQ186" s="49">
        <f>IF(OR(BQ180=1,BQ182=1),'Rent Roll'!$F$22/BldgSF*ReimbPool/12*BQ$7,0)</f>
        <v>3583.077002885238</v>
      </c>
      <c r="BR186" s="49">
        <f>IF(OR(BR180=1,BR182=1),'Rent Roll'!$F$22/BldgSF*ReimbPool/12*BR$7,0)</f>
        <v>3583.077002885238</v>
      </c>
      <c r="BS186" s="49">
        <f>IF(OR(BS180=1,BS182=1),'Rent Roll'!$F$22/BldgSF*ReimbPool/12*BS$7,0)</f>
        <v>3583.077002885238</v>
      </c>
      <c r="BT186" s="49">
        <f>IF(OR(BT180=1,BT182=1),'Rent Roll'!$F$22/BldgSF*ReimbPool/12*BT$7,0)</f>
        <v>3583.077002885238</v>
      </c>
      <c r="BU186" s="49">
        <f>IF(OR(BU180=1,BU182=1),'Rent Roll'!$F$22/BldgSF*ReimbPool/12*BU$7,0)</f>
        <v>3583.077002885238</v>
      </c>
      <c r="BV186" s="49">
        <f>IF(OR(BV180=1,BV182=1),'Rent Roll'!$F$22/BldgSF*ReimbPool/12*BV$7,0)</f>
        <v>3583.077002885238</v>
      </c>
      <c r="BW186" s="49">
        <f>IF(OR(BW180=1,BW182=1),'Rent Roll'!$F$22/BldgSF*ReimbPool/12*BW$7,0)</f>
        <v>3583.077002885238</v>
      </c>
      <c r="BX186" s="49">
        <f>IF(OR(BX180=1,BX182=1),'Rent Roll'!$F$22/BldgSF*ReimbPool/12*BX$7,0)</f>
        <v>3583.077002885238</v>
      </c>
    </row>
    <row r="187" spans="1:76">
      <c r="B187" t="s">
        <v>86</v>
      </c>
      <c r="D187" s="49">
        <f>IF(D$4=EOMONTH(CloseDate,'Rent Roll'!$O$22+'Rent Roll'!$S$22),-'Rent Roll'!$F$22*'Rent Roll'!$T$22,0)</f>
        <v>0</v>
      </c>
      <c r="E187" s="49">
        <f>IF(E$4=EOMONTH(CloseDate,'Rent Roll'!$O$22+'Rent Roll'!$S$22),-'Rent Roll'!$F$22*'Rent Roll'!$T$22,0)</f>
        <v>0</v>
      </c>
      <c r="F187" s="49">
        <f>IF(F$4=EOMONTH(CloseDate,'Rent Roll'!$O$22+'Rent Roll'!$S$22),-'Rent Roll'!$F$22*'Rent Roll'!$T$22,0)</f>
        <v>0</v>
      </c>
      <c r="G187" s="49">
        <f>IF(G$4=EOMONTH(CloseDate,'Rent Roll'!$O$22+'Rent Roll'!$S$22),-'Rent Roll'!$F$22*'Rent Roll'!$T$22,0)</f>
        <v>0</v>
      </c>
      <c r="H187" s="49">
        <f>IF(H$4=EOMONTH(CloseDate,'Rent Roll'!$O$22+'Rent Roll'!$S$22),-'Rent Roll'!$F$22*'Rent Roll'!$T$22,0)</f>
        <v>0</v>
      </c>
      <c r="I187" s="49">
        <f>IF(I$4=EOMONTH(CloseDate,'Rent Roll'!$O$22+'Rent Roll'!$S$22),-'Rent Roll'!$F$22*'Rent Roll'!$T$22,0)</f>
        <v>0</v>
      </c>
      <c r="J187" s="49">
        <f>IF(J$4=EOMONTH(CloseDate,'Rent Roll'!$O$22+'Rent Roll'!$S$22),-'Rent Roll'!$F$22*'Rent Roll'!$T$22,0)</f>
        <v>0</v>
      </c>
      <c r="K187" s="49">
        <f>IF(K$4=EOMONTH(CloseDate,'Rent Roll'!$O$22+'Rent Roll'!$S$22),-'Rent Roll'!$F$22*'Rent Roll'!$T$22,0)</f>
        <v>0</v>
      </c>
      <c r="L187" s="49">
        <f>IF(L$4=EOMONTH(CloseDate,'Rent Roll'!$O$22+'Rent Roll'!$S$22),-'Rent Roll'!$F$22*'Rent Roll'!$T$22,0)</f>
        <v>0</v>
      </c>
      <c r="M187" s="49">
        <f>IF(M$4=EOMONTH(CloseDate,'Rent Roll'!$O$22+'Rent Roll'!$S$22),-'Rent Roll'!$F$22*'Rent Roll'!$T$22,0)</f>
        <v>0</v>
      </c>
      <c r="N187" s="49">
        <f>IF(N$4=EOMONTH(CloseDate,'Rent Roll'!$O$22+'Rent Roll'!$S$22),-'Rent Roll'!$F$22*'Rent Roll'!$T$22,0)</f>
        <v>0</v>
      </c>
      <c r="O187" s="49">
        <f>IF(O$4=EOMONTH(CloseDate,'Rent Roll'!$O$22+'Rent Roll'!$S$22),-'Rent Roll'!$F$22*'Rent Roll'!$T$22,0)</f>
        <v>0</v>
      </c>
      <c r="P187" s="49">
        <f>IF(P$4=EOMONTH(CloseDate,'Rent Roll'!$O$22+'Rent Roll'!$S$22),-'Rent Roll'!$F$22*'Rent Roll'!$T$22,0)</f>
        <v>0</v>
      </c>
      <c r="Q187" s="49">
        <f>IF(Q$4=EOMONTH(CloseDate,'Rent Roll'!$O$22+'Rent Roll'!$S$22),-'Rent Roll'!$F$22*'Rent Roll'!$T$22,0)</f>
        <v>0</v>
      </c>
      <c r="R187" s="49">
        <f>IF(R$4=EOMONTH(CloseDate,'Rent Roll'!$O$22+'Rent Roll'!$S$22),-'Rent Roll'!$F$22*'Rent Roll'!$T$22,0)</f>
        <v>0</v>
      </c>
      <c r="S187" s="49">
        <f>IF(S$4=EOMONTH(CloseDate,'Rent Roll'!$O$22+'Rent Roll'!$S$22),-'Rent Roll'!$F$22*'Rent Roll'!$T$22,0)</f>
        <v>0</v>
      </c>
      <c r="T187" s="49">
        <f>IF(T$4=EOMONTH(CloseDate,'Rent Roll'!$O$22+'Rent Roll'!$S$22),-'Rent Roll'!$F$22*'Rent Roll'!$T$22,0)</f>
        <v>0</v>
      </c>
      <c r="U187" s="49">
        <f>IF(U$4=EOMONTH(CloseDate,'Rent Roll'!$O$22+'Rent Roll'!$S$22),-'Rent Roll'!$F$22*'Rent Roll'!$T$22,0)</f>
        <v>0</v>
      </c>
      <c r="V187" s="49">
        <f>IF(V$4=EOMONTH(CloseDate,'Rent Roll'!$O$22+'Rent Roll'!$S$22),-'Rent Roll'!$F$22*'Rent Roll'!$T$22,0)</f>
        <v>0</v>
      </c>
      <c r="W187" s="49">
        <f>IF(W$4=EOMONTH(CloseDate,'Rent Roll'!$O$22+'Rent Roll'!$S$22),-'Rent Roll'!$F$22*'Rent Roll'!$T$22,0)</f>
        <v>0</v>
      </c>
      <c r="X187" s="49">
        <f>IF(X$4=EOMONTH(CloseDate,'Rent Roll'!$O$22+'Rent Roll'!$S$22),-'Rent Roll'!$F$22*'Rent Roll'!$T$22,0)</f>
        <v>0</v>
      </c>
      <c r="Y187" s="49">
        <f>IF(Y$4=EOMONTH(CloseDate,'Rent Roll'!$O$22+'Rent Roll'!$S$22),-'Rent Roll'!$F$22*'Rent Roll'!$T$22,0)</f>
        <v>0</v>
      </c>
      <c r="Z187" s="49">
        <f>IF(Z$4=EOMONTH(CloseDate,'Rent Roll'!$O$22+'Rent Roll'!$S$22),-'Rent Roll'!$F$22*'Rent Roll'!$T$22,0)</f>
        <v>0</v>
      </c>
      <c r="AA187" s="49">
        <f>IF(AA$4=EOMONTH(CloseDate,'Rent Roll'!$O$22+'Rent Roll'!$S$22),-'Rent Roll'!$F$22*'Rent Roll'!$T$22,0)</f>
        <v>0</v>
      </c>
      <c r="AB187" s="49">
        <f>IF(AB$4=EOMONTH(CloseDate,'Rent Roll'!$O$22+'Rent Roll'!$S$22),-'Rent Roll'!$F$22*'Rent Roll'!$T$22,0)</f>
        <v>0</v>
      </c>
      <c r="AC187" s="49">
        <f>IF(AC$4=EOMONTH(CloseDate,'Rent Roll'!$O$22+'Rent Roll'!$S$22),-'Rent Roll'!$F$22*'Rent Roll'!$T$22,0)</f>
        <v>0</v>
      </c>
      <c r="AD187" s="49">
        <f>IF(AD$4=EOMONTH(CloseDate,'Rent Roll'!$O$22+'Rent Roll'!$S$22),-'Rent Roll'!$F$22*'Rent Roll'!$T$22,0)</f>
        <v>0</v>
      </c>
      <c r="AE187" s="49">
        <f>IF(AE$4=EOMONTH(CloseDate,'Rent Roll'!$O$22+'Rent Roll'!$S$22),-'Rent Roll'!$F$22*'Rent Roll'!$T$22,0)</f>
        <v>0</v>
      </c>
      <c r="AF187" s="49">
        <f>IF(AF$4=EOMONTH(CloseDate,'Rent Roll'!$O$22+'Rent Roll'!$S$22),-'Rent Roll'!$F$22*'Rent Roll'!$T$22,0)</f>
        <v>0</v>
      </c>
      <c r="AG187" s="49">
        <f>IF(AG$4=EOMONTH(CloseDate,'Rent Roll'!$O$22+'Rent Roll'!$S$22),-'Rent Roll'!$F$22*'Rent Roll'!$T$22,0)</f>
        <v>0</v>
      </c>
      <c r="AH187" s="49">
        <f>IF(AH$4=EOMONTH(CloseDate,'Rent Roll'!$O$22+'Rent Roll'!$S$22),-'Rent Roll'!$F$22*'Rent Roll'!$T$22,0)</f>
        <v>0</v>
      </c>
      <c r="AI187" s="49">
        <f>IF(AI$4=EOMONTH(CloseDate,'Rent Roll'!$O$22+'Rent Roll'!$S$22),-'Rent Roll'!$F$22*'Rent Roll'!$T$22,0)</f>
        <v>0</v>
      </c>
      <c r="AJ187" s="49">
        <f>IF(AJ$4=EOMONTH(CloseDate,'Rent Roll'!$O$22+'Rent Roll'!$S$22),-'Rent Roll'!$F$22*'Rent Roll'!$T$22,0)</f>
        <v>0</v>
      </c>
      <c r="AK187" s="49">
        <f>IF(AK$4=EOMONTH(CloseDate,'Rent Roll'!$O$22+'Rent Roll'!$S$22),-'Rent Roll'!$F$22*'Rent Roll'!$T$22,0)</f>
        <v>0</v>
      </c>
      <c r="AL187" s="49">
        <f>IF(AL$4=EOMONTH(CloseDate,'Rent Roll'!$O$22+'Rent Roll'!$S$22),-'Rent Roll'!$F$22*'Rent Roll'!$T$22,0)</f>
        <v>0</v>
      </c>
      <c r="AM187" s="49">
        <f>IF(AM$4=EOMONTH(CloseDate,'Rent Roll'!$O$22+'Rent Roll'!$S$22),-'Rent Roll'!$F$22*'Rent Roll'!$T$22,0)</f>
        <v>0</v>
      </c>
      <c r="AN187" s="49">
        <f>IF(AN$4=EOMONTH(CloseDate,'Rent Roll'!$O$22+'Rent Roll'!$S$22),-'Rent Roll'!$F$22*'Rent Roll'!$T$22,0)</f>
        <v>0</v>
      </c>
      <c r="AO187" s="49">
        <f>IF(AO$4=EOMONTH(CloseDate,'Rent Roll'!$O$22+'Rent Roll'!$S$22),-'Rent Roll'!$F$22*'Rent Roll'!$T$22,0)</f>
        <v>0</v>
      </c>
      <c r="AP187" s="49">
        <f>IF(AP$4=EOMONTH(CloseDate,'Rent Roll'!$O$22+'Rent Roll'!$S$22),-'Rent Roll'!$F$22*'Rent Roll'!$T$22,0)</f>
        <v>0</v>
      </c>
      <c r="AQ187" s="49">
        <f>IF(AQ$4=EOMONTH(CloseDate,'Rent Roll'!$O$22+'Rent Roll'!$S$22),-'Rent Roll'!$F$22*'Rent Roll'!$T$22,0)</f>
        <v>0</v>
      </c>
      <c r="AR187" s="49">
        <f>IF(AR$4=EOMONTH(CloseDate,'Rent Roll'!$O$22+'Rent Roll'!$S$22),-'Rent Roll'!$F$22*'Rent Roll'!$T$22,0)</f>
        <v>0</v>
      </c>
      <c r="AS187" s="49">
        <f>IF(AS$4=EOMONTH(CloseDate,'Rent Roll'!$O$22+'Rent Roll'!$S$22),-'Rent Roll'!$F$22*'Rent Roll'!$T$22,0)</f>
        <v>0</v>
      </c>
      <c r="AT187" s="49">
        <f>IF(AT$4=EOMONTH(CloseDate,'Rent Roll'!$O$22+'Rent Roll'!$S$22),-'Rent Roll'!$F$22*'Rent Roll'!$T$22,0)</f>
        <v>0</v>
      </c>
      <c r="AU187" s="49">
        <f>IF(AU$4=EOMONTH(CloseDate,'Rent Roll'!$O$22+'Rent Roll'!$S$22),-'Rent Roll'!$F$22*'Rent Roll'!$T$22,0)</f>
        <v>0</v>
      </c>
      <c r="AV187" s="49">
        <f>IF(AV$4=EOMONTH(CloseDate,'Rent Roll'!$O$22+'Rent Roll'!$S$22),-'Rent Roll'!$F$22*'Rent Roll'!$T$22,0)</f>
        <v>0</v>
      </c>
      <c r="AW187" s="49">
        <f>IF(AW$4=EOMONTH(CloseDate,'Rent Roll'!$O$22+'Rent Roll'!$S$22),-'Rent Roll'!$F$22*'Rent Roll'!$T$22,0)</f>
        <v>-112000</v>
      </c>
      <c r="AX187" s="49">
        <f>IF(AX$4=EOMONTH(CloseDate,'Rent Roll'!$O$22+'Rent Roll'!$S$22),-'Rent Roll'!$F$22*'Rent Roll'!$T$22,0)</f>
        <v>0</v>
      </c>
      <c r="AY187" s="49">
        <f>IF(AY$4=EOMONTH(CloseDate,'Rent Roll'!$O$22+'Rent Roll'!$S$22),-'Rent Roll'!$F$22*'Rent Roll'!$T$22,0)</f>
        <v>0</v>
      </c>
      <c r="AZ187" s="49">
        <f>IF(AZ$4=EOMONTH(CloseDate,'Rent Roll'!$O$22+'Rent Roll'!$S$22),-'Rent Roll'!$F$22*'Rent Roll'!$T$22,0)</f>
        <v>0</v>
      </c>
      <c r="BA187" s="49">
        <f>IF(BA$4=EOMONTH(CloseDate,'Rent Roll'!$O$22+'Rent Roll'!$S$22),-'Rent Roll'!$F$22*'Rent Roll'!$T$22,0)</f>
        <v>0</v>
      </c>
      <c r="BB187" s="49">
        <f>IF(BB$4=EOMONTH(CloseDate,'Rent Roll'!$O$22+'Rent Roll'!$S$22),-'Rent Roll'!$F$22*'Rent Roll'!$T$22,0)</f>
        <v>0</v>
      </c>
      <c r="BC187" s="49">
        <f>IF(BC$4=EOMONTH(CloseDate,'Rent Roll'!$O$22+'Rent Roll'!$S$22),-'Rent Roll'!$F$22*'Rent Roll'!$T$22,0)</f>
        <v>0</v>
      </c>
      <c r="BD187" s="49">
        <f>IF(BD$4=EOMONTH(CloseDate,'Rent Roll'!$O$22+'Rent Roll'!$S$22),-'Rent Roll'!$F$22*'Rent Roll'!$T$22,0)</f>
        <v>0</v>
      </c>
      <c r="BE187" s="49">
        <f>IF(BE$4=EOMONTH(CloseDate,'Rent Roll'!$O$22+'Rent Roll'!$S$22),-'Rent Roll'!$F$22*'Rent Roll'!$T$22,0)</f>
        <v>0</v>
      </c>
      <c r="BF187" s="49">
        <f>IF(BF$4=EOMONTH(CloseDate,'Rent Roll'!$O$22+'Rent Roll'!$S$22),-'Rent Roll'!$F$22*'Rent Roll'!$T$22,0)</f>
        <v>0</v>
      </c>
      <c r="BG187" s="49">
        <f>IF(BG$4=EOMONTH(CloseDate,'Rent Roll'!$O$22+'Rent Roll'!$S$22),-'Rent Roll'!$F$22*'Rent Roll'!$T$22,0)</f>
        <v>0</v>
      </c>
      <c r="BH187" s="49">
        <f>IF(BH$4=EOMONTH(CloseDate,'Rent Roll'!$O$22+'Rent Roll'!$S$22),-'Rent Roll'!$F$22*'Rent Roll'!$T$22,0)</f>
        <v>0</v>
      </c>
      <c r="BI187" s="49">
        <f>IF(BI$4=EOMONTH(CloseDate,'Rent Roll'!$O$22+'Rent Roll'!$S$22),-'Rent Roll'!$F$22*'Rent Roll'!$T$22,0)</f>
        <v>0</v>
      </c>
      <c r="BJ187" s="49">
        <f>IF(BJ$4=EOMONTH(CloseDate,'Rent Roll'!$O$22+'Rent Roll'!$S$22),-'Rent Roll'!$F$22*'Rent Roll'!$T$22,0)</f>
        <v>0</v>
      </c>
      <c r="BK187" s="49">
        <f>IF(BK$4=EOMONTH(CloseDate,'Rent Roll'!$O$22+'Rent Roll'!$S$22),-'Rent Roll'!$F$22*'Rent Roll'!$T$22,0)</f>
        <v>0</v>
      </c>
      <c r="BL187" s="49">
        <f>IF(BL$4=EOMONTH(CloseDate,'Rent Roll'!$O$22+'Rent Roll'!$S$22),-'Rent Roll'!$F$22*'Rent Roll'!$T$22,0)</f>
        <v>0</v>
      </c>
      <c r="BM187" s="49">
        <f>IF(BM$4=EOMONTH(CloseDate,'Rent Roll'!$O$22+'Rent Roll'!$S$22),-'Rent Roll'!$F$22*'Rent Roll'!$T$22,0)</f>
        <v>0</v>
      </c>
      <c r="BN187" s="49">
        <f>IF(BN$4=EOMONTH(CloseDate,'Rent Roll'!$O$22+'Rent Roll'!$S$22),-'Rent Roll'!$F$22*'Rent Roll'!$T$22,0)</f>
        <v>0</v>
      </c>
      <c r="BO187" s="49">
        <f>IF(BO$4=EOMONTH(CloseDate,'Rent Roll'!$O$22+'Rent Roll'!$S$22),-'Rent Roll'!$F$22*'Rent Roll'!$T$22,0)</f>
        <v>0</v>
      </c>
      <c r="BP187" s="49">
        <f>IF(BP$4=EOMONTH(CloseDate,'Rent Roll'!$O$22+'Rent Roll'!$S$22),-'Rent Roll'!$F$22*'Rent Roll'!$T$22,0)</f>
        <v>0</v>
      </c>
      <c r="BQ187" s="49">
        <f>IF(BQ$4=EOMONTH(CloseDate,'Rent Roll'!$O$22+'Rent Roll'!$S$22),-'Rent Roll'!$F$22*'Rent Roll'!$T$22,0)</f>
        <v>0</v>
      </c>
      <c r="BR187" s="49">
        <f>IF(BR$4=EOMONTH(CloseDate,'Rent Roll'!$O$22+'Rent Roll'!$S$22),-'Rent Roll'!$F$22*'Rent Roll'!$T$22,0)</f>
        <v>0</v>
      </c>
      <c r="BS187" s="49">
        <f>IF(BS$4=EOMONTH(CloseDate,'Rent Roll'!$O$22+'Rent Roll'!$S$22),-'Rent Roll'!$F$22*'Rent Roll'!$T$22,0)</f>
        <v>0</v>
      </c>
      <c r="BT187" s="49">
        <f>IF(BT$4=EOMONTH(CloseDate,'Rent Roll'!$O$22+'Rent Roll'!$S$22),-'Rent Roll'!$F$22*'Rent Roll'!$T$22,0)</f>
        <v>0</v>
      </c>
      <c r="BU187" s="49">
        <f>IF(BU$4=EOMONTH(CloseDate,'Rent Roll'!$O$22+'Rent Roll'!$S$22),-'Rent Roll'!$F$22*'Rent Roll'!$T$22,0)</f>
        <v>0</v>
      </c>
      <c r="BV187" s="49">
        <f>IF(BV$4=EOMONTH(CloseDate,'Rent Roll'!$O$22+'Rent Roll'!$S$22),-'Rent Roll'!$F$22*'Rent Roll'!$T$22,0)</f>
        <v>0</v>
      </c>
      <c r="BW187" s="49">
        <f>IF(BW$4=EOMONTH(CloseDate,'Rent Roll'!$O$22+'Rent Roll'!$S$22),-'Rent Roll'!$F$22*'Rent Roll'!$T$22,0)</f>
        <v>0</v>
      </c>
      <c r="BX187" s="49">
        <f>IF(BX$4=EOMONTH(CloseDate,'Rent Roll'!$O$22+'Rent Roll'!$S$22),-'Rent Roll'!$F$22*'Rent Roll'!$T$22,0)</f>
        <v>0</v>
      </c>
    </row>
    <row r="188" spans="1:76">
      <c r="B188" t="s">
        <v>87</v>
      </c>
      <c r="D188" s="49">
        <f>IF(D$4=EOMONTH(CloseDate,'Rent Roll'!$O$22+'Rent Roll'!$S$22),-'Rent Roll'!$U$22*'Rent Roll'!$F$22*'Rent Roll'!$X$22,0)</f>
        <v>0</v>
      </c>
      <c r="E188" s="49">
        <f>IF(E$4=EOMONTH(CloseDate,'Rent Roll'!$O$22+'Rent Roll'!$S$22),-'Rent Roll'!$U$22*'Rent Roll'!$F$22*'Rent Roll'!$X$22,0)</f>
        <v>0</v>
      </c>
      <c r="F188" s="49">
        <f>IF(F$4=EOMONTH(CloseDate,'Rent Roll'!$O$22+'Rent Roll'!$S$22),-'Rent Roll'!$U$22*'Rent Roll'!$F$22*'Rent Roll'!$X$22,0)</f>
        <v>0</v>
      </c>
      <c r="G188" s="49">
        <f>IF(G$4=EOMONTH(CloseDate,'Rent Roll'!$O$22+'Rent Roll'!$S$22),-'Rent Roll'!$U$22*'Rent Roll'!$F$22*'Rent Roll'!$X$22,0)</f>
        <v>0</v>
      </c>
      <c r="H188" s="49">
        <f>IF(H$4=EOMONTH(CloseDate,'Rent Roll'!$O$22+'Rent Roll'!$S$22),-'Rent Roll'!$U$22*'Rent Roll'!$F$22*'Rent Roll'!$X$22,0)</f>
        <v>0</v>
      </c>
      <c r="I188" s="49">
        <f>IF(I$4=EOMONTH(CloseDate,'Rent Roll'!$O$22+'Rent Roll'!$S$22),-'Rent Roll'!$U$22*'Rent Roll'!$F$22*'Rent Roll'!$X$22,0)</f>
        <v>0</v>
      </c>
      <c r="J188" s="49">
        <f>IF(J$4=EOMONTH(CloseDate,'Rent Roll'!$O$22+'Rent Roll'!$S$22),-'Rent Roll'!$U$22*'Rent Roll'!$F$22*'Rent Roll'!$X$22,0)</f>
        <v>0</v>
      </c>
      <c r="K188" s="49">
        <f>IF(K$4=EOMONTH(CloseDate,'Rent Roll'!$O$22+'Rent Roll'!$S$22),-'Rent Roll'!$U$22*'Rent Roll'!$F$22*'Rent Roll'!$X$22,0)</f>
        <v>0</v>
      </c>
      <c r="L188" s="49">
        <f>IF(L$4=EOMONTH(CloseDate,'Rent Roll'!$O$22+'Rent Roll'!$S$22),-'Rent Roll'!$U$22*'Rent Roll'!$F$22*'Rent Roll'!$X$22,0)</f>
        <v>0</v>
      </c>
      <c r="M188" s="49">
        <f>IF(M$4=EOMONTH(CloseDate,'Rent Roll'!$O$22+'Rent Roll'!$S$22),-'Rent Roll'!$U$22*'Rent Roll'!$F$22*'Rent Roll'!$X$22,0)</f>
        <v>0</v>
      </c>
      <c r="N188" s="49">
        <f>IF(N$4=EOMONTH(CloseDate,'Rent Roll'!$O$22+'Rent Roll'!$S$22),-'Rent Roll'!$U$22*'Rent Roll'!$F$22*'Rent Roll'!$X$22,0)</f>
        <v>0</v>
      </c>
      <c r="O188" s="49">
        <f>IF(O$4=EOMONTH(CloseDate,'Rent Roll'!$O$22+'Rent Roll'!$S$22),-'Rent Roll'!$U$22*'Rent Roll'!$F$22*'Rent Roll'!$X$22,0)</f>
        <v>0</v>
      </c>
      <c r="P188" s="49">
        <f>IF(P$4=EOMONTH(CloseDate,'Rent Roll'!$O$22+'Rent Roll'!$S$22),-'Rent Roll'!$U$22*'Rent Roll'!$F$22*'Rent Roll'!$X$22,0)</f>
        <v>0</v>
      </c>
      <c r="Q188" s="49">
        <f>IF(Q$4=EOMONTH(CloseDate,'Rent Roll'!$O$22+'Rent Roll'!$S$22),-'Rent Roll'!$U$22*'Rent Roll'!$F$22*'Rent Roll'!$X$22,0)</f>
        <v>0</v>
      </c>
      <c r="R188" s="49">
        <f>IF(R$4=EOMONTH(CloseDate,'Rent Roll'!$O$22+'Rent Roll'!$S$22),-'Rent Roll'!$U$22*'Rent Roll'!$F$22*'Rent Roll'!$X$22,0)</f>
        <v>0</v>
      </c>
      <c r="S188" s="49">
        <f>IF(S$4=EOMONTH(CloseDate,'Rent Roll'!$O$22+'Rent Roll'!$S$22),-'Rent Roll'!$U$22*'Rent Roll'!$F$22*'Rent Roll'!$X$22,0)</f>
        <v>0</v>
      </c>
      <c r="T188" s="49">
        <f>IF(T$4=EOMONTH(CloseDate,'Rent Roll'!$O$22+'Rent Roll'!$S$22),-'Rent Roll'!$U$22*'Rent Roll'!$F$22*'Rent Roll'!$X$22,0)</f>
        <v>0</v>
      </c>
      <c r="U188" s="49">
        <f>IF(U$4=EOMONTH(CloseDate,'Rent Roll'!$O$22+'Rent Roll'!$S$22),-'Rent Roll'!$U$22*'Rent Roll'!$F$22*'Rent Roll'!$X$22,0)</f>
        <v>0</v>
      </c>
      <c r="V188" s="49">
        <f>IF(V$4=EOMONTH(CloseDate,'Rent Roll'!$O$22+'Rent Roll'!$S$22),-'Rent Roll'!$U$22*'Rent Roll'!$F$22*'Rent Roll'!$X$22,0)</f>
        <v>0</v>
      </c>
      <c r="W188" s="49">
        <f>IF(W$4=EOMONTH(CloseDate,'Rent Roll'!$O$22+'Rent Roll'!$S$22),-'Rent Roll'!$U$22*'Rent Roll'!$F$22*'Rent Roll'!$X$22,0)</f>
        <v>0</v>
      </c>
      <c r="X188" s="49">
        <f>IF(X$4=EOMONTH(CloseDate,'Rent Roll'!$O$22+'Rent Roll'!$S$22),-'Rent Roll'!$U$22*'Rent Roll'!$F$22*'Rent Roll'!$X$22,0)</f>
        <v>0</v>
      </c>
      <c r="Y188" s="49">
        <f>IF(Y$4=EOMONTH(CloseDate,'Rent Roll'!$O$22+'Rent Roll'!$S$22),-'Rent Roll'!$U$22*'Rent Roll'!$F$22*'Rent Roll'!$X$22,0)</f>
        <v>0</v>
      </c>
      <c r="Z188" s="49">
        <f>IF(Z$4=EOMONTH(CloseDate,'Rent Roll'!$O$22+'Rent Roll'!$S$22),-'Rent Roll'!$U$22*'Rent Roll'!$F$22*'Rent Roll'!$X$22,0)</f>
        <v>0</v>
      </c>
      <c r="AA188" s="49">
        <f>IF(AA$4=EOMONTH(CloseDate,'Rent Roll'!$O$22+'Rent Roll'!$S$22),-'Rent Roll'!$U$22*'Rent Roll'!$F$22*'Rent Roll'!$X$22,0)</f>
        <v>0</v>
      </c>
      <c r="AB188" s="49">
        <f>IF(AB$4=EOMONTH(CloseDate,'Rent Roll'!$O$22+'Rent Roll'!$S$22),-'Rent Roll'!$U$22*'Rent Roll'!$F$22*'Rent Roll'!$X$22,0)</f>
        <v>0</v>
      </c>
      <c r="AC188" s="49">
        <f>IF(AC$4=EOMONTH(CloseDate,'Rent Roll'!$O$22+'Rent Roll'!$S$22),-'Rent Roll'!$U$22*'Rent Roll'!$F$22*'Rent Roll'!$X$22,0)</f>
        <v>0</v>
      </c>
      <c r="AD188" s="49">
        <f>IF(AD$4=EOMONTH(CloseDate,'Rent Roll'!$O$22+'Rent Roll'!$S$22),-'Rent Roll'!$U$22*'Rent Roll'!$F$22*'Rent Roll'!$X$22,0)</f>
        <v>0</v>
      </c>
      <c r="AE188" s="49">
        <f>IF(AE$4=EOMONTH(CloseDate,'Rent Roll'!$O$22+'Rent Roll'!$S$22),-'Rent Roll'!$U$22*'Rent Roll'!$F$22*'Rent Roll'!$X$22,0)</f>
        <v>0</v>
      </c>
      <c r="AF188" s="49">
        <f>IF(AF$4=EOMONTH(CloseDate,'Rent Roll'!$O$22+'Rent Roll'!$S$22),-'Rent Roll'!$U$22*'Rent Roll'!$F$22*'Rent Roll'!$X$22,0)</f>
        <v>0</v>
      </c>
      <c r="AG188" s="49">
        <f>IF(AG$4=EOMONTH(CloseDate,'Rent Roll'!$O$22+'Rent Roll'!$S$22),-'Rent Roll'!$U$22*'Rent Roll'!$F$22*'Rent Roll'!$X$22,0)</f>
        <v>0</v>
      </c>
      <c r="AH188" s="49">
        <f>IF(AH$4=EOMONTH(CloseDate,'Rent Roll'!$O$22+'Rent Roll'!$S$22),-'Rent Roll'!$U$22*'Rent Roll'!$F$22*'Rent Roll'!$X$22,0)</f>
        <v>0</v>
      </c>
      <c r="AI188" s="49">
        <f>IF(AI$4=EOMONTH(CloseDate,'Rent Roll'!$O$22+'Rent Roll'!$S$22),-'Rent Roll'!$U$22*'Rent Roll'!$F$22*'Rent Roll'!$X$22,0)</f>
        <v>0</v>
      </c>
      <c r="AJ188" s="49">
        <f>IF(AJ$4=EOMONTH(CloseDate,'Rent Roll'!$O$22+'Rent Roll'!$S$22),-'Rent Roll'!$U$22*'Rent Roll'!$F$22*'Rent Roll'!$X$22,0)</f>
        <v>0</v>
      </c>
      <c r="AK188" s="49">
        <f>IF(AK$4=EOMONTH(CloseDate,'Rent Roll'!$O$22+'Rent Roll'!$S$22),-'Rent Roll'!$U$22*'Rent Roll'!$F$22*'Rent Roll'!$X$22,0)</f>
        <v>0</v>
      </c>
      <c r="AL188" s="49">
        <f>IF(AL$4=EOMONTH(CloseDate,'Rent Roll'!$O$22+'Rent Roll'!$S$22),-'Rent Roll'!$U$22*'Rent Roll'!$F$22*'Rent Roll'!$X$22,0)</f>
        <v>0</v>
      </c>
      <c r="AM188" s="49">
        <f>IF(AM$4=EOMONTH(CloseDate,'Rent Roll'!$O$22+'Rent Roll'!$S$22),-'Rent Roll'!$U$22*'Rent Roll'!$F$22*'Rent Roll'!$X$22,0)</f>
        <v>0</v>
      </c>
      <c r="AN188" s="49">
        <f>IF(AN$4=EOMONTH(CloseDate,'Rent Roll'!$O$22+'Rent Roll'!$S$22),-'Rent Roll'!$U$22*'Rent Roll'!$F$22*'Rent Roll'!$X$22,0)</f>
        <v>0</v>
      </c>
      <c r="AO188" s="49">
        <f>IF(AO$4=EOMONTH(CloseDate,'Rent Roll'!$O$22+'Rent Roll'!$S$22),-'Rent Roll'!$U$22*'Rent Roll'!$F$22*'Rent Roll'!$X$22,0)</f>
        <v>0</v>
      </c>
      <c r="AP188" s="49">
        <f>IF(AP$4=EOMONTH(CloseDate,'Rent Roll'!$O$22+'Rent Roll'!$S$22),-'Rent Roll'!$U$22*'Rent Roll'!$F$22*'Rent Roll'!$X$22,0)</f>
        <v>0</v>
      </c>
      <c r="AQ188" s="49">
        <f>IF(AQ$4=EOMONTH(CloseDate,'Rent Roll'!$O$22+'Rent Roll'!$S$22),-'Rent Roll'!$U$22*'Rent Roll'!$F$22*'Rent Roll'!$X$22,0)</f>
        <v>0</v>
      </c>
      <c r="AR188" s="49">
        <f>IF(AR$4=EOMONTH(CloseDate,'Rent Roll'!$O$22+'Rent Roll'!$S$22),-'Rent Roll'!$U$22*'Rent Roll'!$F$22*'Rent Roll'!$X$22,0)</f>
        <v>0</v>
      </c>
      <c r="AS188" s="49">
        <f>IF(AS$4=EOMONTH(CloseDate,'Rent Roll'!$O$22+'Rent Roll'!$S$22),-'Rent Roll'!$U$22*'Rent Roll'!$F$22*'Rent Roll'!$X$22,0)</f>
        <v>0</v>
      </c>
      <c r="AT188" s="49">
        <f>IF(AT$4=EOMONTH(CloseDate,'Rent Roll'!$O$22+'Rent Roll'!$S$22),-'Rent Roll'!$U$22*'Rent Roll'!$F$22*'Rent Roll'!$X$22,0)</f>
        <v>0</v>
      </c>
      <c r="AU188" s="49">
        <f>IF(AU$4=EOMONTH(CloseDate,'Rent Roll'!$O$22+'Rent Roll'!$S$22),-'Rent Roll'!$U$22*'Rent Roll'!$F$22*'Rent Roll'!$X$22,0)</f>
        <v>0</v>
      </c>
      <c r="AV188" s="49">
        <f>IF(AV$4=EOMONTH(CloseDate,'Rent Roll'!$O$22+'Rent Roll'!$S$22),-'Rent Roll'!$U$22*'Rent Roll'!$F$22*'Rent Roll'!$X$22,0)</f>
        <v>0</v>
      </c>
      <c r="AW188" s="49">
        <f>IF(AW$4=EOMONTH(CloseDate,'Rent Roll'!$O$22+'Rent Roll'!$S$22),-'Rent Roll'!$U$22*'Rent Roll'!$F$22*'Rent Roll'!$X$22,0)</f>
        <v>-5105.6249999999991</v>
      </c>
      <c r="AX188" s="49">
        <f>IF(AX$4=EOMONTH(CloseDate,'Rent Roll'!$O$22+'Rent Roll'!$S$22),-'Rent Roll'!$U$22*'Rent Roll'!$F$22*'Rent Roll'!$X$22,0)</f>
        <v>0</v>
      </c>
      <c r="AY188" s="49">
        <f>IF(AY$4=EOMONTH(CloseDate,'Rent Roll'!$O$22+'Rent Roll'!$S$22),-'Rent Roll'!$U$22*'Rent Roll'!$F$22*'Rent Roll'!$X$22,0)</f>
        <v>0</v>
      </c>
      <c r="AZ188" s="49">
        <f>IF(AZ$4=EOMONTH(CloseDate,'Rent Roll'!$O$22+'Rent Roll'!$S$22),-'Rent Roll'!$U$22*'Rent Roll'!$F$22*'Rent Roll'!$X$22,0)</f>
        <v>0</v>
      </c>
      <c r="BA188" s="49">
        <f>IF(BA$4=EOMONTH(CloseDate,'Rent Roll'!$O$22+'Rent Roll'!$S$22),-'Rent Roll'!$U$22*'Rent Roll'!$F$22*'Rent Roll'!$X$22,0)</f>
        <v>0</v>
      </c>
      <c r="BB188" s="49">
        <f>IF(BB$4=EOMONTH(CloseDate,'Rent Roll'!$O$22+'Rent Roll'!$S$22),-'Rent Roll'!$U$22*'Rent Roll'!$F$22*'Rent Roll'!$X$22,0)</f>
        <v>0</v>
      </c>
      <c r="BC188" s="49">
        <f>IF(BC$4=EOMONTH(CloseDate,'Rent Roll'!$O$22+'Rent Roll'!$S$22),-'Rent Roll'!$U$22*'Rent Roll'!$F$22*'Rent Roll'!$X$22,0)</f>
        <v>0</v>
      </c>
      <c r="BD188" s="49">
        <f>IF(BD$4=EOMONTH(CloseDate,'Rent Roll'!$O$22+'Rent Roll'!$S$22),-'Rent Roll'!$U$22*'Rent Roll'!$F$22*'Rent Roll'!$X$22,0)</f>
        <v>0</v>
      </c>
      <c r="BE188" s="49">
        <f>IF(BE$4=EOMONTH(CloseDate,'Rent Roll'!$O$22+'Rent Roll'!$S$22),-'Rent Roll'!$U$22*'Rent Roll'!$F$22*'Rent Roll'!$X$22,0)</f>
        <v>0</v>
      </c>
      <c r="BF188" s="49">
        <f>IF(BF$4=EOMONTH(CloseDate,'Rent Roll'!$O$22+'Rent Roll'!$S$22),-'Rent Roll'!$U$22*'Rent Roll'!$F$22*'Rent Roll'!$X$22,0)</f>
        <v>0</v>
      </c>
      <c r="BG188" s="49">
        <f>IF(BG$4=EOMONTH(CloseDate,'Rent Roll'!$O$22+'Rent Roll'!$S$22),-'Rent Roll'!$U$22*'Rent Roll'!$F$22*'Rent Roll'!$X$22,0)</f>
        <v>0</v>
      </c>
      <c r="BH188" s="49">
        <f>IF(BH$4=EOMONTH(CloseDate,'Rent Roll'!$O$22+'Rent Roll'!$S$22),-'Rent Roll'!$U$22*'Rent Roll'!$F$22*'Rent Roll'!$X$22,0)</f>
        <v>0</v>
      </c>
      <c r="BI188" s="49">
        <f>IF(BI$4=EOMONTH(CloseDate,'Rent Roll'!$O$22+'Rent Roll'!$S$22),-'Rent Roll'!$U$22*'Rent Roll'!$F$22*'Rent Roll'!$X$22,0)</f>
        <v>0</v>
      </c>
      <c r="BJ188" s="49">
        <f>IF(BJ$4=EOMONTH(CloseDate,'Rent Roll'!$O$22+'Rent Roll'!$S$22),-'Rent Roll'!$U$22*'Rent Roll'!$F$22*'Rent Roll'!$X$22,0)</f>
        <v>0</v>
      </c>
      <c r="BK188" s="49">
        <f>IF(BK$4=EOMONTH(CloseDate,'Rent Roll'!$O$22+'Rent Roll'!$S$22),-'Rent Roll'!$U$22*'Rent Roll'!$F$22*'Rent Roll'!$X$22,0)</f>
        <v>0</v>
      </c>
      <c r="BL188" s="49">
        <f>IF(BL$4=EOMONTH(CloseDate,'Rent Roll'!$O$22+'Rent Roll'!$S$22),-'Rent Roll'!$U$22*'Rent Roll'!$F$22*'Rent Roll'!$X$22,0)</f>
        <v>0</v>
      </c>
      <c r="BM188" s="49">
        <f>IF(BM$4=EOMONTH(CloseDate,'Rent Roll'!$O$22+'Rent Roll'!$S$22),-'Rent Roll'!$U$22*'Rent Roll'!$F$22*'Rent Roll'!$X$22,0)</f>
        <v>0</v>
      </c>
      <c r="BN188" s="49">
        <f>IF(BN$4=EOMONTH(CloseDate,'Rent Roll'!$O$22+'Rent Roll'!$S$22),-'Rent Roll'!$U$22*'Rent Roll'!$F$22*'Rent Roll'!$X$22,0)</f>
        <v>0</v>
      </c>
      <c r="BO188" s="49">
        <f>IF(BO$4=EOMONTH(CloseDate,'Rent Roll'!$O$22+'Rent Roll'!$S$22),-'Rent Roll'!$U$22*'Rent Roll'!$F$22*'Rent Roll'!$X$22,0)</f>
        <v>0</v>
      </c>
      <c r="BP188" s="49">
        <f>IF(BP$4=EOMONTH(CloseDate,'Rent Roll'!$O$22+'Rent Roll'!$S$22),-'Rent Roll'!$U$22*'Rent Roll'!$F$22*'Rent Roll'!$X$22,0)</f>
        <v>0</v>
      </c>
      <c r="BQ188" s="49">
        <f>IF(BQ$4=EOMONTH(CloseDate,'Rent Roll'!$O$22+'Rent Roll'!$S$22),-'Rent Roll'!$U$22*'Rent Roll'!$F$22*'Rent Roll'!$X$22,0)</f>
        <v>0</v>
      </c>
      <c r="BR188" s="49">
        <f>IF(BR$4=EOMONTH(CloseDate,'Rent Roll'!$O$22+'Rent Roll'!$S$22),-'Rent Roll'!$U$22*'Rent Roll'!$F$22*'Rent Roll'!$X$22,0)</f>
        <v>0</v>
      </c>
      <c r="BS188" s="49">
        <f>IF(BS$4=EOMONTH(CloseDate,'Rent Roll'!$O$22+'Rent Roll'!$S$22),-'Rent Roll'!$U$22*'Rent Roll'!$F$22*'Rent Roll'!$X$22,0)</f>
        <v>0</v>
      </c>
      <c r="BT188" s="49">
        <f>IF(BT$4=EOMONTH(CloseDate,'Rent Roll'!$O$22+'Rent Roll'!$S$22),-'Rent Roll'!$U$22*'Rent Roll'!$F$22*'Rent Roll'!$X$22,0)</f>
        <v>0</v>
      </c>
      <c r="BU188" s="49">
        <f>IF(BU$4=EOMONTH(CloseDate,'Rent Roll'!$O$22+'Rent Roll'!$S$22),-'Rent Roll'!$U$22*'Rent Roll'!$F$22*'Rent Roll'!$X$22,0)</f>
        <v>0</v>
      </c>
      <c r="BV188" s="49">
        <f>IF(BV$4=EOMONTH(CloseDate,'Rent Roll'!$O$22+'Rent Roll'!$S$22),-'Rent Roll'!$U$22*'Rent Roll'!$F$22*'Rent Roll'!$X$22,0)</f>
        <v>0</v>
      </c>
      <c r="BW188" s="49">
        <f>IF(BW$4=EOMONTH(CloseDate,'Rent Roll'!$O$22+'Rent Roll'!$S$22),-'Rent Roll'!$U$22*'Rent Roll'!$F$22*'Rent Roll'!$X$22,0)</f>
        <v>0</v>
      </c>
      <c r="BX188" s="49">
        <f>IF(BX$4=EOMONTH(CloseDate,'Rent Roll'!$O$22+'Rent Roll'!$S$22),-'Rent Roll'!$U$22*'Rent Roll'!$F$22*'Rent Roll'!$X$22,0)</f>
        <v>0</v>
      </c>
    </row>
    <row r="189" spans="1:76" outlineLevel="1">
      <c r="A189" s="17" t="str">
        <f>'Rent Roll'!C23</f>
        <v>Horizon Physical Therapy</v>
      </c>
      <c r="B189" s="57">
        <f>INDEX('Rent Roll'!$F$5:$F$46,MATCH('Rent Roll Calc'!A189,'Rent Roll'!$C$5:$C$46,0))</f>
        <v>2500</v>
      </c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  <c r="AA189" s="49"/>
      <c r="AB189" s="49"/>
      <c r="AC189" s="49"/>
      <c r="AD189" s="49"/>
      <c r="AE189" s="49"/>
      <c r="AF189" s="49"/>
      <c r="AG189" s="49"/>
      <c r="AH189" s="49"/>
      <c r="AI189" s="49"/>
      <c r="AJ189" s="49"/>
      <c r="AK189" s="49"/>
      <c r="AL189" s="49"/>
      <c r="AM189" s="49"/>
      <c r="AN189" s="49"/>
      <c r="AO189" s="49"/>
      <c r="AP189" s="49"/>
      <c r="AQ189" s="49"/>
      <c r="AR189" s="49"/>
      <c r="AS189" s="49"/>
      <c r="AT189" s="49"/>
      <c r="AU189" s="49"/>
      <c r="AV189" s="49"/>
      <c r="AW189" s="49"/>
      <c r="AX189" s="49"/>
      <c r="AY189" s="49"/>
      <c r="AZ189" s="49"/>
      <c r="BA189" s="49"/>
      <c r="BB189" s="49"/>
      <c r="BC189" s="49"/>
      <c r="BD189" s="49"/>
      <c r="BE189" s="49"/>
      <c r="BF189" s="49"/>
      <c r="BG189" s="49"/>
      <c r="BH189" s="49"/>
      <c r="BI189" s="49"/>
      <c r="BJ189" s="49"/>
      <c r="BK189" s="49"/>
      <c r="BL189" s="49"/>
      <c r="BM189" s="49"/>
      <c r="BN189" s="49"/>
      <c r="BO189" s="49"/>
      <c r="BP189" s="49"/>
      <c r="BQ189" s="49"/>
      <c r="BR189" s="49"/>
      <c r="BS189" s="49"/>
      <c r="BT189" s="49"/>
      <c r="BU189" s="49"/>
      <c r="BV189" s="49"/>
      <c r="BW189" s="49"/>
      <c r="BX189" s="49"/>
    </row>
    <row r="190" spans="1:76" outlineLevel="1">
      <c r="B190" t="s">
        <v>83</v>
      </c>
      <c r="D190" s="49">
        <f>IF(AND('Rent Roll'!$N$23&lt;&gt;"Ghost",D$4&lt;='Rent Roll'!$L$23),1,0)</f>
        <v>1</v>
      </c>
      <c r="E190" s="49">
        <f>IF(AND('Rent Roll'!$N$23&lt;&gt;"Ghost",E$4&lt;='Rent Roll'!$L$23),1,0)</f>
        <v>1</v>
      </c>
      <c r="F190" s="49">
        <f>IF(AND('Rent Roll'!$N$23&lt;&gt;"Ghost",F$4&lt;='Rent Roll'!$L$23),1,0)</f>
        <v>1</v>
      </c>
      <c r="G190" s="49">
        <f>IF(AND('Rent Roll'!$N$23&lt;&gt;"Ghost",G$4&lt;='Rent Roll'!$L$23),1,0)</f>
        <v>1</v>
      </c>
      <c r="H190" s="49">
        <f>IF(AND('Rent Roll'!$N$23&lt;&gt;"Ghost",H$4&lt;='Rent Roll'!$L$23),1,0)</f>
        <v>1</v>
      </c>
      <c r="I190" s="49">
        <f>IF(AND('Rent Roll'!$N$23&lt;&gt;"Ghost",I$4&lt;='Rent Roll'!$L$23),1,0)</f>
        <v>1</v>
      </c>
      <c r="J190" s="49">
        <f>IF(AND('Rent Roll'!$N$23&lt;&gt;"Ghost",J$4&lt;='Rent Roll'!$L$23),1,0)</f>
        <v>1</v>
      </c>
      <c r="K190" s="49">
        <f>IF(AND('Rent Roll'!$N$23&lt;&gt;"Ghost",K$4&lt;='Rent Roll'!$L$23),1,0)</f>
        <v>1</v>
      </c>
      <c r="L190" s="49">
        <f>IF(AND('Rent Roll'!$N$23&lt;&gt;"Ghost",L$4&lt;='Rent Roll'!$L$23),1,0)</f>
        <v>1</v>
      </c>
      <c r="M190" s="49">
        <f>IF(AND('Rent Roll'!$N$23&lt;&gt;"Ghost",M$4&lt;='Rent Roll'!$L$23),1,0)</f>
        <v>1</v>
      </c>
      <c r="N190" s="49">
        <f>IF(AND('Rent Roll'!$N$23&lt;&gt;"Ghost",N$4&lt;='Rent Roll'!$L$23),1,0)</f>
        <v>1</v>
      </c>
      <c r="O190" s="49">
        <f>IF(AND('Rent Roll'!$N$23&lt;&gt;"Ghost",O$4&lt;='Rent Roll'!$L$23),1,0)</f>
        <v>1</v>
      </c>
      <c r="P190" s="49">
        <f>IF(AND('Rent Roll'!$N$23&lt;&gt;"Ghost",P$4&lt;='Rent Roll'!$L$23),1,0)</f>
        <v>1</v>
      </c>
      <c r="Q190" s="49">
        <f>IF(AND('Rent Roll'!$N$23&lt;&gt;"Ghost",Q$4&lt;='Rent Roll'!$L$23),1,0)</f>
        <v>1</v>
      </c>
      <c r="R190" s="49">
        <f>IF(AND('Rent Roll'!$N$23&lt;&gt;"Ghost",R$4&lt;='Rent Roll'!$L$23),1,0)</f>
        <v>1</v>
      </c>
      <c r="S190" s="49">
        <f>IF(AND('Rent Roll'!$N$23&lt;&gt;"Ghost",S$4&lt;='Rent Roll'!$L$23),1,0)</f>
        <v>1</v>
      </c>
      <c r="T190" s="49">
        <f>IF(AND('Rent Roll'!$N$23&lt;&gt;"Ghost",T$4&lt;='Rent Roll'!$L$23),1,0)</f>
        <v>1</v>
      </c>
      <c r="U190" s="49">
        <f>IF(AND('Rent Roll'!$N$23&lt;&gt;"Ghost",U$4&lt;='Rent Roll'!$L$23),1,0)</f>
        <v>1</v>
      </c>
      <c r="V190" s="49">
        <f>IF(AND('Rent Roll'!$N$23&lt;&gt;"Ghost",V$4&lt;='Rent Roll'!$L$23),1,0)</f>
        <v>0</v>
      </c>
      <c r="W190" s="49">
        <f>IF(AND('Rent Roll'!$N$23&lt;&gt;"Ghost",W$4&lt;='Rent Roll'!$L$23),1,0)</f>
        <v>0</v>
      </c>
      <c r="X190" s="49">
        <f>IF(AND('Rent Roll'!$N$23&lt;&gt;"Ghost",X$4&lt;='Rent Roll'!$L$23),1,0)</f>
        <v>0</v>
      </c>
      <c r="Y190" s="49">
        <f>IF(AND('Rent Roll'!$N$23&lt;&gt;"Ghost",Y$4&lt;='Rent Roll'!$L$23),1,0)</f>
        <v>0</v>
      </c>
      <c r="Z190" s="49">
        <f>IF(AND('Rent Roll'!$N$23&lt;&gt;"Ghost",Z$4&lt;='Rent Roll'!$L$23),1,0)</f>
        <v>0</v>
      </c>
      <c r="AA190" s="49">
        <f>IF(AND('Rent Roll'!$N$23&lt;&gt;"Ghost",AA$4&lt;='Rent Roll'!$L$23),1,0)</f>
        <v>0</v>
      </c>
      <c r="AB190" s="49">
        <f>IF(AND('Rent Roll'!$N$23&lt;&gt;"Ghost",AB$4&lt;='Rent Roll'!$L$23),1,0)</f>
        <v>0</v>
      </c>
      <c r="AC190" s="49">
        <f>IF(AND('Rent Roll'!$N$23&lt;&gt;"Ghost",AC$4&lt;='Rent Roll'!$L$23),1,0)</f>
        <v>0</v>
      </c>
      <c r="AD190" s="49">
        <f>IF(AND('Rent Roll'!$N$23&lt;&gt;"Ghost",AD$4&lt;='Rent Roll'!$L$23),1,0)</f>
        <v>0</v>
      </c>
      <c r="AE190" s="49">
        <f>IF(AND('Rent Roll'!$N$23&lt;&gt;"Ghost",AE$4&lt;='Rent Roll'!$L$23),1,0)</f>
        <v>0</v>
      </c>
      <c r="AF190" s="49">
        <f>IF(AND('Rent Roll'!$N$23&lt;&gt;"Ghost",AF$4&lt;='Rent Roll'!$L$23),1,0)</f>
        <v>0</v>
      </c>
      <c r="AG190" s="49">
        <f>IF(AND('Rent Roll'!$N$23&lt;&gt;"Ghost",AG$4&lt;='Rent Roll'!$L$23),1,0)</f>
        <v>0</v>
      </c>
      <c r="AH190" s="49">
        <f>IF(AND('Rent Roll'!$N$23&lt;&gt;"Ghost",AH$4&lt;='Rent Roll'!$L$23),1,0)</f>
        <v>0</v>
      </c>
      <c r="AI190" s="49">
        <f>IF(AND('Rent Roll'!$N$23&lt;&gt;"Ghost",AI$4&lt;='Rent Roll'!$L$23),1,0)</f>
        <v>0</v>
      </c>
      <c r="AJ190" s="49">
        <f>IF(AND('Rent Roll'!$N$23&lt;&gt;"Ghost",AJ$4&lt;='Rent Roll'!$L$23),1,0)</f>
        <v>0</v>
      </c>
      <c r="AK190" s="49">
        <f>IF(AND('Rent Roll'!$N$23&lt;&gt;"Ghost",AK$4&lt;='Rent Roll'!$L$23),1,0)</f>
        <v>0</v>
      </c>
      <c r="AL190" s="49">
        <f>IF(AND('Rent Roll'!$N$23&lt;&gt;"Ghost",AL$4&lt;='Rent Roll'!$L$23),1,0)</f>
        <v>0</v>
      </c>
      <c r="AM190" s="49">
        <f>IF(AND('Rent Roll'!$N$23&lt;&gt;"Ghost",AM$4&lt;='Rent Roll'!$L$23),1,0)</f>
        <v>0</v>
      </c>
      <c r="AN190" s="49">
        <f>IF(AND('Rent Roll'!$N$23&lt;&gt;"Ghost",AN$4&lt;='Rent Roll'!$L$23),1,0)</f>
        <v>0</v>
      </c>
      <c r="AO190" s="49">
        <f>IF(AND('Rent Roll'!$N$23&lt;&gt;"Ghost",AO$4&lt;='Rent Roll'!$L$23),1,0)</f>
        <v>0</v>
      </c>
      <c r="AP190" s="49">
        <f>IF(AND('Rent Roll'!$N$23&lt;&gt;"Ghost",AP$4&lt;='Rent Roll'!$L$23),1,0)</f>
        <v>0</v>
      </c>
      <c r="AQ190" s="49">
        <f>IF(AND('Rent Roll'!$N$23&lt;&gt;"Ghost",AQ$4&lt;='Rent Roll'!$L$23),1,0)</f>
        <v>0</v>
      </c>
      <c r="AR190" s="49">
        <f>IF(AND('Rent Roll'!$N$23&lt;&gt;"Ghost",AR$4&lt;='Rent Roll'!$L$23),1,0)</f>
        <v>0</v>
      </c>
      <c r="AS190" s="49">
        <f>IF(AND('Rent Roll'!$N$23&lt;&gt;"Ghost",AS$4&lt;='Rent Roll'!$L$23),1,0)</f>
        <v>0</v>
      </c>
      <c r="AT190" s="49">
        <f>IF(AND('Rent Roll'!$N$23&lt;&gt;"Ghost",AT$4&lt;='Rent Roll'!$L$23),1,0)</f>
        <v>0</v>
      </c>
      <c r="AU190" s="49">
        <f>IF(AND('Rent Roll'!$N$23&lt;&gt;"Ghost",AU$4&lt;='Rent Roll'!$L$23),1,0)</f>
        <v>0</v>
      </c>
      <c r="AV190" s="49">
        <f>IF(AND('Rent Roll'!$N$23&lt;&gt;"Ghost",AV$4&lt;='Rent Roll'!$L$23),1,0)</f>
        <v>0</v>
      </c>
      <c r="AW190" s="49">
        <f>IF(AND('Rent Roll'!$N$23&lt;&gt;"Ghost",AW$4&lt;='Rent Roll'!$L$23),1,0)</f>
        <v>0</v>
      </c>
      <c r="AX190" s="49">
        <f>IF(AND('Rent Roll'!$N$23&lt;&gt;"Ghost",AX$4&lt;='Rent Roll'!$L$23),1,0)</f>
        <v>0</v>
      </c>
      <c r="AY190" s="49">
        <f>IF(AND('Rent Roll'!$N$23&lt;&gt;"Ghost",AY$4&lt;='Rent Roll'!$L$23),1,0)</f>
        <v>0</v>
      </c>
      <c r="AZ190" s="49">
        <f>IF(AND('Rent Roll'!$N$23&lt;&gt;"Ghost",AZ$4&lt;='Rent Roll'!$L$23),1,0)</f>
        <v>0</v>
      </c>
      <c r="BA190" s="49">
        <f>IF(AND('Rent Roll'!$N$23&lt;&gt;"Ghost",BA$4&lt;='Rent Roll'!$L$23),1,0)</f>
        <v>0</v>
      </c>
      <c r="BB190" s="49">
        <f>IF(AND('Rent Roll'!$N$23&lt;&gt;"Ghost",BB$4&lt;='Rent Roll'!$L$23),1,0)</f>
        <v>0</v>
      </c>
      <c r="BC190" s="49">
        <f>IF(AND('Rent Roll'!$N$23&lt;&gt;"Ghost",BC$4&lt;='Rent Roll'!$L$23),1,0)</f>
        <v>0</v>
      </c>
      <c r="BD190" s="49">
        <f>IF(AND('Rent Roll'!$N$23&lt;&gt;"Ghost",BD$4&lt;='Rent Roll'!$L$23),1,0)</f>
        <v>0</v>
      </c>
      <c r="BE190" s="49">
        <f>IF(AND('Rent Roll'!$N$23&lt;&gt;"Ghost",BE$4&lt;='Rent Roll'!$L$23),1,0)</f>
        <v>0</v>
      </c>
      <c r="BF190" s="49">
        <f>IF(AND('Rent Roll'!$N$23&lt;&gt;"Ghost",BF$4&lt;='Rent Roll'!$L$23),1,0)</f>
        <v>0</v>
      </c>
      <c r="BG190" s="49">
        <f>IF(AND('Rent Roll'!$N$23&lt;&gt;"Ghost",BG$4&lt;='Rent Roll'!$L$23),1,0)</f>
        <v>0</v>
      </c>
      <c r="BH190" s="49">
        <f>IF(AND('Rent Roll'!$N$23&lt;&gt;"Ghost",BH$4&lt;='Rent Roll'!$L$23),1,0)</f>
        <v>0</v>
      </c>
      <c r="BI190" s="49">
        <f>IF(AND('Rent Roll'!$N$23&lt;&gt;"Ghost",BI$4&lt;='Rent Roll'!$L$23),1,0)</f>
        <v>0</v>
      </c>
      <c r="BJ190" s="49">
        <f>IF(AND('Rent Roll'!$N$23&lt;&gt;"Ghost",BJ$4&lt;='Rent Roll'!$L$23),1,0)</f>
        <v>0</v>
      </c>
      <c r="BK190" s="49">
        <f>IF(AND('Rent Roll'!$N$23&lt;&gt;"Ghost",BK$4&lt;='Rent Roll'!$L$23),1,0)</f>
        <v>0</v>
      </c>
      <c r="BL190" s="49">
        <f>IF(AND('Rent Roll'!$N$23&lt;&gt;"Ghost",BL$4&lt;='Rent Roll'!$L$23),1,0)</f>
        <v>0</v>
      </c>
      <c r="BM190" s="49">
        <f>IF(AND('Rent Roll'!$N$23&lt;&gt;"Ghost",BM$4&lt;='Rent Roll'!$L$23),1,0)</f>
        <v>0</v>
      </c>
      <c r="BN190" s="49">
        <f>IF(AND('Rent Roll'!$N$23&lt;&gt;"Ghost",BN$4&lt;='Rent Roll'!$L$23),1,0)</f>
        <v>0</v>
      </c>
      <c r="BO190" s="49">
        <f>IF(AND('Rent Roll'!$N$23&lt;&gt;"Ghost",BO$4&lt;='Rent Roll'!$L$23),1,0)</f>
        <v>0</v>
      </c>
      <c r="BP190" s="49">
        <f>IF(AND('Rent Roll'!$N$23&lt;&gt;"Ghost",BP$4&lt;='Rent Roll'!$L$23),1,0)</f>
        <v>0</v>
      </c>
      <c r="BQ190" s="49">
        <f>IF(AND('Rent Roll'!$N$23&lt;&gt;"Ghost",BQ$4&lt;='Rent Roll'!$L$23),1,0)</f>
        <v>0</v>
      </c>
      <c r="BR190" s="49">
        <f>IF(AND('Rent Roll'!$N$23&lt;&gt;"Ghost",BR$4&lt;='Rent Roll'!$L$23),1,0)</f>
        <v>0</v>
      </c>
      <c r="BS190" s="49">
        <f>IF(AND('Rent Roll'!$N$23&lt;&gt;"Ghost",BS$4&lt;='Rent Roll'!$L$23),1,0)</f>
        <v>0</v>
      </c>
      <c r="BT190" s="49">
        <f>IF(AND('Rent Roll'!$N$23&lt;&gt;"Ghost",BT$4&lt;='Rent Roll'!$L$23),1,0)</f>
        <v>0</v>
      </c>
      <c r="BU190" s="49">
        <f>IF(AND('Rent Roll'!$N$23&lt;&gt;"Ghost",BU$4&lt;='Rent Roll'!$L$23),1,0)</f>
        <v>0</v>
      </c>
      <c r="BV190" s="49">
        <f>IF(AND('Rent Roll'!$N$23&lt;&gt;"Ghost",BV$4&lt;='Rent Roll'!$L$23),1,0)</f>
        <v>0</v>
      </c>
      <c r="BW190" s="49">
        <f>IF(AND('Rent Roll'!$N$23&lt;&gt;"Ghost",BW$4&lt;='Rent Roll'!$L$23),1,0)</f>
        <v>0</v>
      </c>
      <c r="BX190" s="49">
        <f>IF(AND('Rent Roll'!$N$23&lt;&gt;"Ghost",BX$4&lt;='Rent Roll'!$L$23),1,0)</f>
        <v>0</v>
      </c>
    </row>
    <row r="191" spans="1:76" outlineLevel="1">
      <c r="B191" t="s">
        <v>159</v>
      </c>
      <c r="D191" s="49">
        <f>IF(D190=1,'Rent Roll'!$H$23/12*(1+'Rent Roll'!$I$23)^IF(D$4&lt;'Rent Roll'!$Y$23,0,YEAR(D$4)-YEAR('Rent Roll'!$Y$23)+1),0)</f>
        <v>3854.1666666666665</v>
      </c>
      <c r="E191" s="49">
        <f>IF(E190=1,'Rent Roll'!$H$23/12*(1+'Rent Roll'!$I$23)^IF(E$4&lt;'Rent Roll'!$Y$23,0,YEAR(E$4)-YEAR('Rent Roll'!$Y$23)+1),0)</f>
        <v>3854.1666666666665</v>
      </c>
      <c r="F191" s="49">
        <f>IF(F190=1,'Rent Roll'!$H$23/12*(1+'Rent Roll'!$I$23)^IF(F$4&lt;'Rent Roll'!$Y$23,0,YEAR(F$4)-YEAR('Rent Roll'!$Y$23)+1),0)</f>
        <v>3854.1666666666665</v>
      </c>
      <c r="G191" s="49">
        <f>IF(G190=1,'Rent Roll'!$H$23/12*(1+'Rent Roll'!$I$23)^IF(G$4&lt;'Rent Roll'!$Y$23,0,YEAR(G$4)-YEAR('Rent Roll'!$Y$23)+1),0)</f>
        <v>3854.1666666666665</v>
      </c>
      <c r="H191" s="49">
        <f>IF(H190=1,'Rent Roll'!$H$23/12*(1+'Rent Roll'!$I$23)^IF(H$4&lt;'Rent Roll'!$Y$23,0,YEAR(H$4)-YEAR('Rent Roll'!$Y$23)+1),0)</f>
        <v>3854.1666666666665</v>
      </c>
      <c r="I191" s="49">
        <f>IF(I190=1,'Rent Roll'!$H$23/12*(1+'Rent Roll'!$I$23)^IF(I$4&lt;'Rent Roll'!$Y$23,0,YEAR(I$4)-YEAR('Rent Roll'!$Y$23)+1),0)</f>
        <v>3854.1666666666665</v>
      </c>
      <c r="J191" s="49">
        <f>IF(J190=1,'Rent Roll'!$H$23/12*(1+'Rent Roll'!$I$23)^IF(J$4&lt;'Rent Roll'!$Y$23,0,YEAR(J$4)-YEAR('Rent Roll'!$Y$23)+1),0)</f>
        <v>3854.1666666666665</v>
      </c>
      <c r="K191" s="49">
        <f>IF(K190=1,'Rent Roll'!$H$23/12*(1+'Rent Roll'!$I$23)^IF(K$4&lt;'Rent Roll'!$Y$23,0,YEAR(K$4)-YEAR('Rent Roll'!$Y$23)+1),0)</f>
        <v>3931.25</v>
      </c>
      <c r="L191" s="49">
        <f>IF(L190=1,'Rent Roll'!$H$23/12*(1+'Rent Roll'!$I$23)^IF(L$4&lt;'Rent Roll'!$Y$23,0,YEAR(L$4)-YEAR('Rent Roll'!$Y$23)+1),0)</f>
        <v>3931.25</v>
      </c>
      <c r="M191" s="49">
        <f>IF(M190=1,'Rent Roll'!$H$23/12*(1+'Rent Roll'!$I$23)^IF(M$4&lt;'Rent Roll'!$Y$23,0,YEAR(M$4)-YEAR('Rent Roll'!$Y$23)+1),0)</f>
        <v>3931.25</v>
      </c>
      <c r="N191" s="49">
        <f>IF(N190=1,'Rent Roll'!$H$23/12*(1+'Rent Roll'!$I$23)^IF(N$4&lt;'Rent Roll'!$Y$23,0,YEAR(N$4)-YEAR('Rent Roll'!$Y$23)+1),0)</f>
        <v>3931.25</v>
      </c>
      <c r="O191" s="49">
        <f>IF(O190=1,'Rent Roll'!$H$23/12*(1+'Rent Roll'!$I$23)^IF(O$4&lt;'Rent Roll'!$Y$23,0,YEAR(O$4)-YEAR('Rent Roll'!$Y$23)+1),0)</f>
        <v>3931.25</v>
      </c>
      <c r="P191" s="49">
        <f>IF(P190=1,'Rent Roll'!$H$23/12*(1+'Rent Roll'!$I$23)^IF(P$4&lt;'Rent Roll'!$Y$23,0,YEAR(P$4)-YEAR('Rent Roll'!$Y$23)+1),0)</f>
        <v>3931.25</v>
      </c>
      <c r="Q191" s="49">
        <f>IF(Q190=1,'Rent Roll'!$H$23/12*(1+'Rent Roll'!$I$23)^IF(Q$4&lt;'Rent Roll'!$Y$23,0,YEAR(Q$4)-YEAR('Rent Roll'!$Y$23)+1),0)</f>
        <v>3931.25</v>
      </c>
      <c r="R191" s="49">
        <f>IF(R190=1,'Rent Roll'!$H$23/12*(1+'Rent Roll'!$I$23)^IF(R$4&lt;'Rent Roll'!$Y$23,0,YEAR(R$4)-YEAR('Rent Roll'!$Y$23)+1),0)</f>
        <v>3931.25</v>
      </c>
      <c r="S191" s="49">
        <f>IF(S190=1,'Rent Roll'!$H$23/12*(1+'Rent Roll'!$I$23)^IF(S$4&lt;'Rent Roll'!$Y$23,0,YEAR(S$4)-YEAR('Rent Roll'!$Y$23)+1),0)</f>
        <v>3931.25</v>
      </c>
      <c r="T191" s="49">
        <f>IF(T190=1,'Rent Roll'!$H$23/12*(1+'Rent Roll'!$I$23)^IF(T$4&lt;'Rent Roll'!$Y$23,0,YEAR(T$4)-YEAR('Rent Roll'!$Y$23)+1),0)</f>
        <v>3931.25</v>
      </c>
      <c r="U191" s="49">
        <f>IF(U190=1,'Rent Roll'!$H$23/12*(1+'Rent Roll'!$I$23)^IF(U$4&lt;'Rent Roll'!$Y$23,0,YEAR(U$4)-YEAR('Rent Roll'!$Y$23)+1),0)</f>
        <v>4009.875</v>
      </c>
      <c r="V191" s="49">
        <f>IF(V190=1,'Rent Roll'!$H$23/12*(1+'Rent Roll'!$I$23)^IF(V$4&lt;'Rent Roll'!$Y$23,0,YEAR(V$4)-YEAR('Rent Roll'!$Y$23)+1),0)</f>
        <v>0</v>
      </c>
      <c r="W191" s="49">
        <f>IF(W190=1,'Rent Roll'!$H$23/12*(1+'Rent Roll'!$I$23)^IF(W$4&lt;'Rent Roll'!$Y$23,0,YEAR(W$4)-YEAR('Rent Roll'!$Y$23)+1),0)</f>
        <v>0</v>
      </c>
      <c r="X191" s="49">
        <f>IF(X190=1,'Rent Roll'!$H$23/12*(1+'Rent Roll'!$I$23)^IF(X$4&lt;'Rent Roll'!$Y$23,0,YEAR(X$4)-YEAR('Rent Roll'!$Y$23)+1),0)</f>
        <v>0</v>
      </c>
      <c r="Y191" s="49">
        <f>IF(Y190=1,'Rent Roll'!$H$23/12*(1+'Rent Roll'!$I$23)^IF(Y$4&lt;'Rent Roll'!$Y$23,0,YEAR(Y$4)-YEAR('Rent Roll'!$Y$23)+1),0)</f>
        <v>0</v>
      </c>
      <c r="Z191" s="49">
        <f>IF(Z190=1,'Rent Roll'!$H$23/12*(1+'Rent Roll'!$I$23)^IF(Z$4&lt;'Rent Roll'!$Y$23,0,YEAR(Z$4)-YEAR('Rent Roll'!$Y$23)+1),0)</f>
        <v>0</v>
      </c>
      <c r="AA191" s="49">
        <f>IF(AA190=1,'Rent Roll'!$H$23/12*(1+'Rent Roll'!$I$23)^IF(AA$4&lt;'Rent Roll'!$Y$23,0,YEAR(AA$4)-YEAR('Rent Roll'!$Y$23)+1),0)</f>
        <v>0</v>
      </c>
      <c r="AB191" s="49">
        <f>IF(AB190=1,'Rent Roll'!$H$23/12*(1+'Rent Roll'!$I$23)^IF(AB$4&lt;'Rent Roll'!$Y$23,0,YEAR(AB$4)-YEAR('Rent Roll'!$Y$23)+1),0)</f>
        <v>0</v>
      </c>
      <c r="AC191" s="49">
        <f>IF(AC190=1,'Rent Roll'!$H$23/12*(1+'Rent Roll'!$I$23)^IF(AC$4&lt;'Rent Roll'!$Y$23,0,YEAR(AC$4)-YEAR('Rent Roll'!$Y$23)+1),0)</f>
        <v>0</v>
      </c>
      <c r="AD191" s="49">
        <f>IF(AD190=1,'Rent Roll'!$H$23/12*(1+'Rent Roll'!$I$23)^IF(AD$4&lt;'Rent Roll'!$Y$23,0,YEAR(AD$4)-YEAR('Rent Roll'!$Y$23)+1),0)</f>
        <v>0</v>
      </c>
      <c r="AE191" s="49">
        <f>IF(AE190=1,'Rent Roll'!$H$23/12*(1+'Rent Roll'!$I$23)^IF(AE$4&lt;'Rent Roll'!$Y$23,0,YEAR(AE$4)-YEAR('Rent Roll'!$Y$23)+1),0)</f>
        <v>0</v>
      </c>
      <c r="AF191" s="49">
        <f>IF(AF190=1,'Rent Roll'!$H$23/12*(1+'Rent Roll'!$I$23)^IF(AF$4&lt;'Rent Roll'!$Y$23,0,YEAR(AF$4)-YEAR('Rent Roll'!$Y$23)+1),0)</f>
        <v>0</v>
      </c>
      <c r="AG191" s="49">
        <f>IF(AG190=1,'Rent Roll'!$H$23/12*(1+'Rent Roll'!$I$23)^IF(AG$4&lt;'Rent Roll'!$Y$23,0,YEAR(AG$4)-YEAR('Rent Roll'!$Y$23)+1),0)</f>
        <v>0</v>
      </c>
      <c r="AH191" s="49">
        <f>IF(AH190=1,'Rent Roll'!$H$23/12*(1+'Rent Roll'!$I$23)^IF(AH$4&lt;'Rent Roll'!$Y$23,0,YEAR(AH$4)-YEAR('Rent Roll'!$Y$23)+1),0)</f>
        <v>0</v>
      </c>
      <c r="AI191" s="49">
        <f>IF(AI190=1,'Rent Roll'!$H$23/12*(1+'Rent Roll'!$I$23)^IF(AI$4&lt;'Rent Roll'!$Y$23,0,YEAR(AI$4)-YEAR('Rent Roll'!$Y$23)+1),0)</f>
        <v>0</v>
      </c>
      <c r="AJ191" s="49">
        <f>IF(AJ190=1,'Rent Roll'!$H$23/12*(1+'Rent Roll'!$I$23)^IF(AJ$4&lt;'Rent Roll'!$Y$23,0,YEAR(AJ$4)-YEAR('Rent Roll'!$Y$23)+1),0)</f>
        <v>0</v>
      </c>
      <c r="AK191" s="49">
        <f>IF(AK190=1,'Rent Roll'!$H$23/12*(1+'Rent Roll'!$I$23)^IF(AK$4&lt;'Rent Roll'!$Y$23,0,YEAR(AK$4)-YEAR('Rent Roll'!$Y$23)+1),0)</f>
        <v>0</v>
      </c>
      <c r="AL191" s="49">
        <f>IF(AL190=1,'Rent Roll'!$H$23/12*(1+'Rent Roll'!$I$23)^IF(AL$4&lt;'Rent Roll'!$Y$23,0,YEAR(AL$4)-YEAR('Rent Roll'!$Y$23)+1),0)</f>
        <v>0</v>
      </c>
      <c r="AM191" s="49">
        <f>IF(AM190=1,'Rent Roll'!$H$23/12*(1+'Rent Roll'!$I$23)^IF(AM$4&lt;'Rent Roll'!$Y$23,0,YEAR(AM$4)-YEAR('Rent Roll'!$Y$23)+1),0)</f>
        <v>0</v>
      </c>
      <c r="AN191" s="49">
        <f>IF(AN190=1,'Rent Roll'!$H$23/12*(1+'Rent Roll'!$I$23)^IF(AN$4&lt;'Rent Roll'!$Y$23,0,YEAR(AN$4)-YEAR('Rent Roll'!$Y$23)+1),0)</f>
        <v>0</v>
      </c>
      <c r="AO191" s="49">
        <f>IF(AO190=1,'Rent Roll'!$H$23/12*(1+'Rent Roll'!$I$23)^IF(AO$4&lt;'Rent Roll'!$Y$23,0,YEAR(AO$4)-YEAR('Rent Roll'!$Y$23)+1),0)</f>
        <v>0</v>
      </c>
      <c r="AP191" s="49">
        <f>IF(AP190=1,'Rent Roll'!$H$23/12*(1+'Rent Roll'!$I$23)^IF(AP$4&lt;'Rent Roll'!$Y$23,0,YEAR(AP$4)-YEAR('Rent Roll'!$Y$23)+1),0)</f>
        <v>0</v>
      </c>
      <c r="AQ191" s="49">
        <f>IF(AQ190=1,'Rent Roll'!$H$23/12*(1+'Rent Roll'!$I$23)^IF(AQ$4&lt;'Rent Roll'!$Y$23,0,YEAR(AQ$4)-YEAR('Rent Roll'!$Y$23)+1),0)</f>
        <v>0</v>
      </c>
      <c r="AR191" s="49">
        <f>IF(AR190=1,'Rent Roll'!$H$23/12*(1+'Rent Roll'!$I$23)^IF(AR$4&lt;'Rent Roll'!$Y$23,0,YEAR(AR$4)-YEAR('Rent Roll'!$Y$23)+1),0)</f>
        <v>0</v>
      </c>
      <c r="AS191" s="49">
        <f>IF(AS190=1,'Rent Roll'!$H$23/12*(1+'Rent Roll'!$I$23)^IF(AS$4&lt;'Rent Roll'!$Y$23,0,YEAR(AS$4)-YEAR('Rent Roll'!$Y$23)+1),0)</f>
        <v>0</v>
      </c>
      <c r="AT191" s="49">
        <f>IF(AT190=1,'Rent Roll'!$H$23/12*(1+'Rent Roll'!$I$23)^IF(AT$4&lt;'Rent Roll'!$Y$23,0,YEAR(AT$4)-YEAR('Rent Roll'!$Y$23)+1),0)</f>
        <v>0</v>
      </c>
      <c r="AU191" s="49">
        <f>IF(AU190=1,'Rent Roll'!$H$23/12*(1+'Rent Roll'!$I$23)^IF(AU$4&lt;'Rent Roll'!$Y$23,0,YEAR(AU$4)-YEAR('Rent Roll'!$Y$23)+1),0)</f>
        <v>0</v>
      </c>
      <c r="AV191" s="49">
        <f>IF(AV190=1,'Rent Roll'!$H$23/12*(1+'Rent Roll'!$I$23)^IF(AV$4&lt;'Rent Roll'!$Y$23,0,YEAR(AV$4)-YEAR('Rent Roll'!$Y$23)+1),0)</f>
        <v>0</v>
      </c>
      <c r="AW191" s="49">
        <f>IF(AW190=1,'Rent Roll'!$H$23/12*(1+'Rent Roll'!$I$23)^IF(AW$4&lt;'Rent Roll'!$Y$23,0,YEAR(AW$4)-YEAR('Rent Roll'!$Y$23)+1),0)</f>
        <v>0</v>
      </c>
      <c r="AX191" s="49">
        <f>IF(AX190=1,'Rent Roll'!$H$23/12*(1+'Rent Roll'!$I$23)^IF(AX$4&lt;'Rent Roll'!$Y$23,0,YEAR(AX$4)-YEAR('Rent Roll'!$Y$23)+1),0)</f>
        <v>0</v>
      </c>
      <c r="AY191" s="49">
        <f>IF(AY190=1,'Rent Roll'!$H$23/12*(1+'Rent Roll'!$I$23)^IF(AY$4&lt;'Rent Roll'!$Y$23,0,YEAR(AY$4)-YEAR('Rent Roll'!$Y$23)+1),0)</f>
        <v>0</v>
      </c>
      <c r="AZ191" s="49">
        <f>IF(AZ190=1,'Rent Roll'!$H$23/12*(1+'Rent Roll'!$I$23)^IF(AZ$4&lt;'Rent Roll'!$Y$23,0,YEAR(AZ$4)-YEAR('Rent Roll'!$Y$23)+1),0)</f>
        <v>0</v>
      </c>
      <c r="BA191" s="49">
        <f>IF(BA190=1,'Rent Roll'!$H$23/12*(1+'Rent Roll'!$I$23)^IF(BA$4&lt;'Rent Roll'!$Y$23,0,YEAR(BA$4)-YEAR('Rent Roll'!$Y$23)+1),0)</f>
        <v>0</v>
      </c>
      <c r="BB191" s="49">
        <f>IF(BB190=1,'Rent Roll'!$H$23/12*(1+'Rent Roll'!$I$23)^IF(BB$4&lt;'Rent Roll'!$Y$23,0,YEAR(BB$4)-YEAR('Rent Roll'!$Y$23)+1),0)</f>
        <v>0</v>
      </c>
      <c r="BC191" s="49">
        <f>IF(BC190=1,'Rent Roll'!$H$23/12*(1+'Rent Roll'!$I$23)^IF(BC$4&lt;'Rent Roll'!$Y$23,0,YEAR(BC$4)-YEAR('Rent Roll'!$Y$23)+1),0)</f>
        <v>0</v>
      </c>
      <c r="BD191" s="49">
        <f>IF(BD190=1,'Rent Roll'!$H$23/12*(1+'Rent Roll'!$I$23)^IF(BD$4&lt;'Rent Roll'!$Y$23,0,YEAR(BD$4)-YEAR('Rent Roll'!$Y$23)+1),0)</f>
        <v>0</v>
      </c>
      <c r="BE191" s="49">
        <f>IF(BE190=1,'Rent Roll'!$H$23/12*(1+'Rent Roll'!$I$23)^IF(BE$4&lt;'Rent Roll'!$Y$23,0,YEAR(BE$4)-YEAR('Rent Roll'!$Y$23)+1),0)</f>
        <v>0</v>
      </c>
      <c r="BF191" s="49">
        <f>IF(BF190=1,'Rent Roll'!$H$23/12*(1+'Rent Roll'!$I$23)^IF(BF$4&lt;'Rent Roll'!$Y$23,0,YEAR(BF$4)-YEAR('Rent Roll'!$Y$23)+1),0)</f>
        <v>0</v>
      </c>
      <c r="BG191" s="49">
        <f>IF(BG190=1,'Rent Roll'!$H$23/12*(1+'Rent Roll'!$I$23)^IF(BG$4&lt;'Rent Roll'!$Y$23,0,YEAR(BG$4)-YEAR('Rent Roll'!$Y$23)+1),0)</f>
        <v>0</v>
      </c>
      <c r="BH191" s="49">
        <f>IF(BH190=1,'Rent Roll'!$H$23/12*(1+'Rent Roll'!$I$23)^IF(BH$4&lt;'Rent Roll'!$Y$23,0,YEAR(BH$4)-YEAR('Rent Roll'!$Y$23)+1),0)</f>
        <v>0</v>
      </c>
      <c r="BI191" s="49">
        <f>IF(BI190=1,'Rent Roll'!$H$23/12*(1+'Rent Roll'!$I$23)^IF(BI$4&lt;'Rent Roll'!$Y$23,0,YEAR(BI$4)-YEAR('Rent Roll'!$Y$23)+1),0)</f>
        <v>0</v>
      </c>
      <c r="BJ191" s="49">
        <f>IF(BJ190=1,'Rent Roll'!$H$23/12*(1+'Rent Roll'!$I$23)^IF(BJ$4&lt;'Rent Roll'!$Y$23,0,YEAR(BJ$4)-YEAR('Rent Roll'!$Y$23)+1),0)</f>
        <v>0</v>
      </c>
      <c r="BK191" s="49">
        <f>IF(BK190=1,'Rent Roll'!$H$23/12*(1+'Rent Roll'!$I$23)^IF(BK$4&lt;'Rent Roll'!$Y$23,0,YEAR(BK$4)-YEAR('Rent Roll'!$Y$23)+1),0)</f>
        <v>0</v>
      </c>
      <c r="BL191" s="49">
        <f>IF(BL190=1,'Rent Roll'!$H$23/12*(1+'Rent Roll'!$I$23)^IF(BL$4&lt;'Rent Roll'!$Y$23,0,YEAR(BL$4)-YEAR('Rent Roll'!$Y$23)+1),0)</f>
        <v>0</v>
      </c>
      <c r="BM191" s="49">
        <f>IF(BM190=1,'Rent Roll'!$H$23/12*(1+'Rent Roll'!$I$23)^IF(BM$4&lt;'Rent Roll'!$Y$23,0,YEAR(BM$4)-YEAR('Rent Roll'!$Y$23)+1),0)</f>
        <v>0</v>
      </c>
      <c r="BN191" s="49">
        <f>IF(BN190=1,'Rent Roll'!$H$23/12*(1+'Rent Roll'!$I$23)^IF(BN$4&lt;'Rent Roll'!$Y$23,0,YEAR(BN$4)-YEAR('Rent Roll'!$Y$23)+1),0)</f>
        <v>0</v>
      </c>
      <c r="BO191" s="49">
        <f>IF(BO190=1,'Rent Roll'!$H$23/12*(1+'Rent Roll'!$I$23)^IF(BO$4&lt;'Rent Roll'!$Y$23,0,YEAR(BO$4)-YEAR('Rent Roll'!$Y$23)+1),0)</f>
        <v>0</v>
      </c>
      <c r="BP191" s="49">
        <f>IF(BP190=1,'Rent Roll'!$H$23/12*(1+'Rent Roll'!$I$23)^IF(BP$4&lt;'Rent Roll'!$Y$23,0,YEAR(BP$4)-YEAR('Rent Roll'!$Y$23)+1),0)</f>
        <v>0</v>
      </c>
      <c r="BQ191" s="49">
        <f>IF(BQ190=1,'Rent Roll'!$H$23/12*(1+'Rent Roll'!$I$23)^IF(BQ$4&lt;'Rent Roll'!$Y$23,0,YEAR(BQ$4)-YEAR('Rent Roll'!$Y$23)+1),0)</f>
        <v>0</v>
      </c>
      <c r="BR191" s="49">
        <f>IF(BR190=1,'Rent Roll'!$H$23/12*(1+'Rent Roll'!$I$23)^IF(BR$4&lt;'Rent Roll'!$Y$23,0,YEAR(BR$4)-YEAR('Rent Roll'!$Y$23)+1),0)</f>
        <v>0</v>
      </c>
      <c r="BS191" s="49">
        <f>IF(BS190=1,'Rent Roll'!$H$23/12*(1+'Rent Roll'!$I$23)^IF(BS$4&lt;'Rent Roll'!$Y$23,0,YEAR(BS$4)-YEAR('Rent Roll'!$Y$23)+1),0)</f>
        <v>0</v>
      </c>
      <c r="BT191" s="49">
        <f>IF(BT190=1,'Rent Roll'!$H$23/12*(1+'Rent Roll'!$I$23)^IF(BT$4&lt;'Rent Roll'!$Y$23,0,YEAR(BT$4)-YEAR('Rent Roll'!$Y$23)+1),0)</f>
        <v>0</v>
      </c>
      <c r="BU191" s="49">
        <f>IF(BU190=1,'Rent Roll'!$H$23/12*(1+'Rent Roll'!$I$23)^IF(BU$4&lt;'Rent Roll'!$Y$23,0,YEAR(BU$4)-YEAR('Rent Roll'!$Y$23)+1),0)</f>
        <v>0</v>
      </c>
      <c r="BV191" s="49">
        <f>IF(BV190=1,'Rent Roll'!$H$23/12*(1+'Rent Roll'!$I$23)^IF(BV$4&lt;'Rent Roll'!$Y$23,0,YEAR(BV$4)-YEAR('Rent Roll'!$Y$23)+1),0)</f>
        <v>0</v>
      </c>
      <c r="BW191" s="49">
        <f>IF(BW190=1,'Rent Roll'!$H$23/12*(1+'Rent Roll'!$I$23)^IF(BW$4&lt;'Rent Roll'!$Y$23,0,YEAR(BW$4)-YEAR('Rent Roll'!$Y$23)+1),0)</f>
        <v>0</v>
      </c>
      <c r="BX191" s="49">
        <f>IF(BX190=1,'Rent Roll'!$H$23/12*(1+'Rent Roll'!$I$23)^IF(BX$4&lt;'Rent Roll'!$Y$23,0,YEAR(BX$4)-YEAR('Rent Roll'!$Y$23)+1),0)</f>
        <v>0</v>
      </c>
    </row>
    <row r="192" spans="1:76" outlineLevel="1">
      <c r="B192" t="s">
        <v>160</v>
      </c>
      <c r="D192" s="49">
        <f>IF(D$4&gt;EOMONTH(CloseDate,'Rent Roll'!$O$23+'Rent Roll'!$S$23-1),1,0)</f>
        <v>0</v>
      </c>
      <c r="E192" s="49">
        <f>IF(E$4&gt;EOMONTH(CloseDate,'Rent Roll'!$O$23+'Rent Roll'!$S$23-1),1,0)</f>
        <v>0</v>
      </c>
      <c r="F192" s="49">
        <f>IF(F$4&gt;EOMONTH(CloseDate,'Rent Roll'!$O$23+'Rent Roll'!$S$23-1),1,0)</f>
        <v>0</v>
      </c>
      <c r="G192" s="49">
        <f>IF(G$4&gt;EOMONTH(CloseDate,'Rent Roll'!$O$23+'Rent Roll'!$S$23-1),1,0)</f>
        <v>0</v>
      </c>
      <c r="H192" s="49">
        <f>IF(H$4&gt;EOMONTH(CloseDate,'Rent Roll'!$O$23+'Rent Roll'!$S$23-1),1,0)</f>
        <v>0</v>
      </c>
      <c r="I192" s="49">
        <f>IF(I$4&gt;EOMONTH(CloseDate,'Rent Roll'!$O$23+'Rent Roll'!$S$23-1),1,0)</f>
        <v>0</v>
      </c>
      <c r="J192" s="49">
        <f>IF(J$4&gt;EOMONTH(CloseDate,'Rent Roll'!$O$23+'Rent Roll'!$S$23-1),1,0)</f>
        <v>0</v>
      </c>
      <c r="K192" s="49">
        <f>IF(K$4&gt;EOMONTH(CloseDate,'Rent Roll'!$O$23+'Rent Roll'!$S$23-1),1,0)</f>
        <v>0</v>
      </c>
      <c r="L192" s="49">
        <f>IF(L$4&gt;EOMONTH(CloseDate,'Rent Roll'!$O$23+'Rent Roll'!$S$23-1),1,0)</f>
        <v>0</v>
      </c>
      <c r="M192" s="49">
        <f>IF(M$4&gt;EOMONTH(CloseDate,'Rent Roll'!$O$23+'Rent Roll'!$S$23-1),1,0)</f>
        <v>0</v>
      </c>
      <c r="N192" s="49">
        <f>IF(N$4&gt;EOMONTH(CloseDate,'Rent Roll'!$O$23+'Rent Roll'!$S$23-1),1,0)</f>
        <v>0</v>
      </c>
      <c r="O192" s="49">
        <f>IF(O$4&gt;EOMONTH(CloseDate,'Rent Roll'!$O$23+'Rent Roll'!$S$23-1),1,0)</f>
        <v>0</v>
      </c>
      <c r="P192" s="49">
        <f>IF(P$4&gt;EOMONTH(CloseDate,'Rent Roll'!$O$23+'Rent Roll'!$S$23-1),1,0)</f>
        <v>0</v>
      </c>
      <c r="Q192" s="49">
        <f>IF(Q$4&gt;EOMONTH(CloseDate,'Rent Roll'!$O$23+'Rent Roll'!$S$23-1),1,0)</f>
        <v>0</v>
      </c>
      <c r="R192" s="49">
        <f>IF(R$4&gt;EOMONTH(CloseDate,'Rent Roll'!$O$23+'Rent Roll'!$S$23-1),1,0)</f>
        <v>0</v>
      </c>
      <c r="S192" s="49">
        <f>IF(S$4&gt;EOMONTH(CloseDate,'Rent Roll'!$O$23+'Rent Roll'!$S$23-1),1,0)</f>
        <v>0</v>
      </c>
      <c r="T192" s="49">
        <f>IF(T$4&gt;EOMONTH(CloseDate,'Rent Roll'!$O$23+'Rent Roll'!$S$23-1),1,0)</f>
        <v>0</v>
      </c>
      <c r="U192" s="49">
        <f>IF(U$4&gt;EOMONTH(CloseDate,'Rent Roll'!$O$23+'Rent Roll'!$S$23-1),1,0)</f>
        <v>0</v>
      </c>
      <c r="V192" s="49">
        <f>IF(V$4&gt;EOMONTH(CloseDate,'Rent Roll'!$O$23+'Rent Roll'!$S$23-1),1,0)</f>
        <v>0</v>
      </c>
      <c r="W192" s="49">
        <f>IF(W$4&gt;EOMONTH(CloseDate,'Rent Roll'!$O$23+'Rent Roll'!$S$23-1),1,0)</f>
        <v>0</v>
      </c>
      <c r="X192" s="49">
        <f>IF(X$4&gt;EOMONTH(CloseDate,'Rent Roll'!$O$23+'Rent Roll'!$S$23-1),1,0)</f>
        <v>0</v>
      </c>
      <c r="Y192" s="49">
        <f>IF(Y$4&gt;EOMONTH(CloseDate,'Rent Roll'!$O$23+'Rent Roll'!$S$23-1),1,0)</f>
        <v>0</v>
      </c>
      <c r="Z192" s="49">
        <f>IF(Z$4&gt;EOMONTH(CloseDate,'Rent Roll'!$O$23+'Rent Roll'!$S$23-1),1,0)</f>
        <v>0</v>
      </c>
      <c r="AA192" s="49">
        <f>IF(AA$4&gt;EOMONTH(CloseDate,'Rent Roll'!$O$23+'Rent Roll'!$S$23-1),1,0)</f>
        <v>0</v>
      </c>
      <c r="AB192" s="49">
        <f>IF(AB$4&gt;EOMONTH(CloseDate,'Rent Roll'!$O$23+'Rent Roll'!$S$23-1),1,0)</f>
        <v>1</v>
      </c>
      <c r="AC192" s="49">
        <f>IF(AC$4&gt;EOMONTH(CloseDate,'Rent Roll'!$O$23+'Rent Roll'!$S$23-1),1,0)</f>
        <v>1</v>
      </c>
      <c r="AD192" s="49">
        <f>IF(AD$4&gt;EOMONTH(CloseDate,'Rent Roll'!$O$23+'Rent Roll'!$S$23-1),1,0)</f>
        <v>1</v>
      </c>
      <c r="AE192" s="49">
        <f>IF(AE$4&gt;EOMONTH(CloseDate,'Rent Roll'!$O$23+'Rent Roll'!$S$23-1),1,0)</f>
        <v>1</v>
      </c>
      <c r="AF192" s="49">
        <f>IF(AF$4&gt;EOMONTH(CloseDate,'Rent Roll'!$O$23+'Rent Roll'!$S$23-1),1,0)</f>
        <v>1</v>
      </c>
      <c r="AG192" s="49">
        <f>IF(AG$4&gt;EOMONTH(CloseDate,'Rent Roll'!$O$23+'Rent Roll'!$S$23-1),1,0)</f>
        <v>1</v>
      </c>
      <c r="AH192" s="49">
        <f>IF(AH$4&gt;EOMONTH(CloseDate,'Rent Roll'!$O$23+'Rent Roll'!$S$23-1),1,0)</f>
        <v>1</v>
      </c>
      <c r="AI192" s="49">
        <f>IF(AI$4&gt;EOMONTH(CloseDate,'Rent Roll'!$O$23+'Rent Roll'!$S$23-1),1,0)</f>
        <v>1</v>
      </c>
      <c r="AJ192" s="49">
        <f>IF(AJ$4&gt;EOMONTH(CloseDate,'Rent Roll'!$O$23+'Rent Roll'!$S$23-1),1,0)</f>
        <v>1</v>
      </c>
      <c r="AK192" s="49">
        <f>IF(AK$4&gt;EOMONTH(CloseDate,'Rent Roll'!$O$23+'Rent Roll'!$S$23-1),1,0)</f>
        <v>1</v>
      </c>
      <c r="AL192" s="49">
        <f>IF(AL$4&gt;EOMONTH(CloseDate,'Rent Roll'!$O$23+'Rent Roll'!$S$23-1),1,0)</f>
        <v>1</v>
      </c>
      <c r="AM192" s="49">
        <f>IF(AM$4&gt;EOMONTH(CloseDate,'Rent Roll'!$O$23+'Rent Roll'!$S$23-1),1,0)</f>
        <v>1</v>
      </c>
      <c r="AN192" s="49">
        <f>IF(AN$4&gt;EOMONTH(CloseDate,'Rent Roll'!$O$23+'Rent Roll'!$S$23-1),1,0)</f>
        <v>1</v>
      </c>
      <c r="AO192" s="49">
        <f>IF(AO$4&gt;EOMONTH(CloseDate,'Rent Roll'!$O$23+'Rent Roll'!$S$23-1),1,0)</f>
        <v>1</v>
      </c>
      <c r="AP192" s="49">
        <f>IF(AP$4&gt;EOMONTH(CloseDate,'Rent Roll'!$O$23+'Rent Roll'!$S$23-1),1,0)</f>
        <v>1</v>
      </c>
      <c r="AQ192" s="49">
        <f>IF(AQ$4&gt;EOMONTH(CloseDate,'Rent Roll'!$O$23+'Rent Roll'!$S$23-1),1,0)</f>
        <v>1</v>
      </c>
      <c r="AR192" s="49">
        <f>IF(AR$4&gt;EOMONTH(CloseDate,'Rent Roll'!$O$23+'Rent Roll'!$S$23-1),1,0)</f>
        <v>1</v>
      </c>
      <c r="AS192" s="49">
        <f>IF(AS$4&gt;EOMONTH(CloseDate,'Rent Roll'!$O$23+'Rent Roll'!$S$23-1),1,0)</f>
        <v>1</v>
      </c>
      <c r="AT192" s="49">
        <f>IF(AT$4&gt;EOMONTH(CloseDate,'Rent Roll'!$O$23+'Rent Roll'!$S$23-1),1,0)</f>
        <v>1</v>
      </c>
      <c r="AU192" s="49">
        <f>IF(AU$4&gt;EOMONTH(CloseDate,'Rent Roll'!$O$23+'Rent Roll'!$S$23-1),1,0)</f>
        <v>1</v>
      </c>
      <c r="AV192" s="49">
        <f>IF(AV$4&gt;EOMONTH(CloseDate,'Rent Roll'!$O$23+'Rent Roll'!$S$23-1),1,0)</f>
        <v>1</v>
      </c>
      <c r="AW192" s="49">
        <f>IF(AW$4&gt;EOMONTH(CloseDate,'Rent Roll'!$O$23+'Rent Roll'!$S$23-1),1,0)</f>
        <v>1</v>
      </c>
      <c r="AX192" s="49">
        <f>IF(AX$4&gt;EOMONTH(CloseDate,'Rent Roll'!$O$23+'Rent Roll'!$S$23-1),1,0)</f>
        <v>1</v>
      </c>
      <c r="AY192" s="49">
        <f>IF(AY$4&gt;EOMONTH(CloseDate,'Rent Roll'!$O$23+'Rent Roll'!$S$23-1),1,0)</f>
        <v>1</v>
      </c>
      <c r="AZ192" s="49">
        <f>IF(AZ$4&gt;EOMONTH(CloseDate,'Rent Roll'!$O$23+'Rent Roll'!$S$23-1),1,0)</f>
        <v>1</v>
      </c>
      <c r="BA192" s="49">
        <f>IF(BA$4&gt;EOMONTH(CloseDate,'Rent Roll'!$O$23+'Rent Roll'!$S$23-1),1,0)</f>
        <v>1</v>
      </c>
      <c r="BB192" s="49">
        <f>IF(BB$4&gt;EOMONTH(CloseDate,'Rent Roll'!$O$23+'Rent Roll'!$S$23-1),1,0)</f>
        <v>1</v>
      </c>
      <c r="BC192" s="49">
        <f>IF(BC$4&gt;EOMONTH(CloseDate,'Rent Roll'!$O$23+'Rent Roll'!$S$23-1),1,0)</f>
        <v>1</v>
      </c>
      <c r="BD192" s="49">
        <f>IF(BD$4&gt;EOMONTH(CloseDate,'Rent Roll'!$O$23+'Rent Roll'!$S$23-1),1,0)</f>
        <v>1</v>
      </c>
      <c r="BE192" s="49">
        <f>IF(BE$4&gt;EOMONTH(CloseDate,'Rent Roll'!$O$23+'Rent Roll'!$S$23-1),1,0)</f>
        <v>1</v>
      </c>
      <c r="BF192" s="49">
        <f>IF(BF$4&gt;EOMONTH(CloseDate,'Rent Roll'!$O$23+'Rent Roll'!$S$23-1),1,0)</f>
        <v>1</v>
      </c>
      <c r="BG192" s="49">
        <f>IF(BG$4&gt;EOMONTH(CloseDate,'Rent Roll'!$O$23+'Rent Roll'!$S$23-1),1,0)</f>
        <v>1</v>
      </c>
      <c r="BH192" s="49">
        <f>IF(BH$4&gt;EOMONTH(CloseDate,'Rent Roll'!$O$23+'Rent Roll'!$S$23-1),1,0)</f>
        <v>1</v>
      </c>
      <c r="BI192" s="49">
        <f>IF(BI$4&gt;EOMONTH(CloseDate,'Rent Roll'!$O$23+'Rent Roll'!$S$23-1),1,0)</f>
        <v>1</v>
      </c>
      <c r="BJ192" s="49">
        <f>IF(BJ$4&gt;EOMONTH(CloseDate,'Rent Roll'!$O$23+'Rent Roll'!$S$23-1),1,0)</f>
        <v>1</v>
      </c>
      <c r="BK192" s="49">
        <f>IF(BK$4&gt;EOMONTH(CloseDate,'Rent Roll'!$O$23+'Rent Roll'!$S$23-1),1,0)</f>
        <v>1</v>
      </c>
      <c r="BL192" s="49">
        <f>IF(BL$4&gt;EOMONTH(CloseDate,'Rent Roll'!$O$23+'Rent Roll'!$S$23-1),1,0)</f>
        <v>1</v>
      </c>
      <c r="BM192" s="49">
        <f>IF(BM$4&gt;EOMONTH(CloseDate,'Rent Roll'!$O$23+'Rent Roll'!$S$23-1),1,0)</f>
        <v>1</v>
      </c>
      <c r="BN192" s="49">
        <f>IF(BN$4&gt;EOMONTH(CloseDate,'Rent Roll'!$O$23+'Rent Roll'!$S$23-1),1,0)</f>
        <v>1</v>
      </c>
      <c r="BO192" s="49">
        <f>IF(BO$4&gt;EOMONTH(CloseDate,'Rent Roll'!$O$23+'Rent Roll'!$S$23-1),1,0)</f>
        <v>1</v>
      </c>
      <c r="BP192" s="49">
        <f>IF(BP$4&gt;EOMONTH(CloseDate,'Rent Roll'!$O$23+'Rent Roll'!$S$23-1),1,0)</f>
        <v>1</v>
      </c>
      <c r="BQ192" s="49">
        <f>IF(BQ$4&gt;EOMONTH(CloseDate,'Rent Roll'!$O$23+'Rent Roll'!$S$23-1),1,0)</f>
        <v>1</v>
      </c>
      <c r="BR192" s="49">
        <f>IF(BR$4&gt;EOMONTH(CloseDate,'Rent Roll'!$O$23+'Rent Roll'!$S$23-1),1,0)</f>
        <v>1</v>
      </c>
      <c r="BS192" s="49">
        <f>IF(BS$4&gt;EOMONTH(CloseDate,'Rent Roll'!$O$23+'Rent Roll'!$S$23-1),1,0)</f>
        <v>1</v>
      </c>
      <c r="BT192" s="49">
        <f>IF(BT$4&gt;EOMONTH(CloseDate,'Rent Roll'!$O$23+'Rent Roll'!$S$23-1),1,0)</f>
        <v>1</v>
      </c>
      <c r="BU192" s="49">
        <f>IF(BU$4&gt;EOMONTH(CloseDate,'Rent Roll'!$O$23+'Rent Roll'!$S$23-1),1,0)</f>
        <v>1</v>
      </c>
      <c r="BV192" s="49">
        <f>IF(BV$4&gt;EOMONTH(CloseDate,'Rent Roll'!$O$23+'Rent Roll'!$S$23-1),1,0)</f>
        <v>1</v>
      </c>
      <c r="BW192" s="49">
        <f>IF(BW$4&gt;EOMONTH(CloseDate,'Rent Roll'!$O$23+'Rent Roll'!$S$23-1),1,0)</f>
        <v>1</v>
      </c>
      <c r="BX192" s="49">
        <f>IF(BX$4&gt;EOMONTH(CloseDate,'Rent Roll'!$O$23+'Rent Roll'!$S$23-1),1,0)</f>
        <v>1</v>
      </c>
    </row>
    <row r="193" spans="1:76" outlineLevel="1">
      <c r="B193" t="s">
        <v>162</v>
      </c>
      <c r="D193" s="49">
        <f>IF(D192=1,'Rent Roll'!$F$23*'Rent Roll'!$X$23/12*D$6,0)</f>
        <v>0</v>
      </c>
      <c r="E193" s="49">
        <f>IF(E192=1,'Rent Roll'!$F$23*'Rent Roll'!$X$23/12*E$6,0)</f>
        <v>0</v>
      </c>
      <c r="F193" s="49">
        <f>IF(F192=1,'Rent Roll'!$F$23*'Rent Roll'!$X$23/12*F$6,0)</f>
        <v>0</v>
      </c>
      <c r="G193" s="49">
        <f>IF(G192=1,'Rent Roll'!$F$23*'Rent Roll'!$X$23/12*G$6,0)</f>
        <v>0</v>
      </c>
      <c r="H193" s="49">
        <f>IF(H192=1,'Rent Roll'!$F$23*'Rent Roll'!$X$23/12*H$6,0)</f>
        <v>0</v>
      </c>
      <c r="I193" s="49">
        <f>IF(I192=1,'Rent Roll'!$F$23*'Rent Roll'!$X$23/12*I$6,0)</f>
        <v>0</v>
      </c>
      <c r="J193" s="49">
        <f>IF(J192=1,'Rent Roll'!$F$23*'Rent Roll'!$X$23/12*J$6,0)</f>
        <v>0</v>
      </c>
      <c r="K193" s="49">
        <f>IF(K192=1,'Rent Roll'!$F$23*'Rent Roll'!$X$23/12*K$6,0)</f>
        <v>0</v>
      </c>
      <c r="L193" s="49">
        <f>IF(L192=1,'Rent Roll'!$F$23*'Rent Roll'!$X$23/12*L$6,0)</f>
        <v>0</v>
      </c>
      <c r="M193" s="49">
        <f>IF(M192=1,'Rent Roll'!$F$23*'Rent Roll'!$X$23/12*M$6,0)</f>
        <v>0</v>
      </c>
      <c r="N193" s="49">
        <f>IF(N192=1,'Rent Roll'!$F$23*'Rent Roll'!$X$23/12*N$6,0)</f>
        <v>0</v>
      </c>
      <c r="O193" s="49">
        <f>IF(O192=1,'Rent Roll'!$F$23*'Rent Roll'!$X$23/12*O$6,0)</f>
        <v>0</v>
      </c>
      <c r="P193" s="49">
        <f>IF(P192=1,'Rent Roll'!$F$23*'Rent Roll'!$X$23/12*P$6,0)</f>
        <v>0</v>
      </c>
      <c r="Q193" s="49">
        <f>IF(Q192=1,'Rent Roll'!$F$23*'Rent Roll'!$X$23/12*Q$6,0)</f>
        <v>0</v>
      </c>
      <c r="R193" s="49">
        <f>IF(R192=1,'Rent Roll'!$F$23*'Rent Roll'!$X$23/12*R$6,0)</f>
        <v>0</v>
      </c>
      <c r="S193" s="49">
        <f>IF(S192=1,'Rent Roll'!$F$23*'Rent Roll'!$X$23/12*S$6,0)</f>
        <v>0</v>
      </c>
      <c r="T193" s="49">
        <f>IF(T192=1,'Rent Roll'!$F$23*'Rent Roll'!$X$23/12*T$6,0)</f>
        <v>0</v>
      </c>
      <c r="U193" s="49">
        <f>IF(U192=1,'Rent Roll'!$F$23*'Rent Roll'!$X$23/12*U$6,0)</f>
        <v>0</v>
      </c>
      <c r="V193" s="49">
        <f>IF(V192=1,'Rent Roll'!$F$23*'Rent Roll'!$X$23/12*V$6,0)</f>
        <v>0</v>
      </c>
      <c r="W193" s="49">
        <f>IF(W192=1,'Rent Roll'!$F$23*'Rent Roll'!$X$23/12*W$6,0)</f>
        <v>0</v>
      </c>
      <c r="X193" s="49">
        <f>IF(X192=1,'Rent Roll'!$F$23*'Rent Roll'!$X$23/12*X$6,0)</f>
        <v>0</v>
      </c>
      <c r="Y193" s="49">
        <f>IF(Y192=1,'Rent Roll'!$F$23*'Rent Roll'!$X$23/12*Y$6,0)</f>
        <v>0</v>
      </c>
      <c r="Z193" s="49">
        <f>IF(Z192=1,'Rent Roll'!$F$23*'Rent Roll'!$X$23/12*Z$6,0)</f>
        <v>0</v>
      </c>
      <c r="AA193" s="49">
        <f>IF(AA192=1,'Rent Roll'!$F$23*'Rent Roll'!$X$23/12*AA$6,0)</f>
        <v>0</v>
      </c>
      <c r="AB193" s="49">
        <f>IF(AB192=1,'Rent Roll'!$F$23*'Rent Roll'!$X$23/12*AB$6,0)</f>
        <v>5342.3122526041652</v>
      </c>
      <c r="AC193" s="49">
        <f>IF(AC192=1,'Rent Roll'!$F$23*'Rent Roll'!$X$23/12*AC$6,0)</f>
        <v>5342.3122526041652</v>
      </c>
      <c r="AD193" s="49">
        <f>IF(AD192=1,'Rent Roll'!$F$23*'Rent Roll'!$X$23/12*AD$6,0)</f>
        <v>5342.3122526041652</v>
      </c>
      <c r="AE193" s="49">
        <f>IF(AE192=1,'Rent Roll'!$F$23*'Rent Roll'!$X$23/12*AE$6,0)</f>
        <v>5342.3122526041652</v>
      </c>
      <c r="AF193" s="49">
        <f>IF(AF192=1,'Rent Roll'!$F$23*'Rent Roll'!$X$23/12*AF$6,0)</f>
        <v>5342.3122526041652</v>
      </c>
      <c r="AG193" s="49">
        <f>IF(AG192=1,'Rent Roll'!$F$23*'Rent Roll'!$X$23/12*AG$6,0)</f>
        <v>5486.5546834244778</v>
      </c>
      <c r="AH193" s="49">
        <f>IF(AH192=1,'Rent Roll'!$F$23*'Rent Roll'!$X$23/12*AH$6,0)</f>
        <v>5486.5546834244778</v>
      </c>
      <c r="AI193" s="49">
        <f>IF(AI192=1,'Rent Roll'!$F$23*'Rent Roll'!$X$23/12*AI$6,0)</f>
        <v>5486.5546834244778</v>
      </c>
      <c r="AJ193" s="49">
        <f>IF(AJ192=1,'Rent Roll'!$F$23*'Rent Roll'!$X$23/12*AJ$6,0)</f>
        <v>5486.5546834244778</v>
      </c>
      <c r="AK193" s="49">
        <f>IF(AK192=1,'Rent Roll'!$F$23*'Rent Roll'!$X$23/12*AK$6,0)</f>
        <v>5486.5546834244778</v>
      </c>
      <c r="AL193" s="49">
        <f>IF(AL192=1,'Rent Roll'!$F$23*'Rent Roll'!$X$23/12*AL$6,0)</f>
        <v>5486.5546834244778</v>
      </c>
      <c r="AM193" s="49">
        <f>IF(AM192=1,'Rent Roll'!$F$23*'Rent Roll'!$X$23/12*AM$6,0)</f>
        <v>5486.5546834244778</v>
      </c>
      <c r="AN193" s="49">
        <f>IF(AN192=1,'Rent Roll'!$F$23*'Rent Roll'!$X$23/12*AN$6,0)</f>
        <v>5486.5546834244778</v>
      </c>
      <c r="AO193" s="49">
        <f>IF(AO192=1,'Rent Roll'!$F$23*'Rent Roll'!$X$23/12*AO$6,0)</f>
        <v>5486.5546834244778</v>
      </c>
      <c r="AP193" s="49">
        <f>IF(AP192=1,'Rent Roll'!$F$23*'Rent Roll'!$X$23/12*AP$6,0)</f>
        <v>5486.5546834244778</v>
      </c>
      <c r="AQ193" s="49">
        <f>IF(AQ192=1,'Rent Roll'!$F$23*'Rent Roll'!$X$23/12*AQ$6,0)</f>
        <v>5486.5546834244778</v>
      </c>
      <c r="AR193" s="49">
        <f>IF(AR192=1,'Rent Roll'!$F$23*'Rent Roll'!$X$23/12*AR$6,0)</f>
        <v>5486.5546834244778</v>
      </c>
      <c r="AS193" s="49">
        <f>IF(AS192=1,'Rent Roll'!$F$23*'Rent Roll'!$X$23/12*AS$6,0)</f>
        <v>5634.6916598769376</v>
      </c>
      <c r="AT193" s="49">
        <f>IF(AT192=1,'Rent Roll'!$F$23*'Rent Roll'!$X$23/12*AT$6,0)</f>
        <v>5634.6916598769376</v>
      </c>
      <c r="AU193" s="49">
        <f>IF(AU192=1,'Rent Roll'!$F$23*'Rent Roll'!$X$23/12*AU$6,0)</f>
        <v>5634.6916598769376</v>
      </c>
      <c r="AV193" s="49">
        <f>IF(AV192=1,'Rent Roll'!$F$23*'Rent Roll'!$X$23/12*AV$6,0)</f>
        <v>5634.6916598769376</v>
      </c>
      <c r="AW193" s="49">
        <f>IF(AW192=1,'Rent Roll'!$F$23*'Rent Roll'!$X$23/12*AW$6,0)</f>
        <v>5634.6916598769376</v>
      </c>
      <c r="AX193" s="49">
        <f>IF(AX192=1,'Rent Roll'!$F$23*'Rent Roll'!$X$23/12*AX$6,0)</f>
        <v>5634.6916598769376</v>
      </c>
      <c r="AY193" s="49">
        <f>IF(AY192=1,'Rent Roll'!$F$23*'Rent Roll'!$X$23/12*AY$6,0)</f>
        <v>5634.6916598769376</v>
      </c>
      <c r="AZ193" s="49">
        <f>IF(AZ192=1,'Rent Roll'!$F$23*'Rent Roll'!$X$23/12*AZ$6,0)</f>
        <v>5634.6916598769376</v>
      </c>
      <c r="BA193" s="49">
        <f>IF(BA192=1,'Rent Roll'!$F$23*'Rent Roll'!$X$23/12*BA$6,0)</f>
        <v>5634.6916598769376</v>
      </c>
      <c r="BB193" s="49">
        <f>IF(BB192=1,'Rent Roll'!$F$23*'Rent Roll'!$X$23/12*BB$6,0)</f>
        <v>5634.6916598769376</v>
      </c>
      <c r="BC193" s="49">
        <f>IF(BC192=1,'Rent Roll'!$F$23*'Rent Roll'!$X$23/12*BC$6,0)</f>
        <v>5634.6916598769376</v>
      </c>
      <c r="BD193" s="49">
        <f>IF(BD192=1,'Rent Roll'!$F$23*'Rent Roll'!$X$23/12*BD$6,0)</f>
        <v>5634.6916598769376</v>
      </c>
      <c r="BE193" s="49">
        <f>IF(BE192=1,'Rent Roll'!$F$23*'Rent Roll'!$X$23/12*BE$6,0)</f>
        <v>5786.8283346936141</v>
      </c>
      <c r="BF193" s="49">
        <f>IF(BF192=1,'Rent Roll'!$F$23*'Rent Roll'!$X$23/12*BF$6,0)</f>
        <v>5786.8283346936141</v>
      </c>
      <c r="BG193" s="49">
        <f>IF(BG192=1,'Rent Roll'!$F$23*'Rent Roll'!$X$23/12*BG$6,0)</f>
        <v>5786.8283346936141</v>
      </c>
      <c r="BH193" s="49">
        <f>IF(BH192=1,'Rent Roll'!$F$23*'Rent Roll'!$X$23/12*BH$6,0)</f>
        <v>5786.8283346936141</v>
      </c>
      <c r="BI193" s="49">
        <f>IF(BI192=1,'Rent Roll'!$F$23*'Rent Roll'!$X$23/12*BI$6,0)</f>
        <v>5786.8283346936141</v>
      </c>
      <c r="BJ193" s="49">
        <f>IF(BJ192=1,'Rent Roll'!$F$23*'Rent Roll'!$X$23/12*BJ$6,0)</f>
        <v>5786.8283346936141</v>
      </c>
      <c r="BK193" s="49">
        <f>IF(BK192=1,'Rent Roll'!$F$23*'Rent Roll'!$X$23/12*BK$6,0)</f>
        <v>5786.8283346936141</v>
      </c>
      <c r="BL193" s="49">
        <f>IF(BL192=1,'Rent Roll'!$F$23*'Rent Roll'!$X$23/12*BL$6,0)</f>
        <v>5786.8283346936141</v>
      </c>
      <c r="BM193" s="49">
        <f>IF(BM192=1,'Rent Roll'!$F$23*'Rent Roll'!$X$23/12*BM$6,0)</f>
        <v>5786.8283346936141</v>
      </c>
      <c r="BN193" s="49">
        <f>IF(BN192=1,'Rent Roll'!$F$23*'Rent Roll'!$X$23/12*BN$6,0)</f>
        <v>5786.8283346936141</v>
      </c>
      <c r="BO193" s="49">
        <f>IF(BO192=1,'Rent Roll'!$F$23*'Rent Roll'!$X$23/12*BO$6,0)</f>
        <v>5786.8283346936141</v>
      </c>
      <c r="BP193" s="49">
        <f>IF(BP192=1,'Rent Roll'!$F$23*'Rent Roll'!$X$23/12*BP$6,0)</f>
        <v>5786.8283346936141</v>
      </c>
      <c r="BQ193" s="49">
        <f>IF(BQ192=1,'Rent Roll'!$F$23*'Rent Roll'!$X$23/12*BQ$6,0)</f>
        <v>5943.0726997303409</v>
      </c>
      <c r="BR193" s="49">
        <f>IF(BR192=1,'Rent Roll'!$F$23*'Rent Roll'!$X$23/12*BR$6,0)</f>
        <v>5943.0726997303409</v>
      </c>
      <c r="BS193" s="49">
        <f>IF(BS192=1,'Rent Roll'!$F$23*'Rent Roll'!$X$23/12*BS$6,0)</f>
        <v>5943.0726997303409</v>
      </c>
      <c r="BT193" s="49">
        <f>IF(BT192=1,'Rent Roll'!$F$23*'Rent Roll'!$X$23/12*BT$6,0)</f>
        <v>5943.0726997303409</v>
      </c>
      <c r="BU193" s="49">
        <f>IF(BU192=1,'Rent Roll'!$F$23*'Rent Roll'!$X$23/12*BU$6,0)</f>
        <v>5943.0726997303409</v>
      </c>
      <c r="BV193" s="49">
        <f>IF(BV192=1,'Rent Roll'!$F$23*'Rent Roll'!$X$23/12*BV$6,0)</f>
        <v>5943.0726997303409</v>
      </c>
      <c r="BW193" s="49">
        <f>IF(BW192=1,'Rent Roll'!$F$23*'Rent Roll'!$X$23/12*BW$6,0)</f>
        <v>5943.0726997303409</v>
      </c>
      <c r="BX193" s="49">
        <f>IF(BX192=1,'Rent Roll'!$F$23*'Rent Roll'!$X$23/12*BX$6,0)</f>
        <v>5943.0726997303409</v>
      </c>
    </row>
    <row r="194" spans="1:76" outlineLevel="1">
      <c r="B194" t="s">
        <v>163</v>
      </c>
      <c r="D194" s="49">
        <f>IF(AND(D$4&gt;EOMONTH(CloseDate,'Rent Roll'!$O$23+'Rent Roll'!$S$23-1),D$4&lt;=EOMONTH(CloseDate,'Rent Roll'!$O$23+'Rent Roll'!$S$23-1+'Rent Roll'!$V$23)),-D193,0)</f>
        <v>0</v>
      </c>
      <c r="E194" s="49">
        <f>IF(AND(E$4&gt;EOMONTH(CloseDate,'Rent Roll'!$O$23+'Rent Roll'!$S$23-1),E$4&lt;=EOMONTH(CloseDate,'Rent Roll'!$O$23+'Rent Roll'!$S$23-1+'Rent Roll'!$V$23)),-E193,0)</f>
        <v>0</v>
      </c>
      <c r="F194" s="49">
        <f>IF(AND(F$4&gt;EOMONTH(CloseDate,'Rent Roll'!$O$23+'Rent Roll'!$S$23-1),F$4&lt;=EOMONTH(CloseDate,'Rent Roll'!$O$23+'Rent Roll'!$S$23-1+'Rent Roll'!$V$23)),-F193,0)</f>
        <v>0</v>
      </c>
      <c r="G194" s="49">
        <f>IF(AND(G$4&gt;EOMONTH(CloseDate,'Rent Roll'!$O$23+'Rent Roll'!$S$23-1),G$4&lt;=EOMONTH(CloseDate,'Rent Roll'!$O$23+'Rent Roll'!$S$23-1+'Rent Roll'!$V$23)),-G193,0)</f>
        <v>0</v>
      </c>
      <c r="H194" s="49">
        <f>IF(AND(H$4&gt;EOMONTH(CloseDate,'Rent Roll'!$O$23+'Rent Roll'!$S$23-1),H$4&lt;=EOMONTH(CloseDate,'Rent Roll'!$O$23+'Rent Roll'!$S$23-1+'Rent Roll'!$V$23)),-H193,0)</f>
        <v>0</v>
      </c>
      <c r="I194" s="49">
        <f>IF(AND(I$4&gt;EOMONTH(CloseDate,'Rent Roll'!$O$23+'Rent Roll'!$S$23-1),I$4&lt;=EOMONTH(CloseDate,'Rent Roll'!$O$23+'Rent Roll'!$S$23-1+'Rent Roll'!$V$23)),-I193,0)</f>
        <v>0</v>
      </c>
      <c r="J194" s="49">
        <f>IF(AND(J$4&gt;EOMONTH(CloseDate,'Rent Roll'!$O$23+'Rent Roll'!$S$23-1),J$4&lt;=EOMONTH(CloseDate,'Rent Roll'!$O$23+'Rent Roll'!$S$23-1+'Rent Roll'!$V$23)),-J193,0)</f>
        <v>0</v>
      </c>
      <c r="K194" s="49">
        <f>IF(AND(K$4&gt;EOMONTH(CloseDate,'Rent Roll'!$O$23+'Rent Roll'!$S$23-1),K$4&lt;=EOMONTH(CloseDate,'Rent Roll'!$O$23+'Rent Roll'!$S$23-1+'Rent Roll'!$V$23)),-K193,0)</f>
        <v>0</v>
      </c>
      <c r="L194" s="49">
        <f>IF(AND(L$4&gt;EOMONTH(CloseDate,'Rent Roll'!$O$23+'Rent Roll'!$S$23-1),L$4&lt;=EOMONTH(CloseDate,'Rent Roll'!$O$23+'Rent Roll'!$S$23-1+'Rent Roll'!$V$23)),-L193,0)</f>
        <v>0</v>
      </c>
      <c r="M194" s="49">
        <f>IF(AND(M$4&gt;EOMONTH(CloseDate,'Rent Roll'!$O$23+'Rent Roll'!$S$23-1),M$4&lt;=EOMONTH(CloseDate,'Rent Roll'!$O$23+'Rent Roll'!$S$23-1+'Rent Roll'!$V$23)),-M193,0)</f>
        <v>0</v>
      </c>
      <c r="N194" s="49">
        <f>IF(AND(N$4&gt;EOMONTH(CloseDate,'Rent Roll'!$O$23+'Rent Roll'!$S$23-1),N$4&lt;=EOMONTH(CloseDate,'Rent Roll'!$O$23+'Rent Roll'!$S$23-1+'Rent Roll'!$V$23)),-N193,0)</f>
        <v>0</v>
      </c>
      <c r="O194" s="49">
        <f>IF(AND(O$4&gt;EOMONTH(CloseDate,'Rent Roll'!$O$23+'Rent Roll'!$S$23-1),O$4&lt;=EOMONTH(CloseDate,'Rent Roll'!$O$23+'Rent Roll'!$S$23-1+'Rent Roll'!$V$23)),-O193,0)</f>
        <v>0</v>
      </c>
      <c r="P194" s="49">
        <f>IF(AND(P$4&gt;EOMONTH(CloseDate,'Rent Roll'!$O$23+'Rent Roll'!$S$23-1),P$4&lt;=EOMONTH(CloseDate,'Rent Roll'!$O$23+'Rent Roll'!$S$23-1+'Rent Roll'!$V$23)),-P193,0)</f>
        <v>0</v>
      </c>
      <c r="Q194" s="49">
        <f>IF(AND(Q$4&gt;EOMONTH(CloseDate,'Rent Roll'!$O$23+'Rent Roll'!$S$23-1),Q$4&lt;=EOMONTH(CloseDate,'Rent Roll'!$O$23+'Rent Roll'!$S$23-1+'Rent Roll'!$V$23)),-Q193,0)</f>
        <v>0</v>
      </c>
      <c r="R194" s="49">
        <f>IF(AND(R$4&gt;EOMONTH(CloseDate,'Rent Roll'!$O$23+'Rent Roll'!$S$23-1),R$4&lt;=EOMONTH(CloseDate,'Rent Roll'!$O$23+'Rent Roll'!$S$23-1+'Rent Roll'!$V$23)),-R193,0)</f>
        <v>0</v>
      </c>
      <c r="S194" s="49">
        <f>IF(AND(S$4&gt;EOMONTH(CloseDate,'Rent Roll'!$O$23+'Rent Roll'!$S$23-1),S$4&lt;=EOMONTH(CloseDate,'Rent Roll'!$O$23+'Rent Roll'!$S$23-1+'Rent Roll'!$V$23)),-S193,0)</f>
        <v>0</v>
      </c>
      <c r="T194" s="49">
        <f>IF(AND(T$4&gt;EOMONTH(CloseDate,'Rent Roll'!$O$23+'Rent Roll'!$S$23-1),T$4&lt;=EOMONTH(CloseDate,'Rent Roll'!$O$23+'Rent Roll'!$S$23-1+'Rent Roll'!$V$23)),-T193,0)</f>
        <v>0</v>
      </c>
      <c r="U194" s="49">
        <f>IF(AND(U$4&gt;EOMONTH(CloseDate,'Rent Roll'!$O$23+'Rent Roll'!$S$23-1),U$4&lt;=EOMONTH(CloseDate,'Rent Roll'!$O$23+'Rent Roll'!$S$23-1+'Rent Roll'!$V$23)),-U193,0)</f>
        <v>0</v>
      </c>
      <c r="V194" s="49">
        <f>IF(AND(V$4&gt;EOMONTH(CloseDate,'Rent Roll'!$O$23+'Rent Roll'!$S$23-1),V$4&lt;=EOMONTH(CloseDate,'Rent Roll'!$O$23+'Rent Roll'!$S$23-1+'Rent Roll'!$V$23)),-V193,0)</f>
        <v>0</v>
      </c>
      <c r="W194" s="49">
        <f>IF(AND(W$4&gt;EOMONTH(CloseDate,'Rent Roll'!$O$23+'Rent Roll'!$S$23-1),W$4&lt;=EOMONTH(CloseDate,'Rent Roll'!$O$23+'Rent Roll'!$S$23-1+'Rent Roll'!$V$23)),-W193,0)</f>
        <v>0</v>
      </c>
      <c r="X194" s="49">
        <f>IF(AND(X$4&gt;EOMONTH(CloseDate,'Rent Roll'!$O$23+'Rent Roll'!$S$23-1),X$4&lt;=EOMONTH(CloseDate,'Rent Roll'!$O$23+'Rent Roll'!$S$23-1+'Rent Roll'!$V$23)),-X193,0)</f>
        <v>0</v>
      </c>
      <c r="Y194" s="49">
        <f>IF(AND(Y$4&gt;EOMONTH(CloseDate,'Rent Roll'!$O$23+'Rent Roll'!$S$23-1),Y$4&lt;=EOMONTH(CloseDate,'Rent Roll'!$O$23+'Rent Roll'!$S$23-1+'Rent Roll'!$V$23)),-Y193,0)</f>
        <v>0</v>
      </c>
      <c r="Z194" s="49">
        <f>IF(AND(Z$4&gt;EOMONTH(CloseDate,'Rent Roll'!$O$23+'Rent Roll'!$S$23-1),Z$4&lt;=EOMONTH(CloseDate,'Rent Roll'!$O$23+'Rent Roll'!$S$23-1+'Rent Roll'!$V$23)),-Z193,0)</f>
        <v>0</v>
      </c>
      <c r="AA194" s="49">
        <f>IF(AND(AA$4&gt;EOMONTH(CloseDate,'Rent Roll'!$O$23+'Rent Roll'!$S$23-1),AA$4&lt;=EOMONTH(CloseDate,'Rent Roll'!$O$23+'Rent Roll'!$S$23-1+'Rent Roll'!$V$23)),-AA193,0)</f>
        <v>0</v>
      </c>
      <c r="AB194" s="49">
        <f>IF(AND(AB$4&gt;EOMONTH(CloseDate,'Rent Roll'!$O$23+'Rent Roll'!$S$23-1),AB$4&lt;=EOMONTH(CloseDate,'Rent Roll'!$O$23+'Rent Roll'!$S$23-1+'Rent Roll'!$V$23)),-AB193,0)</f>
        <v>-5342.3122526041652</v>
      </c>
      <c r="AC194" s="49">
        <f>IF(AND(AC$4&gt;EOMONTH(CloseDate,'Rent Roll'!$O$23+'Rent Roll'!$S$23-1),AC$4&lt;=EOMONTH(CloseDate,'Rent Roll'!$O$23+'Rent Roll'!$S$23-1+'Rent Roll'!$V$23)),-AC193,0)</f>
        <v>-5342.3122526041652</v>
      </c>
      <c r="AD194" s="49">
        <f>IF(AND(AD$4&gt;EOMONTH(CloseDate,'Rent Roll'!$O$23+'Rent Roll'!$S$23-1),AD$4&lt;=EOMONTH(CloseDate,'Rent Roll'!$O$23+'Rent Roll'!$S$23-1+'Rent Roll'!$V$23)),-AD193,0)</f>
        <v>0</v>
      </c>
      <c r="AE194" s="49">
        <f>IF(AND(AE$4&gt;EOMONTH(CloseDate,'Rent Roll'!$O$23+'Rent Roll'!$S$23-1),AE$4&lt;=EOMONTH(CloseDate,'Rent Roll'!$O$23+'Rent Roll'!$S$23-1+'Rent Roll'!$V$23)),-AE193,0)</f>
        <v>0</v>
      </c>
      <c r="AF194" s="49">
        <f>IF(AND(AF$4&gt;EOMONTH(CloseDate,'Rent Roll'!$O$23+'Rent Roll'!$S$23-1),AF$4&lt;=EOMONTH(CloseDate,'Rent Roll'!$O$23+'Rent Roll'!$S$23-1+'Rent Roll'!$V$23)),-AF193,0)</f>
        <v>0</v>
      </c>
      <c r="AG194" s="49">
        <f>IF(AND(AG$4&gt;EOMONTH(CloseDate,'Rent Roll'!$O$23+'Rent Roll'!$S$23-1),AG$4&lt;=EOMONTH(CloseDate,'Rent Roll'!$O$23+'Rent Roll'!$S$23-1+'Rent Roll'!$V$23)),-AG193,0)</f>
        <v>0</v>
      </c>
      <c r="AH194" s="49">
        <f>IF(AND(AH$4&gt;EOMONTH(CloseDate,'Rent Roll'!$O$23+'Rent Roll'!$S$23-1),AH$4&lt;=EOMONTH(CloseDate,'Rent Roll'!$O$23+'Rent Roll'!$S$23-1+'Rent Roll'!$V$23)),-AH193,0)</f>
        <v>0</v>
      </c>
      <c r="AI194" s="49">
        <f>IF(AND(AI$4&gt;EOMONTH(CloseDate,'Rent Roll'!$O$23+'Rent Roll'!$S$23-1),AI$4&lt;=EOMONTH(CloseDate,'Rent Roll'!$O$23+'Rent Roll'!$S$23-1+'Rent Roll'!$V$23)),-AI193,0)</f>
        <v>0</v>
      </c>
      <c r="AJ194" s="49">
        <f>IF(AND(AJ$4&gt;EOMONTH(CloseDate,'Rent Roll'!$O$23+'Rent Roll'!$S$23-1),AJ$4&lt;=EOMONTH(CloseDate,'Rent Roll'!$O$23+'Rent Roll'!$S$23-1+'Rent Roll'!$V$23)),-AJ193,0)</f>
        <v>0</v>
      </c>
      <c r="AK194" s="49">
        <f>IF(AND(AK$4&gt;EOMONTH(CloseDate,'Rent Roll'!$O$23+'Rent Roll'!$S$23-1),AK$4&lt;=EOMONTH(CloseDate,'Rent Roll'!$O$23+'Rent Roll'!$S$23-1+'Rent Roll'!$V$23)),-AK193,0)</f>
        <v>0</v>
      </c>
      <c r="AL194" s="49">
        <f>IF(AND(AL$4&gt;EOMONTH(CloseDate,'Rent Roll'!$O$23+'Rent Roll'!$S$23-1),AL$4&lt;=EOMONTH(CloseDate,'Rent Roll'!$O$23+'Rent Roll'!$S$23-1+'Rent Roll'!$V$23)),-AL193,0)</f>
        <v>0</v>
      </c>
      <c r="AM194" s="49">
        <f>IF(AND(AM$4&gt;EOMONTH(CloseDate,'Rent Roll'!$O$23+'Rent Roll'!$S$23-1),AM$4&lt;=EOMONTH(CloseDate,'Rent Roll'!$O$23+'Rent Roll'!$S$23-1+'Rent Roll'!$V$23)),-AM193,0)</f>
        <v>0</v>
      </c>
      <c r="AN194" s="49">
        <f>IF(AND(AN$4&gt;EOMONTH(CloseDate,'Rent Roll'!$O$23+'Rent Roll'!$S$23-1),AN$4&lt;=EOMONTH(CloseDate,'Rent Roll'!$O$23+'Rent Roll'!$S$23-1+'Rent Roll'!$V$23)),-AN193,0)</f>
        <v>0</v>
      </c>
      <c r="AO194" s="49">
        <f>IF(AND(AO$4&gt;EOMONTH(CloseDate,'Rent Roll'!$O$23+'Rent Roll'!$S$23-1),AO$4&lt;=EOMONTH(CloseDate,'Rent Roll'!$O$23+'Rent Roll'!$S$23-1+'Rent Roll'!$V$23)),-AO193,0)</f>
        <v>0</v>
      </c>
      <c r="AP194" s="49">
        <f>IF(AND(AP$4&gt;EOMONTH(CloseDate,'Rent Roll'!$O$23+'Rent Roll'!$S$23-1),AP$4&lt;=EOMONTH(CloseDate,'Rent Roll'!$O$23+'Rent Roll'!$S$23-1+'Rent Roll'!$V$23)),-AP193,0)</f>
        <v>0</v>
      </c>
      <c r="AQ194" s="49">
        <f>IF(AND(AQ$4&gt;EOMONTH(CloseDate,'Rent Roll'!$O$23+'Rent Roll'!$S$23-1),AQ$4&lt;=EOMONTH(CloseDate,'Rent Roll'!$O$23+'Rent Roll'!$S$23-1+'Rent Roll'!$V$23)),-AQ193,0)</f>
        <v>0</v>
      </c>
      <c r="AR194" s="49">
        <f>IF(AND(AR$4&gt;EOMONTH(CloseDate,'Rent Roll'!$O$23+'Rent Roll'!$S$23-1),AR$4&lt;=EOMONTH(CloseDate,'Rent Roll'!$O$23+'Rent Roll'!$S$23-1+'Rent Roll'!$V$23)),-AR193,0)</f>
        <v>0</v>
      </c>
      <c r="AS194" s="49">
        <f>IF(AND(AS$4&gt;EOMONTH(CloseDate,'Rent Roll'!$O$23+'Rent Roll'!$S$23-1),AS$4&lt;=EOMONTH(CloseDate,'Rent Roll'!$O$23+'Rent Roll'!$S$23-1+'Rent Roll'!$V$23)),-AS193,0)</f>
        <v>0</v>
      </c>
      <c r="AT194" s="49">
        <f>IF(AND(AT$4&gt;EOMONTH(CloseDate,'Rent Roll'!$O$23+'Rent Roll'!$S$23-1),AT$4&lt;=EOMONTH(CloseDate,'Rent Roll'!$O$23+'Rent Roll'!$S$23-1+'Rent Roll'!$V$23)),-AT193,0)</f>
        <v>0</v>
      </c>
      <c r="AU194" s="49">
        <f>IF(AND(AU$4&gt;EOMONTH(CloseDate,'Rent Roll'!$O$23+'Rent Roll'!$S$23-1),AU$4&lt;=EOMONTH(CloseDate,'Rent Roll'!$O$23+'Rent Roll'!$S$23-1+'Rent Roll'!$V$23)),-AU193,0)</f>
        <v>0</v>
      </c>
      <c r="AV194" s="49">
        <f>IF(AND(AV$4&gt;EOMONTH(CloseDate,'Rent Roll'!$O$23+'Rent Roll'!$S$23-1),AV$4&lt;=EOMONTH(CloseDate,'Rent Roll'!$O$23+'Rent Roll'!$S$23-1+'Rent Roll'!$V$23)),-AV193,0)</f>
        <v>0</v>
      </c>
      <c r="AW194" s="49">
        <f>IF(AND(AW$4&gt;EOMONTH(CloseDate,'Rent Roll'!$O$23+'Rent Roll'!$S$23-1),AW$4&lt;=EOMONTH(CloseDate,'Rent Roll'!$O$23+'Rent Roll'!$S$23-1+'Rent Roll'!$V$23)),-AW193,0)</f>
        <v>0</v>
      </c>
      <c r="AX194" s="49">
        <f>IF(AND(AX$4&gt;EOMONTH(CloseDate,'Rent Roll'!$O$23+'Rent Roll'!$S$23-1),AX$4&lt;=EOMONTH(CloseDate,'Rent Roll'!$O$23+'Rent Roll'!$S$23-1+'Rent Roll'!$V$23)),-AX193,0)</f>
        <v>0</v>
      </c>
      <c r="AY194" s="49">
        <f>IF(AND(AY$4&gt;EOMONTH(CloseDate,'Rent Roll'!$O$23+'Rent Roll'!$S$23-1),AY$4&lt;=EOMONTH(CloseDate,'Rent Roll'!$O$23+'Rent Roll'!$S$23-1+'Rent Roll'!$V$23)),-AY193,0)</f>
        <v>0</v>
      </c>
      <c r="AZ194" s="49">
        <f>IF(AND(AZ$4&gt;EOMONTH(CloseDate,'Rent Roll'!$O$23+'Rent Roll'!$S$23-1),AZ$4&lt;=EOMONTH(CloseDate,'Rent Roll'!$O$23+'Rent Roll'!$S$23-1+'Rent Roll'!$V$23)),-AZ193,0)</f>
        <v>0</v>
      </c>
      <c r="BA194" s="49">
        <f>IF(AND(BA$4&gt;EOMONTH(CloseDate,'Rent Roll'!$O$23+'Rent Roll'!$S$23-1),BA$4&lt;=EOMONTH(CloseDate,'Rent Roll'!$O$23+'Rent Roll'!$S$23-1+'Rent Roll'!$V$23)),-BA193,0)</f>
        <v>0</v>
      </c>
      <c r="BB194" s="49">
        <f>IF(AND(BB$4&gt;EOMONTH(CloseDate,'Rent Roll'!$O$23+'Rent Roll'!$S$23-1),BB$4&lt;=EOMONTH(CloseDate,'Rent Roll'!$O$23+'Rent Roll'!$S$23-1+'Rent Roll'!$V$23)),-BB193,0)</f>
        <v>0</v>
      </c>
      <c r="BC194" s="49">
        <f>IF(AND(BC$4&gt;EOMONTH(CloseDate,'Rent Roll'!$O$23+'Rent Roll'!$S$23-1),BC$4&lt;=EOMONTH(CloseDate,'Rent Roll'!$O$23+'Rent Roll'!$S$23-1+'Rent Roll'!$V$23)),-BC193,0)</f>
        <v>0</v>
      </c>
      <c r="BD194" s="49">
        <f>IF(AND(BD$4&gt;EOMONTH(CloseDate,'Rent Roll'!$O$23+'Rent Roll'!$S$23-1),BD$4&lt;=EOMONTH(CloseDate,'Rent Roll'!$O$23+'Rent Roll'!$S$23-1+'Rent Roll'!$V$23)),-BD193,0)</f>
        <v>0</v>
      </c>
      <c r="BE194" s="49">
        <f>IF(AND(BE$4&gt;EOMONTH(CloseDate,'Rent Roll'!$O$23+'Rent Roll'!$S$23-1),BE$4&lt;=EOMONTH(CloseDate,'Rent Roll'!$O$23+'Rent Roll'!$S$23-1+'Rent Roll'!$V$23)),-BE193,0)</f>
        <v>0</v>
      </c>
      <c r="BF194" s="49">
        <f>IF(AND(BF$4&gt;EOMONTH(CloseDate,'Rent Roll'!$O$23+'Rent Roll'!$S$23-1),BF$4&lt;=EOMONTH(CloseDate,'Rent Roll'!$O$23+'Rent Roll'!$S$23-1+'Rent Roll'!$V$23)),-BF193,0)</f>
        <v>0</v>
      </c>
      <c r="BG194" s="49">
        <f>IF(AND(BG$4&gt;EOMONTH(CloseDate,'Rent Roll'!$O$23+'Rent Roll'!$S$23-1),BG$4&lt;=EOMONTH(CloseDate,'Rent Roll'!$O$23+'Rent Roll'!$S$23-1+'Rent Roll'!$V$23)),-BG193,0)</f>
        <v>0</v>
      </c>
      <c r="BH194" s="49">
        <f>IF(AND(BH$4&gt;EOMONTH(CloseDate,'Rent Roll'!$O$23+'Rent Roll'!$S$23-1),BH$4&lt;=EOMONTH(CloseDate,'Rent Roll'!$O$23+'Rent Roll'!$S$23-1+'Rent Roll'!$V$23)),-BH193,0)</f>
        <v>0</v>
      </c>
      <c r="BI194" s="49">
        <f>IF(AND(BI$4&gt;EOMONTH(CloseDate,'Rent Roll'!$O$23+'Rent Roll'!$S$23-1),BI$4&lt;=EOMONTH(CloseDate,'Rent Roll'!$O$23+'Rent Roll'!$S$23-1+'Rent Roll'!$V$23)),-BI193,0)</f>
        <v>0</v>
      </c>
      <c r="BJ194" s="49">
        <f>IF(AND(BJ$4&gt;EOMONTH(CloseDate,'Rent Roll'!$O$23+'Rent Roll'!$S$23-1),BJ$4&lt;=EOMONTH(CloseDate,'Rent Roll'!$O$23+'Rent Roll'!$S$23-1+'Rent Roll'!$V$23)),-BJ193,0)</f>
        <v>0</v>
      </c>
      <c r="BK194" s="49">
        <f>IF(AND(BK$4&gt;EOMONTH(CloseDate,'Rent Roll'!$O$23+'Rent Roll'!$S$23-1),BK$4&lt;=EOMONTH(CloseDate,'Rent Roll'!$O$23+'Rent Roll'!$S$23-1+'Rent Roll'!$V$23)),-BK193,0)</f>
        <v>0</v>
      </c>
      <c r="BL194" s="49">
        <f>IF(AND(BL$4&gt;EOMONTH(CloseDate,'Rent Roll'!$O$23+'Rent Roll'!$S$23-1),BL$4&lt;=EOMONTH(CloseDate,'Rent Roll'!$O$23+'Rent Roll'!$S$23-1+'Rent Roll'!$V$23)),-BL193,0)</f>
        <v>0</v>
      </c>
      <c r="BM194" s="49">
        <f>IF(AND(BM$4&gt;EOMONTH(CloseDate,'Rent Roll'!$O$23+'Rent Roll'!$S$23-1),BM$4&lt;=EOMONTH(CloseDate,'Rent Roll'!$O$23+'Rent Roll'!$S$23-1+'Rent Roll'!$V$23)),-BM193,0)</f>
        <v>0</v>
      </c>
      <c r="BN194" s="49">
        <f>IF(AND(BN$4&gt;EOMONTH(CloseDate,'Rent Roll'!$O$23+'Rent Roll'!$S$23-1),BN$4&lt;=EOMONTH(CloseDate,'Rent Roll'!$O$23+'Rent Roll'!$S$23-1+'Rent Roll'!$V$23)),-BN193,0)</f>
        <v>0</v>
      </c>
      <c r="BO194" s="49">
        <f>IF(AND(BO$4&gt;EOMONTH(CloseDate,'Rent Roll'!$O$23+'Rent Roll'!$S$23-1),BO$4&lt;=EOMONTH(CloseDate,'Rent Roll'!$O$23+'Rent Roll'!$S$23-1+'Rent Roll'!$V$23)),-BO193,0)</f>
        <v>0</v>
      </c>
      <c r="BP194" s="49">
        <f>IF(AND(BP$4&gt;EOMONTH(CloseDate,'Rent Roll'!$O$23+'Rent Roll'!$S$23-1),BP$4&lt;=EOMONTH(CloseDate,'Rent Roll'!$O$23+'Rent Roll'!$S$23-1+'Rent Roll'!$V$23)),-BP193,0)</f>
        <v>0</v>
      </c>
      <c r="BQ194" s="49">
        <f>IF(AND(BQ$4&gt;EOMONTH(CloseDate,'Rent Roll'!$O$23+'Rent Roll'!$S$23-1),BQ$4&lt;=EOMONTH(CloseDate,'Rent Roll'!$O$23+'Rent Roll'!$S$23-1+'Rent Roll'!$V$23)),-BQ193,0)</f>
        <v>0</v>
      </c>
      <c r="BR194" s="49">
        <f>IF(AND(BR$4&gt;EOMONTH(CloseDate,'Rent Roll'!$O$23+'Rent Roll'!$S$23-1),BR$4&lt;=EOMONTH(CloseDate,'Rent Roll'!$O$23+'Rent Roll'!$S$23-1+'Rent Roll'!$V$23)),-BR193,0)</f>
        <v>0</v>
      </c>
      <c r="BS194" s="49">
        <f>IF(AND(BS$4&gt;EOMONTH(CloseDate,'Rent Roll'!$O$23+'Rent Roll'!$S$23-1),BS$4&lt;=EOMONTH(CloseDate,'Rent Roll'!$O$23+'Rent Roll'!$S$23-1+'Rent Roll'!$V$23)),-BS193,0)</f>
        <v>0</v>
      </c>
      <c r="BT194" s="49">
        <f>IF(AND(BT$4&gt;EOMONTH(CloseDate,'Rent Roll'!$O$23+'Rent Roll'!$S$23-1),BT$4&lt;=EOMONTH(CloseDate,'Rent Roll'!$O$23+'Rent Roll'!$S$23-1+'Rent Roll'!$V$23)),-BT193,0)</f>
        <v>0</v>
      </c>
      <c r="BU194" s="49">
        <f>IF(AND(BU$4&gt;EOMONTH(CloseDate,'Rent Roll'!$O$23+'Rent Roll'!$S$23-1),BU$4&lt;=EOMONTH(CloseDate,'Rent Roll'!$O$23+'Rent Roll'!$S$23-1+'Rent Roll'!$V$23)),-BU193,0)</f>
        <v>0</v>
      </c>
      <c r="BV194" s="49">
        <f>IF(AND(BV$4&gt;EOMONTH(CloseDate,'Rent Roll'!$O$23+'Rent Roll'!$S$23-1),BV$4&lt;=EOMONTH(CloseDate,'Rent Roll'!$O$23+'Rent Roll'!$S$23-1+'Rent Roll'!$V$23)),-BV193,0)</f>
        <v>0</v>
      </c>
      <c r="BW194" s="49">
        <f>IF(AND(BW$4&gt;EOMONTH(CloseDate,'Rent Roll'!$O$23+'Rent Roll'!$S$23-1),BW$4&lt;=EOMONTH(CloseDate,'Rent Roll'!$O$23+'Rent Roll'!$S$23-1+'Rent Roll'!$V$23)),-BW193,0)</f>
        <v>0</v>
      </c>
      <c r="BX194" s="49">
        <f>IF(AND(BX$4&gt;EOMONTH(CloseDate,'Rent Roll'!$O$23+'Rent Roll'!$S$23-1),BX$4&lt;=EOMONTH(CloseDate,'Rent Roll'!$O$23+'Rent Roll'!$S$23-1+'Rent Roll'!$V$23)),-BX193,0)</f>
        <v>0</v>
      </c>
    </row>
    <row r="195" spans="1:76" outlineLevel="1">
      <c r="B195" t="s">
        <v>84</v>
      </c>
      <c r="D195" s="49">
        <f>D191+D193+D194</f>
        <v>3854.1666666666665</v>
      </c>
      <c r="E195" s="49">
        <f t="shared" ref="E195:BJ195" si="68">E191+E193+E194</f>
        <v>3854.1666666666665</v>
      </c>
      <c r="F195" s="49">
        <f t="shared" si="68"/>
        <v>3854.1666666666665</v>
      </c>
      <c r="G195" s="49">
        <f t="shared" si="68"/>
        <v>3854.1666666666665</v>
      </c>
      <c r="H195" s="49">
        <f t="shared" si="68"/>
        <v>3854.1666666666665</v>
      </c>
      <c r="I195" s="49">
        <f t="shared" si="68"/>
        <v>3854.1666666666665</v>
      </c>
      <c r="J195" s="49">
        <f t="shared" si="68"/>
        <v>3854.1666666666665</v>
      </c>
      <c r="K195" s="49">
        <f t="shared" si="68"/>
        <v>3931.25</v>
      </c>
      <c r="L195" s="49">
        <f t="shared" si="68"/>
        <v>3931.25</v>
      </c>
      <c r="M195" s="49">
        <f t="shared" si="68"/>
        <v>3931.25</v>
      </c>
      <c r="N195" s="49">
        <f t="shared" si="68"/>
        <v>3931.25</v>
      </c>
      <c r="O195" s="49">
        <f t="shared" si="68"/>
        <v>3931.25</v>
      </c>
      <c r="P195" s="49">
        <f t="shared" si="68"/>
        <v>3931.25</v>
      </c>
      <c r="Q195" s="49">
        <f t="shared" si="68"/>
        <v>3931.25</v>
      </c>
      <c r="R195" s="49">
        <f t="shared" si="68"/>
        <v>3931.25</v>
      </c>
      <c r="S195" s="49">
        <f t="shared" si="68"/>
        <v>3931.25</v>
      </c>
      <c r="T195" s="49">
        <f t="shared" si="68"/>
        <v>3931.25</v>
      </c>
      <c r="U195" s="49">
        <f t="shared" si="68"/>
        <v>4009.875</v>
      </c>
      <c r="V195" s="49">
        <f t="shared" si="68"/>
        <v>0</v>
      </c>
      <c r="W195" s="49">
        <f t="shared" si="68"/>
        <v>0</v>
      </c>
      <c r="X195" s="49">
        <f t="shared" si="68"/>
        <v>0</v>
      </c>
      <c r="Y195" s="49">
        <f t="shared" si="68"/>
        <v>0</v>
      </c>
      <c r="Z195" s="49">
        <f t="shared" si="68"/>
        <v>0</v>
      </c>
      <c r="AA195" s="49">
        <f t="shared" si="68"/>
        <v>0</v>
      </c>
      <c r="AB195" s="49">
        <f t="shared" si="68"/>
        <v>0</v>
      </c>
      <c r="AC195" s="49">
        <f t="shared" si="68"/>
        <v>0</v>
      </c>
      <c r="AD195" s="49">
        <f t="shared" si="68"/>
        <v>5342.3122526041652</v>
      </c>
      <c r="AE195" s="49">
        <f t="shared" si="68"/>
        <v>5342.3122526041652</v>
      </c>
      <c r="AF195" s="49">
        <f t="shared" si="68"/>
        <v>5342.3122526041652</v>
      </c>
      <c r="AG195" s="49">
        <f t="shared" si="68"/>
        <v>5486.5546834244778</v>
      </c>
      <c r="AH195" s="49">
        <f t="shared" si="68"/>
        <v>5486.5546834244778</v>
      </c>
      <c r="AI195" s="49">
        <f t="shared" si="68"/>
        <v>5486.5546834244778</v>
      </c>
      <c r="AJ195" s="49">
        <f t="shared" si="68"/>
        <v>5486.5546834244778</v>
      </c>
      <c r="AK195" s="49">
        <f t="shared" si="68"/>
        <v>5486.5546834244778</v>
      </c>
      <c r="AL195" s="49">
        <f t="shared" si="68"/>
        <v>5486.5546834244778</v>
      </c>
      <c r="AM195" s="49">
        <f t="shared" si="68"/>
        <v>5486.5546834244778</v>
      </c>
      <c r="AN195" s="49">
        <f t="shared" si="68"/>
        <v>5486.5546834244778</v>
      </c>
      <c r="AO195" s="49">
        <f t="shared" si="68"/>
        <v>5486.5546834244778</v>
      </c>
      <c r="AP195" s="49">
        <f t="shared" si="68"/>
        <v>5486.5546834244778</v>
      </c>
      <c r="AQ195" s="49">
        <f t="shared" si="68"/>
        <v>5486.5546834244778</v>
      </c>
      <c r="AR195" s="49">
        <f t="shared" si="68"/>
        <v>5486.5546834244778</v>
      </c>
      <c r="AS195" s="49">
        <f t="shared" si="68"/>
        <v>5634.6916598769376</v>
      </c>
      <c r="AT195" s="49">
        <f t="shared" si="68"/>
        <v>5634.6916598769376</v>
      </c>
      <c r="AU195" s="49">
        <f t="shared" si="68"/>
        <v>5634.6916598769376</v>
      </c>
      <c r="AV195" s="49">
        <f t="shared" si="68"/>
        <v>5634.6916598769376</v>
      </c>
      <c r="AW195" s="49">
        <f t="shared" si="68"/>
        <v>5634.6916598769376</v>
      </c>
      <c r="AX195" s="49">
        <f t="shared" si="68"/>
        <v>5634.6916598769376</v>
      </c>
      <c r="AY195" s="49">
        <f t="shared" si="68"/>
        <v>5634.6916598769376</v>
      </c>
      <c r="AZ195" s="49">
        <f t="shared" si="68"/>
        <v>5634.6916598769376</v>
      </c>
      <c r="BA195" s="49">
        <f t="shared" si="68"/>
        <v>5634.6916598769376</v>
      </c>
      <c r="BB195" s="49">
        <f t="shared" si="68"/>
        <v>5634.6916598769376</v>
      </c>
      <c r="BC195" s="49">
        <f t="shared" si="68"/>
        <v>5634.6916598769376</v>
      </c>
      <c r="BD195" s="49">
        <f t="shared" si="68"/>
        <v>5634.6916598769376</v>
      </c>
      <c r="BE195" s="49">
        <f t="shared" si="68"/>
        <v>5786.8283346936141</v>
      </c>
      <c r="BF195" s="49">
        <f t="shared" si="68"/>
        <v>5786.8283346936141</v>
      </c>
      <c r="BG195" s="49">
        <f t="shared" si="68"/>
        <v>5786.8283346936141</v>
      </c>
      <c r="BH195" s="49">
        <f t="shared" si="68"/>
        <v>5786.8283346936141</v>
      </c>
      <c r="BI195" s="49">
        <f t="shared" si="68"/>
        <v>5786.8283346936141</v>
      </c>
      <c r="BJ195" s="49">
        <f t="shared" si="68"/>
        <v>5786.8283346936141</v>
      </c>
      <c r="BK195" s="49">
        <f t="shared" ref="BK195" si="69">BK191+BK193+BK194</f>
        <v>5786.8283346936141</v>
      </c>
      <c r="BL195" s="49">
        <f t="shared" ref="BL195:BX195" si="70">BL191+BL193+BL194</f>
        <v>5786.8283346936141</v>
      </c>
      <c r="BM195" s="49">
        <f t="shared" si="70"/>
        <v>5786.8283346936141</v>
      </c>
      <c r="BN195" s="49">
        <f t="shared" si="70"/>
        <v>5786.8283346936141</v>
      </c>
      <c r="BO195" s="49">
        <f t="shared" si="70"/>
        <v>5786.8283346936141</v>
      </c>
      <c r="BP195" s="49">
        <f t="shared" si="70"/>
        <v>5786.8283346936141</v>
      </c>
      <c r="BQ195" s="49">
        <f t="shared" si="70"/>
        <v>5943.0726997303409</v>
      </c>
      <c r="BR195" s="49">
        <f t="shared" si="70"/>
        <v>5943.0726997303409</v>
      </c>
      <c r="BS195" s="49">
        <f t="shared" si="70"/>
        <v>5943.0726997303409</v>
      </c>
      <c r="BT195" s="49">
        <f t="shared" si="70"/>
        <v>5943.0726997303409</v>
      </c>
      <c r="BU195" s="49">
        <f t="shared" si="70"/>
        <v>5943.0726997303409</v>
      </c>
      <c r="BV195" s="49">
        <f t="shared" si="70"/>
        <v>5943.0726997303409</v>
      </c>
      <c r="BW195" s="49">
        <f t="shared" si="70"/>
        <v>5943.0726997303409</v>
      </c>
      <c r="BX195" s="49">
        <f t="shared" si="70"/>
        <v>5943.0726997303409</v>
      </c>
    </row>
    <row r="196" spans="1:76" outlineLevel="1">
      <c r="B196" t="s">
        <v>85</v>
      </c>
      <c r="D196" s="49">
        <f>IF(OR(D190=1,D192=1),'Rent Roll'!$F$23/BldgSF*ReimbPool/12*D$7,0)</f>
        <v>2181.25</v>
      </c>
      <c r="E196" s="49">
        <f>IF(OR(E190=1,E192=1),'Rent Roll'!$F$23/BldgSF*ReimbPool/12*E$7,0)</f>
        <v>2181.25</v>
      </c>
      <c r="F196" s="49">
        <f>IF(OR(F190=1,F192=1),'Rent Roll'!$F$23/BldgSF*ReimbPool/12*F$7,0)</f>
        <v>2181.25</v>
      </c>
      <c r="G196" s="49">
        <f>IF(OR(G190=1,G192=1),'Rent Roll'!$F$23/BldgSF*ReimbPool/12*G$7,0)</f>
        <v>2181.25</v>
      </c>
      <c r="H196" s="49">
        <f>IF(OR(H190=1,H192=1),'Rent Roll'!$F$23/BldgSF*ReimbPool/12*H$7,0)</f>
        <v>2181.25</v>
      </c>
      <c r="I196" s="49">
        <f>IF(OR(I190=1,I192=1),'Rent Roll'!$F$23/BldgSF*ReimbPool/12*I$7,0)</f>
        <v>2240.1437499999997</v>
      </c>
      <c r="J196" s="49">
        <f>IF(OR(J190=1,J192=1),'Rent Roll'!$F$23/BldgSF*ReimbPool/12*J$7,0)</f>
        <v>2240.1437499999997</v>
      </c>
      <c r="K196" s="49">
        <f>IF(OR(K190=1,K192=1),'Rent Roll'!$F$23/BldgSF*ReimbPool/12*K$7,0)</f>
        <v>2240.1437499999997</v>
      </c>
      <c r="L196" s="49">
        <f>IF(OR(L190=1,L192=1),'Rent Roll'!$F$23/BldgSF*ReimbPool/12*L$7,0)</f>
        <v>2240.1437499999997</v>
      </c>
      <c r="M196" s="49">
        <f>IF(OR(M190=1,M192=1),'Rent Roll'!$F$23/BldgSF*ReimbPool/12*M$7,0)</f>
        <v>2240.1437499999997</v>
      </c>
      <c r="N196" s="49">
        <f>IF(OR(N190=1,N192=1),'Rent Roll'!$F$23/BldgSF*ReimbPool/12*N$7,0)</f>
        <v>2240.1437499999997</v>
      </c>
      <c r="O196" s="49">
        <f>IF(OR(O190=1,O192=1),'Rent Roll'!$F$23/BldgSF*ReimbPool/12*O$7,0)</f>
        <v>2240.1437499999997</v>
      </c>
      <c r="P196" s="49">
        <f>IF(OR(P190=1,P192=1),'Rent Roll'!$F$23/BldgSF*ReimbPool/12*P$7,0)</f>
        <v>2240.1437499999997</v>
      </c>
      <c r="Q196" s="49">
        <f>IF(OR(Q190=1,Q192=1),'Rent Roll'!$F$23/BldgSF*ReimbPool/12*Q$7,0)</f>
        <v>2240.1437499999997</v>
      </c>
      <c r="R196" s="49">
        <f>IF(OR(R190=1,R192=1),'Rent Roll'!$F$23/BldgSF*ReimbPool/12*R$7,0)</f>
        <v>2240.1437499999997</v>
      </c>
      <c r="S196" s="49">
        <f>IF(OR(S190=1,S192=1),'Rent Roll'!$F$23/BldgSF*ReimbPool/12*S$7,0)</f>
        <v>2240.1437499999997</v>
      </c>
      <c r="T196" s="49">
        <f>IF(OR(T190=1,T192=1),'Rent Roll'!$F$23/BldgSF*ReimbPool/12*T$7,0)</f>
        <v>2240.1437499999997</v>
      </c>
      <c r="U196" s="49">
        <f>IF(OR(U190=1,U192=1),'Rent Roll'!$F$23/BldgSF*ReimbPool/12*U$7,0)</f>
        <v>2300.6276312499995</v>
      </c>
      <c r="V196" s="49">
        <f>IF(OR(V190=1,V192=1),'Rent Roll'!$F$23/BldgSF*ReimbPool/12*V$7,0)</f>
        <v>0</v>
      </c>
      <c r="W196" s="49">
        <f>IF(OR(W190=1,W192=1),'Rent Roll'!$F$23/BldgSF*ReimbPool/12*W$7,0)</f>
        <v>0</v>
      </c>
      <c r="X196" s="49">
        <f>IF(OR(X190=1,X192=1),'Rent Roll'!$F$23/BldgSF*ReimbPool/12*X$7,0)</f>
        <v>0</v>
      </c>
      <c r="Y196" s="49">
        <f>IF(OR(Y190=1,Y192=1),'Rent Roll'!$F$23/BldgSF*ReimbPool/12*Y$7,0)</f>
        <v>0</v>
      </c>
      <c r="Z196" s="49">
        <f>IF(OR(Z190=1,Z192=1),'Rent Roll'!$F$23/BldgSF*ReimbPool/12*Z$7,0)</f>
        <v>0</v>
      </c>
      <c r="AA196" s="49">
        <f>IF(OR(AA190=1,AA192=1),'Rent Roll'!$F$23/BldgSF*ReimbPool/12*AA$7,0)</f>
        <v>0</v>
      </c>
      <c r="AB196" s="49">
        <f>IF(OR(AB190=1,AB192=1),'Rent Roll'!$F$23/BldgSF*ReimbPool/12*AB$7,0)</f>
        <v>2300.6276312499995</v>
      </c>
      <c r="AC196" s="49">
        <f>IF(OR(AC190=1,AC192=1),'Rent Roll'!$F$23/BldgSF*ReimbPool/12*AC$7,0)</f>
        <v>2300.6276312499995</v>
      </c>
      <c r="AD196" s="49">
        <f>IF(OR(AD190=1,AD192=1),'Rent Roll'!$F$23/BldgSF*ReimbPool/12*AD$7,0)</f>
        <v>2300.6276312499995</v>
      </c>
      <c r="AE196" s="49">
        <f>IF(OR(AE190=1,AE192=1),'Rent Roll'!$F$23/BldgSF*ReimbPool/12*AE$7,0)</f>
        <v>2300.6276312499995</v>
      </c>
      <c r="AF196" s="49">
        <f>IF(OR(AF190=1,AF192=1),'Rent Roll'!$F$23/BldgSF*ReimbPool/12*AF$7,0)</f>
        <v>2300.6276312499995</v>
      </c>
      <c r="AG196" s="49">
        <f>IF(OR(AG190=1,AG192=1),'Rent Roll'!$F$23/BldgSF*ReimbPool/12*AG$7,0)</f>
        <v>2362.7445772937494</v>
      </c>
      <c r="AH196" s="49">
        <f>IF(OR(AH190=1,AH192=1),'Rent Roll'!$F$23/BldgSF*ReimbPool/12*AH$7,0)</f>
        <v>2362.7445772937494</v>
      </c>
      <c r="AI196" s="49">
        <f>IF(OR(AI190=1,AI192=1),'Rent Roll'!$F$23/BldgSF*ReimbPool/12*AI$7,0)</f>
        <v>2362.7445772937494</v>
      </c>
      <c r="AJ196" s="49">
        <f>IF(OR(AJ190=1,AJ192=1),'Rent Roll'!$F$23/BldgSF*ReimbPool/12*AJ$7,0)</f>
        <v>2362.7445772937494</v>
      </c>
      <c r="AK196" s="49">
        <f>IF(OR(AK190=1,AK192=1),'Rent Roll'!$F$23/BldgSF*ReimbPool/12*AK$7,0)</f>
        <v>2362.7445772937494</v>
      </c>
      <c r="AL196" s="49">
        <f>IF(OR(AL190=1,AL192=1),'Rent Roll'!$F$23/BldgSF*ReimbPool/12*AL$7,0)</f>
        <v>2362.7445772937494</v>
      </c>
      <c r="AM196" s="49">
        <f>IF(OR(AM190=1,AM192=1),'Rent Roll'!$F$23/BldgSF*ReimbPool/12*AM$7,0)</f>
        <v>2362.7445772937494</v>
      </c>
      <c r="AN196" s="49">
        <f>IF(OR(AN190=1,AN192=1),'Rent Roll'!$F$23/BldgSF*ReimbPool/12*AN$7,0)</f>
        <v>2362.7445772937494</v>
      </c>
      <c r="AO196" s="49">
        <f>IF(OR(AO190=1,AO192=1),'Rent Roll'!$F$23/BldgSF*ReimbPool/12*AO$7,0)</f>
        <v>2362.7445772937494</v>
      </c>
      <c r="AP196" s="49">
        <f>IF(OR(AP190=1,AP192=1),'Rent Roll'!$F$23/BldgSF*ReimbPool/12*AP$7,0)</f>
        <v>2362.7445772937494</v>
      </c>
      <c r="AQ196" s="49">
        <f>IF(OR(AQ190=1,AQ192=1),'Rent Roll'!$F$23/BldgSF*ReimbPool/12*AQ$7,0)</f>
        <v>2362.7445772937494</v>
      </c>
      <c r="AR196" s="49">
        <f>IF(OR(AR190=1,AR192=1),'Rent Roll'!$F$23/BldgSF*ReimbPool/12*AR$7,0)</f>
        <v>2362.7445772937494</v>
      </c>
      <c r="AS196" s="49">
        <f>IF(OR(AS190=1,AS192=1),'Rent Roll'!$F$23/BldgSF*ReimbPool/12*AS$7,0)</f>
        <v>2426.5386808806802</v>
      </c>
      <c r="AT196" s="49">
        <f>IF(OR(AT190=1,AT192=1),'Rent Roll'!$F$23/BldgSF*ReimbPool/12*AT$7,0)</f>
        <v>2426.5386808806802</v>
      </c>
      <c r="AU196" s="49">
        <f>IF(OR(AU190=1,AU192=1),'Rent Roll'!$F$23/BldgSF*ReimbPool/12*AU$7,0)</f>
        <v>2426.5386808806802</v>
      </c>
      <c r="AV196" s="49">
        <f>IF(OR(AV190=1,AV192=1),'Rent Roll'!$F$23/BldgSF*ReimbPool/12*AV$7,0)</f>
        <v>2426.5386808806802</v>
      </c>
      <c r="AW196" s="49">
        <f>IF(OR(AW190=1,AW192=1),'Rent Roll'!$F$23/BldgSF*ReimbPool/12*AW$7,0)</f>
        <v>2426.5386808806802</v>
      </c>
      <c r="AX196" s="49">
        <f>IF(OR(AX190=1,AX192=1),'Rent Roll'!$F$23/BldgSF*ReimbPool/12*AX$7,0)</f>
        <v>2426.5386808806802</v>
      </c>
      <c r="AY196" s="49">
        <f>IF(OR(AY190=1,AY192=1),'Rent Roll'!$F$23/BldgSF*ReimbPool/12*AY$7,0)</f>
        <v>2426.5386808806802</v>
      </c>
      <c r="AZ196" s="49">
        <f>IF(OR(AZ190=1,AZ192=1),'Rent Roll'!$F$23/BldgSF*ReimbPool/12*AZ$7,0)</f>
        <v>2426.5386808806802</v>
      </c>
      <c r="BA196" s="49">
        <f>IF(OR(BA190=1,BA192=1),'Rent Roll'!$F$23/BldgSF*ReimbPool/12*BA$7,0)</f>
        <v>2426.5386808806802</v>
      </c>
      <c r="BB196" s="49">
        <f>IF(OR(BB190=1,BB192=1),'Rent Roll'!$F$23/BldgSF*ReimbPool/12*BB$7,0)</f>
        <v>2426.5386808806802</v>
      </c>
      <c r="BC196" s="49">
        <f>IF(OR(BC190=1,BC192=1),'Rent Roll'!$F$23/BldgSF*ReimbPool/12*BC$7,0)</f>
        <v>2426.5386808806802</v>
      </c>
      <c r="BD196" s="49">
        <f>IF(OR(BD190=1,BD192=1),'Rent Roll'!$F$23/BldgSF*ReimbPool/12*BD$7,0)</f>
        <v>2426.5386808806802</v>
      </c>
      <c r="BE196" s="49">
        <f>IF(OR(BE190=1,BE192=1),'Rent Roll'!$F$23/BldgSF*ReimbPool/12*BE$7,0)</f>
        <v>2492.0552252644584</v>
      </c>
      <c r="BF196" s="49">
        <f>IF(OR(BF190=1,BF192=1),'Rent Roll'!$F$23/BldgSF*ReimbPool/12*BF$7,0)</f>
        <v>2492.0552252644584</v>
      </c>
      <c r="BG196" s="49">
        <f>IF(OR(BG190=1,BG192=1),'Rent Roll'!$F$23/BldgSF*ReimbPool/12*BG$7,0)</f>
        <v>2492.0552252644584</v>
      </c>
      <c r="BH196" s="49">
        <f>IF(OR(BH190=1,BH192=1),'Rent Roll'!$F$23/BldgSF*ReimbPool/12*BH$7,0)</f>
        <v>2492.0552252644584</v>
      </c>
      <c r="BI196" s="49">
        <f>IF(OR(BI190=1,BI192=1),'Rent Roll'!$F$23/BldgSF*ReimbPool/12*BI$7,0)</f>
        <v>2492.0552252644584</v>
      </c>
      <c r="BJ196" s="49">
        <f>IF(OR(BJ190=1,BJ192=1),'Rent Roll'!$F$23/BldgSF*ReimbPool/12*BJ$7,0)</f>
        <v>2492.0552252644584</v>
      </c>
      <c r="BK196" s="49">
        <f>IF(OR(BK190=1,BK192=1),'Rent Roll'!$F$23/BldgSF*ReimbPool/12*BK$7,0)</f>
        <v>2492.0552252644584</v>
      </c>
      <c r="BL196" s="49">
        <f>IF(OR(BL190=1,BL192=1),'Rent Roll'!$F$23/BldgSF*ReimbPool/12*BL$7,0)</f>
        <v>2492.0552252644584</v>
      </c>
      <c r="BM196" s="49">
        <f>IF(OR(BM190=1,BM192=1),'Rent Roll'!$F$23/BldgSF*ReimbPool/12*BM$7,0)</f>
        <v>2492.0552252644584</v>
      </c>
      <c r="BN196" s="49">
        <f>IF(OR(BN190=1,BN192=1),'Rent Roll'!$F$23/BldgSF*ReimbPool/12*BN$7,0)</f>
        <v>2492.0552252644584</v>
      </c>
      <c r="BO196" s="49">
        <f>IF(OR(BO190=1,BO192=1),'Rent Roll'!$F$23/BldgSF*ReimbPool/12*BO$7,0)</f>
        <v>2492.0552252644584</v>
      </c>
      <c r="BP196" s="49">
        <f>IF(OR(BP190=1,BP192=1),'Rent Roll'!$F$23/BldgSF*ReimbPool/12*BP$7,0)</f>
        <v>2492.0552252644584</v>
      </c>
      <c r="BQ196" s="49">
        <f>IF(OR(BQ190=1,BQ192=1),'Rent Roll'!$F$23/BldgSF*ReimbPool/12*BQ$7,0)</f>
        <v>2559.3407163465986</v>
      </c>
      <c r="BR196" s="49">
        <f>IF(OR(BR190=1,BR192=1),'Rent Roll'!$F$23/BldgSF*ReimbPool/12*BR$7,0)</f>
        <v>2559.3407163465986</v>
      </c>
      <c r="BS196" s="49">
        <f>IF(OR(BS190=1,BS192=1),'Rent Roll'!$F$23/BldgSF*ReimbPool/12*BS$7,0)</f>
        <v>2559.3407163465986</v>
      </c>
      <c r="BT196" s="49">
        <f>IF(OR(BT190=1,BT192=1),'Rent Roll'!$F$23/BldgSF*ReimbPool/12*BT$7,0)</f>
        <v>2559.3407163465986</v>
      </c>
      <c r="BU196" s="49">
        <f>IF(OR(BU190=1,BU192=1),'Rent Roll'!$F$23/BldgSF*ReimbPool/12*BU$7,0)</f>
        <v>2559.3407163465986</v>
      </c>
      <c r="BV196" s="49">
        <f>IF(OR(BV190=1,BV192=1),'Rent Roll'!$F$23/BldgSF*ReimbPool/12*BV$7,0)</f>
        <v>2559.3407163465986</v>
      </c>
      <c r="BW196" s="49">
        <f>IF(OR(BW190=1,BW192=1),'Rent Roll'!$F$23/BldgSF*ReimbPool/12*BW$7,0)</f>
        <v>2559.3407163465986</v>
      </c>
      <c r="BX196" s="49">
        <f>IF(OR(BX190=1,BX192=1),'Rent Roll'!$F$23/BldgSF*ReimbPool/12*BX$7,0)</f>
        <v>2559.3407163465986</v>
      </c>
    </row>
    <row r="197" spans="1:76" outlineLevel="1">
      <c r="B197" t="s">
        <v>86</v>
      </c>
      <c r="D197" s="49">
        <f>IF(D$4=EOMONTH(CloseDate,'Rent Roll'!$O$23+'Rent Roll'!$S$23),-'Rent Roll'!$F$23*'Rent Roll'!$T$23,0)</f>
        <v>0</v>
      </c>
      <c r="E197" s="49">
        <f>IF(E$4=EOMONTH(CloseDate,'Rent Roll'!$O$23+'Rent Roll'!$S$23),-'Rent Roll'!$F$23*'Rent Roll'!$T$23,0)</f>
        <v>0</v>
      </c>
      <c r="F197" s="49">
        <f>IF(F$4=EOMONTH(CloseDate,'Rent Roll'!$O$23+'Rent Roll'!$S$23),-'Rent Roll'!$F$23*'Rent Roll'!$T$23,0)</f>
        <v>0</v>
      </c>
      <c r="G197" s="49">
        <f>IF(G$4=EOMONTH(CloseDate,'Rent Roll'!$O$23+'Rent Roll'!$S$23),-'Rent Roll'!$F$23*'Rent Roll'!$T$23,0)</f>
        <v>0</v>
      </c>
      <c r="H197" s="49">
        <f>IF(H$4=EOMONTH(CloseDate,'Rent Roll'!$O$23+'Rent Roll'!$S$23),-'Rent Roll'!$F$23*'Rent Roll'!$T$23,0)</f>
        <v>0</v>
      </c>
      <c r="I197" s="49">
        <f>IF(I$4=EOMONTH(CloseDate,'Rent Roll'!$O$23+'Rent Roll'!$S$23),-'Rent Roll'!$F$23*'Rent Roll'!$T$23,0)</f>
        <v>0</v>
      </c>
      <c r="J197" s="49">
        <f>IF(J$4=EOMONTH(CloseDate,'Rent Roll'!$O$23+'Rent Roll'!$S$23),-'Rent Roll'!$F$23*'Rent Roll'!$T$23,0)</f>
        <v>0</v>
      </c>
      <c r="K197" s="49">
        <f>IF(K$4=EOMONTH(CloseDate,'Rent Roll'!$O$23+'Rent Roll'!$S$23),-'Rent Roll'!$F$23*'Rent Roll'!$T$23,0)</f>
        <v>0</v>
      </c>
      <c r="L197" s="49">
        <f>IF(L$4=EOMONTH(CloseDate,'Rent Roll'!$O$23+'Rent Roll'!$S$23),-'Rent Roll'!$F$23*'Rent Roll'!$T$23,0)</f>
        <v>0</v>
      </c>
      <c r="M197" s="49">
        <f>IF(M$4=EOMONTH(CloseDate,'Rent Roll'!$O$23+'Rent Roll'!$S$23),-'Rent Roll'!$F$23*'Rent Roll'!$T$23,0)</f>
        <v>0</v>
      </c>
      <c r="N197" s="49">
        <f>IF(N$4=EOMONTH(CloseDate,'Rent Roll'!$O$23+'Rent Roll'!$S$23),-'Rent Roll'!$F$23*'Rent Roll'!$T$23,0)</f>
        <v>0</v>
      </c>
      <c r="O197" s="49">
        <f>IF(O$4=EOMONTH(CloseDate,'Rent Roll'!$O$23+'Rent Roll'!$S$23),-'Rent Roll'!$F$23*'Rent Roll'!$T$23,0)</f>
        <v>0</v>
      </c>
      <c r="P197" s="49">
        <f>IF(P$4=EOMONTH(CloseDate,'Rent Roll'!$O$23+'Rent Roll'!$S$23),-'Rent Roll'!$F$23*'Rent Roll'!$T$23,0)</f>
        <v>0</v>
      </c>
      <c r="Q197" s="49">
        <f>IF(Q$4=EOMONTH(CloseDate,'Rent Roll'!$O$23+'Rent Roll'!$S$23),-'Rent Roll'!$F$23*'Rent Roll'!$T$23,0)</f>
        <v>0</v>
      </c>
      <c r="R197" s="49">
        <f>IF(R$4=EOMONTH(CloseDate,'Rent Roll'!$O$23+'Rent Roll'!$S$23),-'Rent Roll'!$F$23*'Rent Roll'!$T$23,0)</f>
        <v>0</v>
      </c>
      <c r="S197" s="49">
        <f>IF(S$4=EOMONTH(CloseDate,'Rent Roll'!$O$23+'Rent Roll'!$S$23),-'Rent Roll'!$F$23*'Rent Roll'!$T$23,0)</f>
        <v>0</v>
      </c>
      <c r="T197" s="49">
        <f>IF(T$4=EOMONTH(CloseDate,'Rent Roll'!$O$23+'Rent Roll'!$S$23),-'Rent Roll'!$F$23*'Rent Roll'!$T$23,0)</f>
        <v>0</v>
      </c>
      <c r="U197" s="49">
        <f>IF(U$4=EOMONTH(CloseDate,'Rent Roll'!$O$23+'Rent Roll'!$S$23),-'Rent Roll'!$F$23*'Rent Roll'!$T$23,0)</f>
        <v>0</v>
      </c>
      <c r="V197" s="49">
        <f>IF(V$4=EOMONTH(CloseDate,'Rent Roll'!$O$23+'Rent Roll'!$S$23),-'Rent Roll'!$F$23*'Rent Roll'!$T$23,0)</f>
        <v>0</v>
      </c>
      <c r="W197" s="49">
        <f>IF(W$4=EOMONTH(CloseDate,'Rent Roll'!$O$23+'Rent Roll'!$S$23),-'Rent Roll'!$F$23*'Rent Roll'!$T$23,0)</f>
        <v>0</v>
      </c>
      <c r="X197" s="49">
        <f>IF(X$4=EOMONTH(CloseDate,'Rent Roll'!$O$23+'Rent Roll'!$S$23),-'Rent Roll'!$F$23*'Rent Roll'!$T$23,0)</f>
        <v>0</v>
      </c>
      <c r="Y197" s="49">
        <f>IF(Y$4=EOMONTH(CloseDate,'Rent Roll'!$O$23+'Rent Roll'!$S$23),-'Rent Roll'!$F$23*'Rent Roll'!$T$23,0)</f>
        <v>0</v>
      </c>
      <c r="Z197" s="49">
        <f>IF(Z$4=EOMONTH(CloseDate,'Rent Roll'!$O$23+'Rent Roll'!$S$23),-'Rent Roll'!$F$23*'Rent Roll'!$T$23,0)</f>
        <v>0</v>
      </c>
      <c r="AA197" s="49">
        <f>IF(AA$4=EOMONTH(CloseDate,'Rent Roll'!$O$23+'Rent Roll'!$S$23),-'Rent Roll'!$F$23*'Rent Roll'!$T$23,0)</f>
        <v>0</v>
      </c>
      <c r="AB197" s="49">
        <f>IF(AB$4=EOMONTH(CloseDate,'Rent Roll'!$O$23+'Rent Roll'!$S$23),-'Rent Roll'!$F$23*'Rent Roll'!$T$23,0)</f>
        <v>-80000</v>
      </c>
      <c r="AC197" s="49">
        <f>IF(AC$4=EOMONTH(CloseDate,'Rent Roll'!$O$23+'Rent Roll'!$S$23),-'Rent Roll'!$F$23*'Rent Roll'!$T$23,0)</f>
        <v>0</v>
      </c>
      <c r="AD197" s="49">
        <f>IF(AD$4=EOMONTH(CloseDate,'Rent Roll'!$O$23+'Rent Roll'!$S$23),-'Rent Roll'!$F$23*'Rent Roll'!$T$23,0)</f>
        <v>0</v>
      </c>
      <c r="AE197" s="49">
        <f>IF(AE$4=EOMONTH(CloseDate,'Rent Roll'!$O$23+'Rent Roll'!$S$23),-'Rent Roll'!$F$23*'Rent Roll'!$T$23,0)</f>
        <v>0</v>
      </c>
      <c r="AF197" s="49">
        <f>IF(AF$4=EOMONTH(CloseDate,'Rent Roll'!$O$23+'Rent Roll'!$S$23),-'Rent Roll'!$F$23*'Rent Roll'!$T$23,0)</f>
        <v>0</v>
      </c>
      <c r="AG197" s="49">
        <f>IF(AG$4=EOMONTH(CloseDate,'Rent Roll'!$O$23+'Rent Roll'!$S$23),-'Rent Roll'!$F$23*'Rent Roll'!$T$23,0)</f>
        <v>0</v>
      </c>
      <c r="AH197" s="49">
        <f>IF(AH$4=EOMONTH(CloseDate,'Rent Roll'!$O$23+'Rent Roll'!$S$23),-'Rent Roll'!$F$23*'Rent Roll'!$T$23,0)</f>
        <v>0</v>
      </c>
      <c r="AI197" s="49">
        <f>IF(AI$4=EOMONTH(CloseDate,'Rent Roll'!$O$23+'Rent Roll'!$S$23),-'Rent Roll'!$F$23*'Rent Roll'!$T$23,0)</f>
        <v>0</v>
      </c>
      <c r="AJ197" s="49">
        <f>IF(AJ$4=EOMONTH(CloseDate,'Rent Roll'!$O$23+'Rent Roll'!$S$23),-'Rent Roll'!$F$23*'Rent Roll'!$T$23,0)</f>
        <v>0</v>
      </c>
      <c r="AK197" s="49">
        <f>IF(AK$4=EOMONTH(CloseDate,'Rent Roll'!$O$23+'Rent Roll'!$S$23),-'Rent Roll'!$F$23*'Rent Roll'!$T$23,0)</f>
        <v>0</v>
      </c>
      <c r="AL197" s="49">
        <f>IF(AL$4=EOMONTH(CloseDate,'Rent Roll'!$O$23+'Rent Roll'!$S$23),-'Rent Roll'!$F$23*'Rent Roll'!$T$23,0)</f>
        <v>0</v>
      </c>
      <c r="AM197" s="49">
        <f>IF(AM$4=EOMONTH(CloseDate,'Rent Roll'!$O$23+'Rent Roll'!$S$23),-'Rent Roll'!$F$23*'Rent Roll'!$T$23,0)</f>
        <v>0</v>
      </c>
      <c r="AN197" s="49">
        <f>IF(AN$4=EOMONTH(CloseDate,'Rent Roll'!$O$23+'Rent Roll'!$S$23),-'Rent Roll'!$F$23*'Rent Roll'!$T$23,0)</f>
        <v>0</v>
      </c>
      <c r="AO197" s="49">
        <f>IF(AO$4=EOMONTH(CloseDate,'Rent Roll'!$O$23+'Rent Roll'!$S$23),-'Rent Roll'!$F$23*'Rent Roll'!$T$23,0)</f>
        <v>0</v>
      </c>
      <c r="AP197" s="49">
        <f>IF(AP$4=EOMONTH(CloseDate,'Rent Roll'!$O$23+'Rent Roll'!$S$23),-'Rent Roll'!$F$23*'Rent Roll'!$T$23,0)</f>
        <v>0</v>
      </c>
      <c r="AQ197" s="49">
        <f>IF(AQ$4=EOMONTH(CloseDate,'Rent Roll'!$O$23+'Rent Roll'!$S$23),-'Rent Roll'!$F$23*'Rent Roll'!$T$23,0)</f>
        <v>0</v>
      </c>
      <c r="AR197" s="49">
        <f>IF(AR$4=EOMONTH(CloseDate,'Rent Roll'!$O$23+'Rent Roll'!$S$23),-'Rent Roll'!$F$23*'Rent Roll'!$T$23,0)</f>
        <v>0</v>
      </c>
      <c r="AS197" s="49">
        <f>IF(AS$4=EOMONTH(CloseDate,'Rent Roll'!$O$23+'Rent Roll'!$S$23),-'Rent Roll'!$F$23*'Rent Roll'!$T$23,0)</f>
        <v>0</v>
      </c>
      <c r="AT197" s="49">
        <f>IF(AT$4=EOMONTH(CloseDate,'Rent Roll'!$O$23+'Rent Roll'!$S$23),-'Rent Roll'!$F$23*'Rent Roll'!$T$23,0)</f>
        <v>0</v>
      </c>
      <c r="AU197" s="49">
        <f>IF(AU$4=EOMONTH(CloseDate,'Rent Roll'!$O$23+'Rent Roll'!$S$23),-'Rent Roll'!$F$23*'Rent Roll'!$T$23,0)</f>
        <v>0</v>
      </c>
      <c r="AV197" s="49">
        <f>IF(AV$4=EOMONTH(CloseDate,'Rent Roll'!$O$23+'Rent Roll'!$S$23),-'Rent Roll'!$F$23*'Rent Roll'!$T$23,0)</f>
        <v>0</v>
      </c>
      <c r="AW197" s="49">
        <f>IF(AW$4=EOMONTH(CloseDate,'Rent Roll'!$O$23+'Rent Roll'!$S$23),-'Rent Roll'!$F$23*'Rent Roll'!$T$23,0)</f>
        <v>0</v>
      </c>
      <c r="AX197" s="49">
        <f>IF(AX$4=EOMONTH(CloseDate,'Rent Roll'!$O$23+'Rent Roll'!$S$23),-'Rent Roll'!$F$23*'Rent Roll'!$T$23,0)</f>
        <v>0</v>
      </c>
      <c r="AY197" s="49">
        <f>IF(AY$4=EOMONTH(CloseDate,'Rent Roll'!$O$23+'Rent Roll'!$S$23),-'Rent Roll'!$F$23*'Rent Roll'!$T$23,0)</f>
        <v>0</v>
      </c>
      <c r="AZ197" s="49">
        <f>IF(AZ$4=EOMONTH(CloseDate,'Rent Roll'!$O$23+'Rent Roll'!$S$23),-'Rent Roll'!$F$23*'Rent Roll'!$T$23,0)</f>
        <v>0</v>
      </c>
      <c r="BA197" s="49">
        <f>IF(BA$4=EOMONTH(CloseDate,'Rent Roll'!$O$23+'Rent Roll'!$S$23),-'Rent Roll'!$F$23*'Rent Roll'!$T$23,0)</f>
        <v>0</v>
      </c>
      <c r="BB197" s="49">
        <f>IF(BB$4=EOMONTH(CloseDate,'Rent Roll'!$O$23+'Rent Roll'!$S$23),-'Rent Roll'!$F$23*'Rent Roll'!$T$23,0)</f>
        <v>0</v>
      </c>
      <c r="BC197" s="49">
        <f>IF(BC$4=EOMONTH(CloseDate,'Rent Roll'!$O$23+'Rent Roll'!$S$23),-'Rent Roll'!$F$23*'Rent Roll'!$T$23,0)</f>
        <v>0</v>
      </c>
      <c r="BD197" s="49">
        <f>IF(BD$4=EOMONTH(CloseDate,'Rent Roll'!$O$23+'Rent Roll'!$S$23),-'Rent Roll'!$F$23*'Rent Roll'!$T$23,0)</f>
        <v>0</v>
      </c>
      <c r="BE197" s="49">
        <f>IF(BE$4=EOMONTH(CloseDate,'Rent Roll'!$O$23+'Rent Roll'!$S$23),-'Rent Roll'!$F$23*'Rent Roll'!$T$23,0)</f>
        <v>0</v>
      </c>
      <c r="BF197" s="49">
        <f>IF(BF$4=EOMONTH(CloseDate,'Rent Roll'!$O$23+'Rent Roll'!$S$23),-'Rent Roll'!$F$23*'Rent Roll'!$T$23,0)</f>
        <v>0</v>
      </c>
      <c r="BG197" s="49">
        <f>IF(BG$4=EOMONTH(CloseDate,'Rent Roll'!$O$23+'Rent Roll'!$S$23),-'Rent Roll'!$F$23*'Rent Roll'!$T$23,0)</f>
        <v>0</v>
      </c>
      <c r="BH197" s="49">
        <f>IF(BH$4=EOMONTH(CloseDate,'Rent Roll'!$O$23+'Rent Roll'!$S$23),-'Rent Roll'!$F$23*'Rent Roll'!$T$23,0)</f>
        <v>0</v>
      </c>
      <c r="BI197" s="49">
        <f>IF(BI$4=EOMONTH(CloseDate,'Rent Roll'!$O$23+'Rent Roll'!$S$23),-'Rent Roll'!$F$23*'Rent Roll'!$T$23,0)</f>
        <v>0</v>
      </c>
      <c r="BJ197" s="49">
        <f>IF(BJ$4=EOMONTH(CloseDate,'Rent Roll'!$O$23+'Rent Roll'!$S$23),-'Rent Roll'!$F$23*'Rent Roll'!$T$23,0)</f>
        <v>0</v>
      </c>
      <c r="BK197" s="49">
        <f>IF(BK$4=EOMONTH(CloseDate,'Rent Roll'!$O$23+'Rent Roll'!$S$23),-'Rent Roll'!$F$23*'Rent Roll'!$T$23,0)</f>
        <v>0</v>
      </c>
      <c r="BL197" s="49">
        <f>IF(BL$4=EOMONTH(CloseDate,'Rent Roll'!$O$23+'Rent Roll'!$S$23),-'Rent Roll'!$F$23*'Rent Roll'!$T$23,0)</f>
        <v>0</v>
      </c>
      <c r="BM197" s="49">
        <f>IF(BM$4=EOMONTH(CloseDate,'Rent Roll'!$O$23+'Rent Roll'!$S$23),-'Rent Roll'!$F$23*'Rent Roll'!$T$23,0)</f>
        <v>0</v>
      </c>
      <c r="BN197" s="49">
        <f>IF(BN$4=EOMONTH(CloseDate,'Rent Roll'!$O$23+'Rent Roll'!$S$23),-'Rent Roll'!$F$23*'Rent Roll'!$T$23,0)</f>
        <v>0</v>
      </c>
      <c r="BO197" s="49">
        <f>IF(BO$4=EOMONTH(CloseDate,'Rent Roll'!$O$23+'Rent Roll'!$S$23),-'Rent Roll'!$F$23*'Rent Roll'!$T$23,0)</f>
        <v>0</v>
      </c>
      <c r="BP197" s="49">
        <f>IF(BP$4=EOMONTH(CloseDate,'Rent Roll'!$O$23+'Rent Roll'!$S$23),-'Rent Roll'!$F$23*'Rent Roll'!$T$23,0)</f>
        <v>0</v>
      </c>
      <c r="BQ197" s="49">
        <f>IF(BQ$4=EOMONTH(CloseDate,'Rent Roll'!$O$23+'Rent Roll'!$S$23),-'Rent Roll'!$F$23*'Rent Roll'!$T$23,0)</f>
        <v>0</v>
      </c>
      <c r="BR197" s="49">
        <f>IF(BR$4=EOMONTH(CloseDate,'Rent Roll'!$O$23+'Rent Roll'!$S$23),-'Rent Roll'!$F$23*'Rent Roll'!$T$23,0)</f>
        <v>0</v>
      </c>
      <c r="BS197" s="49">
        <f>IF(BS$4=EOMONTH(CloseDate,'Rent Roll'!$O$23+'Rent Roll'!$S$23),-'Rent Roll'!$F$23*'Rent Roll'!$T$23,0)</f>
        <v>0</v>
      </c>
      <c r="BT197" s="49">
        <f>IF(BT$4=EOMONTH(CloseDate,'Rent Roll'!$O$23+'Rent Roll'!$S$23),-'Rent Roll'!$F$23*'Rent Roll'!$T$23,0)</f>
        <v>0</v>
      </c>
      <c r="BU197" s="49">
        <f>IF(BU$4=EOMONTH(CloseDate,'Rent Roll'!$O$23+'Rent Roll'!$S$23),-'Rent Roll'!$F$23*'Rent Roll'!$T$23,0)</f>
        <v>0</v>
      </c>
      <c r="BV197" s="49">
        <f>IF(BV$4=EOMONTH(CloseDate,'Rent Roll'!$O$23+'Rent Roll'!$S$23),-'Rent Roll'!$F$23*'Rent Roll'!$T$23,0)</f>
        <v>0</v>
      </c>
      <c r="BW197" s="49">
        <f>IF(BW$4=EOMONTH(CloseDate,'Rent Roll'!$O$23+'Rent Roll'!$S$23),-'Rent Roll'!$F$23*'Rent Roll'!$T$23,0)</f>
        <v>0</v>
      </c>
      <c r="BX197" s="49">
        <f>IF(BX$4=EOMONTH(CloseDate,'Rent Roll'!$O$23+'Rent Roll'!$S$23),-'Rent Roll'!$F$23*'Rent Roll'!$T$23,0)</f>
        <v>0</v>
      </c>
    </row>
    <row r="198" spans="1:76" outlineLevel="1">
      <c r="B198" t="s">
        <v>87</v>
      </c>
      <c r="D198" s="49">
        <f>IF(D$4=EOMONTH(CloseDate,'Rent Roll'!$O$23+'Rent Roll'!$S$23),-'Rent Roll'!$U$23*'Rent Roll'!$F$23*'Rent Roll'!$X$23,0)</f>
        <v>0</v>
      </c>
      <c r="E198" s="49">
        <f>IF(E$4=EOMONTH(CloseDate,'Rent Roll'!$O$23+'Rent Roll'!$S$23),-'Rent Roll'!$U$23*'Rent Roll'!$F$23*'Rent Roll'!$X$23,0)</f>
        <v>0</v>
      </c>
      <c r="F198" s="49">
        <f>IF(F$4=EOMONTH(CloseDate,'Rent Roll'!$O$23+'Rent Roll'!$S$23),-'Rent Roll'!$U$23*'Rent Roll'!$F$23*'Rent Roll'!$X$23,0)</f>
        <v>0</v>
      </c>
      <c r="G198" s="49">
        <f>IF(G$4=EOMONTH(CloseDate,'Rent Roll'!$O$23+'Rent Roll'!$S$23),-'Rent Roll'!$U$23*'Rent Roll'!$F$23*'Rent Roll'!$X$23,0)</f>
        <v>0</v>
      </c>
      <c r="H198" s="49">
        <f>IF(H$4=EOMONTH(CloseDate,'Rent Roll'!$O$23+'Rent Roll'!$S$23),-'Rent Roll'!$U$23*'Rent Roll'!$F$23*'Rent Roll'!$X$23,0)</f>
        <v>0</v>
      </c>
      <c r="I198" s="49">
        <f>IF(I$4=EOMONTH(CloseDate,'Rent Roll'!$O$23+'Rent Roll'!$S$23),-'Rent Roll'!$U$23*'Rent Roll'!$F$23*'Rent Roll'!$X$23,0)</f>
        <v>0</v>
      </c>
      <c r="J198" s="49">
        <f>IF(J$4=EOMONTH(CloseDate,'Rent Roll'!$O$23+'Rent Roll'!$S$23),-'Rent Roll'!$U$23*'Rent Roll'!$F$23*'Rent Roll'!$X$23,0)</f>
        <v>0</v>
      </c>
      <c r="K198" s="49">
        <f>IF(K$4=EOMONTH(CloseDate,'Rent Roll'!$O$23+'Rent Roll'!$S$23),-'Rent Roll'!$U$23*'Rent Roll'!$F$23*'Rent Roll'!$X$23,0)</f>
        <v>0</v>
      </c>
      <c r="L198" s="49">
        <f>IF(L$4=EOMONTH(CloseDate,'Rent Roll'!$O$23+'Rent Roll'!$S$23),-'Rent Roll'!$U$23*'Rent Roll'!$F$23*'Rent Roll'!$X$23,0)</f>
        <v>0</v>
      </c>
      <c r="M198" s="49">
        <f>IF(M$4=EOMONTH(CloseDate,'Rent Roll'!$O$23+'Rent Roll'!$S$23),-'Rent Roll'!$U$23*'Rent Roll'!$F$23*'Rent Roll'!$X$23,0)</f>
        <v>0</v>
      </c>
      <c r="N198" s="49">
        <f>IF(N$4=EOMONTH(CloseDate,'Rent Roll'!$O$23+'Rent Roll'!$S$23),-'Rent Roll'!$U$23*'Rent Roll'!$F$23*'Rent Roll'!$X$23,0)</f>
        <v>0</v>
      </c>
      <c r="O198" s="49">
        <f>IF(O$4=EOMONTH(CloseDate,'Rent Roll'!$O$23+'Rent Roll'!$S$23),-'Rent Roll'!$U$23*'Rent Roll'!$F$23*'Rent Roll'!$X$23,0)</f>
        <v>0</v>
      </c>
      <c r="P198" s="49">
        <f>IF(P$4=EOMONTH(CloseDate,'Rent Roll'!$O$23+'Rent Roll'!$S$23),-'Rent Roll'!$U$23*'Rent Roll'!$F$23*'Rent Roll'!$X$23,0)</f>
        <v>0</v>
      </c>
      <c r="Q198" s="49">
        <f>IF(Q$4=EOMONTH(CloseDate,'Rent Roll'!$O$23+'Rent Roll'!$S$23),-'Rent Roll'!$U$23*'Rent Roll'!$F$23*'Rent Roll'!$X$23,0)</f>
        <v>0</v>
      </c>
      <c r="R198" s="49">
        <f>IF(R$4=EOMONTH(CloseDate,'Rent Roll'!$O$23+'Rent Roll'!$S$23),-'Rent Roll'!$U$23*'Rent Roll'!$F$23*'Rent Roll'!$X$23,0)</f>
        <v>0</v>
      </c>
      <c r="S198" s="49">
        <f>IF(S$4=EOMONTH(CloseDate,'Rent Roll'!$O$23+'Rent Roll'!$S$23),-'Rent Roll'!$U$23*'Rent Roll'!$F$23*'Rent Roll'!$X$23,0)</f>
        <v>0</v>
      </c>
      <c r="T198" s="49">
        <f>IF(T$4=EOMONTH(CloseDate,'Rent Roll'!$O$23+'Rent Roll'!$S$23),-'Rent Roll'!$U$23*'Rent Roll'!$F$23*'Rent Roll'!$X$23,0)</f>
        <v>0</v>
      </c>
      <c r="U198" s="49">
        <f>IF(U$4=EOMONTH(CloseDate,'Rent Roll'!$O$23+'Rent Roll'!$S$23),-'Rent Roll'!$U$23*'Rent Roll'!$F$23*'Rent Roll'!$X$23,0)</f>
        <v>0</v>
      </c>
      <c r="V198" s="49">
        <f>IF(V$4=EOMONTH(CloseDate,'Rent Roll'!$O$23+'Rent Roll'!$S$23),-'Rent Roll'!$U$23*'Rent Roll'!$F$23*'Rent Roll'!$X$23,0)</f>
        <v>0</v>
      </c>
      <c r="W198" s="49">
        <f>IF(W$4=EOMONTH(CloseDate,'Rent Roll'!$O$23+'Rent Roll'!$S$23),-'Rent Roll'!$U$23*'Rent Roll'!$F$23*'Rent Roll'!$X$23,0)</f>
        <v>0</v>
      </c>
      <c r="X198" s="49">
        <f>IF(X$4=EOMONTH(CloseDate,'Rent Roll'!$O$23+'Rent Roll'!$S$23),-'Rent Roll'!$U$23*'Rent Roll'!$F$23*'Rent Roll'!$X$23,0)</f>
        <v>0</v>
      </c>
      <c r="Y198" s="49">
        <f>IF(Y$4=EOMONTH(CloseDate,'Rent Roll'!$O$23+'Rent Roll'!$S$23),-'Rent Roll'!$U$23*'Rent Roll'!$F$23*'Rent Roll'!$X$23,0)</f>
        <v>0</v>
      </c>
      <c r="Z198" s="49">
        <f>IF(Z$4=EOMONTH(CloseDate,'Rent Roll'!$O$23+'Rent Roll'!$S$23),-'Rent Roll'!$U$23*'Rent Roll'!$F$23*'Rent Roll'!$X$23,0)</f>
        <v>0</v>
      </c>
      <c r="AA198" s="49">
        <f>IF(AA$4=EOMONTH(CloseDate,'Rent Roll'!$O$23+'Rent Roll'!$S$23),-'Rent Roll'!$U$23*'Rent Roll'!$F$23*'Rent Roll'!$X$23,0)</f>
        <v>0</v>
      </c>
      <c r="AB198" s="49">
        <f>IF(AB$4=EOMONTH(CloseDate,'Rent Roll'!$O$23+'Rent Roll'!$S$23),-'Rent Roll'!$U$23*'Rent Roll'!$F$23*'Rent Roll'!$X$23,0)</f>
        <v>-3646.8749999999995</v>
      </c>
      <c r="AC198" s="49">
        <f>IF(AC$4=EOMONTH(CloseDate,'Rent Roll'!$O$23+'Rent Roll'!$S$23),-'Rent Roll'!$U$23*'Rent Roll'!$F$23*'Rent Roll'!$X$23,0)</f>
        <v>0</v>
      </c>
      <c r="AD198" s="49">
        <f>IF(AD$4=EOMONTH(CloseDate,'Rent Roll'!$O$23+'Rent Roll'!$S$23),-'Rent Roll'!$U$23*'Rent Roll'!$F$23*'Rent Roll'!$X$23,0)</f>
        <v>0</v>
      </c>
      <c r="AE198" s="49">
        <f>IF(AE$4=EOMONTH(CloseDate,'Rent Roll'!$O$23+'Rent Roll'!$S$23),-'Rent Roll'!$U$23*'Rent Roll'!$F$23*'Rent Roll'!$X$23,0)</f>
        <v>0</v>
      </c>
      <c r="AF198" s="49">
        <f>IF(AF$4=EOMONTH(CloseDate,'Rent Roll'!$O$23+'Rent Roll'!$S$23),-'Rent Roll'!$U$23*'Rent Roll'!$F$23*'Rent Roll'!$X$23,0)</f>
        <v>0</v>
      </c>
      <c r="AG198" s="49">
        <f>IF(AG$4=EOMONTH(CloseDate,'Rent Roll'!$O$23+'Rent Roll'!$S$23),-'Rent Roll'!$U$23*'Rent Roll'!$F$23*'Rent Roll'!$X$23,0)</f>
        <v>0</v>
      </c>
      <c r="AH198" s="49">
        <f>IF(AH$4=EOMONTH(CloseDate,'Rent Roll'!$O$23+'Rent Roll'!$S$23),-'Rent Roll'!$U$23*'Rent Roll'!$F$23*'Rent Roll'!$X$23,0)</f>
        <v>0</v>
      </c>
      <c r="AI198" s="49">
        <f>IF(AI$4=EOMONTH(CloseDate,'Rent Roll'!$O$23+'Rent Roll'!$S$23),-'Rent Roll'!$U$23*'Rent Roll'!$F$23*'Rent Roll'!$X$23,0)</f>
        <v>0</v>
      </c>
      <c r="AJ198" s="49">
        <f>IF(AJ$4=EOMONTH(CloseDate,'Rent Roll'!$O$23+'Rent Roll'!$S$23),-'Rent Roll'!$U$23*'Rent Roll'!$F$23*'Rent Roll'!$X$23,0)</f>
        <v>0</v>
      </c>
      <c r="AK198" s="49">
        <f>IF(AK$4=EOMONTH(CloseDate,'Rent Roll'!$O$23+'Rent Roll'!$S$23),-'Rent Roll'!$U$23*'Rent Roll'!$F$23*'Rent Roll'!$X$23,0)</f>
        <v>0</v>
      </c>
      <c r="AL198" s="49">
        <f>IF(AL$4=EOMONTH(CloseDate,'Rent Roll'!$O$23+'Rent Roll'!$S$23),-'Rent Roll'!$U$23*'Rent Roll'!$F$23*'Rent Roll'!$X$23,0)</f>
        <v>0</v>
      </c>
      <c r="AM198" s="49">
        <f>IF(AM$4=EOMONTH(CloseDate,'Rent Roll'!$O$23+'Rent Roll'!$S$23),-'Rent Roll'!$U$23*'Rent Roll'!$F$23*'Rent Roll'!$X$23,0)</f>
        <v>0</v>
      </c>
      <c r="AN198" s="49">
        <f>IF(AN$4=EOMONTH(CloseDate,'Rent Roll'!$O$23+'Rent Roll'!$S$23),-'Rent Roll'!$U$23*'Rent Roll'!$F$23*'Rent Roll'!$X$23,0)</f>
        <v>0</v>
      </c>
      <c r="AO198" s="49">
        <f>IF(AO$4=EOMONTH(CloseDate,'Rent Roll'!$O$23+'Rent Roll'!$S$23),-'Rent Roll'!$U$23*'Rent Roll'!$F$23*'Rent Roll'!$X$23,0)</f>
        <v>0</v>
      </c>
      <c r="AP198" s="49">
        <f>IF(AP$4=EOMONTH(CloseDate,'Rent Roll'!$O$23+'Rent Roll'!$S$23),-'Rent Roll'!$U$23*'Rent Roll'!$F$23*'Rent Roll'!$X$23,0)</f>
        <v>0</v>
      </c>
      <c r="AQ198" s="49">
        <f>IF(AQ$4=EOMONTH(CloseDate,'Rent Roll'!$O$23+'Rent Roll'!$S$23),-'Rent Roll'!$U$23*'Rent Roll'!$F$23*'Rent Roll'!$X$23,0)</f>
        <v>0</v>
      </c>
      <c r="AR198" s="49">
        <f>IF(AR$4=EOMONTH(CloseDate,'Rent Roll'!$O$23+'Rent Roll'!$S$23),-'Rent Roll'!$U$23*'Rent Roll'!$F$23*'Rent Roll'!$X$23,0)</f>
        <v>0</v>
      </c>
      <c r="AS198" s="49">
        <f>IF(AS$4=EOMONTH(CloseDate,'Rent Roll'!$O$23+'Rent Roll'!$S$23),-'Rent Roll'!$U$23*'Rent Roll'!$F$23*'Rent Roll'!$X$23,0)</f>
        <v>0</v>
      </c>
      <c r="AT198" s="49">
        <f>IF(AT$4=EOMONTH(CloseDate,'Rent Roll'!$O$23+'Rent Roll'!$S$23),-'Rent Roll'!$U$23*'Rent Roll'!$F$23*'Rent Roll'!$X$23,0)</f>
        <v>0</v>
      </c>
      <c r="AU198" s="49">
        <f>IF(AU$4=EOMONTH(CloseDate,'Rent Roll'!$O$23+'Rent Roll'!$S$23),-'Rent Roll'!$U$23*'Rent Roll'!$F$23*'Rent Roll'!$X$23,0)</f>
        <v>0</v>
      </c>
      <c r="AV198" s="49">
        <f>IF(AV$4=EOMONTH(CloseDate,'Rent Roll'!$O$23+'Rent Roll'!$S$23),-'Rent Roll'!$U$23*'Rent Roll'!$F$23*'Rent Roll'!$X$23,0)</f>
        <v>0</v>
      </c>
      <c r="AW198" s="49">
        <f>IF(AW$4=EOMONTH(CloseDate,'Rent Roll'!$O$23+'Rent Roll'!$S$23),-'Rent Roll'!$U$23*'Rent Roll'!$F$23*'Rent Roll'!$X$23,0)</f>
        <v>0</v>
      </c>
      <c r="AX198" s="49">
        <f>IF(AX$4=EOMONTH(CloseDate,'Rent Roll'!$O$23+'Rent Roll'!$S$23),-'Rent Roll'!$U$23*'Rent Roll'!$F$23*'Rent Roll'!$X$23,0)</f>
        <v>0</v>
      </c>
      <c r="AY198" s="49">
        <f>IF(AY$4=EOMONTH(CloseDate,'Rent Roll'!$O$23+'Rent Roll'!$S$23),-'Rent Roll'!$U$23*'Rent Roll'!$F$23*'Rent Roll'!$X$23,0)</f>
        <v>0</v>
      </c>
      <c r="AZ198" s="49">
        <f>IF(AZ$4=EOMONTH(CloseDate,'Rent Roll'!$O$23+'Rent Roll'!$S$23),-'Rent Roll'!$U$23*'Rent Roll'!$F$23*'Rent Roll'!$X$23,0)</f>
        <v>0</v>
      </c>
      <c r="BA198" s="49">
        <f>IF(BA$4=EOMONTH(CloseDate,'Rent Roll'!$O$23+'Rent Roll'!$S$23),-'Rent Roll'!$U$23*'Rent Roll'!$F$23*'Rent Roll'!$X$23,0)</f>
        <v>0</v>
      </c>
      <c r="BB198" s="49">
        <f>IF(BB$4=EOMONTH(CloseDate,'Rent Roll'!$O$23+'Rent Roll'!$S$23),-'Rent Roll'!$U$23*'Rent Roll'!$F$23*'Rent Roll'!$X$23,0)</f>
        <v>0</v>
      </c>
      <c r="BC198" s="49">
        <f>IF(BC$4=EOMONTH(CloseDate,'Rent Roll'!$O$23+'Rent Roll'!$S$23),-'Rent Roll'!$U$23*'Rent Roll'!$F$23*'Rent Roll'!$X$23,0)</f>
        <v>0</v>
      </c>
      <c r="BD198" s="49">
        <f>IF(BD$4=EOMONTH(CloseDate,'Rent Roll'!$O$23+'Rent Roll'!$S$23),-'Rent Roll'!$U$23*'Rent Roll'!$F$23*'Rent Roll'!$X$23,0)</f>
        <v>0</v>
      </c>
      <c r="BE198" s="49">
        <f>IF(BE$4=EOMONTH(CloseDate,'Rent Roll'!$O$23+'Rent Roll'!$S$23),-'Rent Roll'!$U$23*'Rent Roll'!$F$23*'Rent Roll'!$X$23,0)</f>
        <v>0</v>
      </c>
      <c r="BF198" s="49">
        <f>IF(BF$4=EOMONTH(CloseDate,'Rent Roll'!$O$23+'Rent Roll'!$S$23),-'Rent Roll'!$U$23*'Rent Roll'!$F$23*'Rent Roll'!$X$23,0)</f>
        <v>0</v>
      </c>
      <c r="BG198" s="49">
        <f>IF(BG$4=EOMONTH(CloseDate,'Rent Roll'!$O$23+'Rent Roll'!$S$23),-'Rent Roll'!$U$23*'Rent Roll'!$F$23*'Rent Roll'!$X$23,0)</f>
        <v>0</v>
      </c>
      <c r="BH198" s="49">
        <f>IF(BH$4=EOMONTH(CloseDate,'Rent Roll'!$O$23+'Rent Roll'!$S$23),-'Rent Roll'!$U$23*'Rent Roll'!$F$23*'Rent Roll'!$X$23,0)</f>
        <v>0</v>
      </c>
      <c r="BI198" s="49">
        <f>IF(BI$4=EOMONTH(CloseDate,'Rent Roll'!$O$23+'Rent Roll'!$S$23),-'Rent Roll'!$U$23*'Rent Roll'!$F$23*'Rent Roll'!$X$23,0)</f>
        <v>0</v>
      </c>
      <c r="BJ198" s="49">
        <f>IF(BJ$4=EOMONTH(CloseDate,'Rent Roll'!$O$23+'Rent Roll'!$S$23),-'Rent Roll'!$U$23*'Rent Roll'!$F$23*'Rent Roll'!$X$23,0)</f>
        <v>0</v>
      </c>
      <c r="BK198" s="49">
        <f>IF(BK$4=EOMONTH(CloseDate,'Rent Roll'!$O$23+'Rent Roll'!$S$23),-'Rent Roll'!$U$23*'Rent Roll'!$F$23*'Rent Roll'!$X$23,0)</f>
        <v>0</v>
      </c>
      <c r="BL198" s="49">
        <f>IF(BL$4=EOMONTH(CloseDate,'Rent Roll'!$O$23+'Rent Roll'!$S$23),-'Rent Roll'!$U$23*'Rent Roll'!$F$23*'Rent Roll'!$X$23,0)</f>
        <v>0</v>
      </c>
      <c r="BM198" s="49">
        <f>IF(BM$4=EOMONTH(CloseDate,'Rent Roll'!$O$23+'Rent Roll'!$S$23),-'Rent Roll'!$U$23*'Rent Roll'!$F$23*'Rent Roll'!$X$23,0)</f>
        <v>0</v>
      </c>
      <c r="BN198" s="49">
        <f>IF(BN$4=EOMONTH(CloseDate,'Rent Roll'!$O$23+'Rent Roll'!$S$23),-'Rent Roll'!$U$23*'Rent Roll'!$F$23*'Rent Roll'!$X$23,0)</f>
        <v>0</v>
      </c>
      <c r="BO198" s="49">
        <f>IF(BO$4=EOMONTH(CloseDate,'Rent Roll'!$O$23+'Rent Roll'!$S$23),-'Rent Roll'!$U$23*'Rent Roll'!$F$23*'Rent Roll'!$X$23,0)</f>
        <v>0</v>
      </c>
      <c r="BP198" s="49">
        <f>IF(BP$4=EOMONTH(CloseDate,'Rent Roll'!$O$23+'Rent Roll'!$S$23),-'Rent Roll'!$U$23*'Rent Roll'!$F$23*'Rent Roll'!$X$23,0)</f>
        <v>0</v>
      </c>
      <c r="BQ198" s="49">
        <f>IF(BQ$4=EOMONTH(CloseDate,'Rent Roll'!$O$23+'Rent Roll'!$S$23),-'Rent Roll'!$U$23*'Rent Roll'!$F$23*'Rent Roll'!$X$23,0)</f>
        <v>0</v>
      </c>
      <c r="BR198" s="49">
        <f>IF(BR$4=EOMONTH(CloseDate,'Rent Roll'!$O$23+'Rent Roll'!$S$23),-'Rent Roll'!$U$23*'Rent Roll'!$F$23*'Rent Roll'!$X$23,0)</f>
        <v>0</v>
      </c>
      <c r="BS198" s="49">
        <f>IF(BS$4=EOMONTH(CloseDate,'Rent Roll'!$O$23+'Rent Roll'!$S$23),-'Rent Roll'!$U$23*'Rent Roll'!$F$23*'Rent Roll'!$X$23,0)</f>
        <v>0</v>
      </c>
      <c r="BT198" s="49">
        <f>IF(BT$4=EOMONTH(CloseDate,'Rent Roll'!$O$23+'Rent Roll'!$S$23),-'Rent Roll'!$U$23*'Rent Roll'!$F$23*'Rent Roll'!$X$23,0)</f>
        <v>0</v>
      </c>
      <c r="BU198" s="49">
        <f>IF(BU$4=EOMONTH(CloseDate,'Rent Roll'!$O$23+'Rent Roll'!$S$23),-'Rent Roll'!$U$23*'Rent Roll'!$F$23*'Rent Roll'!$X$23,0)</f>
        <v>0</v>
      </c>
      <c r="BV198" s="49">
        <f>IF(BV$4=EOMONTH(CloseDate,'Rent Roll'!$O$23+'Rent Roll'!$S$23),-'Rent Roll'!$U$23*'Rent Roll'!$F$23*'Rent Roll'!$X$23,0)</f>
        <v>0</v>
      </c>
      <c r="BW198" s="49">
        <f>IF(BW$4=EOMONTH(CloseDate,'Rent Roll'!$O$23+'Rent Roll'!$S$23),-'Rent Roll'!$U$23*'Rent Roll'!$F$23*'Rent Roll'!$X$23,0)</f>
        <v>0</v>
      </c>
      <c r="BX198" s="49">
        <f>IF(BX$4=EOMONTH(CloseDate,'Rent Roll'!$O$23+'Rent Roll'!$S$23),-'Rent Roll'!$U$23*'Rent Roll'!$F$23*'Rent Roll'!$X$23,0)</f>
        <v>0</v>
      </c>
    </row>
    <row r="199" spans="1:76" outlineLevel="1">
      <c r="A199" s="45" t="str">
        <f>'Rent Roll'!C24</f>
        <v>SouthPark Dental Associates</v>
      </c>
      <c r="B199" s="57">
        <f>INDEX('Rent Roll'!$F$5:$F$46,MATCH('Rent Roll Calc'!A199,'Rent Roll'!$C$5:$C$46,0))</f>
        <v>1800</v>
      </c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  <c r="AA199" s="49"/>
      <c r="AB199" s="49"/>
      <c r="AC199" s="49"/>
      <c r="AD199" s="49"/>
      <c r="AE199" s="49"/>
      <c r="AF199" s="49"/>
      <c r="AG199" s="49"/>
      <c r="AH199" s="49"/>
      <c r="AI199" s="49"/>
      <c r="AJ199" s="49"/>
      <c r="AK199" s="49"/>
      <c r="AL199" s="49"/>
      <c r="AM199" s="49"/>
      <c r="AN199" s="49"/>
      <c r="AO199" s="49"/>
      <c r="AP199" s="49"/>
      <c r="AQ199" s="49"/>
      <c r="AR199" s="49"/>
      <c r="AS199" s="49"/>
      <c r="AT199" s="49"/>
      <c r="AU199" s="49"/>
      <c r="AV199" s="49"/>
      <c r="AW199" s="49"/>
      <c r="AX199" s="49"/>
      <c r="AY199" s="49"/>
      <c r="AZ199" s="49"/>
      <c r="BA199" s="49"/>
      <c r="BB199" s="49"/>
      <c r="BC199" s="49"/>
      <c r="BD199" s="49"/>
      <c r="BE199" s="49"/>
      <c r="BF199" s="49"/>
      <c r="BG199" s="49"/>
      <c r="BH199" s="49"/>
      <c r="BI199" s="49"/>
      <c r="BJ199" s="49"/>
      <c r="BK199" s="49"/>
      <c r="BL199" s="49"/>
      <c r="BM199" s="49"/>
      <c r="BN199" s="49"/>
      <c r="BO199" s="49"/>
      <c r="BP199" s="49"/>
      <c r="BQ199" s="49"/>
      <c r="BR199" s="49"/>
      <c r="BS199" s="49"/>
      <c r="BT199" s="49"/>
      <c r="BU199" s="49"/>
      <c r="BV199" s="49"/>
      <c r="BW199" s="49"/>
      <c r="BX199" s="49"/>
    </row>
    <row r="200" spans="1:76">
      <c r="B200" t="s">
        <v>83</v>
      </c>
      <c r="D200" s="49">
        <f>0</f>
        <v>0</v>
      </c>
      <c r="E200" s="49">
        <f>0</f>
        <v>0</v>
      </c>
      <c r="F200" s="49">
        <f>0</f>
        <v>0</v>
      </c>
      <c r="G200" s="49">
        <f>0</f>
        <v>0</v>
      </c>
      <c r="H200" s="49">
        <f>0</f>
        <v>0</v>
      </c>
      <c r="I200" s="49">
        <f>0</f>
        <v>0</v>
      </c>
      <c r="J200" s="49">
        <f>0</f>
        <v>0</v>
      </c>
      <c r="K200" s="49">
        <f>0</f>
        <v>0</v>
      </c>
      <c r="L200" s="49">
        <f>0</f>
        <v>0</v>
      </c>
      <c r="M200" s="49">
        <f>0</f>
        <v>0</v>
      </c>
      <c r="N200" s="49">
        <f>0</f>
        <v>0</v>
      </c>
      <c r="O200" s="49">
        <f>0</f>
        <v>0</v>
      </c>
      <c r="P200" s="49">
        <f>0</f>
        <v>0</v>
      </c>
      <c r="Q200" s="49">
        <f>0</f>
        <v>0</v>
      </c>
      <c r="R200" s="49">
        <f>0</f>
        <v>0</v>
      </c>
      <c r="S200" s="49">
        <f>0</f>
        <v>0</v>
      </c>
      <c r="T200" s="49">
        <f>0</f>
        <v>0</v>
      </c>
      <c r="U200" s="49">
        <f>0</f>
        <v>0</v>
      </c>
      <c r="V200" s="49">
        <f>0</f>
        <v>0</v>
      </c>
      <c r="W200" s="49">
        <f>0</f>
        <v>0</v>
      </c>
      <c r="X200" s="49">
        <f>0</f>
        <v>0</v>
      </c>
      <c r="Y200" s="49">
        <f>0</f>
        <v>0</v>
      </c>
      <c r="Z200" s="49">
        <f>0</f>
        <v>0</v>
      </c>
      <c r="AA200" s="49">
        <f>0</f>
        <v>0</v>
      </c>
      <c r="AB200" s="49">
        <f>0</f>
        <v>0</v>
      </c>
      <c r="AC200" s="49">
        <f>0</f>
        <v>0</v>
      </c>
      <c r="AD200" s="49">
        <f>0</f>
        <v>0</v>
      </c>
      <c r="AE200" s="49">
        <f>0</f>
        <v>0</v>
      </c>
      <c r="AF200" s="49">
        <f>0</f>
        <v>0</v>
      </c>
      <c r="AG200" s="49">
        <f>0</f>
        <v>0</v>
      </c>
      <c r="AH200" s="49">
        <f>0</f>
        <v>0</v>
      </c>
      <c r="AI200" s="49">
        <f>0</f>
        <v>0</v>
      </c>
      <c r="AJ200" s="49">
        <f>0</f>
        <v>0</v>
      </c>
      <c r="AK200" s="49">
        <f>0</f>
        <v>0</v>
      </c>
      <c r="AL200" s="49">
        <f>0</f>
        <v>0</v>
      </c>
      <c r="AM200" s="49">
        <f>0</f>
        <v>0</v>
      </c>
      <c r="AN200" s="49">
        <f>0</f>
        <v>0</v>
      </c>
      <c r="AO200" s="49">
        <f>0</f>
        <v>0</v>
      </c>
      <c r="AP200" s="49">
        <f>0</f>
        <v>0</v>
      </c>
      <c r="AQ200" s="49">
        <f>0</f>
        <v>0</v>
      </c>
      <c r="AR200" s="49">
        <f>0</f>
        <v>0</v>
      </c>
      <c r="AS200" s="49">
        <f>0</f>
        <v>0</v>
      </c>
      <c r="AT200" s="49">
        <f>0</f>
        <v>0</v>
      </c>
      <c r="AU200" s="49">
        <f>0</f>
        <v>0</v>
      </c>
      <c r="AV200" s="49">
        <f>0</f>
        <v>0</v>
      </c>
      <c r="AW200" s="49">
        <f>0</f>
        <v>0</v>
      </c>
      <c r="AX200" s="49">
        <f>0</f>
        <v>0</v>
      </c>
      <c r="AY200" s="49">
        <f>0</f>
        <v>0</v>
      </c>
      <c r="AZ200" s="49">
        <f>0</f>
        <v>0</v>
      </c>
      <c r="BA200" s="49">
        <f>0</f>
        <v>0</v>
      </c>
      <c r="BB200" s="49">
        <f>0</f>
        <v>0</v>
      </c>
      <c r="BC200" s="49">
        <f>0</f>
        <v>0</v>
      </c>
      <c r="BD200" s="49">
        <f>0</f>
        <v>0</v>
      </c>
      <c r="BE200" s="49">
        <f>0</f>
        <v>0</v>
      </c>
      <c r="BF200" s="49">
        <f>0</f>
        <v>0</v>
      </c>
      <c r="BG200" s="49">
        <f>0</f>
        <v>0</v>
      </c>
      <c r="BH200" s="49">
        <f>0</f>
        <v>0</v>
      </c>
      <c r="BI200" s="49">
        <f>0</f>
        <v>0</v>
      </c>
      <c r="BJ200" s="49">
        <f>0</f>
        <v>0</v>
      </c>
      <c r="BK200" s="49">
        <f>0</f>
        <v>0</v>
      </c>
      <c r="BL200" s="49">
        <f>0</f>
        <v>0</v>
      </c>
      <c r="BM200" s="49">
        <f>0</f>
        <v>0</v>
      </c>
      <c r="BN200" s="49">
        <f>0</f>
        <v>0</v>
      </c>
      <c r="BO200" s="49">
        <f>0</f>
        <v>0</v>
      </c>
      <c r="BP200" s="49">
        <f>0</f>
        <v>0</v>
      </c>
      <c r="BQ200" s="49">
        <f>0</f>
        <v>0</v>
      </c>
      <c r="BR200" s="49">
        <f>0</f>
        <v>0</v>
      </c>
      <c r="BS200" s="49">
        <f>0</f>
        <v>0</v>
      </c>
      <c r="BT200" s="49">
        <f>0</f>
        <v>0</v>
      </c>
      <c r="BU200" s="49">
        <f>0</f>
        <v>0</v>
      </c>
      <c r="BV200" s="49">
        <f>0</f>
        <v>0</v>
      </c>
      <c r="BW200" s="49">
        <f>0</f>
        <v>0</v>
      </c>
      <c r="BX200" s="49">
        <f>0</f>
        <v>0</v>
      </c>
    </row>
    <row r="201" spans="1:76">
      <c r="B201" t="s">
        <v>159</v>
      </c>
      <c r="D201" s="49">
        <f>0</f>
        <v>0</v>
      </c>
      <c r="E201" s="49">
        <f>0</f>
        <v>0</v>
      </c>
      <c r="F201" s="49">
        <f>0</f>
        <v>0</v>
      </c>
      <c r="G201" s="49">
        <f>0</f>
        <v>0</v>
      </c>
      <c r="H201" s="49">
        <f>0</f>
        <v>0</v>
      </c>
      <c r="I201" s="49">
        <f>0</f>
        <v>0</v>
      </c>
      <c r="J201" s="49">
        <f>0</f>
        <v>0</v>
      </c>
      <c r="K201" s="49">
        <f>0</f>
        <v>0</v>
      </c>
      <c r="L201" s="49">
        <f>0</f>
        <v>0</v>
      </c>
      <c r="M201" s="49">
        <f>0</f>
        <v>0</v>
      </c>
      <c r="N201" s="49">
        <f>0</f>
        <v>0</v>
      </c>
      <c r="O201" s="49">
        <f>0</f>
        <v>0</v>
      </c>
      <c r="P201" s="49">
        <f>0</f>
        <v>0</v>
      </c>
      <c r="Q201" s="49">
        <f>0</f>
        <v>0</v>
      </c>
      <c r="R201" s="49">
        <f>0</f>
        <v>0</v>
      </c>
      <c r="S201" s="49">
        <f>0</f>
        <v>0</v>
      </c>
      <c r="T201" s="49">
        <f>0</f>
        <v>0</v>
      </c>
      <c r="U201" s="49">
        <f>0</f>
        <v>0</v>
      </c>
      <c r="V201" s="49">
        <f>0</f>
        <v>0</v>
      </c>
      <c r="W201" s="49">
        <f>0</f>
        <v>0</v>
      </c>
      <c r="X201" s="49">
        <f>0</f>
        <v>0</v>
      </c>
      <c r="Y201" s="49">
        <f>0</f>
        <v>0</v>
      </c>
      <c r="Z201" s="49">
        <f>0</f>
        <v>0</v>
      </c>
      <c r="AA201" s="49">
        <f>0</f>
        <v>0</v>
      </c>
      <c r="AB201" s="49">
        <f>0</f>
        <v>0</v>
      </c>
      <c r="AC201" s="49">
        <f>0</f>
        <v>0</v>
      </c>
      <c r="AD201" s="49">
        <f>0</f>
        <v>0</v>
      </c>
      <c r="AE201" s="49">
        <f>0</f>
        <v>0</v>
      </c>
      <c r="AF201" s="49">
        <f>0</f>
        <v>0</v>
      </c>
      <c r="AG201" s="49">
        <f>0</f>
        <v>0</v>
      </c>
      <c r="AH201" s="49">
        <f>0</f>
        <v>0</v>
      </c>
      <c r="AI201" s="49">
        <f>0</f>
        <v>0</v>
      </c>
      <c r="AJ201" s="49">
        <f>0</f>
        <v>0</v>
      </c>
      <c r="AK201" s="49">
        <f>0</f>
        <v>0</v>
      </c>
      <c r="AL201" s="49">
        <f>0</f>
        <v>0</v>
      </c>
      <c r="AM201" s="49">
        <f>0</f>
        <v>0</v>
      </c>
      <c r="AN201" s="49">
        <f>0</f>
        <v>0</v>
      </c>
      <c r="AO201" s="49">
        <f>0</f>
        <v>0</v>
      </c>
      <c r="AP201" s="49">
        <f>0</f>
        <v>0</v>
      </c>
      <c r="AQ201" s="49">
        <f>0</f>
        <v>0</v>
      </c>
      <c r="AR201" s="49">
        <f>0</f>
        <v>0</v>
      </c>
      <c r="AS201" s="49">
        <f>0</f>
        <v>0</v>
      </c>
      <c r="AT201" s="49">
        <f>0</f>
        <v>0</v>
      </c>
      <c r="AU201" s="49">
        <f>0</f>
        <v>0</v>
      </c>
      <c r="AV201" s="49">
        <f>0</f>
        <v>0</v>
      </c>
      <c r="AW201" s="49">
        <f>0</f>
        <v>0</v>
      </c>
      <c r="AX201" s="49">
        <f>0</f>
        <v>0</v>
      </c>
      <c r="AY201" s="49">
        <f>0</f>
        <v>0</v>
      </c>
      <c r="AZ201" s="49">
        <f>0</f>
        <v>0</v>
      </c>
      <c r="BA201" s="49">
        <f>0</f>
        <v>0</v>
      </c>
      <c r="BB201" s="49">
        <f>0</f>
        <v>0</v>
      </c>
      <c r="BC201" s="49">
        <f>0</f>
        <v>0</v>
      </c>
      <c r="BD201" s="49">
        <f>0</f>
        <v>0</v>
      </c>
      <c r="BE201" s="49">
        <f>0</f>
        <v>0</v>
      </c>
      <c r="BF201" s="49">
        <f>0</f>
        <v>0</v>
      </c>
      <c r="BG201" s="49">
        <f>0</f>
        <v>0</v>
      </c>
      <c r="BH201" s="49">
        <f>0</f>
        <v>0</v>
      </c>
      <c r="BI201" s="49">
        <f>0</f>
        <v>0</v>
      </c>
      <c r="BJ201" s="49">
        <f>0</f>
        <v>0</v>
      </c>
      <c r="BK201" s="49">
        <f>0</f>
        <v>0</v>
      </c>
      <c r="BL201" s="49">
        <f>0</f>
        <v>0</v>
      </c>
      <c r="BM201" s="49">
        <f>0</f>
        <v>0</v>
      </c>
      <c r="BN201" s="49">
        <f>0</f>
        <v>0</v>
      </c>
      <c r="BO201" s="49">
        <f>0</f>
        <v>0</v>
      </c>
      <c r="BP201" s="49">
        <f>0</f>
        <v>0</v>
      </c>
      <c r="BQ201" s="49">
        <f>0</f>
        <v>0</v>
      </c>
      <c r="BR201" s="49">
        <f>0</f>
        <v>0</v>
      </c>
      <c r="BS201" s="49">
        <f>0</f>
        <v>0</v>
      </c>
      <c r="BT201" s="49">
        <f>0</f>
        <v>0</v>
      </c>
      <c r="BU201" s="49">
        <f>0</f>
        <v>0</v>
      </c>
      <c r="BV201" s="49">
        <f>0</f>
        <v>0</v>
      </c>
      <c r="BW201" s="49">
        <f>0</f>
        <v>0</v>
      </c>
      <c r="BX201" s="49">
        <f>0</f>
        <v>0</v>
      </c>
    </row>
    <row r="202" spans="1:76" outlineLevel="1">
      <c r="B202" t="s">
        <v>160</v>
      </c>
      <c r="D202" s="49">
        <f>0</f>
        <v>0</v>
      </c>
      <c r="E202" s="49">
        <f>0</f>
        <v>0</v>
      </c>
      <c r="F202" s="49">
        <f>0</f>
        <v>0</v>
      </c>
      <c r="G202" s="49">
        <f>0</f>
        <v>0</v>
      </c>
      <c r="H202" s="49">
        <f>0</f>
        <v>0</v>
      </c>
      <c r="I202" s="49">
        <f>0</f>
        <v>0</v>
      </c>
      <c r="J202" s="49">
        <f>0</f>
        <v>0</v>
      </c>
      <c r="K202" s="49">
        <f>0</f>
        <v>0</v>
      </c>
      <c r="L202" s="49">
        <f>0</f>
        <v>0</v>
      </c>
      <c r="M202" s="49">
        <f>0</f>
        <v>0</v>
      </c>
      <c r="N202" s="49">
        <f>0</f>
        <v>0</v>
      </c>
      <c r="O202" s="49">
        <f>0</f>
        <v>0</v>
      </c>
      <c r="P202" s="49">
        <f>0</f>
        <v>0</v>
      </c>
      <c r="Q202" s="49">
        <f>0</f>
        <v>0</v>
      </c>
      <c r="R202" s="49">
        <f>0</f>
        <v>0</v>
      </c>
      <c r="S202" s="49">
        <f>0</f>
        <v>0</v>
      </c>
      <c r="T202" s="49">
        <f>0</f>
        <v>0</v>
      </c>
      <c r="U202" s="49">
        <f>0</f>
        <v>0</v>
      </c>
      <c r="V202" s="49">
        <f>0</f>
        <v>0</v>
      </c>
      <c r="W202" s="49">
        <f>0</f>
        <v>0</v>
      </c>
      <c r="X202" s="49">
        <f>0</f>
        <v>0</v>
      </c>
      <c r="Y202" s="49">
        <f>0</f>
        <v>0</v>
      </c>
      <c r="Z202" s="49">
        <f>0</f>
        <v>0</v>
      </c>
      <c r="AA202" s="49">
        <f>0</f>
        <v>0</v>
      </c>
      <c r="AB202" s="49">
        <f>0</f>
        <v>0</v>
      </c>
      <c r="AC202" s="49">
        <f>0</f>
        <v>0</v>
      </c>
      <c r="AD202" s="49">
        <f>0</f>
        <v>0</v>
      </c>
      <c r="AE202" s="49">
        <f>0</f>
        <v>0</v>
      </c>
      <c r="AF202" s="49">
        <f>0</f>
        <v>0</v>
      </c>
      <c r="AG202" s="49">
        <f>0</f>
        <v>0</v>
      </c>
      <c r="AH202" s="49">
        <f>0</f>
        <v>0</v>
      </c>
      <c r="AI202" s="49">
        <f>0</f>
        <v>0</v>
      </c>
      <c r="AJ202" s="49">
        <f>0</f>
        <v>0</v>
      </c>
      <c r="AK202" s="49">
        <f>0</f>
        <v>0</v>
      </c>
      <c r="AL202" s="49">
        <f>0</f>
        <v>0</v>
      </c>
      <c r="AM202" s="49">
        <f>0</f>
        <v>0</v>
      </c>
      <c r="AN202" s="49">
        <f>0</f>
        <v>0</v>
      </c>
      <c r="AO202" s="49">
        <f>0</f>
        <v>0</v>
      </c>
      <c r="AP202" s="49">
        <f>0</f>
        <v>0</v>
      </c>
      <c r="AQ202" s="49">
        <f>0</f>
        <v>0</v>
      </c>
      <c r="AR202" s="49">
        <f>0</f>
        <v>0</v>
      </c>
      <c r="AS202" s="49">
        <f>0</f>
        <v>0</v>
      </c>
      <c r="AT202" s="49">
        <f>0</f>
        <v>0</v>
      </c>
      <c r="AU202" s="49">
        <f>0</f>
        <v>0</v>
      </c>
      <c r="AV202" s="49">
        <f>0</f>
        <v>0</v>
      </c>
      <c r="AW202" s="49">
        <f>0</f>
        <v>0</v>
      </c>
      <c r="AX202" s="49">
        <f>0</f>
        <v>0</v>
      </c>
      <c r="AY202" s="49">
        <f>0</f>
        <v>0</v>
      </c>
      <c r="AZ202" s="49">
        <f>0</f>
        <v>0</v>
      </c>
      <c r="BA202" s="49">
        <f>0</f>
        <v>0</v>
      </c>
      <c r="BB202" s="49">
        <f>0</f>
        <v>0</v>
      </c>
      <c r="BC202" s="49">
        <f>0</f>
        <v>0</v>
      </c>
      <c r="BD202" s="49">
        <f>0</f>
        <v>0</v>
      </c>
      <c r="BE202" s="49">
        <f>0</f>
        <v>0</v>
      </c>
      <c r="BF202" s="49">
        <f>0</f>
        <v>0</v>
      </c>
      <c r="BG202" s="49">
        <f>0</f>
        <v>0</v>
      </c>
      <c r="BH202" s="49">
        <f>0</f>
        <v>0</v>
      </c>
      <c r="BI202" s="49">
        <f>0</f>
        <v>0</v>
      </c>
      <c r="BJ202" s="49">
        <f>0</f>
        <v>0</v>
      </c>
      <c r="BK202" s="49">
        <f>0</f>
        <v>0</v>
      </c>
      <c r="BL202" s="49">
        <f>0</f>
        <v>0</v>
      </c>
      <c r="BM202" s="49">
        <f>0</f>
        <v>0</v>
      </c>
      <c r="BN202" s="49">
        <f>0</f>
        <v>0</v>
      </c>
      <c r="BO202" s="49">
        <f>0</f>
        <v>0</v>
      </c>
      <c r="BP202" s="49">
        <f>0</f>
        <v>0</v>
      </c>
      <c r="BQ202" s="49">
        <f>0</f>
        <v>0</v>
      </c>
      <c r="BR202" s="49">
        <f>0</f>
        <v>0</v>
      </c>
      <c r="BS202" s="49">
        <f>0</f>
        <v>0</v>
      </c>
      <c r="BT202" s="49">
        <f>0</f>
        <v>0</v>
      </c>
      <c r="BU202" s="49">
        <f>0</f>
        <v>0</v>
      </c>
      <c r="BV202" s="49">
        <f>0</f>
        <v>0</v>
      </c>
      <c r="BW202" s="49">
        <f>0</f>
        <v>0</v>
      </c>
      <c r="BX202" s="49">
        <f>0</f>
        <v>0</v>
      </c>
    </row>
    <row r="203" spans="1:76" outlineLevel="1">
      <c r="B203" t="s">
        <v>162</v>
      </c>
      <c r="D203" s="49">
        <f>0</f>
        <v>0</v>
      </c>
      <c r="E203" s="49">
        <f>0</f>
        <v>0</v>
      </c>
      <c r="F203" s="49">
        <f>0</f>
        <v>0</v>
      </c>
      <c r="G203" s="49">
        <f>0</f>
        <v>0</v>
      </c>
      <c r="H203" s="49">
        <f>0</f>
        <v>0</v>
      </c>
      <c r="I203" s="49">
        <f>0</f>
        <v>0</v>
      </c>
      <c r="J203" s="49">
        <f>0</f>
        <v>0</v>
      </c>
      <c r="K203" s="49">
        <f>0</f>
        <v>0</v>
      </c>
      <c r="L203" s="49">
        <f>0</f>
        <v>0</v>
      </c>
      <c r="M203" s="49">
        <f>0</f>
        <v>0</v>
      </c>
      <c r="N203" s="49">
        <f>0</f>
        <v>0</v>
      </c>
      <c r="O203" s="49">
        <f>0</f>
        <v>0</v>
      </c>
      <c r="P203" s="49">
        <f>0</f>
        <v>0</v>
      </c>
      <c r="Q203" s="49">
        <f>0</f>
        <v>0</v>
      </c>
      <c r="R203" s="49">
        <f>0</f>
        <v>0</v>
      </c>
      <c r="S203" s="49">
        <f>0</f>
        <v>0</v>
      </c>
      <c r="T203" s="49">
        <f>0</f>
        <v>0</v>
      </c>
      <c r="U203" s="49">
        <f>0</f>
        <v>0</v>
      </c>
      <c r="V203" s="49">
        <f>0</f>
        <v>0</v>
      </c>
      <c r="W203" s="49">
        <f>0</f>
        <v>0</v>
      </c>
      <c r="X203" s="49">
        <f>0</f>
        <v>0</v>
      </c>
      <c r="Y203" s="49">
        <f>0</f>
        <v>0</v>
      </c>
      <c r="Z203" s="49">
        <f>0</f>
        <v>0</v>
      </c>
      <c r="AA203" s="49">
        <f>0</f>
        <v>0</v>
      </c>
      <c r="AB203" s="49">
        <f>0</f>
        <v>0</v>
      </c>
      <c r="AC203" s="49">
        <f>0</f>
        <v>0</v>
      </c>
      <c r="AD203" s="49">
        <f>0</f>
        <v>0</v>
      </c>
      <c r="AE203" s="49">
        <f>0</f>
        <v>0</v>
      </c>
      <c r="AF203" s="49">
        <f>0</f>
        <v>0</v>
      </c>
      <c r="AG203" s="49">
        <f>0</f>
        <v>0</v>
      </c>
      <c r="AH203" s="49">
        <f>0</f>
        <v>0</v>
      </c>
      <c r="AI203" s="49">
        <f>0</f>
        <v>0</v>
      </c>
      <c r="AJ203" s="49">
        <f>0</f>
        <v>0</v>
      </c>
      <c r="AK203" s="49">
        <f>0</f>
        <v>0</v>
      </c>
      <c r="AL203" s="49">
        <f>0</f>
        <v>0</v>
      </c>
      <c r="AM203" s="49">
        <f>0</f>
        <v>0</v>
      </c>
      <c r="AN203" s="49">
        <f>0</f>
        <v>0</v>
      </c>
      <c r="AO203" s="49">
        <f>0</f>
        <v>0</v>
      </c>
      <c r="AP203" s="49">
        <f>0</f>
        <v>0</v>
      </c>
      <c r="AQ203" s="49">
        <f>0</f>
        <v>0</v>
      </c>
      <c r="AR203" s="49">
        <f>0</f>
        <v>0</v>
      </c>
      <c r="AS203" s="49">
        <f>0</f>
        <v>0</v>
      </c>
      <c r="AT203" s="49">
        <f>0</f>
        <v>0</v>
      </c>
      <c r="AU203" s="49">
        <f>0</f>
        <v>0</v>
      </c>
      <c r="AV203" s="49">
        <f>0</f>
        <v>0</v>
      </c>
      <c r="AW203" s="49">
        <f>0</f>
        <v>0</v>
      </c>
      <c r="AX203" s="49">
        <f>0</f>
        <v>0</v>
      </c>
      <c r="AY203" s="49">
        <f>0</f>
        <v>0</v>
      </c>
      <c r="AZ203" s="49">
        <f>0</f>
        <v>0</v>
      </c>
      <c r="BA203" s="49">
        <f>0</f>
        <v>0</v>
      </c>
      <c r="BB203" s="49">
        <f>0</f>
        <v>0</v>
      </c>
      <c r="BC203" s="49">
        <f>0</f>
        <v>0</v>
      </c>
      <c r="BD203" s="49">
        <f>0</f>
        <v>0</v>
      </c>
      <c r="BE203" s="49">
        <f>0</f>
        <v>0</v>
      </c>
      <c r="BF203" s="49">
        <f>0</f>
        <v>0</v>
      </c>
      <c r="BG203" s="49">
        <f>0</f>
        <v>0</v>
      </c>
      <c r="BH203" s="49">
        <f>0</f>
        <v>0</v>
      </c>
      <c r="BI203" s="49">
        <f>0</f>
        <v>0</v>
      </c>
      <c r="BJ203" s="49">
        <f>0</f>
        <v>0</v>
      </c>
      <c r="BK203" s="49">
        <f>0</f>
        <v>0</v>
      </c>
      <c r="BL203" s="49">
        <f>0</f>
        <v>0</v>
      </c>
      <c r="BM203" s="49">
        <f>0</f>
        <v>0</v>
      </c>
      <c r="BN203" s="49">
        <f>0</f>
        <v>0</v>
      </c>
      <c r="BO203" s="49">
        <f>0</f>
        <v>0</v>
      </c>
      <c r="BP203" s="49">
        <f>0</f>
        <v>0</v>
      </c>
      <c r="BQ203" s="49">
        <f>0</f>
        <v>0</v>
      </c>
      <c r="BR203" s="49">
        <f>0</f>
        <v>0</v>
      </c>
      <c r="BS203" s="49">
        <f>0</f>
        <v>0</v>
      </c>
      <c r="BT203" s="49">
        <f>0</f>
        <v>0</v>
      </c>
      <c r="BU203" s="49">
        <f>0</f>
        <v>0</v>
      </c>
      <c r="BV203" s="49">
        <f>0</f>
        <v>0</v>
      </c>
      <c r="BW203" s="49">
        <f>0</f>
        <v>0</v>
      </c>
      <c r="BX203" s="49">
        <f>0</f>
        <v>0</v>
      </c>
    </row>
    <row r="204" spans="1:76" outlineLevel="1">
      <c r="B204" t="s">
        <v>163</v>
      </c>
      <c r="D204" s="49">
        <f>0</f>
        <v>0</v>
      </c>
      <c r="E204" s="49">
        <f>0</f>
        <v>0</v>
      </c>
      <c r="F204" s="49">
        <f>0</f>
        <v>0</v>
      </c>
      <c r="G204" s="49">
        <f>0</f>
        <v>0</v>
      </c>
      <c r="H204" s="49">
        <f>0</f>
        <v>0</v>
      </c>
      <c r="I204" s="49">
        <f>0</f>
        <v>0</v>
      </c>
      <c r="J204" s="49">
        <f>0</f>
        <v>0</v>
      </c>
      <c r="K204" s="49">
        <f>0</f>
        <v>0</v>
      </c>
      <c r="L204" s="49">
        <f>0</f>
        <v>0</v>
      </c>
      <c r="M204" s="49">
        <f>0</f>
        <v>0</v>
      </c>
      <c r="N204" s="49">
        <f>0</f>
        <v>0</v>
      </c>
      <c r="O204" s="49">
        <f>0</f>
        <v>0</v>
      </c>
      <c r="P204" s="49">
        <f>0</f>
        <v>0</v>
      </c>
      <c r="Q204" s="49">
        <f>0</f>
        <v>0</v>
      </c>
      <c r="R204" s="49">
        <f>0</f>
        <v>0</v>
      </c>
      <c r="S204" s="49">
        <f>0</f>
        <v>0</v>
      </c>
      <c r="T204" s="49">
        <f>0</f>
        <v>0</v>
      </c>
      <c r="U204" s="49">
        <f>0</f>
        <v>0</v>
      </c>
      <c r="V204" s="49">
        <f>0</f>
        <v>0</v>
      </c>
      <c r="W204" s="49">
        <f>0</f>
        <v>0</v>
      </c>
      <c r="X204" s="49">
        <f>0</f>
        <v>0</v>
      </c>
      <c r="Y204" s="49">
        <f>0</f>
        <v>0</v>
      </c>
      <c r="Z204" s="49">
        <f>0</f>
        <v>0</v>
      </c>
      <c r="AA204" s="49">
        <f>0</f>
        <v>0</v>
      </c>
      <c r="AB204" s="49">
        <f>0</f>
        <v>0</v>
      </c>
      <c r="AC204" s="49">
        <f>0</f>
        <v>0</v>
      </c>
      <c r="AD204" s="49">
        <f>0</f>
        <v>0</v>
      </c>
      <c r="AE204" s="49">
        <f>0</f>
        <v>0</v>
      </c>
      <c r="AF204" s="49">
        <f>0</f>
        <v>0</v>
      </c>
      <c r="AG204" s="49">
        <f>0</f>
        <v>0</v>
      </c>
      <c r="AH204" s="49">
        <f>0</f>
        <v>0</v>
      </c>
      <c r="AI204" s="49">
        <f>0</f>
        <v>0</v>
      </c>
      <c r="AJ204" s="49">
        <f>0</f>
        <v>0</v>
      </c>
      <c r="AK204" s="49">
        <f>0</f>
        <v>0</v>
      </c>
      <c r="AL204" s="49">
        <f>0</f>
        <v>0</v>
      </c>
      <c r="AM204" s="49">
        <f>0</f>
        <v>0</v>
      </c>
      <c r="AN204" s="49">
        <f>0</f>
        <v>0</v>
      </c>
      <c r="AO204" s="49">
        <f>0</f>
        <v>0</v>
      </c>
      <c r="AP204" s="49">
        <f>0</f>
        <v>0</v>
      </c>
      <c r="AQ204" s="49">
        <f>0</f>
        <v>0</v>
      </c>
      <c r="AR204" s="49">
        <f>0</f>
        <v>0</v>
      </c>
      <c r="AS204" s="49">
        <f>0</f>
        <v>0</v>
      </c>
      <c r="AT204" s="49">
        <f>0</f>
        <v>0</v>
      </c>
      <c r="AU204" s="49">
        <f>0</f>
        <v>0</v>
      </c>
      <c r="AV204" s="49">
        <f>0</f>
        <v>0</v>
      </c>
      <c r="AW204" s="49">
        <f>0</f>
        <v>0</v>
      </c>
      <c r="AX204" s="49">
        <f>0</f>
        <v>0</v>
      </c>
      <c r="AY204" s="49">
        <f>0</f>
        <v>0</v>
      </c>
      <c r="AZ204" s="49">
        <f>0</f>
        <v>0</v>
      </c>
      <c r="BA204" s="49">
        <f>0</f>
        <v>0</v>
      </c>
      <c r="BB204" s="49">
        <f>0</f>
        <v>0</v>
      </c>
      <c r="BC204" s="49">
        <f>0</f>
        <v>0</v>
      </c>
      <c r="BD204" s="49">
        <f>0</f>
        <v>0</v>
      </c>
      <c r="BE204" s="49">
        <f>0</f>
        <v>0</v>
      </c>
      <c r="BF204" s="49">
        <f>0</f>
        <v>0</v>
      </c>
      <c r="BG204" s="49">
        <f>0</f>
        <v>0</v>
      </c>
      <c r="BH204" s="49">
        <f>0</f>
        <v>0</v>
      </c>
      <c r="BI204" s="49">
        <f>0</f>
        <v>0</v>
      </c>
      <c r="BJ204" s="49">
        <f>0</f>
        <v>0</v>
      </c>
      <c r="BK204" s="49">
        <f>0</f>
        <v>0</v>
      </c>
      <c r="BL204" s="49">
        <f>0</f>
        <v>0</v>
      </c>
      <c r="BM204" s="49">
        <f>0</f>
        <v>0</v>
      </c>
      <c r="BN204" s="49">
        <f>0</f>
        <v>0</v>
      </c>
      <c r="BO204" s="49">
        <f>0</f>
        <v>0</v>
      </c>
      <c r="BP204" s="49">
        <f>0</f>
        <v>0</v>
      </c>
      <c r="BQ204" s="49">
        <f>0</f>
        <v>0</v>
      </c>
      <c r="BR204" s="49">
        <f>0</f>
        <v>0</v>
      </c>
      <c r="BS204" s="49">
        <f>0</f>
        <v>0</v>
      </c>
      <c r="BT204" s="49">
        <f>0</f>
        <v>0</v>
      </c>
      <c r="BU204" s="49">
        <f>0</f>
        <v>0</v>
      </c>
      <c r="BV204" s="49">
        <f>0</f>
        <v>0</v>
      </c>
      <c r="BW204" s="49">
        <f>0</f>
        <v>0</v>
      </c>
      <c r="BX204" s="49">
        <f>0</f>
        <v>0</v>
      </c>
    </row>
    <row r="205" spans="1:76" outlineLevel="1">
      <c r="B205" t="s">
        <v>84</v>
      </c>
      <c r="D205" s="49">
        <f>0</f>
        <v>0</v>
      </c>
      <c r="E205" s="49">
        <f>0</f>
        <v>0</v>
      </c>
      <c r="F205" s="49">
        <f>0</f>
        <v>0</v>
      </c>
      <c r="G205" s="49">
        <f>0</f>
        <v>0</v>
      </c>
      <c r="H205" s="49">
        <f>0</f>
        <v>0</v>
      </c>
      <c r="I205" s="49">
        <f>0</f>
        <v>0</v>
      </c>
      <c r="J205" s="49">
        <f>0</f>
        <v>0</v>
      </c>
      <c r="K205" s="49">
        <f>0</f>
        <v>0</v>
      </c>
      <c r="L205" s="49">
        <f>0</f>
        <v>0</v>
      </c>
      <c r="M205" s="49">
        <f>0</f>
        <v>0</v>
      </c>
      <c r="N205" s="49">
        <f>0</f>
        <v>0</v>
      </c>
      <c r="O205" s="49">
        <f>0</f>
        <v>0</v>
      </c>
      <c r="P205" s="49">
        <f>0</f>
        <v>0</v>
      </c>
      <c r="Q205" s="49">
        <f>0</f>
        <v>0</v>
      </c>
      <c r="R205" s="49">
        <f>0</f>
        <v>0</v>
      </c>
      <c r="S205" s="49">
        <f>0</f>
        <v>0</v>
      </c>
      <c r="T205" s="49">
        <f>0</f>
        <v>0</v>
      </c>
      <c r="U205" s="49">
        <f>0</f>
        <v>0</v>
      </c>
      <c r="V205" s="49">
        <f>0</f>
        <v>0</v>
      </c>
      <c r="W205" s="49">
        <f>0</f>
        <v>0</v>
      </c>
      <c r="X205" s="49">
        <f>0</f>
        <v>0</v>
      </c>
      <c r="Y205" s="49">
        <f>0</f>
        <v>0</v>
      </c>
      <c r="Z205" s="49">
        <f>0</f>
        <v>0</v>
      </c>
      <c r="AA205" s="49">
        <f>0</f>
        <v>0</v>
      </c>
      <c r="AB205" s="49">
        <f>0</f>
        <v>0</v>
      </c>
      <c r="AC205" s="49">
        <f>0</f>
        <v>0</v>
      </c>
      <c r="AD205" s="49">
        <f>0</f>
        <v>0</v>
      </c>
      <c r="AE205" s="49">
        <f>0</f>
        <v>0</v>
      </c>
      <c r="AF205" s="49">
        <f>0</f>
        <v>0</v>
      </c>
      <c r="AG205" s="49">
        <f>0</f>
        <v>0</v>
      </c>
      <c r="AH205" s="49">
        <f>0</f>
        <v>0</v>
      </c>
      <c r="AI205" s="49">
        <f>0</f>
        <v>0</v>
      </c>
      <c r="AJ205" s="49">
        <f>0</f>
        <v>0</v>
      </c>
      <c r="AK205" s="49">
        <f>0</f>
        <v>0</v>
      </c>
      <c r="AL205" s="49">
        <f>0</f>
        <v>0</v>
      </c>
      <c r="AM205" s="49">
        <f>0</f>
        <v>0</v>
      </c>
      <c r="AN205" s="49">
        <f>0</f>
        <v>0</v>
      </c>
      <c r="AO205" s="49">
        <f>0</f>
        <v>0</v>
      </c>
      <c r="AP205" s="49">
        <f>0</f>
        <v>0</v>
      </c>
      <c r="AQ205" s="49">
        <f>0</f>
        <v>0</v>
      </c>
      <c r="AR205" s="49">
        <f>0</f>
        <v>0</v>
      </c>
      <c r="AS205" s="49">
        <f>0</f>
        <v>0</v>
      </c>
      <c r="AT205" s="49">
        <f>0</f>
        <v>0</v>
      </c>
      <c r="AU205" s="49">
        <f>0</f>
        <v>0</v>
      </c>
      <c r="AV205" s="49">
        <f>0</f>
        <v>0</v>
      </c>
      <c r="AW205" s="49">
        <f>0</f>
        <v>0</v>
      </c>
      <c r="AX205" s="49">
        <f>0</f>
        <v>0</v>
      </c>
      <c r="AY205" s="49">
        <f>0</f>
        <v>0</v>
      </c>
      <c r="AZ205" s="49">
        <f>0</f>
        <v>0</v>
      </c>
      <c r="BA205" s="49">
        <f>0</f>
        <v>0</v>
      </c>
      <c r="BB205" s="49">
        <f>0</f>
        <v>0</v>
      </c>
      <c r="BC205" s="49">
        <f>0</f>
        <v>0</v>
      </c>
      <c r="BD205" s="49">
        <f>0</f>
        <v>0</v>
      </c>
      <c r="BE205" s="49">
        <f>0</f>
        <v>0</v>
      </c>
      <c r="BF205" s="49">
        <f>0</f>
        <v>0</v>
      </c>
      <c r="BG205" s="49">
        <f>0</f>
        <v>0</v>
      </c>
      <c r="BH205" s="49">
        <f>0</f>
        <v>0</v>
      </c>
      <c r="BI205" s="49">
        <f>0</f>
        <v>0</v>
      </c>
      <c r="BJ205" s="49">
        <f>0</f>
        <v>0</v>
      </c>
      <c r="BK205" s="49">
        <f>0</f>
        <v>0</v>
      </c>
      <c r="BL205" s="49">
        <f>0</f>
        <v>0</v>
      </c>
      <c r="BM205" s="49">
        <f>0</f>
        <v>0</v>
      </c>
      <c r="BN205" s="49">
        <f>0</f>
        <v>0</v>
      </c>
      <c r="BO205" s="49">
        <f>0</f>
        <v>0</v>
      </c>
      <c r="BP205" s="49">
        <f>0</f>
        <v>0</v>
      </c>
      <c r="BQ205" s="49">
        <f>0</f>
        <v>0</v>
      </c>
      <c r="BR205" s="49">
        <f>0</f>
        <v>0</v>
      </c>
      <c r="BS205" s="49">
        <f>0</f>
        <v>0</v>
      </c>
      <c r="BT205" s="49">
        <f>0</f>
        <v>0</v>
      </c>
      <c r="BU205" s="49">
        <f>0</f>
        <v>0</v>
      </c>
      <c r="BV205" s="49">
        <f>0</f>
        <v>0</v>
      </c>
      <c r="BW205" s="49">
        <f>0</f>
        <v>0</v>
      </c>
      <c r="BX205" s="49">
        <f>0</f>
        <v>0</v>
      </c>
    </row>
    <row r="206" spans="1:76" outlineLevel="1">
      <c r="B206" t="s">
        <v>85</v>
      </c>
      <c r="D206" s="49">
        <f>0</f>
        <v>0</v>
      </c>
      <c r="E206" s="49">
        <f>0</f>
        <v>0</v>
      </c>
      <c r="F206" s="49">
        <f>0</f>
        <v>0</v>
      </c>
      <c r="G206" s="49">
        <f>0</f>
        <v>0</v>
      </c>
      <c r="H206" s="49">
        <f>0</f>
        <v>0</v>
      </c>
      <c r="I206" s="49">
        <f>0</f>
        <v>0</v>
      </c>
      <c r="J206" s="49">
        <f>0</f>
        <v>0</v>
      </c>
      <c r="K206" s="49">
        <f>0</f>
        <v>0</v>
      </c>
      <c r="L206" s="49">
        <f>0</f>
        <v>0</v>
      </c>
      <c r="M206" s="49">
        <f>0</f>
        <v>0</v>
      </c>
      <c r="N206" s="49">
        <f>0</f>
        <v>0</v>
      </c>
      <c r="O206" s="49">
        <f>0</f>
        <v>0</v>
      </c>
      <c r="P206" s="49">
        <f>0</f>
        <v>0</v>
      </c>
      <c r="Q206" s="49">
        <f>0</f>
        <v>0</v>
      </c>
      <c r="R206" s="49">
        <f>0</f>
        <v>0</v>
      </c>
      <c r="S206" s="49">
        <f>0</f>
        <v>0</v>
      </c>
      <c r="T206" s="49">
        <f>0</f>
        <v>0</v>
      </c>
      <c r="U206" s="49">
        <f>0</f>
        <v>0</v>
      </c>
      <c r="V206" s="49">
        <f>0</f>
        <v>0</v>
      </c>
      <c r="W206" s="49">
        <f>0</f>
        <v>0</v>
      </c>
      <c r="X206" s="49">
        <f>0</f>
        <v>0</v>
      </c>
      <c r="Y206" s="49">
        <f>0</f>
        <v>0</v>
      </c>
      <c r="Z206" s="49">
        <f>0</f>
        <v>0</v>
      </c>
      <c r="AA206" s="49">
        <f>0</f>
        <v>0</v>
      </c>
      <c r="AB206" s="49">
        <f>0</f>
        <v>0</v>
      </c>
      <c r="AC206" s="49">
        <f>0</f>
        <v>0</v>
      </c>
      <c r="AD206" s="49">
        <f>0</f>
        <v>0</v>
      </c>
      <c r="AE206" s="49">
        <f>0</f>
        <v>0</v>
      </c>
      <c r="AF206" s="49">
        <f>0</f>
        <v>0</v>
      </c>
      <c r="AG206" s="49">
        <f>0</f>
        <v>0</v>
      </c>
      <c r="AH206" s="49">
        <f>0</f>
        <v>0</v>
      </c>
      <c r="AI206" s="49">
        <f>0</f>
        <v>0</v>
      </c>
      <c r="AJ206" s="49">
        <f>0</f>
        <v>0</v>
      </c>
      <c r="AK206" s="49">
        <f>0</f>
        <v>0</v>
      </c>
      <c r="AL206" s="49">
        <f>0</f>
        <v>0</v>
      </c>
      <c r="AM206" s="49">
        <f>0</f>
        <v>0</v>
      </c>
      <c r="AN206" s="49">
        <f>0</f>
        <v>0</v>
      </c>
      <c r="AO206" s="49">
        <f>0</f>
        <v>0</v>
      </c>
      <c r="AP206" s="49">
        <f>0</f>
        <v>0</v>
      </c>
      <c r="AQ206" s="49">
        <f>0</f>
        <v>0</v>
      </c>
      <c r="AR206" s="49">
        <f>0</f>
        <v>0</v>
      </c>
      <c r="AS206" s="49">
        <f>0</f>
        <v>0</v>
      </c>
      <c r="AT206" s="49">
        <f>0</f>
        <v>0</v>
      </c>
      <c r="AU206" s="49">
        <f>0</f>
        <v>0</v>
      </c>
      <c r="AV206" s="49">
        <f>0</f>
        <v>0</v>
      </c>
      <c r="AW206" s="49">
        <f>0</f>
        <v>0</v>
      </c>
      <c r="AX206" s="49">
        <f>0</f>
        <v>0</v>
      </c>
      <c r="AY206" s="49">
        <f>0</f>
        <v>0</v>
      </c>
      <c r="AZ206" s="49">
        <f>0</f>
        <v>0</v>
      </c>
      <c r="BA206" s="49">
        <f>0</f>
        <v>0</v>
      </c>
      <c r="BB206" s="49">
        <f>0</f>
        <v>0</v>
      </c>
      <c r="BC206" s="49">
        <f>0</f>
        <v>0</v>
      </c>
      <c r="BD206" s="49">
        <f>0</f>
        <v>0</v>
      </c>
      <c r="BE206" s="49">
        <f>0</f>
        <v>0</v>
      </c>
      <c r="BF206" s="49">
        <f>0</f>
        <v>0</v>
      </c>
      <c r="BG206" s="49">
        <f>0</f>
        <v>0</v>
      </c>
      <c r="BH206" s="49">
        <f>0</f>
        <v>0</v>
      </c>
      <c r="BI206" s="49">
        <f>0</f>
        <v>0</v>
      </c>
      <c r="BJ206" s="49">
        <f>0</f>
        <v>0</v>
      </c>
      <c r="BK206" s="49">
        <f>0</f>
        <v>0</v>
      </c>
      <c r="BL206" s="49">
        <f>0</f>
        <v>0</v>
      </c>
      <c r="BM206" s="49">
        <f>0</f>
        <v>0</v>
      </c>
      <c r="BN206" s="49">
        <f>0</f>
        <v>0</v>
      </c>
      <c r="BO206" s="49">
        <f>0</f>
        <v>0</v>
      </c>
      <c r="BP206" s="49">
        <f>0</f>
        <v>0</v>
      </c>
      <c r="BQ206" s="49">
        <f>0</f>
        <v>0</v>
      </c>
      <c r="BR206" s="49">
        <f>0</f>
        <v>0</v>
      </c>
      <c r="BS206" s="49">
        <f>0</f>
        <v>0</v>
      </c>
      <c r="BT206" s="49">
        <f>0</f>
        <v>0</v>
      </c>
      <c r="BU206" s="49">
        <f>0</f>
        <v>0</v>
      </c>
      <c r="BV206" s="49">
        <f>0</f>
        <v>0</v>
      </c>
      <c r="BW206" s="49">
        <f>0</f>
        <v>0</v>
      </c>
      <c r="BX206" s="49">
        <f>0</f>
        <v>0</v>
      </c>
    </row>
    <row r="207" spans="1:76" outlineLevel="1">
      <c r="B207" t="s">
        <v>86</v>
      </c>
      <c r="D207" s="49">
        <f>0</f>
        <v>0</v>
      </c>
      <c r="E207" s="49">
        <f>0</f>
        <v>0</v>
      </c>
      <c r="F207" s="49">
        <f>0</f>
        <v>0</v>
      </c>
      <c r="G207" s="49">
        <f>0</f>
        <v>0</v>
      </c>
      <c r="H207" s="49">
        <f>0</f>
        <v>0</v>
      </c>
      <c r="I207" s="49">
        <f>0</f>
        <v>0</v>
      </c>
      <c r="J207" s="49">
        <f>0</f>
        <v>0</v>
      </c>
      <c r="K207" s="49">
        <f>0</f>
        <v>0</v>
      </c>
      <c r="L207" s="49">
        <f>0</f>
        <v>0</v>
      </c>
      <c r="M207" s="49">
        <f>0</f>
        <v>0</v>
      </c>
      <c r="N207" s="49">
        <f>0</f>
        <v>0</v>
      </c>
      <c r="O207" s="49">
        <f>0</f>
        <v>0</v>
      </c>
      <c r="P207" s="49">
        <f>0</f>
        <v>0</v>
      </c>
      <c r="Q207" s="49">
        <f>0</f>
        <v>0</v>
      </c>
      <c r="R207" s="49">
        <f>0</f>
        <v>0</v>
      </c>
      <c r="S207" s="49">
        <f>0</f>
        <v>0</v>
      </c>
      <c r="T207" s="49">
        <f>0</f>
        <v>0</v>
      </c>
      <c r="U207" s="49">
        <f>0</f>
        <v>0</v>
      </c>
      <c r="V207" s="49">
        <f>0</f>
        <v>0</v>
      </c>
      <c r="W207" s="49">
        <f>0</f>
        <v>0</v>
      </c>
      <c r="X207" s="49">
        <f>0</f>
        <v>0</v>
      </c>
      <c r="Y207" s="49">
        <f>0</f>
        <v>0</v>
      </c>
      <c r="Z207" s="49">
        <f>0</f>
        <v>0</v>
      </c>
      <c r="AA207" s="49">
        <f>0</f>
        <v>0</v>
      </c>
      <c r="AB207" s="49">
        <f>0</f>
        <v>0</v>
      </c>
      <c r="AC207" s="49">
        <f>0</f>
        <v>0</v>
      </c>
      <c r="AD207" s="49">
        <f>0</f>
        <v>0</v>
      </c>
      <c r="AE207" s="49">
        <f>0</f>
        <v>0</v>
      </c>
      <c r="AF207" s="49">
        <f>0</f>
        <v>0</v>
      </c>
      <c r="AG207" s="49">
        <f>0</f>
        <v>0</v>
      </c>
      <c r="AH207" s="49">
        <f>0</f>
        <v>0</v>
      </c>
      <c r="AI207" s="49">
        <f>0</f>
        <v>0</v>
      </c>
      <c r="AJ207" s="49">
        <f>0</f>
        <v>0</v>
      </c>
      <c r="AK207" s="49">
        <f>0</f>
        <v>0</v>
      </c>
      <c r="AL207" s="49">
        <f>0</f>
        <v>0</v>
      </c>
      <c r="AM207" s="49">
        <f>0</f>
        <v>0</v>
      </c>
      <c r="AN207" s="49">
        <f>0</f>
        <v>0</v>
      </c>
      <c r="AO207" s="49">
        <f>0</f>
        <v>0</v>
      </c>
      <c r="AP207" s="49">
        <f>0</f>
        <v>0</v>
      </c>
      <c r="AQ207" s="49">
        <f>0</f>
        <v>0</v>
      </c>
      <c r="AR207" s="49">
        <f>0</f>
        <v>0</v>
      </c>
      <c r="AS207" s="49">
        <f>0</f>
        <v>0</v>
      </c>
      <c r="AT207" s="49">
        <f>0</f>
        <v>0</v>
      </c>
      <c r="AU207" s="49">
        <f>0</f>
        <v>0</v>
      </c>
      <c r="AV207" s="49">
        <f>0</f>
        <v>0</v>
      </c>
      <c r="AW207" s="49">
        <f>0</f>
        <v>0</v>
      </c>
      <c r="AX207" s="49">
        <f>0</f>
        <v>0</v>
      </c>
      <c r="AY207" s="49">
        <f>0</f>
        <v>0</v>
      </c>
      <c r="AZ207" s="49">
        <f>0</f>
        <v>0</v>
      </c>
      <c r="BA207" s="49">
        <f>0</f>
        <v>0</v>
      </c>
      <c r="BB207" s="49">
        <f>0</f>
        <v>0</v>
      </c>
      <c r="BC207" s="49">
        <f>0</f>
        <v>0</v>
      </c>
      <c r="BD207" s="49">
        <f>0</f>
        <v>0</v>
      </c>
      <c r="BE207" s="49">
        <f>0</f>
        <v>0</v>
      </c>
      <c r="BF207" s="49">
        <f>0</f>
        <v>0</v>
      </c>
      <c r="BG207" s="49">
        <f>0</f>
        <v>0</v>
      </c>
      <c r="BH207" s="49">
        <f>0</f>
        <v>0</v>
      </c>
      <c r="BI207" s="49">
        <f>0</f>
        <v>0</v>
      </c>
      <c r="BJ207" s="49">
        <f>0</f>
        <v>0</v>
      </c>
      <c r="BK207" s="49">
        <f>0</f>
        <v>0</v>
      </c>
      <c r="BL207" s="49">
        <f>0</f>
        <v>0</v>
      </c>
      <c r="BM207" s="49">
        <f>0</f>
        <v>0</v>
      </c>
      <c r="BN207" s="49">
        <f>0</f>
        <v>0</v>
      </c>
      <c r="BO207" s="49">
        <f>0</f>
        <v>0</v>
      </c>
      <c r="BP207" s="49">
        <f>0</f>
        <v>0</v>
      </c>
      <c r="BQ207" s="49">
        <f>0</f>
        <v>0</v>
      </c>
      <c r="BR207" s="49">
        <f>0</f>
        <v>0</v>
      </c>
      <c r="BS207" s="49">
        <f>0</f>
        <v>0</v>
      </c>
      <c r="BT207" s="49">
        <f>0</f>
        <v>0</v>
      </c>
      <c r="BU207" s="49">
        <f>0</f>
        <v>0</v>
      </c>
      <c r="BV207" s="49">
        <f>0</f>
        <v>0</v>
      </c>
      <c r="BW207" s="49">
        <f>0</f>
        <v>0</v>
      </c>
      <c r="BX207" s="49">
        <f>0</f>
        <v>0</v>
      </c>
    </row>
    <row r="208" spans="1:76" outlineLevel="1">
      <c r="B208" t="s">
        <v>87</v>
      </c>
      <c r="D208" s="49">
        <f>0</f>
        <v>0</v>
      </c>
      <c r="E208" s="49">
        <f>0</f>
        <v>0</v>
      </c>
      <c r="F208" s="49">
        <f>0</f>
        <v>0</v>
      </c>
      <c r="G208" s="49">
        <f>0</f>
        <v>0</v>
      </c>
      <c r="H208" s="49">
        <f>0</f>
        <v>0</v>
      </c>
      <c r="I208" s="49">
        <f>0</f>
        <v>0</v>
      </c>
      <c r="J208" s="49">
        <f>0</f>
        <v>0</v>
      </c>
      <c r="K208" s="49">
        <f>0</f>
        <v>0</v>
      </c>
      <c r="L208" s="49">
        <f>0</f>
        <v>0</v>
      </c>
      <c r="M208" s="49">
        <f>0</f>
        <v>0</v>
      </c>
      <c r="N208" s="49">
        <f>0</f>
        <v>0</v>
      </c>
      <c r="O208" s="49">
        <f>0</f>
        <v>0</v>
      </c>
      <c r="P208" s="49">
        <f>0</f>
        <v>0</v>
      </c>
      <c r="Q208" s="49">
        <f>0</f>
        <v>0</v>
      </c>
      <c r="R208" s="49">
        <f>0</f>
        <v>0</v>
      </c>
      <c r="S208" s="49">
        <f>0</f>
        <v>0</v>
      </c>
      <c r="T208" s="49">
        <f>0</f>
        <v>0</v>
      </c>
      <c r="U208" s="49">
        <f>0</f>
        <v>0</v>
      </c>
      <c r="V208" s="49">
        <f>0</f>
        <v>0</v>
      </c>
      <c r="W208" s="49">
        <f>0</f>
        <v>0</v>
      </c>
      <c r="X208" s="49">
        <f>0</f>
        <v>0</v>
      </c>
      <c r="Y208" s="49">
        <f>0</f>
        <v>0</v>
      </c>
      <c r="Z208" s="49">
        <f>0</f>
        <v>0</v>
      </c>
      <c r="AA208" s="49">
        <f>0</f>
        <v>0</v>
      </c>
      <c r="AB208" s="49">
        <f>0</f>
        <v>0</v>
      </c>
      <c r="AC208" s="49">
        <f>0</f>
        <v>0</v>
      </c>
      <c r="AD208" s="49">
        <f>0</f>
        <v>0</v>
      </c>
      <c r="AE208" s="49">
        <f>0</f>
        <v>0</v>
      </c>
      <c r="AF208" s="49">
        <f>0</f>
        <v>0</v>
      </c>
      <c r="AG208" s="49">
        <f>0</f>
        <v>0</v>
      </c>
      <c r="AH208" s="49">
        <f>0</f>
        <v>0</v>
      </c>
      <c r="AI208" s="49">
        <f>0</f>
        <v>0</v>
      </c>
      <c r="AJ208" s="49">
        <f>0</f>
        <v>0</v>
      </c>
      <c r="AK208" s="49">
        <f>0</f>
        <v>0</v>
      </c>
      <c r="AL208" s="49">
        <f>0</f>
        <v>0</v>
      </c>
      <c r="AM208" s="49">
        <f>0</f>
        <v>0</v>
      </c>
      <c r="AN208" s="49">
        <f>0</f>
        <v>0</v>
      </c>
      <c r="AO208" s="49">
        <f>0</f>
        <v>0</v>
      </c>
      <c r="AP208" s="49">
        <f>0</f>
        <v>0</v>
      </c>
      <c r="AQ208" s="49">
        <f>0</f>
        <v>0</v>
      </c>
      <c r="AR208" s="49">
        <f>0</f>
        <v>0</v>
      </c>
      <c r="AS208" s="49">
        <f>0</f>
        <v>0</v>
      </c>
      <c r="AT208" s="49">
        <f>0</f>
        <v>0</v>
      </c>
      <c r="AU208" s="49">
        <f>0</f>
        <v>0</v>
      </c>
      <c r="AV208" s="49">
        <f>0</f>
        <v>0</v>
      </c>
      <c r="AW208" s="49">
        <f>0</f>
        <v>0</v>
      </c>
      <c r="AX208" s="49">
        <f>0</f>
        <v>0</v>
      </c>
      <c r="AY208" s="49">
        <f>0</f>
        <v>0</v>
      </c>
      <c r="AZ208" s="49">
        <f>0</f>
        <v>0</v>
      </c>
      <c r="BA208" s="49">
        <f>0</f>
        <v>0</v>
      </c>
      <c r="BB208" s="49">
        <f>0</f>
        <v>0</v>
      </c>
      <c r="BC208" s="49">
        <f>0</f>
        <v>0</v>
      </c>
      <c r="BD208" s="49">
        <f>0</f>
        <v>0</v>
      </c>
      <c r="BE208" s="49">
        <f>0</f>
        <v>0</v>
      </c>
      <c r="BF208" s="49">
        <f>0</f>
        <v>0</v>
      </c>
      <c r="BG208" s="49">
        <f>0</f>
        <v>0</v>
      </c>
      <c r="BH208" s="49">
        <f>0</f>
        <v>0</v>
      </c>
      <c r="BI208" s="49">
        <f>0</f>
        <v>0</v>
      </c>
      <c r="BJ208" s="49">
        <f>0</f>
        <v>0</v>
      </c>
      <c r="BK208" s="49">
        <f>0</f>
        <v>0</v>
      </c>
      <c r="BL208" s="49">
        <f>0</f>
        <v>0</v>
      </c>
      <c r="BM208" s="49">
        <f>0</f>
        <v>0</v>
      </c>
      <c r="BN208" s="49">
        <f>0</f>
        <v>0</v>
      </c>
      <c r="BO208" s="49">
        <f>0</f>
        <v>0</v>
      </c>
      <c r="BP208" s="49">
        <f>0</f>
        <v>0</v>
      </c>
      <c r="BQ208" s="49">
        <f>0</f>
        <v>0</v>
      </c>
      <c r="BR208" s="49">
        <f>0</f>
        <v>0</v>
      </c>
      <c r="BS208" s="49">
        <f>0</f>
        <v>0</v>
      </c>
      <c r="BT208" s="49">
        <f>0</f>
        <v>0</v>
      </c>
      <c r="BU208" s="49">
        <f>0</f>
        <v>0</v>
      </c>
      <c r="BV208" s="49">
        <f>0</f>
        <v>0</v>
      </c>
      <c r="BW208" s="49">
        <f>0</f>
        <v>0</v>
      </c>
      <c r="BX208" s="49">
        <f>0</f>
        <v>0</v>
      </c>
    </row>
    <row r="209" spans="1:76" outlineLevel="1">
      <c r="A209" s="46" t="str">
        <f>'Rent Roll'!C25</f>
        <v>Vacant — Suite 130</v>
      </c>
      <c r="B209" s="57">
        <f>INDEX('Rent Roll'!$F$5:$F$46,MATCH('Rent Roll Calc'!A209,'Rent Roll'!$C$5:$C$46,0))</f>
        <v>8500</v>
      </c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  <c r="AA209" s="49"/>
      <c r="AB209" s="49"/>
      <c r="AC209" s="49"/>
      <c r="AD209" s="49"/>
      <c r="AE209" s="49"/>
      <c r="AF209" s="49"/>
      <c r="AG209" s="49"/>
      <c r="AH209" s="49"/>
      <c r="AI209" s="49"/>
      <c r="AJ209" s="49"/>
      <c r="AK209" s="49"/>
      <c r="AL209" s="49"/>
      <c r="AM209" s="49"/>
      <c r="AN209" s="49"/>
      <c r="AO209" s="49"/>
      <c r="AP209" s="49"/>
      <c r="AQ209" s="49"/>
      <c r="AR209" s="49"/>
      <c r="AS209" s="49"/>
      <c r="AT209" s="49"/>
      <c r="AU209" s="49"/>
      <c r="AV209" s="49"/>
      <c r="AW209" s="49"/>
      <c r="AX209" s="49"/>
      <c r="AY209" s="49"/>
      <c r="AZ209" s="49"/>
      <c r="BA209" s="49"/>
      <c r="BB209" s="49"/>
      <c r="BC209" s="49"/>
      <c r="BD209" s="49"/>
      <c r="BE209" s="49"/>
      <c r="BF209" s="49"/>
      <c r="BG209" s="49"/>
      <c r="BH209" s="49"/>
      <c r="BI209" s="49"/>
      <c r="BJ209" s="49"/>
      <c r="BK209" s="49"/>
      <c r="BL209" s="49"/>
      <c r="BM209" s="49"/>
      <c r="BN209" s="49"/>
      <c r="BO209" s="49"/>
      <c r="BP209" s="49"/>
      <c r="BQ209" s="49"/>
      <c r="BR209" s="49"/>
      <c r="BS209" s="49"/>
      <c r="BT209" s="49"/>
      <c r="BU209" s="49"/>
      <c r="BV209" s="49"/>
      <c r="BW209" s="49"/>
      <c r="BX209" s="49"/>
    </row>
    <row r="210" spans="1:76" outlineLevel="1">
      <c r="B210" t="s">
        <v>83</v>
      </c>
      <c r="D210" s="49">
        <f>0</f>
        <v>0</v>
      </c>
      <c r="E210" s="49">
        <f>0</f>
        <v>0</v>
      </c>
      <c r="F210" s="49">
        <f>0</f>
        <v>0</v>
      </c>
      <c r="G210" s="49">
        <f>0</f>
        <v>0</v>
      </c>
      <c r="H210" s="49">
        <f>0</f>
        <v>0</v>
      </c>
      <c r="I210" s="49">
        <f>0</f>
        <v>0</v>
      </c>
      <c r="J210" s="49">
        <f>0</f>
        <v>0</v>
      </c>
      <c r="K210" s="49">
        <f>0</f>
        <v>0</v>
      </c>
      <c r="L210" s="49">
        <f>0</f>
        <v>0</v>
      </c>
      <c r="M210" s="49">
        <f>0</f>
        <v>0</v>
      </c>
      <c r="N210" s="49">
        <f>0</f>
        <v>0</v>
      </c>
      <c r="O210" s="49">
        <f>0</f>
        <v>0</v>
      </c>
      <c r="P210" s="49">
        <f>0</f>
        <v>0</v>
      </c>
      <c r="Q210" s="49">
        <f>0</f>
        <v>0</v>
      </c>
      <c r="R210" s="49">
        <f>0</f>
        <v>0</v>
      </c>
      <c r="S210" s="49">
        <f>0</f>
        <v>0</v>
      </c>
      <c r="T210" s="49">
        <f>0</f>
        <v>0</v>
      </c>
      <c r="U210" s="49">
        <f>0</f>
        <v>0</v>
      </c>
      <c r="V210" s="49">
        <f>0</f>
        <v>0</v>
      </c>
      <c r="W210" s="49">
        <f>0</f>
        <v>0</v>
      </c>
      <c r="X210" s="49">
        <f>0</f>
        <v>0</v>
      </c>
      <c r="Y210" s="49">
        <f>0</f>
        <v>0</v>
      </c>
      <c r="Z210" s="49">
        <f>0</f>
        <v>0</v>
      </c>
      <c r="AA210" s="49">
        <f>0</f>
        <v>0</v>
      </c>
      <c r="AB210" s="49">
        <f>0</f>
        <v>0</v>
      </c>
      <c r="AC210" s="49">
        <f>0</f>
        <v>0</v>
      </c>
      <c r="AD210" s="49">
        <f>0</f>
        <v>0</v>
      </c>
      <c r="AE210" s="49">
        <f>0</f>
        <v>0</v>
      </c>
      <c r="AF210" s="49">
        <f>0</f>
        <v>0</v>
      </c>
      <c r="AG210" s="49">
        <f>0</f>
        <v>0</v>
      </c>
      <c r="AH210" s="49">
        <f>0</f>
        <v>0</v>
      </c>
      <c r="AI210" s="49">
        <f>0</f>
        <v>0</v>
      </c>
      <c r="AJ210" s="49">
        <f>0</f>
        <v>0</v>
      </c>
      <c r="AK210" s="49">
        <f>0</f>
        <v>0</v>
      </c>
      <c r="AL210" s="49">
        <f>0</f>
        <v>0</v>
      </c>
      <c r="AM210" s="49">
        <f>0</f>
        <v>0</v>
      </c>
      <c r="AN210" s="49">
        <f>0</f>
        <v>0</v>
      </c>
      <c r="AO210" s="49">
        <f>0</f>
        <v>0</v>
      </c>
      <c r="AP210" s="49">
        <f>0</f>
        <v>0</v>
      </c>
      <c r="AQ210" s="49">
        <f>0</f>
        <v>0</v>
      </c>
      <c r="AR210" s="49">
        <f>0</f>
        <v>0</v>
      </c>
      <c r="AS210" s="49">
        <f>0</f>
        <v>0</v>
      </c>
      <c r="AT210" s="49">
        <f>0</f>
        <v>0</v>
      </c>
      <c r="AU210" s="49">
        <f>0</f>
        <v>0</v>
      </c>
      <c r="AV210" s="49">
        <f>0</f>
        <v>0</v>
      </c>
      <c r="AW210" s="49">
        <f>0</f>
        <v>0</v>
      </c>
      <c r="AX210" s="49">
        <f>0</f>
        <v>0</v>
      </c>
      <c r="AY210" s="49">
        <f>0</f>
        <v>0</v>
      </c>
      <c r="AZ210" s="49">
        <f>0</f>
        <v>0</v>
      </c>
      <c r="BA210" s="49">
        <f>0</f>
        <v>0</v>
      </c>
      <c r="BB210" s="49">
        <f>0</f>
        <v>0</v>
      </c>
      <c r="BC210" s="49">
        <f>0</f>
        <v>0</v>
      </c>
      <c r="BD210" s="49">
        <f>0</f>
        <v>0</v>
      </c>
      <c r="BE210" s="49">
        <f>0</f>
        <v>0</v>
      </c>
      <c r="BF210" s="49">
        <f>0</f>
        <v>0</v>
      </c>
      <c r="BG210" s="49">
        <f>0</f>
        <v>0</v>
      </c>
      <c r="BH210" s="49">
        <f>0</f>
        <v>0</v>
      </c>
      <c r="BI210" s="49">
        <f>0</f>
        <v>0</v>
      </c>
      <c r="BJ210" s="49">
        <f>0</f>
        <v>0</v>
      </c>
      <c r="BK210" s="49">
        <f>0</f>
        <v>0</v>
      </c>
      <c r="BL210" s="49">
        <f>0</f>
        <v>0</v>
      </c>
      <c r="BM210" s="49">
        <f>0</f>
        <v>0</v>
      </c>
      <c r="BN210" s="49">
        <f>0</f>
        <v>0</v>
      </c>
      <c r="BO210" s="49">
        <f>0</f>
        <v>0</v>
      </c>
      <c r="BP210" s="49">
        <f>0</f>
        <v>0</v>
      </c>
      <c r="BQ210" s="49">
        <f>0</f>
        <v>0</v>
      </c>
      <c r="BR210" s="49">
        <f>0</f>
        <v>0</v>
      </c>
      <c r="BS210" s="49">
        <f>0</f>
        <v>0</v>
      </c>
      <c r="BT210" s="49">
        <f>0</f>
        <v>0</v>
      </c>
      <c r="BU210" s="49">
        <f>0</f>
        <v>0</v>
      </c>
      <c r="BV210" s="49">
        <f>0</f>
        <v>0</v>
      </c>
      <c r="BW210" s="49">
        <f>0</f>
        <v>0</v>
      </c>
      <c r="BX210" s="49">
        <f>0</f>
        <v>0</v>
      </c>
    </row>
    <row r="211" spans="1:76" outlineLevel="1">
      <c r="B211" t="s">
        <v>159</v>
      </c>
      <c r="D211" s="49">
        <f>0</f>
        <v>0</v>
      </c>
      <c r="E211" s="49">
        <f>0</f>
        <v>0</v>
      </c>
      <c r="F211" s="49">
        <f>0</f>
        <v>0</v>
      </c>
      <c r="G211" s="49">
        <f>0</f>
        <v>0</v>
      </c>
      <c r="H211" s="49">
        <f>0</f>
        <v>0</v>
      </c>
      <c r="I211" s="49">
        <f>0</f>
        <v>0</v>
      </c>
      <c r="J211" s="49">
        <f>0</f>
        <v>0</v>
      </c>
      <c r="K211" s="49">
        <f>0</f>
        <v>0</v>
      </c>
      <c r="L211" s="49">
        <f>0</f>
        <v>0</v>
      </c>
      <c r="M211" s="49">
        <f>0</f>
        <v>0</v>
      </c>
      <c r="N211" s="49">
        <f>0</f>
        <v>0</v>
      </c>
      <c r="O211" s="49">
        <f>0</f>
        <v>0</v>
      </c>
      <c r="P211" s="49">
        <f>0</f>
        <v>0</v>
      </c>
      <c r="Q211" s="49">
        <f>0</f>
        <v>0</v>
      </c>
      <c r="R211" s="49">
        <f>0</f>
        <v>0</v>
      </c>
      <c r="S211" s="49">
        <f>0</f>
        <v>0</v>
      </c>
      <c r="T211" s="49">
        <f>0</f>
        <v>0</v>
      </c>
      <c r="U211" s="49">
        <f>0</f>
        <v>0</v>
      </c>
      <c r="V211" s="49">
        <f>0</f>
        <v>0</v>
      </c>
      <c r="W211" s="49">
        <f>0</f>
        <v>0</v>
      </c>
      <c r="X211" s="49">
        <f>0</f>
        <v>0</v>
      </c>
      <c r="Y211" s="49">
        <f>0</f>
        <v>0</v>
      </c>
      <c r="Z211" s="49">
        <f>0</f>
        <v>0</v>
      </c>
      <c r="AA211" s="49">
        <f>0</f>
        <v>0</v>
      </c>
      <c r="AB211" s="49">
        <f>0</f>
        <v>0</v>
      </c>
      <c r="AC211" s="49">
        <f>0</f>
        <v>0</v>
      </c>
      <c r="AD211" s="49">
        <f>0</f>
        <v>0</v>
      </c>
      <c r="AE211" s="49">
        <f>0</f>
        <v>0</v>
      </c>
      <c r="AF211" s="49">
        <f>0</f>
        <v>0</v>
      </c>
      <c r="AG211" s="49">
        <f>0</f>
        <v>0</v>
      </c>
      <c r="AH211" s="49">
        <f>0</f>
        <v>0</v>
      </c>
      <c r="AI211" s="49">
        <f>0</f>
        <v>0</v>
      </c>
      <c r="AJ211" s="49">
        <f>0</f>
        <v>0</v>
      </c>
      <c r="AK211" s="49">
        <f>0</f>
        <v>0</v>
      </c>
      <c r="AL211" s="49">
        <f>0</f>
        <v>0</v>
      </c>
      <c r="AM211" s="49">
        <f>0</f>
        <v>0</v>
      </c>
      <c r="AN211" s="49">
        <f>0</f>
        <v>0</v>
      </c>
      <c r="AO211" s="49">
        <f>0</f>
        <v>0</v>
      </c>
      <c r="AP211" s="49">
        <f>0</f>
        <v>0</v>
      </c>
      <c r="AQ211" s="49">
        <f>0</f>
        <v>0</v>
      </c>
      <c r="AR211" s="49">
        <f>0</f>
        <v>0</v>
      </c>
      <c r="AS211" s="49">
        <f>0</f>
        <v>0</v>
      </c>
      <c r="AT211" s="49">
        <f>0</f>
        <v>0</v>
      </c>
      <c r="AU211" s="49">
        <f>0</f>
        <v>0</v>
      </c>
      <c r="AV211" s="49">
        <f>0</f>
        <v>0</v>
      </c>
      <c r="AW211" s="49">
        <f>0</f>
        <v>0</v>
      </c>
      <c r="AX211" s="49">
        <f>0</f>
        <v>0</v>
      </c>
      <c r="AY211" s="49">
        <f>0</f>
        <v>0</v>
      </c>
      <c r="AZ211" s="49">
        <f>0</f>
        <v>0</v>
      </c>
      <c r="BA211" s="49">
        <f>0</f>
        <v>0</v>
      </c>
      <c r="BB211" s="49">
        <f>0</f>
        <v>0</v>
      </c>
      <c r="BC211" s="49">
        <f>0</f>
        <v>0</v>
      </c>
      <c r="BD211" s="49">
        <f>0</f>
        <v>0</v>
      </c>
      <c r="BE211" s="49">
        <f>0</f>
        <v>0</v>
      </c>
      <c r="BF211" s="49">
        <f>0</f>
        <v>0</v>
      </c>
      <c r="BG211" s="49">
        <f>0</f>
        <v>0</v>
      </c>
      <c r="BH211" s="49">
        <f>0</f>
        <v>0</v>
      </c>
      <c r="BI211" s="49">
        <f>0</f>
        <v>0</v>
      </c>
      <c r="BJ211" s="49">
        <f>0</f>
        <v>0</v>
      </c>
      <c r="BK211" s="49">
        <f>0</f>
        <v>0</v>
      </c>
      <c r="BL211" s="49">
        <f>0</f>
        <v>0</v>
      </c>
      <c r="BM211" s="49">
        <f>0</f>
        <v>0</v>
      </c>
      <c r="BN211" s="49">
        <f>0</f>
        <v>0</v>
      </c>
      <c r="BO211" s="49">
        <f>0</f>
        <v>0</v>
      </c>
      <c r="BP211" s="49">
        <f>0</f>
        <v>0</v>
      </c>
      <c r="BQ211" s="49">
        <f>0</f>
        <v>0</v>
      </c>
      <c r="BR211" s="49">
        <f>0</f>
        <v>0</v>
      </c>
      <c r="BS211" s="49">
        <f>0</f>
        <v>0</v>
      </c>
      <c r="BT211" s="49">
        <f>0</f>
        <v>0</v>
      </c>
      <c r="BU211" s="49">
        <f>0</f>
        <v>0</v>
      </c>
      <c r="BV211" s="49">
        <f>0</f>
        <v>0</v>
      </c>
      <c r="BW211" s="49">
        <f>0</f>
        <v>0</v>
      </c>
      <c r="BX211" s="49">
        <f>0</f>
        <v>0</v>
      </c>
    </row>
    <row r="212" spans="1:76" outlineLevel="1">
      <c r="B212" t="s">
        <v>160</v>
      </c>
      <c r="D212" s="49">
        <f>IF(D$4&gt;=EOMONTH(CloseDate,'Rent Roll'!$O$25-1),1,0)</f>
        <v>0</v>
      </c>
      <c r="E212" s="49">
        <f>IF(E$4&gt;=EOMONTH(CloseDate,'Rent Roll'!$O$25-1),1,0)</f>
        <v>0</v>
      </c>
      <c r="F212" s="49">
        <f>IF(F$4&gt;=EOMONTH(CloseDate,'Rent Roll'!$O$25-1),1,0)</f>
        <v>1</v>
      </c>
      <c r="G212" s="49">
        <f>IF(G$4&gt;=EOMONTH(CloseDate,'Rent Roll'!$O$25-1),1,0)</f>
        <v>1</v>
      </c>
      <c r="H212" s="49">
        <f>IF(H$4&gt;=EOMONTH(CloseDate,'Rent Roll'!$O$25-1),1,0)</f>
        <v>1</v>
      </c>
      <c r="I212" s="49">
        <f>IF(I$4&gt;=EOMONTH(CloseDate,'Rent Roll'!$O$25-1),1,0)</f>
        <v>1</v>
      </c>
      <c r="J212" s="49">
        <f>IF(J$4&gt;=EOMONTH(CloseDate,'Rent Roll'!$O$25-1),1,0)</f>
        <v>1</v>
      </c>
      <c r="K212" s="49">
        <f>IF(K$4&gt;=EOMONTH(CloseDate,'Rent Roll'!$O$25-1),1,0)</f>
        <v>1</v>
      </c>
      <c r="L212" s="49">
        <f>IF(L$4&gt;=EOMONTH(CloseDate,'Rent Roll'!$O$25-1),1,0)</f>
        <v>1</v>
      </c>
      <c r="M212" s="49">
        <f>IF(M$4&gt;=EOMONTH(CloseDate,'Rent Roll'!$O$25-1),1,0)</f>
        <v>1</v>
      </c>
      <c r="N212" s="49">
        <f>IF(N$4&gt;=EOMONTH(CloseDate,'Rent Roll'!$O$25-1),1,0)</f>
        <v>1</v>
      </c>
      <c r="O212" s="49">
        <f>IF(O$4&gt;=EOMONTH(CloseDate,'Rent Roll'!$O$25-1),1,0)</f>
        <v>1</v>
      </c>
      <c r="P212" s="49">
        <f>IF(P$4&gt;=EOMONTH(CloseDate,'Rent Roll'!$O$25-1),1,0)</f>
        <v>1</v>
      </c>
      <c r="Q212" s="49">
        <f>IF(Q$4&gt;=EOMONTH(CloseDate,'Rent Roll'!$O$25-1),1,0)</f>
        <v>1</v>
      </c>
      <c r="R212" s="49">
        <f>IF(R$4&gt;=EOMONTH(CloseDate,'Rent Roll'!$O$25-1),1,0)</f>
        <v>1</v>
      </c>
      <c r="S212" s="49">
        <f>IF(S$4&gt;=EOMONTH(CloseDate,'Rent Roll'!$O$25-1),1,0)</f>
        <v>1</v>
      </c>
      <c r="T212" s="49">
        <f>IF(T$4&gt;=EOMONTH(CloseDate,'Rent Roll'!$O$25-1),1,0)</f>
        <v>1</v>
      </c>
      <c r="U212" s="49">
        <f>IF(U$4&gt;=EOMONTH(CloseDate,'Rent Roll'!$O$25-1),1,0)</f>
        <v>1</v>
      </c>
      <c r="V212" s="49">
        <f>IF(V$4&gt;=EOMONTH(CloseDate,'Rent Roll'!$O$25-1),1,0)</f>
        <v>1</v>
      </c>
      <c r="W212" s="49">
        <f>IF(W$4&gt;=EOMONTH(CloseDate,'Rent Roll'!$O$25-1),1,0)</f>
        <v>1</v>
      </c>
      <c r="X212" s="49">
        <f>IF(X$4&gt;=EOMONTH(CloseDate,'Rent Roll'!$O$25-1),1,0)</f>
        <v>1</v>
      </c>
      <c r="Y212" s="49">
        <f>IF(Y$4&gt;=EOMONTH(CloseDate,'Rent Roll'!$O$25-1),1,0)</f>
        <v>1</v>
      </c>
      <c r="Z212" s="49">
        <f>IF(Z$4&gt;=EOMONTH(CloseDate,'Rent Roll'!$O$25-1),1,0)</f>
        <v>1</v>
      </c>
      <c r="AA212" s="49">
        <f>IF(AA$4&gt;=EOMONTH(CloseDate,'Rent Roll'!$O$25-1),1,0)</f>
        <v>1</v>
      </c>
      <c r="AB212" s="49">
        <f>IF(AB$4&gt;=EOMONTH(CloseDate,'Rent Roll'!$O$25-1),1,0)</f>
        <v>1</v>
      </c>
      <c r="AC212" s="49">
        <f>IF(AC$4&gt;=EOMONTH(CloseDate,'Rent Roll'!$O$25-1),1,0)</f>
        <v>1</v>
      </c>
      <c r="AD212" s="49">
        <f>IF(AD$4&gt;=EOMONTH(CloseDate,'Rent Roll'!$O$25-1),1,0)</f>
        <v>1</v>
      </c>
      <c r="AE212" s="49">
        <f>IF(AE$4&gt;=EOMONTH(CloseDate,'Rent Roll'!$O$25-1),1,0)</f>
        <v>1</v>
      </c>
      <c r="AF212" s="49">
        <f>IF(AF$4&gt;=EOMONTH(CloseDate,'Rent Roll'!$O$25-1),1,0)</f>
        <v>1</v>
      </c>
      <c r="AG212" s="49">
        <f>IF(AG$4&gt;=EOMONTH(CloseDate,'Rent Roll'!$O$25-1),1,0)</f>
        <v>1</v>
      </c>
      <c r="AH212" s="49">
        <f>IF(AH$4&gt;=EOMONTH(CloseDate,'Rent Roll'!$O$25-1),1,0)</f>
        <v>1</v>
      </c>
      <c r="AI212" s="49">
        <f>IF(AI$4&gt;=EOMONTH(CloseDate,'Rent Roll'!$O$25-1),1,0)</f>
        <v>1</v>
      </c>
      <c r="AJ212" s="49">
        <f>IF(AJ$4&gt;=EOMONTH(CloseDate,'Rent Roll'!$O$25-1),1,0)</f>
        <v>1</v>
      </c>
      <c r="AK212" s="49">
        <f>IF(AK$4&gt;=EOMONTH(CloseDate,'Rent Roll'!$O$25-1),1,0)</f>
        <v>1</v>
      </c>
      <c r="AL212" s="49">
        <f>IF(AL$4&gt;=EOMONTH(CloseDate,'Rent Roll'!$O$25-1),1,0)</f>
        <v>1</v>
      </c>
      <c r="AM212" s="49">
        <f>IF(AM$4&gt;=EOMONTH(CloseDate,'Rent Roll'!$O$25-1),1,0)</f>
        <v>1</v>
      </c>
      <c r="AN212" s="49">
        <f>IF(AN$4&gt;=EOMONTH(CloseDate,'Rent Roll'!$O$25-1),1,0)</f>
        <v>1</v>
      </c>
      <c r="AO212" s="49">
        <f>IF(AO$4&gt;=EOMONTH(CloseDate,'Rent Roll'!$O$25-1),1,0)</f>
        <v>1</v>
      </c>
      <c r="AP212" s="49">
        <f>IF(AP$4&gt;=EOMONTH(CloseDate,'Rent Roll'!$O$25-1),1,0)</f>
        <v>1</v>
      </c>
      <c r="AQ212" s="49">
        <f>IF(AQ$4&gt;=EOMONTH(CloseDate,'Rent Roll'!$O$25-1),1,0)</f>
        <v>1</v>
      </c>
      <c r="AR212" s="49">
        <f>IF(AR$4&gt;=EOMONTH(CloseDate,'Rent Roll'!$O$25-1),1,0)</f>
        <v>1</v>
      </c>
      <c r="AS212" s="49">
        <f>IF(AS$4&gt;=EOMONTH(CloseDate,'Rent Roll'!$O$25-1),1,0)</f>
        <v>1</v>
      </c>
      <c r="AT212" s="49">
        <f>IF(AT$4&gt;=EOMONTH(CloseDate,'Rent Roll'!$O$25-1),1,0)</f>
        <v>1</v>
      </c>
      <c r="AU212" s="49">
        <f>IF(AU$4&gt;=EOMONTH(CloseDate,'Rent Roll'!$O$25-1),1,0)</f>
        <v>1</v>
      </c>
      <c r="AV212" s="49">
        <f>IF(AV$4&gt;=EOMONTH(CloseDate,'Rent Roll'!$O$25-1),1,0)</f>
        <v>1</v>
      </c>
      <c r="AW212" s="49">
        <f>IF(AW$4&gt;=EOMONTH(CloseDate,'Rent Roll'!$O$25-1),1,0)</f>
        <v>1</v>
      </c>
      <c r="AX212" s="49">
        <f>IF(AX$4&gt;=EOMONTH(CloseDate,'Rent Roll'!$O$25-1),1,0)</f>
        <v>1</v>
      </c>
      <c r="AY212" s="49">
        <f>IF(AY$4&gt;=EOMONTH(CloseDate,'Rent Roll'!$O$25-1),1,0)</f>
        <v>1</v>
      </c>
      <c r="AZ212" s="49">
        <f>IF(AZ$4&gt;=EOMONTH(CloseDate,'Rent Roll'!$O$25-1),1,0)</f>
        <v>1</v>
      </c>
      <c r="BA212" s="49">
        <f>IF(BA$4&gt;=EOMONTH(CloseDate,'Rent Roll'!$O$25-1),1,0)</f>
        <v>1</v>
      </c>
      <c r="BB212" s="49">
        <f>IF(BB$4&gt;=EOMONTH(CloseDate,'Rent Roll'!$O$25-1),1,0)</f>
        <v>1</v>
      </c>
      <c r="BC212" s="49">
        <f>IF(BC$4&gt;=EOMONTH(CloseDate,'Rent Roll'!$O$25-1),1,0)</f>
        <v>1</v>
      </c>
      <c r="BD212" s="49">
        <f>IF(BD$4&gt;=EOMONTH(CloseDate,'Rent Roll'!$O$25-1),1,0)</f>
        <v>1</v>
      </c>
      <c r="BE212" s="49">
        <f>IF(BE$4&gt;=EOMONTH(CloseDate,'Rent Roll'!$O$25-1),1,0)</f>
        <v>1</v>
      </c>
      <c r="BF212" s="49">
        <f>IF(BF$4&gt;=EOMONTH(CloseDate,'Rent Roll'!$O$25-1),1,0)</f>
        <v>1</v>
      </c>
      <c r="BG212" s="49">
        <f>IF(BG$4&gt;=EOMONTH(CloseDate,'Rent Roll'!$O$25-1),1,0)</f>
        <v>1</v>
      </c>
      <c r="BH212" s="49">
        <f>IF(BH$4&gt;=EOMONTH(CloseDate,'Rent Roll'!$O$25-1),1,0)</f>
        <v>1</v>
      </c>
      <c r="BI212" s="49">
        <f>IF(BI$4&gt;=EOMONTH(CloseDate,'Rent Roll'!$O$25-1),1,0)</f>
        <v>1</v>
      </c>
      <c r="BJ212" s="49">
        <f>IF(BJ$4&gt;=EOMONTH(CloseDate,'Rent Roll'!$O$25-1),1,0)</f>
        <v>1</v>
      </c>
      <c r="BK212" s="49">
        <f>IF(BK$4&gt;=EOMONTH(CloseDate,'Rent Roll'!$O$25-1),1,0)</f>
        <v>1</v>
      </c>
      <c r="BL212" s="49">
        <f>IF(BL$4&gt;=EOMONTH(CloseDate,'Rent Roll'!$O$25-1),1,0)</f>
        <v>1</v>
      </c>
      <c r="BM212" s="49">
        <f>IF(BM$4&gt;=EOMONTH(CloseDate,'Rent Roll'!$O$25-1),1,0)</f>
        <v>1</v>
      </c>
      <c r="BN212" s="49">
        <f>IF(BN$4&gt;=EOMONTH(CloseDate,'Rent Roll'!$O$25-1),1,0)</f>
        <v>1</v>
      </c>
      <c r="BO212" s="49">
        <f>IF(BO$4&gt;=EOMONTH(CloseDate,'Rent Roll'!$O$25-1),1,0)</f>
        <v>1</v>
      </c>
      <c r="BP212" s="49">
        <f>IF(BP$4&gt;=EOMONTH(CloseDate,'Rent Roll'!$O$25-1),1,0)</f>
        <v>1</v>
      </c>
      <c r="BQ212" s="49">
        <f>IF(BQ$4&gt;=EOMONTH(CloseDate,'Rent Roll'!$O$25-1),1,0)</f>
        <v>1</v>
      </c>
      <c r="BR212" s="49">
        <f>IF(BR$4&gt;=EOMONTH(CloseDate,'Rent Roll'!$O$25-1),1,0)</f>
        <v>1</v>
      </c>
      <c r="BS212" s="49">
        <f>IF(BS$4&gt;=EOMONTH(CloseDate,'Rent Roll'!$O$25-1),1,0)</f>
        <v>1</v>
      </c>
      <c r="BT212" s="49">
        <f>IF(BT$4&gt;=EOMONTH(CloseDate,'Rent Roll'!$O$25-1),1,0)</f>
        <v>1</v>
      </c>
      <c r="BU212" s="49">
        <f>IF(BU$4&gt;=EOMONTH(CloseDate,'Rent Roll'!$O$25-1),1,0)</f>
        <v>1</v>
      </c>
      <c r="BV212" s="49">
        <f>IF(BV$4&gt;=EOMONTH(CloseDate,'Rent Roll'!$O$25-1),1,0)</f>
        <v>1</v>
      </c>
      <c r="BW212" s="49">
        <f>IF(BW$4&gt;=EOMONTH(CloseDate,'Rent Roll'!$O$25-1),1,0)</f>
        <v>1</v>
      </c>
      <c r="BX212" s="49">
        <f>IF(BX$4&gt;=EOMONTH(CloseDate,'Rent Roll'!$O$25-1),1,0)</f>
        <v>1</v>
      </c>
    </row>
    <row r="213" spans="1:76">
      <c r="B213" t="s">
        <v>162</v>
      </c>
      <c r="D213" s="49">
        <f>IF(D212=1,'Rent Roll'!$F$25*'Rent Roll'!$X$25/12*D$6,0)</f>
        <v>0</v>
      </c>
      <c r="E213" s="49">
        <f>IF(E212=1,'Rent Roll'!$F$25*'Rent Roll'!$X$25/12*E$6,0)</f>
        <v>0</v>
      </c>
      <c r="F213" s="49">
        <f>IF(F212=1,'Rent Roll'!$F$25*'Rent Roll'!$X$25/12*F$6,0)</f>
        <v>17475.468749999996</v>
      </c>
      <c r="G213" s="49">
        <f>IF(G212=1,'Rent Roll'!$F$25*'Rent Roll'!$X$25/12*G$6,0)</f>
        <v>17475.468749999996</v>
      </c>
      <c r="H213" s="49">
        <f>IF(H212=1,'Rent Roll'!$F$25*'Rent Roll'!$X$25/12*H$6,0)</f>
        <v>17475.468749999996</v>
      </c>
      <c r="I213" s="49">
        <f>IF(I212=1,'Rent Roll'!$F$25*'Rent Roll'!$X$25/12*I$6,0)</f>
        <v>17947.306406249994</v>
      </c>
      <c r="J213" s="49">
        <f>IF(J212=1,'Rent Roll'!$F$25*'Rent Roll'!$X$25/12*J$6,0)</f>
        <v>17947.306406249994</v>
      </c>
      <c r="K213" s="49">
        <f>IF(K212=1,'Rent Roll'!$F$25*'Rent Roll'!$X$25/12*K$6,0)</f>
        <v>17947.306406249994</v>
      </c>
      <c r="L213" s="49">
        <f>IF(L212=1,'Rent Roll'!$F$25*'Rent Roll'!$X$25/12*L$6,0)</f>
        <v>17947.306406249994</v>
      </c>
      <c r="M213" s="49">
        <f>IF(M212=1,'Rent Roll'!$F$25*'Rent Roll'!$X$25/12*M$6,0)</f>
        <v>17947.306406249994</v>
      </c>
      <c r="N213" s="49">
        <f>IF(N212=1,'Rent Roll'!$F$25*'Rent Roll'!$X$25/12*N$6,0)</f>
        <v>17947.306406249994</v>
      </c>
      <c r="O213" s="49">
        <f>IF(O212=1,'Rent Roll'!$F$25*'Rent Roll'!$X$25/12*O$6,0)</f>
        <v>17947.306406249994</v>
      </c>
      <c r="P213" s="49">
        <f>IF(P212=1,'Rent Roll'!$F$25*'Rent Roll'!$X$25/12*P$6,0)</f>
        <v>17947.306406249994</v>
      </c>
      <c r="Q213" s="49">
        <f>IF(Q212=1,'Rent Roll'!$F$25*'Rent Roll'!$X$25/12*Q$6,0)</f>
        <v>17947.306406249994</v>
      </c>
      <c r="R213" s="49">
        <f>IF(R212=1,'Rent Roll'!$F$25*'Rent Roll'!$X$25/12*R$6,0)</f>
        <v>17947.306406249994</v>
      </c>
      <c r="S213" s="49">
        <f>IF(S212=1,'Rent Roll'!$F$25*'Rent Roll'!$X$25/12*S$6,0)</f>
        <v>17947.306406249994</v>
      </c>
      <c r="T213" s="49">
        <f>IF(T212=1,'Rent Roll'!$F$25*'Rent Roll'!$X$25/12*T$6,0)</f>
        <v>17947.306406249994</v>
      </c>
      <c r="U213" s="49">
        <f>IF(U212=1,'Rent Roll'!$F$25*'Rent Roll'!$X$25/12*U$6,0)</f>
        <v>18431.883679218743</v>
      </c>
      <c r="V213" s="49">
        <f>IF(V212=1,'Rent Roll'!$F$25*'Rent Roll'!$X$25/12*V$6,0)</f>
        <v>18431.883679218743</v>
      </c>
      <c r="W213" s="49">
        <f>IF(W212=1,'Rent Roll'!$F$25*'Rent Roll'!$X$25/12*W$6,0)</f>
        <v>18431.883679218743</v>
      </c>
      <c r="X213" s="49">
        <f>IF(X212=1,'Rent Roll'!$F$25*'Rent Roll'!$X$25/12*X$6,0)</f>
        <v>18431.883679218743</v>
      </c>
      <c r="Y213" s="49">
        <f>IF(Y212=1,'Rent Roll'!$F$25*'Rent Roll'!$X$25/12*Y$6,0)</f>
        <v>18431.883679218743</v>
      </c>
      <c r="Z213" s="49">
        <f>IF(Z212=1,'Rent Roll'!$F$25*'Rent Roll'!$X$25/12*Z$6,0)</f>
        <v>18431.883679218743</v>
      </c>
      <c r="AA213" s="49">
        <f>IF(AA212=1,'Rent Roll'!$F$25*'Rent Roll'!$X$25/12*AA$6,0)</f>
        <v>18431.883679218743</v>
      </c>
      <c r="AB213" s="49">
        <f>IF(AB212=1,'Rent Roll'!$F$25*'Rent Roll'!$X$25/12*AB$6,0)</f>
        <v>18431.883679218743</v>
      </c>
      <c r="AC213" s="49">
        <f>IF(AC212=1,'Rent Roll'!$F$25*'Rent Roll'!$X$25/12*AC$6,0)</f>
        <v>18431.883679218743</v>
      </c>
      <c r="AD213" s="49">
        <f>IF(AD212=1,'Rent Roll'!$F$25*'Rent Roll'!$X$25/12*AD$6,0)</f>
        <v>18431.883679218743</v>
      </c>
      <c r="AE213" s="49">
        <f>IF(AE212=1,'Rent Roll'!$F$25*'Rent Roll'!$X$25/12*AE$6,0)</f>
        <v>18431.883679218743</v>
      </c>
      <c r="AF213" s="49">
        <f>IF(AF212=1,'Rent Roll'!$F$25*'Rent Roll'!$X$25/12*AF$6,0)</f>
        <v>18431.883679218743</v>
      </c>
      <c r="AG213" s="49">
        <f>IF(AG212=1,'Rent Roll'!$F$25*'Rent Roll'!$X$25/12*AG$6,0)</f>
        <v>18929.54453855765</v>
      </c>
      <c r="AH213" s="49">
        <f>IF(AH212=1,'Rent Roll'!$F$25*'Rent Roll'!$X$25/12*AH$6,0)</f>
        <v>18929.54453855765</v>
      </c>
      <c r="AI213" s="49">
        <f>IF(AI212=1,'Rent Roll'!$F$25*'Rent Roll'!$X$25/12*AI$6,0)</f>
        <v>18929.54453855765</v>
      </c>
      <c r="AJ213" s="49">
        <f>IF(AJ212=1,'Rent Roll'!$F$25*'Rent Roll'!$X$25/12*AJ$6,0)</f>
        <v>18929.54453855765</v>
      </c>
      <c r="AK213" s="49">
        <f>IF(AK212=1,'Rent Roll'!$F$25*'Rent Roll'!$X$25/12*AK$6,0)</f>
        <v>18929.54453855765</v>
      </c>
      <c r="AL213" s="49">
        <f>IF(AL212=1,'Rent Roll'!$F$25*'Rent Roll'!$X$25/12*AL$6,0)</f>
        <v>18929.54453855765</v>
      </c>
      <c r="AM213" s="49">
        <f>IF(AM212=1,'Rent Roll'!$F$25*'Rent Roll'!$X$25/12*AM$6,0)</f>
        <v>18929.54453855765</v>
      </c>
      <c r="AN213" s="49">
        <f>IF(AN212=1,'Rent Roll'!$F$25*'Rent Roll'!$X$25/12*AN$6,0)</f>
        <v>18929.54453855765</v>
      </c>
      <c r="AO213" s="49">
        <f>IF(AO212=1,'Rent Roll'!$F$25*'Rent Roll'!$X$25/12*AO$6,0)</f>
        <v>18929.54453855765</v>
      </c>
      <c r="AP213" s="49">
        <f>IF(AP212=1,'Rent Roll'!$F$25*'Rent Roll'!$X$25/12*AP$6,0)</f>
        <v>18929.54453855765</v>
      </c>
      <c r="AQ213" s="49">
        <f>IF(AQ212=1,'Rent Roll'!$F$25*'Rent Roll'!$X$25/12*AQ$6,0)</f>
        <v>18929.54453855765</v>
      </c>
      <c r="AR213" s="49">
        <f>IF(AR212=1,'Rent Roll'!$F$25*'Rent Roll'!$X$25/12*AR$6,0)</f>
        <v>18929.54453855765</v>
      </c>
      <c r="AS213" s="49">
        <f>IF(AS212=1,'Rent Roll'!$F$25*'Rent Roll'!$X$25/12*AS$6,0)</f>
        <v>19440.642241098703</v>
      </c>
      <c r="AT213" s="49">
        <f>IF(AT212=1,'Rent Roll'!$F$25*'Rent Roll'!$X$25/12*AT$6,0)</f>
        <v>19440.642241098703</v>
      </c>
      <c r="AU213" s="49">
        <f>IF(AU212=1,'Rent Roll'!$F$25*'Rent Roll'!$X$25/12*AU$6,0)</f>
        <v>19440.642241098703</v>
      </c>
      <c r="AV213" s="49">
        <f>IF(AV212=1,'Rent Roll'!$F$25*'Rent Roll'!$X$25/12*AV$6,0)</f>
        <v>19440.642241098703</v>
      </c>
      <c r="AW213" s="49">
        <f>IF(AW212=1,'Rent Roll'!$F$25*'Rent Roll'!$X$25/12*AW$6,0)</f>
        <v>19440.642241098703</v>
      </c>
      <c r="AX213" s="49">
        <f>IF(AX212=1,'Rent Roll'!$F$25*'Rent Roll'!$X$25/12*AX$6,0)</f>
        <v>19440.642241098703</v>
      </c>
      <c r="AY213" s="49">
        <f>IF(AY212=1,'Rent Roll'!$F$25*'Rent Roll'!$X$25/12*AY$6,0)</f>
        <v>19440.642241098703</v>
      </c>
      <c r="AZ213" s="49">
        <f>IF(AZ212=1,'Rent Roll'!$F$25*'Rent Roll'!$X$25/12*AZ$6,0)</f>
        <v>19440.642241098703</v>
      </c>
      <c r="BA213" s="49">
        <f>IF(BA212=1,'Rent Roll'!$F$25*'Rent Roll'!$X$25/12*BA$6,0)</f>
        <v>19440.642241098703</v>
      </c>
      <c r="BB213" s="49">
        <f>IF(BB212=1,'Rent Roll'!$F$25*'Rent Roll'!$X$25/12*BB$6,0)</f>
        <v>19440.642241098703</v>
      </c>
      <c r="BC213" s="49">
        <f>IF(BC212=1,'Rent Roll'!$F$25*'Rent Roll'!$X$25/12*BC$6,0)</f>
        <v>19440.642241098703</v>
      </c>
      <c r="BD213" s="49">
        <f>IF(BD212=1,'Rent Roll'!$F$25*'Rent Roll'!$X$25/12*BD$6,0)</f>
        <v>19440.642241098703</v>
      </c>
      <c r="BE213" s="49">
        <f>IF(BE212=1,'Rent Roll'!$F$25*'Rent Roll'!$X$25/12*BE$6,0)</f>
        <v>19965.539581608366</v>
      </c>
      <c r="BF213" s="49">
        <f>IF(BF212=1,'Rent Roll'!$F$25*'Rent Roll'!$X$25/12*BF$6,0)</f>
        <v>19965.539581608366</v>
      </c>
      <c r="BG213" s="49">
        <f>IF(BG212=1,'Rent Roll'!$F$25*'Rent Roll'!$X$25/12*BG$6,0)</f>
        <v>19965.539581608366</v>
      </c>
      <c r="BH213" s="49">
        <f>IF(BH212=1,'Rent Roll'!$F$25*'Rent Roll'!$X$25/12*BH$6,0)</f>
        <v>19965.539581608366</v>
      </c>
      <c r="BI213" s="49">
        <f>IF(BI212=1,'Rent Roll'!$F$25*'Rent Roll'!$X$25/12*BI$6,0)</f>
        <v>19965.539581608366</v>
      </c>
      <c r="BJ213" s="49">
        <f>IF(BJ212=1,'Rent Roll'!$F$25*'Rent Roll'!$X$25/12*BJ$6,0)</f>
        <v>19965.539581608366</v>
      </c>
      <c r="BK213" s="49">
        <f>IF(BK212=1,'Rent Roll'!$F$25*'Rent Roll'!$X$25/12*BK$6,0)</f>
        <v>19965.539581608366</v>
      </c>
      <c r="BL213" s="49">
        <f>IF(BL212=1,'Rent Roll'!$F$25*'Rent Roll'!$X$25/12*BL$6,0)</f>
        <v>19965.539581608366</v>
      </c>
      <c r="BM213" s="49">
        <f>IF(BM212=1,'Rent Roll'!$F$25*'Rent Roll'!$X$25/12*BM$6,0)</f>
        <v>19965.539581608366</v>
      </c>
      <c r="BN213" s="49">
        <f>IF(BN212=1,'Rent Roll'!$F$25*'Rent Roll'!$X$25/12*BN$6,0)</f>
        <v>19965.539581608366</v>
      </c>
      <c r="BO213" s="49">
        <f>IF(BO212=1,'Rent Roll'!$F$25*'Rent Roll'!$X$25/12*BO$6,0)</f>
        <v>19965.539581608366</v>
      </c>
      <c r="BP213" s="49">
        <f>IF(BP212=1,'Rent Roll'!$F$25*'Rent Roll'!$X$25/12*BP$6,0)</f>
        <v>19965.539581608366</v>
      </c>
      <c r="BQ213" s="49">
        <f>IF(BQ212=1,'Rent Roll'!$F$25*'Rent Roll'!$X$25/12*BQ$6,0)</f>
        <v>20504.60915031179</v>
      </c>
      <c r="BR213" s="49">
        <f>IF(BR212=1,'Rent Roll'!$F$25*'Rent Roll'!$X$25/12*BR$6,0)</f>
        <v>20504.60915031179</v>
      </c>
      <c r="BS213" s="49">
        <f>IF(BS212=1,'Rent Roll'!$F$25*'Rent Roll'!$X$25/12*BS$6,0)</f>
        <v>20504.60915031179</v>
      </c>
      <c r="BT213" s="49">
        <f>IF(BT212=1,'Rent Roll'!$F$25*'Rent Roll'!$X$25/12*BT$6,0)</f>
        <v>20504.60915031179</v>
      </c>
      <c r="BU213" s="49">
        <f>IF(BU212=1,'Rent Roll'!$F$25*'Rent Roll'!$X$25/12*BU$6,0)</f>
        <v>20504.60915031179</v>
      </c>
      <c r="BV213" s="49">
        <f>IF(BV212=1,'Rent Roll'!$F$25*'Rent Roll'!$X$25/12*BV$6,0)</f>
        <v>20504.60915031179</v>
      </c>
      <c r="BW213" s="49">
        <f>IF(BW212=1,'Rent Roll'!$F$25*'Rent Roll'!$X$25/12*BW$6,0)</f>
        <v>20504.60915031179</v>
      </c>
      <c r="BX213" s="49">
        <f>IF(BX212=1,'Rent Roll'!$F$25*'Rent Roll'!$X$25/12*BX$6,0)</f>
        <v>20504.60915031179</v>
      </c>
    </row>
    <row r="214" spans="1:76">
      <c r="B214" t="s">
        <v>163</v>
      </c>
      <c r="D214" s="49">
        <f>IF(AND(D$4&gt;=EOMONTH(CloseDate,'Rent Roll'!$O$25-1),D$4&lt;EOMONTH(CloseDate,'Rent Roll'!$O$25-1+'Rent Roll'!$V$25)),-D213,0)</f>
        <v>0</v>
      </c>
      <c r="E214" s="49">
        <f>IF(AND(E$4&gt;=EOMONTH(CloseDate,'Rent Roll'!$O$25-1),E$4&lt;EOMONTH(CloseDate,'Rent Roll'!$O$25-1+'Rent Roll'!$V$25)),-E213,0)</f>
        <v>0</v>
      </c>
      <c r="F214" s="49">
        <f>IF(AND(F$4&gt;=EOMONTH(CloseDate,'Rent Roll'!$O$25-1),F$4&lt;EOMONTH(CloseDate,'Rent Roll'!$O$25-1+'Rent Roll'!$V$25)),-F213,0)</f>
        <v>-17475.468749999996</v>
      </c>
      <c r="G214" s="49">
        <f>IF(AND(G$4&gt;=EOMONTH(CloseDate,'Rent Roll'!$O$25-1),G$4&lt;EOMONTH(CloseDate,'Rent Roll'!$O$25-1+'Rent Roll'!$V$25)),-G213,0)</f>
        <v>-17475.468749999996</v>
      </c>
      <c r="H214" s="49">
        <f>IF(AND(H$4&gt;=EOMONTH(CloseDate,'Rent Roll'!$O$25-1),H$4&lt;EOMONTH(CloseDate,'Rent Roll'!$O$25-1+'Rent Roll'!$V$25)),-H213,0)</f>
        <v>0</v>
      </c>
      <c r="I214" s="49">
        <f>IF(AND(I$4&gt;=EOMONTH(CloseDate,'Rent Roll'!$O$25-1),I$4&lt;EOMONTH(CloseDate,'Rent Roll'!$O$25-1+'Rent Roll'!$V$25)),-I213,0)</f>
        <v>0</v>
      </c>
      <c r="J214" s="49">
        <f>IF(AND(J$4&gt;=EOMONTH(CloseDate,'Rent Roll'!$O$25-1),J$4&lt;EOMONTH(CloseDate,'Rent Roll'!$O$25-1+'Rent Roll'!$V$25)),-J213,0)</f>
        <v>0</v>
      </c>
      <c r="K214" s="49">
        <f>IF(AND(K$4&gt;=EOMONTH(CloseDate,'Rent Roll'!$O$25-1),K$4&lt;EOMONTH(CloseDate,'Rent Roll'!$O$25-1+'Rent Roll'!$V$25)),-K213,0)</f>
        <v>0</v>
      </c>
      <c r="L214" s="49">
        <f>IF(AND(L$4&gt;=EOMONTH(CloseDate,'Rent Roll'!$O$25-1),L$4&lt;EOMONTH(CloseDate,'Rent Roll'!$O$25-1+'Rent Roll'!$V$25)),-L213,0)</f>
        <v>0</v>
      </c>
      <c r="M214" s="49">
        <f>IF(AND(M$4&gt;=EOMONTH(CloseDate,'Rent Roll'!$O$25-1),M$4&lt;EOMONTH(CloseDate,'Rent Roll'!$O$25-1+'Rent Roll'!$V$25)),-M213,0)</f>
        <v>0</v>
      </c>
      <c r="N214" s="49">
        <f>IF(AND(N$4&gt;=EOMONTH(CloseDate,'Rent Roll'!$O$25-1),N$4&lt;EOMONTH(CloseDate,'Rent Roll'!$O$25-1+'Rent Roll'!$V$25)),-N213,0)</f>
        <v>0</v>
      </c>
      <c r="O214" s="49">
        <f>IF(AND(O$4&gt;=EOMONTH(CloseDate,'Rent Roll'!$O$25-1),O$4&lt;EOMONTH(CloseDate,'Rent Roll'!$O$25-1+'Rent Roll'!$V$25)),-O213,0)</f>
        <v>0</v>
      </c>
      <c r="P214" s="49">
        <f>IF(AND(P$4&gt;=EOMONTH(CloseDate,'Rent Roll'!$O$25-1),P$4&lt;EOMONTH(CloseDate,'Rent Roll'!$O$25-1+'Rent Roll'!$V$25)),-P213,0)</f>
        <v>0</v>
      </c>
      <c r="Q214" s="49">
        <f>IF(AND(Q$4&gt;=EOMONTH(CloseDate,'Rent Roll'!$O$25-1),Q$4&lt;EOMONTH(CloseDate,'Rent Roll'!$O$25-1+'Rent Roll'!$V$25)),-Q213,0)</f>
        <v>0</v>
      </c>
      <c r="R214" s="49">
        <f>IF(AND(R$4&gt;=EOMONTH(CloseDate,'Rent Roll'!$O$25-1),R$4&lt;EOMONTH(CloseDate,'Rent Roll'!$O$25-1+'Rent Roll'!$V$25)),-R213,0)</f>
        <v>0</v>
      </c>
      <c r="S214" s="49">
        <f>IF(AND(S$4&gt;=EOMONTH(CloseDate,'Rent Roll'!$O$25-1),S$4&lt;EOMONTH(CloseDate,'Rent Roll'!$O$25-1+'Rent Roll'!$V$25)),-S213,0)</f>
        <v>0</v>
      </c>
      <c r="T214" s="49">
        <f>IF(AND(T$4&gt;=EOMONTH(CloseDate,'Rent Roll'!$O$25-1),T$4&lt;EOMONTH(CloseDate,'Rent Roll'!$O$25-1+'Rent Roll'!$V$25)),-T213,0)</f>
        <v>0</v>
      </c>
      <c r="U214" s="49">
        <f>IF(AND(U$4&gt;=EOMONTH(CloseDate,'Rent Roll'!$O$25-1),U$4&lt;EOMONTH(CloseDate,'Rent Roll'!$O$25-1+'Rent Roll'!$V$25)),-U213,0)</f>
        <v>0</v>
      </c>
      <c r="V214" s="49">
        <f>IF(AND(V$4&gt;=EOMONTH(CloseDate,'Rent Roll'!$O$25-1),V$4&lt;EOMONTH(CloseDate,'Rent Roll'!$O$25-1+'Rent Roll'!$V$25)),-V213,0)</f>
        <v>0</v>
      </c>
      <c r="W214" s="49">
        <f>IF(AND(W$4&gt;=EOMONTH(CloseDate,'Rent Roll'!$O$25-1),W$4&lt;EOMONTH(CloseDate,'Rent Roll'!$O$25-1+'Rent Roll'!$V$25)),-W213,0)</f>
        <v>0</v>
      </c>
      <c r="X214" s="49">
        <f>IF(AND(X$4&gt;=EOMONTH(CloseDate,'Rent Roll'!$O$25-1),X$4&lt;EOMONTH(CloseDate,'Rent Roll'!$O$25-1+'Rent Roll'!$V$25)),-X213,0)</f>
        <v>0</v>
      </c>
      <c r="Y214" s="49">
        <f>IF(AND(Y$4&gt;=EOMONTH(CloseDate,'Rent Roll'!$O$25-1),Y$4&lt;EOMONTH(CloseDate,'Rent Roll'!$O$25-1+'Rent Roll'!$V$25)),-Y213,0)</f>
        <v>0</v>
      </c>
      <c r="Z214" s="49">
        <f>IF(AND(Z$4&gt;=EOMONTH(CloseDate,'Rent Roll'!$O$25-1),Z$4&lt;EOMONTH(CloseDate,'Rent Roll'!$O$25-1+'Rent Roll'!$V$25)),-Z213,0)</f>
        <v>0</v>
      </c>
      <c r="AA214" s="49">
        <f>IF(AND(AA$4&gt;=EOMONTH(CloseDate,'Rent Roll'!$O$25-1),AA$4&lt;EOMONTH(CloseDate,'Rent Roll'!$O$25-1+'Rent Roll'!$V$25)),-AA213,0)</f>
        <v>0</v>
      </c>
      <c r="AB214" s="49">
        <f>IF(AND(AB$4&gt;=EOMONTH(CloseDate,'Rent Roll'!$O$25-1),AB$4&lt;EOMONTH(CloseDate,'Rent Roll'!$O$25-1+'Rent Roll'!$V$25)),-AB213,0)</f>
        <v>0</v>
      </c>
      <c r="AC214" s="49">
        <f>IF(AND(AC$4&gt;=EOMONTH(CloseDate,'Rent Roll'!$O$25-1),AC$4&lt;EOMONTH(CloseDate,'Rent Roll'!$O$25-1+'Rent Roll'!$V$25)),-AC213,0)</f>
        <v>0</v>
      </c>
      <c r="AD214" s="49">
        <f>IF(AND(AD$4&gt;=EOMONTH(CloseDate,'Rent Roll'!$O$25-1),AD$4&lt;EOMONTH(CloseDate,'Rent Roll'!$O$25-1+'Rent Roll'!$V$25)),-AD213,0)</f>
        <v>0</v>
      </c>
      <c r="AE214" s="49">
        <f>IF(AND(AE$4&gt;=EOMONTH(CloseDate,'Rent Roll'!$O$25-1),AE$4&lt;EOMONTH(CloseDate,'Rent Roll'!$O$25-1+'Rent Roll'!$V$25)),-AE213,0)</f>
        <v>0</v>
      </c>
      <c r="AF214" s="49">
        <f>IF(AND(AF$4&gt;=EOMONTH(CloseDate,'Rent Roll'!$O$25-1),AF$4&lt;EOMONTH(CloseDate,'Rent Roll'!$O$25-1+'Rent Roll'!$V$25)),-AF213,0)</f>
        <v>0</v>
      </c>
      <c r="AG214" s="49">
        <f>IF(AND(AG$4&gt;=EOMONTH(CloseDate,'Rent Roll'!$O$25-1),AG$4&lt;EOMONTH(CloseDate,'Rent Roll'!$O$25-1+'Rent Roll'!$V$25)),-AG213,0)</f>
        <v>0</v>
      </c>
      <c r="AH214" s="49">
        <f>IF(AND(AH$4&gt;=EOMONTH(CloseDate,'Rent Roll'!$O$25-1),AH$4&lt;EOMONTH(CloseDate,'Rent Roll'!$O$25-1+'Rent Roll'!$V$25)),-AH213,0)</f>
        <v>0</v>
      </c>
      <c r="AI214" s="49">
        <f>IF(AND(AI$4&gt;=EOMONTH(CloseDate,'Rent Roll'!$O$25-1),AI$4&lt;EOMONTH(CloseDate,'Rent Roll'!$O$25-1+'Rent Roll'!$V$25)),-AI213,0)</f>
        <v>0</v>
      </c>
      <c r="AJ214" s="49">
        <f>IF(AND(AJ$4&gt;=EOMONTH(CloseDate,'Rent Roll'!$O$25-1),AJ$4&lt;EOMONTH(CloseDate,'Rent Roll'!$O$25-1+'Rent Roll'!$V$25)),-AJ213,0)</f>
        <v>0</v>
      </c>
      <c r="AK214" s="49">
        <f>IF(AND(AK$4&gt;=EOMONTH(CloseDate,'Rent Roll'!$O$25-1),AK$4&lt;EOMONTH(CloseDate,'Rent Roll'!$O$25-1+'Rent Roll'!$V$25)),-AK213,0)</f>
        <v>0</v>
      </c>
      <c r="AL214" s="49">
        <f>IF(AND(AL$4&gt;=EOMONTH(CloseDate,'Rent Roll'!$O$25-1),AL$4&lt;EOMONTH(CloseDate,'Rent Roll'!$O$25-1+'Rent Roll'!$V$25)),-AL213,0)</f>
        <v>0</v>
      </c>
      <c r="AM214" s="49">
        <f>IF(AND(AM$4&gt;=EOMONTH(CloseDate,'Rent Roll'!$O$25-1),AM$4&lt;EOMONTH(CloseDate,'Rent Roll'!$O$25-1+'Rent Roll'!$V$25)),-AM213,0)</f>
        <v>0</v>
      </c>
      <c r="AN214" s="49">
        <f>IF(AND(AN$4&gt;=EOMONTH(CloseDate,'Rent Roll'!$O$25-1),AN$4&lt;EOMONTH(CloseDate,'Rent Roll'!$O$25-1+'Rent Roll'!$V$25)),-AN213,0)</f>
        <v>0</v>
      </c>
      <c r="AO214" s="49">
        <f>IF(AND(AO$4&gt;=EOMONTH(CloseDate,'Rent Roll'!$O$25-1),AO$4&lt;EOMONTH(CloseDate,'Rent Roll'!$O$25-1+'Rent Roll'!$V$25)),-AO213,0)</f>
        <v>0</v>
      </c>
      <c r="AP214" s="49">
        <f>IF(AND(AP$4&gt;=EOMONTH(CloseDate,'Rent Roll'!$O$25-1),AP$4&lt;EOMONTH(CloseDate,'Rent Roll'!$O$25-1+'Rent Roll'!$V$25)),-AP213,0)</f>
        <v>0</v>
      </c>
      <c r="AQ214" s="49">
        <f>IF(AND(AQ$4&gt;=EOMONTH(CloseDate,'Rent Roll'!$O$25-1),AQ$4&lt;EOMONTH(CloseDate,'Rent Roll'!$O$25-1+'Rent Roll'!$V$25)),-AQ213,0)</f>
        <v>0</v>
      </c>
      <c r="AR214" s="49">
        <f>IF(AND(AR$4&gt;=EOMONTH(CloseDate,'Rent Roll'!$O$25-1),AR$4&lt;EOMONTH(CloseDate,'Rent Roll'!$O$25-1+'Rent Roll'!$V$25)),-AR213,0)</f>
        <v>0</v>
      </c>
      <c r="AS214" s="49">
        <f>IF(AND(AS$4&gt;=EOMONTH(CloseDate,'Rent Roll'!$O$25-1),AS$4&lt;EOMONTH(CloseDate,'Rent Roll'!$O$25-1+'Rent Roll'!$V$25)),-AS213,0)</f>
        <v>0</v>
      </c>
      <c r="AT214" s="49">
        <f>IF(AND(AT$4&gt;=EOMONTH(CloseDate,'Rent Roll'!$O$25-1),AT$4&lt;EOMONTH(CloseDate,'Rent Roll'!$O$25-1+'Rent Roll'!$V$25)),-AT213,0)</f>
        <v>0</v>
      </c>
      <c r="AU214" s="49">
        <f>IF(AND(AU$4&gt;=EOMONTH(CloseDate,'Rent Roll'!$O$25-1),AU$4&lt;EOMONTH(CloseDate,'Rent Roll'!$O$25-1+'Rent Roll'!$V$25)),-AU213,0)</f>
        <v>0</v>
      </c>
      <c r="AV214" s="49">
        <f>IF(AND(AV$4&gt;=EOMONTH(CloseDate,'Rent Roll'!$O$25-1),AV$4&lt;EOMONTH(CloseDate,'Rent Roll'!$O$25-1+'Rent Roll'!$V$25)),-AV213,0)</f>
        <v>0</v>
      </c>
      <c r="AW214" s="49">
        <f>IF(AND(AW$4&gt;=EOMONTH(CloseDate,'Rent Roll'!$O$25-1),AW$4&lt;EOMONTH(CloseDate,'Rent Roll'!$O$25-1+'Rent Roll'!$V$25)),-AW213,0)</f>
        <v>0</v>
      </c>
      <c r="AX214" s="49">
        <f>IF(AND(AX$4&gt;=EOMONTH(CloseDate,'Rent Roll'!$O$25-1),AX$4&lt;EOMONTH(CloseDate,'Rent Roll'!$O$25-1+'Rent Roll'!$V$25)),-AX213,0)</f>
        <v>0</v>
      </c>
      <c r="AY214" s="49">
        <f>IF(AND(AY$4&gt;=EOMONTH(CloseDate,'Rent Roll'!$O$25-1),AY$4&lt;EOMONTH(CloseDate,'Rent Roll'!$O$25-1+'Rent Roll'!$V$25)),-AY213,0)</f>
        <v>0</v>
      </c>
      <c r="AZ214" s="49">
        <f>IF(AND(AZ$4&gt;=EOMONTH(CloseDate,'Rent Roll'!$O$25-1),AZ$4&lt;EOMONTH(CloseDate,'Rent Roll'!$O$25-1+'Rent Roll'!$V$25)),-AZ213,0)</f>
        <v>0</v>
      </c>
      <c r="BA214" s="49">
        <f>IF(AND(BA$4&gt;=EOMONTH(CloseDate,'Rent Roll'!$O$25-1),BA$4&lt;EOMONTH(CloseDate,'Rent Roll'!$O$25-1+'Rent Roll'!$V$25)),-BA213,0)</f>
        <v>0</v>
      </c>
      <c r="BB214" s="49">
        <f>IF(AND(BB$4&gt;=EOMONTH(CloseDate,'Rent Roll'!$O$25-1),BB$4&lt;EOMONTH(CloseDate,'Rent Roll'!$O$25-1+'Rent Roll'!$V$25)),-BB213,0)</f>
        <v>0</v>
      </c>
      <c r="BC214" s="49">
        <f>IF(AND(BC$4&gt;=EOMONTH(CloseDate,'Rent Roll'!$O$25-1),BC$4&lt;EOMONTH(CloseDate,'Rent Roll'!$O$25-1+'Rent Roll'!$V$25)),-BC213,0)</f>
        <v>0</v>
      </c>
      <c r="BD214" s="49">
        <f>IF(AND(BD$4&gt;=EOMONTH(CloseDate,'Rent Roll'!$O$25-1),BD$4&lt;EOMONTH(CloseDate,'Rent Roll'!$O$25-1+'Rent Roll'!$V$25)),-BD213,0)</f>
        <v>0</v>
      </c>
      <c r="BE214" s="49">
        <f>IF(AND(BE$4&gt;=EOMONTH(CloseDate,'Rent Roll'!$O$25-1),BE$4&lt;EOMONTH(CloseDate,'Rent Roll'!$O$25-1+'Rent Roll'!$V$25)),-BE213,0)</f>
        <v>0</v>
      </c>
      <c r="BF214" s="49">
        <f>IF(AND(BF$4&gt;=EOMONTH(CloseDate,'Rent Roll'!$O$25-1),BF$4&lt;EOMONTH(CloseDate,'Rent Roll'!$O$25-1+'Rent Roll'!$V$25)),-BF213,0)</f>
        <v>0</v>
      </c>
      <c r="BG214" s="49">
        <f>IF(AND(BG$4&gt;=EOMONTH(CloseDate,'Rent Roll'!$O$25-1),BG$4&lt;EOMONTH(CloseDate,'Rent Roll'!$O$25-1+'Rent Roll'!$V$25)),-BG213,0)</f>
        <v>0</v>
      </c>
      <c r="BH214" s="49">
        <f>IF(AND(BH$4&gt;=EOMONTH(CloseDate,'Rent Roll'!$O$25-1),BH$4&lt;EOMONTH(CloseDate,'Rent Roll'!$O$25-1+'Rent Roll'!$V$25)),-BH213,0)</f>
        <v>0</v>
      </c>
      <c r="BI214" s="49">
        <f>IF(AND(BI$4&gt;=EOMONTH(CloseDate,'Rent Roll'!$O$25-1),BI$4&lt;EOMONTH(CloseDate,'Rent Roll'!$O$25-1+'Rent Roll'!$V$25)),-BI213,0)</f>
        <v>0</v>
      </c>
      <c r="BJ214" s="49">
        <f>IF(AND(BJ$4&gt;=EOMONTH(CloseDate,'Rent Roll'!$O$25-1),BJ$4&lt;EOMONTH(CloseDate,'Rent Roll'!$O$25-1+'Rent Roll'!$V$25)),-BJ213,0)</f>
        <v>0</v>
      </c>
      <c r="BK214" s="49">
        <f>IF(AND(BK$4&gt;=EOMONTH(CloseDate,'Rent Roll'!$O$25-1),BK$4&lt;EOMONTH(CloseDate,'Rent Roll'!$O$25-1+'Rent Roll'!$V$25)),-BK213,0)</f>
        <v>0</v>
      </c>
      <c r="BL214" s="49">
        <f>IF(AND(BL$4&gt;=EOMONTH(CloseDate,'Rent Roll'!$O$25-1),BL$4&lt;EOMONTH(CloseDate,'Rent Roll'!$O$25-1+'Rent Roll'!$V$25)),-BL213,0)</f>
        <v>0</v>
      </c>
      <c r="BM214" s="49">
        <f>IF(AND(BM$4&gt;=EOMONTH(CloseDate,'Rent Roll'!$O$25-1),BM$4&lt;EOMONTH(CloseDate,'Rent Roll'!$O$25-1+'Rent Roll'!$V$25)),-BM213,0)</f>
        <v>0</v>
      </c>
      <c r="BN214" s="49">
        <f>IF(AND(BN$4&gt;=EOMONTH(CloseDate,'Rent Roll'!$O$25-1),BN$4&lt;EOMONTH(CloseDate,'Rent Roll'!$O$25-1+'Rent Roll'!$V$25)),-BN213,0)</f>
        <v>0</v>
      </c>
      <c r="BO214" s="49">
        <f>IF(AND(BO$4&gt;=EOMONTH(CloseDate,'Rent Roll'!$O$25-1),BO$4&lt;EOMONTH(CloseDate,'Rent Roll'!$O$25-1+'Rent Roll'!$V$25)),-BO213,0)</f>
        <v>0</v>
      </c>
      <c r="BP214" s="49">
        <f>IF(AND(BP$4&gt;=EOMONTH(CloseDate,'Rent Roll'!$O$25-1),BP$4&lt;EOMONTH(CloseDate,'Rent Roll'!$O$25-1+'Rent Roll'!$V$25)),-BP213,0)</f>
        <v>0</v>
      </c>
      <c r="BQ214" s="49">
        <f>IF(AND(BQ$4&gt;=EOMONTH(CloseDate,'Rent Roll'!$O$25-1),BQ$4&lt;EOMONTH(CloseDate,'Rent Roll'!$O$25-1+'Rent Roll'!$V$25)),-BQ213,0)</f>
        <v>0</v>
      </c>
      <c r="BR214" s="49">
        <f>IF(AND(BR$4&gt;=EOMONTH(CloseDate,'Rent Roll'!$O$25-1),BR$4&lt;EOMONTH(CloseDate,'Rent Roll'!$O$25-1+'Rent Roll'!$V$25)),-BR213,0)</f>
        <v>0</v>
      </c>
      <c r="BS214" s="49">
        <f>IF(AND(BS$4&gt;=EOMONTH(CloseDate,'Rent Roll'!$O$25-1),BS$4&lt;EOMONTH(CloseDate,'Rent Roll'!$O$25-1+'Rent Roll'!$V$25)),-BS213,0)</f>
        <v>0</v>
      </c>
      <c r="BT214" s="49">
        <f>IF(AND(BT$4&gt;=EOMONTH(CloseDate,'Rent Roll'!$O$25-1),BT$4&lt;EOMONTH(CloseDate,'Rent Roll'!$O$25-1+'Rent Roll'!$V$25)),-BT213,0)</f>
        <v>0</v>
      </c>
      <c r="BU214" s="49">
        <f>IF(AND(BU$4&gt;=EOMONTH(CloseDate,'Rent Roll'!$O$25-1),BU$4&lt;EOMONTH(CloseDate,'Rent Roll'!$O$25-1+'Rent Roll'!$V$25)),-BU213,0)</f>
        <v>0</v>
      </c>
      <c r="BV214" s="49">
        <f>IF(AND(BV$4&gt;=EOMONTH(CloseDate,'Rent Roll'!$O$25-1),BV$4&lt;EOMONTH(CloseDate,'Rent Roll'!$O$25-1+'Rent Roll'!$V$25)),-BV213,0)</f>
        <v>0</v>
      </c>
      <c r="BW214" s="49">
        <f>IF(AND(BW$4&gt;=EOMONTH(CloseDate,'Rent Roll'!$O$25-1),BW$4&lt;EOMONTH(CloseDate,'Rent Roll'!$O$25-1+'Rent Roll'!$V$25)),-BW213,0)</f>
        <v>0</v>
      </c>
      <c r="BX214" s="49">
        <f>IF(AND(BX$4&gt;=EOMONTH(CloseDate,'Rent Roll'!$O$25-1),BX$4&lt;EOMONTH(CloseDate,'Rent Roll'!$O$25-1+'Rent Roll'!$V$25)),-BX213,0)</f>
        <v>0</v>
      </c>
    </row>
    <row r="215" spans="1:76" hidden="1" outlineLevel="1">
      <c r="B215" t="s">
        <v>84</v>
      </c>
      <c r="D215" s="49">
        <f>D211+D213+D214</f>
        <v>0</v>
      </c>
      <c r="E215" s="49">
        <f t="shared" ref="E215:BJ215" si="71">E211+E213+E214</f>
        <v>0</v>
      </c>
      <c r="F215" s="49">
        <f t="shared" si="71"/>
        <v>0</v>
      </c>
      <c r="G215" s="49">
        <f t="shared" si="71"/>
        <v>0</v>
      </c>
      <c r="H215" s="49">
        <f t="shared" si="71"/>
        <v>17475.468749999996</v>
      </c>
      <c r="I215" s="49">
        <f t="shared" si="71"/>
        <v>17947.306406249994</v>
      </c>
      <c r="J215" s="49">
        <f t="shared" si="71"/>
        <v>17947.306406249994</v>
      </c>
      <c r="K215" s="49">
        <f t="shared" si="71"/>
        <v>17947.306406249994</v>
      </c>
      <c r="L215" s="49">
        <f t="shared" si="71"/>
        <v>17947.306406249994</v>
      </c>
      <c r="M215" s="49">
        <f t="shared" si="71"/>
        <v>17947.306406249994</v>
      </c>
      <c r="N215" s="49">
        <f t="shared" si="71"/>
        <v>17947.306406249994</v>
      </c>
      <c r="O215" s="49">
        <f t="shared" si="71"/>
        <v>17947.306406249994</v>
      </c>
      <c r="P215" s="49">
        <f t="shared" si="71"/>
        <v>17947.306406249994</v>
      </c>
      <c r="Q215" s="49">
        <f t="shared" si="71"/>
        <v>17947.306406249994</v>
      </c>
      <c r="R215" s="49">
        <f t="shared" si="71"/>
        <v>17947.306406249994</v>
      </c>
      <c r="S215" s="49">
        <f t="shared" si="71"/>
        <v>17947.306406249994</v>
      </c>
      <c r="T215" s="49">
        <f t="shared" si="71"/>
        <v>17947.306406249994</v>
      </c>
      <c r="U215" s="49">
        <f t="shared" si="71"/>
        <v>18431.883679218743</v>
      </c>
      <c r="V215" s="49">
        <f t="shared" si="71"/>
        <v>18431.883679218743</v>
      </c>
      <c r="W215" s="49">
        <f t="shared" si="71"/>
        <v>18431.883679218743</v>
      </c>
      <c r="X215" s="49">
        <f t="shared" si="71"/>
        <v>18431.883679218743</v>
      </c>
      <c r="Y215" s="49">
        <f t="shared" si="71"/>
        <v>18431.883679218743</v>
      </c>
      <c r="Z215" s="49">
        <f t="shared" si="71"/>
        <v>18431.883679218743</v>
      </c>
      <c r="AA215" s="49">
        <f t="shared" si="71"/>
        <v>18431.883679218743</v>
      </c>
      <c r="AB215" s="49">
        <f t="shared" si="71"/>
        <v>18431.883679218743</v>
      </c>
      <c r="AC215" s="49">
        <f t="shared" si="71"/>
        <v>18431.883679218743</v>
      </c>
      <c r="AD215" s="49">
        <f t="shared" si="71"/>
        <v>18431.883679218743</v>
      </c>
      <c r="AE215" s="49">
        <f t="shared" si="71"/>
        <v>18431.883679218743</v>
      </c>
      <c r="AF215" s="49">
        <f t="shared" si="71"/>
        <v>18431.883679218743</v>
      </c>
      <c r="AG215" s="49">
        <f t="shared" si="71"/>
        <v>18929.54453855765</v>
      </c>
      <c r="AH215" s="49">
        <f t="shared" si="71"/>
        <v>18929.54453855765</v>
      </c>
      <c r="AI215" s="49">
        <f t="shared" si="71"/>
        <v>18929.54453855765</v>
      </c>
      <c r="AJ215" s="49">
        <f t="shared" si="71"/>
        <v>18929.54453855765</v>
      </c>
      <c r="AK215" s="49">
        <f t="shared" si="71"/>
        <v>18929.54453855765</v>
      </c>
      <c r="AL215" s="49">
        <f t="shared" si="71"/>
        <v>18929.54453855765</v>
      </c>
      <c r="AM215" s="49">
        <f t="shared" si="71"/>
        <v>18929.54453855765</v>
      </c>
      <c r="AN215" s="49">
        <f t="shared" si="71"/>
        <v>18929.54453855765</v>
      </c>
      <c r="AO215" s="49">
        <f t="shared" si="71"/>
        <v>18929.54453855765</v>
      </c>
      <c r="AP215" s="49">
        <f t="shared" si="71"/>
        <v>18929.54453855765</v>
      </c>
      <c r="AQ215" s="49">
        <f t="shared" si="71"/>
        <v>18929.54453855765</v>
      </c>
      <c r="AR215" s="49">
        <f t="shared" si="71"/>
        <v>18929.54453855765</v>
      </c>
      <c r="AS215" s="49">
        <f t="shared" si="71"/>
        <v>19440.642241098703</v>
      </c>
      <c r="AT215" s="49">
        <f t="shared" si="71"/>
        <v>19440.642241098703</v>
      </c>
      <c r="AU215" s="49">
        <f t="shared" si="71"/>
        <v>19440.642241098703</v>
      </c>
      <c r="AV215" s="49">
        <f t="shared" si="71"/>
        <v>19440.642241098703</v>
      </c>
      <c r="AW215" s="49">
        <f t="shared" si="71"/>
        <v>19440.642241098703</v>
      </c>
      <c r="AX215" s="49">
        <f t="shared" si="71"/>
        <v>19440.642241098703</v>
      </c>
      <c r="AY215" s="49">
        <f t="shared" si="71"/>
        <v>19440.642241098703</v>
      </c>
      <c r="AZ215" s="49">
        <f t="shared" si="71"/>
        <v>19440.642241098703</v>
      </c>
      <c r="BA215" s="49">
        <f t="shared" si="71"/>
        <v>19440.642241098703</v>
      </c>
      <c r="BB215" s="49">
        <f t="shared" si="71"/>
        <v>19440.642241098703</v>
      </c>
      <c r="BC215" s="49">
        <f t="shared" si="71"/>
        <v>19440.642241098703</v>
      </c>
      <c r="BD215" s="49">
        <f t="shared" si="71"/>
        <v>19440.642241098703</v>
      </c>
      <c r="BE215" s="49">
        <f t="shared" si="71"/>
        <v>19965.539581608366</v>
      </c>
      <c r="BF215" s="49">
        <f t="shared" si="71"/>
        <v>19965.539581608366</v>
      </c>
      <c r="BG215" s="49">
        <f t="shared" si="71"/>
        <v>19965.539581608366</v>
      </c>
      <c r="BH215" s="49">
        <f t="shared" si="71"/>
        <v>19965.539581608366</v>
      </c>
      <c r="BI215" s="49">
        <f t="shared" si="71"/>
        <v>19965.539581608366</v>
      </c>
      <c r="BJ215" s="49">
        <f t="shared" si="71"/>
        <v>19965.539581608366</v>
      </c>
      <c r="BK215" s="49">
        <f t="shared" ref="BK215" si="72">BK211+BK213+BK214</f>
        <v>19965.539581608366</v>
      </c>
      <c r="BL215" s="49">
        <f t="shared" ref="BL215:BX215" si="73">BL211+BL213+BL214</f>
        <v>19965.539581608366</v>
      </c>
      <c r="BM215" s="49">
        <f t="shared" si="73"/>
        <v>19965.539581608366</v>
      </c>
      <c r="BN215" s="49">
        <f t="shared" si="73"/>
        <v>19965.539581608366</v>
      </c>
      <c r="BO215" s="49">
        <f t="shared" si="73"/>
        <v>19965.539581608366</v>
      </c>
      <c r="BP215" s="49">
        <f t="shared" si="73"/>
        <v>19965.539581608366</v>
      </c>
      <c r="BQ215" s="49">
        <f t="shared" si="73"/>
        <v>20504.60915031179</v>
      </c>
      <c r="BR215" s="49">
        <f t="shared" si="73"/>
        <v>20504.60915031179</v>
      </c>
      <c r="BS215" s="49">
        <f t="shared" si="73"/>
        <v>20504.60915031179</v>
      </c>
      <c r="BT215" s="49">
        <f t="shared" si="73"/>
        <v>20504.60915031179</v>
      </c>
      <c r="BU215" s="49">
        <f t="shared" si="73"/>
        <v>20504.60915031179</v>
      </c>
      <c r="BV215" s="49">
        <f t="shared" si="73"/>
        <v>20504.60915031179</v>
      </c>
      <c r="BW215" s="49">
        <f t="shared" si="73"/>
        <v>20504.60915031179</v>
      </c>
      <c r="BX215" s="49">
        <f t="shared" si="73"/>
        <v>20504.60915031179</v>
      </c>
    </row>
    <row r="216" spans="1:76" hidden="1" outlineLevel="1">
      <c r="B216" t="s">
        <v>85</v>
      </c>
      <c r="D216" s="49">
        <f>IF(D212=1,'Rent Roll'!$F$25/BldgSF*ReimbPool/12*D$7,0)</f>
        <v>0</v>
      </c>
      <c r="E216" s="49">
        <f>IF(E212=1,'Rent Roll'!$F$25/BldgSF*ReimbPool/12*E$7,0)</f>
        <v>0</v>
      </c>
      <c r="F216" s="49">
        <f>IF(F212=1,'Rent Roll'!$F$25/BldgSF*ReimbPool/12*F$7,0)</f>
        <v>7416.25</v>
      </c>
      <c r="G216" s="49">
        <f>IF(G212=1,'Rent Roll'!$F$25/BldgSF*ReimbPool/12*G$7,0)</f>
        <v>7416.25</v>
      </c>
      <c r="H216" s="49">
        <f>IF(H212=1,'Rent Roll'!$F$25/BldgSF*ReimbPool/12*H$7,0)</f>
        <v>7416.25</v>
      </c>
      <c r="I216" s="49">
        <f>IF(I212=1,'Rent Roll'!$F$25/BldgSF*ReimbPool/12*I$7,0)</f>
        <v>7616.4887499999995</v>
      </c>
      <c r="J216" s="49">
        <f>IF(J212=1,'Rent Roll'!$F$25/BldgSF*ReimbPool/12*J$7,0)</f>
        <v>7616.4887499999995</v>
      </c>
      <c r="K216" s="49">
        <f>IF(K212=1,'Rent Roll'!$F$25/BldgSF*ReimbPool/12*K$7,0)</f>
        <v>7616.4887499999995</v>
      </c>
      <c r="L216" s="49">
        <f>IF(L212=1,'Rent Roll'!$F$25/BldgSF*ReimbPool/12*L$7,0)</f>
        <v>7616.4887499999995</v>
      </c>
      <c r="M216" s="49">
        <f>IF(M212=1,'Rent Roll'!$F$25/BldgSF*ReimbPool/12*M$7,0)</f>
        <v>7616.4887499999995</v>
      </c>
      <c r="N216" s="49">
        <f>IF(N212=1,'Rent Roll'!$F$25/BldgSF*ReimbPool/12*N$7,0)</f>
        <v>7616.4887499999995</v>
      </c>
      <c r="O216" s="49">
        <f>IF(O212=1,'Rent Roll'!$F$25/BldgSF*ReimbPool/12*O$7,0)</f>
        <v>7616.4887499999995</v>
      </c>
      <c r="P216" s="49">
        <f>IF(P212=1,'Rent Roll'!$F$25/BldgSF*ReimbPool/12*P$7,0)</f>
        <v>7616.4887499999995</v>
      </c>
      <c r="Q216" s="49">
        <f>IF(Q212=1,'Rent Roll'!$F$25/BldgSF*ReimbPool/12*Q$7,0)</f>
        <v>7616.4887499999995</v>
      </c>
      <c r="R216" s="49">
        <f>IF(R212=1,'Rent Roll'!$F$25/BldgSF*ReimbPool/12*R$7,0)</f>
        <v>7616.4887499999995</v>
      </c>
      <c r="S216" s="49">
        <f>IF(S212=1,'Rent Roll'!$F$25/BldgSF*ReimbPool/12*S$7,0)</f>
        <v>7616.4887499999995</v>
      </c>
      <c r="T216" s="49">
        <f>IF(T212=1,'Rent Roll'!$F$25/BldgSF*ReimbPool/12*T$7,0)</f>
        <v>7616.4887499999995</v>
      </c>
      <c r="U216" s="49">
        <f>IF(U212=1,'Rent Roll'!$F$25/BldgSF*ReimbPool/12*U$7,0)</f>
        <v>7822.1339462499982</v>
      </c>
      <c r="V216" s="49">
        <f>IF(V212=1,'Rent Roll'!$F$25/BldgSF*ReimbPool/12*V$7,0)</f>
        <v>7822.1339462499982</v>
      </c>
      <c r="W216" s="49">
        <f>IF(W212=1,'Rent Roll'!$F$25/BldgSF*ReimbPool/12*W$7,0)</f>
        <v>7822.1339462499982</v>
      </c>
      <c r="X216" s="49">
        <f>IF(X212=1,'Rent Roll'!$F$25/BldgSF*ReimbPool/12*X$7,0)</f>
        <v>7822.1339462499982</v>
      </c>
      <c r="Y216" s="49">
        <f>IF(Y212=1,'Rent Roll'!$F$25/BldgSF*ReimbPool/12*Y$7,0)</f>
        <v>7822.1339462499982</v>
      </c>
      <c r="Z216" s="49">
        <f>IF(Z212=1,'Rent Roll'!$F$25/BldgSF*ReimbPool/12*Z$7,0)</f>
        <v>7822.1339462499982</v>
      </c>
      <c r="AA216" s="49">
        <f>IF(AA212=1,'Rent Roll'!$F$25/BldgSF*ReimbPool/12*AA$7,0)</f>
        <v>7822.1339462499982</v>
      </c>
      <c r="AB216" s="49">
        <f>IF(AB212=1,'Rent Roll'!$F$25/BldgSF*ReimbPool/12*AB$7,0)</f>
        <v>7822.1339462499982</v>
      </c>
      <c r="AC216" s="49">
        <f>IF(AC212=1,'Rent Roll'!$F$25/BldgSF*ReimbPool/12*AC$7,0)</f>
        <v>7822.1339462499982</v>
      </c>
      <c r="AD216" s="49">
        <f>IF(AD212=1,'Rent Roll'!$F$25/BldgSF*ReimbPool/12*AD$7,0)</f>
        <v>7822.1339462499982</v>
      </c>
      <c r="AE216" s="49">
        <f>IF(AE212=1,'Rent Roll'!$F$25/BldgSF*ReimbPool/12*AE$7,0)</f>
        <v>7822.1339462499982</v>
      </c>
      <c r="AF216" s="49">
        <f>IF(AF212=1,'Rent Roll'!$F$25/BldgSF*ReimbPool/12*AF$7,0)</f>
        <v>7822.1339462499982</v>
      </c>
      <c r="AG216" s="49">
        <f>IF(AG212=1,'Rent Roll'!$F$25/BldgSF*ReimbPool/12*AG$7,0)</f>
        <v>8033.3315627987486</v>
      </c>
      <c r="AH216" s="49">
        <f>IF(AH212=1,'Rent Roll'!$F$25/BldgSF*ReimbPool/12*AH$7,0)</f>
        <v>8033.3315627987486</v>
      </c>
      <c r="AI216" s="49">
        <f>IF(AI212=1,'Rent Roll'!$F$25/BldgSF*ReimbPool/12*AI$7,0)</f>
        <v>8033.3315627987486</v>
      </c>
      <c r="AJ216" s="49">
        <f>IF(AJ212=1,'Rent Roll'!$F$25/BldgSF*ReimbPool/12*AJ$7,0)</f>
        <v>8033.3315627987486</v>
      </c>
      <c r="AK216" s="49">
        <f>IF(AK212=1,'Rent Roll'!$F$25/BldgSF*ReimbPool/12*AK$7,0)</f>
        <v>8033.3315627987486</v>
      </c>
      <c r="AL216" s="49">
        <f>IF(AL212=1,'Rent Roll'!$F$25/BldgSF*ReimbPool/12*AL$7,0)</f>
        <v>8033.3315627987486</v>
      </c>
      <c r="AM216" s="49">
        <f>IF(AM212=1,'Rent Roll'!$F$25/BldgSF*ReimbPool/12*AM$7,0)</f>
        <v>8033.3315627987486</v>
      </c>
      <c r="AN216" s="49">
        <f>IF(AN212=1,'Rent Roll'!$F$25/BldgSF*ReimbPool/12*AN$7,0)</f>
        <v>8033.3315627987486</v>
      </c>
      <c r="AO216" s="49">
        <f>IF(AO212=1,'Rent Roll'!$F$25/BldgSF*ReimbPool/12*AO$7,0)</f>
        <v>8033.3315627987486</v>
      </c>
      <c r="AP216" s="49">
        <f>IF(AP212=1,'Rent Roll'!$F$25/BldgSF*ReimbPool/12*AP$7,0)</f>
        <v>8033.3315627987486</v>
      </c>
      <c r="AQ216" s="49">
        <f>IF(AQ212=1,'Rent Roll'!$F$25/BldgSF*ReimbPool/12*AQ$7,0)</f>
        <v>8033.3315627987486</v>
      </c>
      <c r="AR216" s="49">
        <f>IF(AR212=1,'Rent Roll'!$F$25/BldgSF*ReimbPool/12*AR$7,0)</f>
        <v>8033.3315627987486</v>
      </c>
      <c r="AS216" s="49">
        <f>IF(AS212=1,'Rent Roll'!$F$25/BldgSF*ReimbPool/12*AS$7,0)</f>
        <v>8250.2315149943133</v>
      </c>
      <c r="AT216" s="49">
        <f>IF(AT212=1,'Rent Roll'!$F$25/BldgSF*ReimbPool/12*AT$7,0)</f>
        <v>8250.2315149943133</v>
      </c>
      <c r="AU216" s="49">
        <f>IF(AU212=1,'Rent Roll'!$F$25/BldgSF*ReimbPool/12*AU$7,0)</f>
        <v>8250.2315149943133</v>
      </c>
      <c r="AV216" s="49">
        <f>IF(AV212=1,'Rent Roll'!$F$25/BldgSF*ReimbPool/12*AV$7,0)</f>
        <v>8250.2315149943133</v>
      </c>
      <c r="AW216" s="49">
        <f>IF(AW212=1,'Rent Roll'!$F$25/BldgSF*ReimbPool/12*AW$7,0)</f>
        <v>8250.2315149943133</v>
      </c>
      <c r="AX216" s="49">
        <f>IF(AX212=1,'Rent Roll'!$F$25/BldgSF*ReimbPool/12*AX$7,0)</f>
        <v>8250.2315149943133</v>
      </c>
      <c r="AY216" s="49">
        <f>IF(AY212=1,'Rent Roll'!$F$25/BldgSF*ReimbPool/12*AY$7,0)</f>
        <v>8250.2315149943133</v>
      </c>
      <c r="AZ216" s="49">
        <f>IF(AZ212=1,'Rent Roll'!$F$25/BldgSF*ReimbPool/12*AZ$7,0)</f>
        <v>8250.2315149943133</v>
      </c>
      <c r="BA216" s="49">
        <f>IF(BA212=1,'Rent Roll'!$F$25/BldgSF*ReimbPool/12*BA$7,0)</f>
        <v>8250.2315149943133</v>
      </c>
      <c r="BB216" s="49">
        <f>IF(BB212=1,'Rent Roll'!$F$25/BldgSF*ReimbPool/12*BB$7,0)</f>
        <v>8250.2315149943133</v>
      </c>
      <c r="BC216" s="49">
        <f>IF(BC212=1,'Rent Roll'!$F$25/BldgSF*ReimbPool/12*BC$7,0)</f>
        <v>8250.2315149943133</v>
      </c>
      <c r="BD216" s="49">
        <f>IF(BD212=1,'Rent Roll'!$F$25/BldgSF*ReimbPool/12*BD$7,0)</f>
        <v>8250.2315149943133</v>
      </c>
      <c r="BE216" s="49">
        <f>IF(BE212=1,'Rent Roll'!$F$25/BldgSF*ReimbPool/12*BE$7,0)</f>
        <v>8472.9877658991591</v>
      </c>
      <c r="BF216" s="49">
        <f>IF(BF212=1,'Rent Roll'!$F$25/BldgSF*ReimbPool/12*BF$7,0)</f>
        <v>8472.9877658991591</v>
      </c>
      <c r="BG216" s="49">
        <f>IF(BG212=1,'Rent Roll'!$F$25/BldgSF*ReimbPool/12*BG$7,0)</f>
        <v>8472.9877658991591</v>
      </c>
      <c r="BH216" s="49">
        <f>IF(BH212=1,'Rent Roll'!$F$25/BldgSF*ReimbPool/12*BH$7,0)</f>
        <v>8472.9877658991591</v>
      </c>
      <c r="BI216" s="49">
        <f>IF(BI212=1,'Rent Roll'!$F$25/BldgSF*ReimbPool/12*BI$7,0)</f>
        <v>8472.9877658991591</v>
      </c>
      <c r="BJ216" s="49">
        <f>IF(BJ212=1,'Rent Roll'!$F$25/BldgSF*ReimbPool/12*BJ$7,0)</f>
        <v>8472.9877658991591</v>
      </c>
      <c r="BK216" s="49">
        <f>IF(BK212=1,'Rent Roll'!$F$25/BldgSF*ReimbPool/12*BK$7,0)</f>
        <v>8472.9877658991591</v>
      </c>
      <c r="BL216" s="49">
        <f>IF(BL212=1,'Rent Roll'!$F$25/BldgSF*ReimbPool/12*BL$7,0)</f>
        <v>8472.9877658991591</v>
      </c>
      <c r="BM216" s="49">
        <f>IF(BM212=1,'Rent Roll'!$F$25/BldgSF*ReimbPool/12*BM$7,0)</f>
        <v>8472.9877658991591</v>
      </c>
      <c r="BN216" s="49">
        <f>IF(BN212=1,'Rent Roll'!$F$25/BldgSF*ReimbPool/12*BN$7,0)</f>
        <v>8472.9877658991591</v>
      </c>
      <c r="BO216" s="49">
        <f>IF(BO212=1,'Rent Roll'!$F$25/BldgSF*ReimbPool/12*BO$7,0)</f>
        <v>8472.9877658991591</v>
      </c>
      <c r="BP216" s="49">
        <f>IF(BP212=1,'Rent Roll'!$F$25/BldgSF*ReimbPool/12*BP$7,0)</f>
        <v>8472.9877658991591</v>
      </c>
      <c r="BQ216" s="49">
        <f>IF(BQ212=1,'Rent Roll'!$F$25/BldgSF*ReimbPool/12*BQ$7,0)</f>
        <v>8701.7584355784347</v>
      </c>
      <c r="BR216" s="49">
        <f>IF(BR212=1,'Rent Roll'!$F$25/BldgSF*ReimbPool/12*BR$7,0)</f>
        <v>8701.7584355784347</v>
      </c>
      <c r="BS216" s="49">
        <f>IF(BS212=1,'Rent Roll'!$F$25/BldgSF*ReimbPool/12*BS$7,0)</f>
        <v>8701.7584355784347</v>
      </c>
      <c r="BT216" s="49">
        <f>IF(BT212=1,'Rent Roll'!$F$25/BldgSF*ReimbPool/12*BT$7,0)</f>
        <v>8701.7584355784347</v>
      </c>
      <c r="BU216" s="49">
        <f>IF(BU212=1,'Rent Roll'!$F$25/BldgSF*ReimbPool/12*BU$7,0)</f>
        <v>8701.7584355784347</v>
      </c>
      <c r="BV216" s="49">
        <f>IF(BV212=1,'Rent Roll'!$F$25/BldgSF*ReimbPool/12*BV$7,0)</f>
        <v>8701.7584355784347</v>
      </c>
      <c r="BW216" s="49">
        <f>IF(BW212=1,'Rent Roll'!$F$25/BldgSF*ReimbPool/12*BW$7,0)</f>
        <v>8701.7584355784347</v>
      </c>
      <c r="BX216" s="49">
        <f>IF(BX212=1,'Rent Roll'!$F$25/BldgSF*ReimbPool/12*BX$7,0)</f>
        <v>8701.7584355784347</v>
      </c>
    </row>
    <row r="217" spans="1:76" hidden="1" outlineLevel="1">
      <c r="B217" t="s">
        <v>86</v>
      </c>
      <c r="D217" s="49">
        <f>IF(D$4=EOMONTH(CloseDate,'Rent Roll'!$O$25-1),-'Rent Roll'!$F$25*'Rent Roll'!$T$25,0)</f>
        <v>0</v>
      </c>
      <c r="E217" s="49">
        <f>IF(E$4=EOMONTH(CloseDate,'Rent Roll'!$O$25-1),-'Rent Roll'!$F$25*'Rent Roll'!$T$25,0)</f>
        <v>0</v>
      </c>
      <c r="F217" s="49">
        <f>IF(F$4=EOMONTH(CloseDate,'Rent Roll'!$O$25-1),-'Rent Roll'!$F$25*'Rent Roll'!$T$25,0)</f>
        <v>-306000</v>
      </c>
      <c r="G217" s="49">
        <f>IF(G$4=EOMONTH(CloseDate,'Rent Roll'!$O$25-1),-'Rent Roll'!$F$25*'Rent Roll'!$T$25,0)</f>
        <v>0</v>
      </c>
      <c r="H217" s="49">
        <f>IF(H$4=EOMONTH(CloseDate,'Rent Roll'!$O$25-1),-'Rent Roll'!$F$25*'Rent Roll'!$T$25,0)</f>
        <v>0</v>
      </c>
      <c r="I217" s="49">
        <f>IF(I$4=EOMONTH(CloseDate,'Rent Roll'!$O$25-1),-'Rent Roll'!$F$25*'Rent Roll'!$T$25,0)</f>
        <v>0</v>
      </c>
      <c r="J217" s="49">
        <f>IF(J$4=EOMONTH(CloseDate,'Rent Roll'!$O$25-1),-'Rent Roll'!$F$25*'Rent Roll'!$T$25,0)</f>
        <v>0</v>
      </c>
      <c r="K217" s="49">
        <f>IF(K$4=EOMONTH(CloseDate,'Rent Roll'!$O$25-1),-'Rent Roll'!$F$25*'Rent Roll'!$T$25,0)</f>
        <v>0</v>
      </c>
      <c r="L217" s="49">
        <f>IF(L$4=EOMONTH(CloseDate,'Rent Roll'!$O$25-1),-'Rent Roll'!$F$25*'Rent Roll'!$T$25,0)</f>
        <v>0</v>
      </c>
      <c r="M217" s="49">
        <f>IF(M$4=EOMONTH(CloseDate,'Rent Roll'!$O$25-1),-'Rent Roll'!$F$25*'Rent Roll'!$T$25,0)</f>
        <v>0</v>
      </c>
      <c r="N217" s="49">
        <f>IF(N$4=EOMONTH(CloseDate,'Rent Roll'!$O$25-1),-'Rent Roll'!$F$25*'Rent Roll'!$T$25,0)</f>
        <v>0</v>
      </c>
      <c r="O217" s="49">
        <f>IF(O$4=EOMONTH(CloseDate,'Rent Roll'!$O$25-1),-'Rent Roll'!$F$25*'Rent Roll'!$T$25,0)</f>
        <v>0</v>
      </c>
      <c r="P217" s="49">
        <f>IF(P$4=EOMONTH(CloseDate,'Rent Roll'!$O$25-1),-'Rent Roll'!$F$25*'Rent Roll'!$T$25,0)</f>
        <v>0</v>
      </c>
      <c r="Q217" s="49">
        <f>IF(Q$4=EOMONTH(CloseDate,'Rent Roll'!$O$25-1),-'Rent Roll'!$F$25*'Rent Roll'!$T$25,0)</f>
        <v>0</v>
      </c>
      <c r="R217" s="49">
        <f>IF(R$4=EOMONTH(CloseDate,'Rent Roll'!$O$25-1),-'Rent Roll'!$F$25*'Rent Roll'!$T$25,0)</f>
        <v>0</v>
      </c>
      <c r="S217" s="49">
        <f>IF(S$4=EOMONTH(CloseDate,'Rent Roll'!$O$25-1),-'Rent Roll'!$F$25*'Rent Roll'!$T$25,0)</f>
        <v>0</v>
      </c>
      <c r="T217" s="49">
        <f>IF(T$4=EOMONTH(CloseDate,'Rent Roll'!$O$25-1),-'Rent Roll'!$F$25*'Rent Roll'!$T$25,0)</f>
        <v>0</v>
      </c>
      <c r="U217" s="49">
        <f>IF(U$4=EOMONTH(CloseDate,'Rent Roll'!$O$25-1),-'Rent Roll'!$F$25*'Rent Roll'!$T$25,0)</f>
        <v>0</v>
      </c>
      <c r="V217" s="49">
        <f>IF(V$4=EOMONTH(CloseDate,'Rent Roll'!$O$25-1),-'Rent Roll'!$F$25*'Rent Roll'!$T$25,0)</f>
        <v>0</v>
      </c>
      <c r="W217" s="49">
        <f>IF(W$4=EOMONTH(CloseDate,'Rent Roll'!$O$25-1),-'Rent Roll'!$F$25*'Rent Roll'!$T$25,0)</f>
        <v>0</v>
      </c>
      <c r="X217" s="49">
        <f>IF(X$4=EOMONTH(CloseDate,'Rent Roll'!$O$25-1),-'Rent Roll'!$F$25*'Rent Roll'!$T$25,0)</f>
        <v>0</v>
      </c>
      <c r="Y217" s="49">
        <f>IF(Y$4=EOMONTH(CloseDate,'Rent Roll'!$O$25-1),-'Rent Roll'!$F$25*'Rent Roll'!$T$25,0)</f>
        <v>0</v>
      </c>
      <c r="Z217" s="49">
        <f>IF(Z$4=EOMONTH(CloseDate,'Rent Roll'!$O$25-1),-'Rent Roll'!$F$25*'Rent Roll'!$T$25,0)</f>
        <v>0</v>
      </c>
      <c r="AA217" s="49">
        <f>IF(AA$4=EOMONTH(CloseDate,'Rent Roll'!$O$25-1),-'Rent Roll'!$F$25*'Rent Roll'!$T$25,0)</f>
        <v>0</v>
      </c>
      <c r="AB217" s="49">
        <f>IF(AB$4=EOMONTH(CloseDate,'Rent Roll'!$O$25-1),-'Rent Roll'!$F$25*'Rent Roll'!$T$25,0)</f>
        <v>0</v>
      </c>
      <c r="AC217" s="49">
        <f>IF(AC$4=EOMONTH(CloseDate,'Rent Roll'!$O$25-1),-'Rent Roll'!$F$25*'Rent Roll'!$T$25,0)</f>
        <v>0</v>
      </c>
      <c r="AD217" s="49">
        <f>IF(AD$4=EOMONTH(CloseDate,'Rent Roll'!$O$25-1),-'Rent Roll'!$F$25*'Rent Roll'!$T$25,0)</f>
        <v>0</v>
      </c>
      <c r="AE217" s="49">
        <f>IF(AE$4=EOMONTH(CloseDate,'Rent Roll'!$O$25-1),-'Rent Roll'!$F$25*'Rent Roll'!$T$25,0)</f>
        <v>0</v>
      </c>
      <c r="AF217" s="49">
        <f>IF(AF$4=EOMONTH(CloseDate,'Rent Roll'!$O$25-1),-'Rent Roll'!$F$25*'Rent Roll'!$T$25,0)</f>
        <v>0</v>
      </c>
      <c r="AG217" s="49">
        <f>IF(AG$4=EOMONTH(CloseDate,'Rent Roll'!$O$25-1),-'Rent Roll'!$F$25*'Rent Roll'!$T$25,0)</f>
        <v>0</v>
      </c>
      <c r="AH217" s="49">
        <f>IF(AH$4=EOMONTH(CloseDate,'Rent Roll'!$O$25-1),-'Rent Roll'!$F$25*'Rent Roll'!$T$25,0)</f>
        <v>0</v>
      </c>
      <c r="AI217" s="49">
        <f>IF(AI$4=EOMONTH(CloseDate,'Rent Roll'!$O$25-1),-'Rent Roll'!$F$25*'Rent Roll'!$T$25,0)</f>
        <v>0</v>
      </c>
      <c r="AJ217" s="49">
        <f>IF(AJ$4=EOMONTH(CloseDate,'Rent Roll'!$O$25-1),-'Rent Roll'!$F$25*'Rent Roll'!$T$25,0)</f>
        <v>0</v>
      </c>
      <c r="AK217" s="49">
        <f>IF(AK$4=EOMONTH(CloseDate,'Rent Roll'!$O$25-1),-'Rent Roll'!$F$25*'Rent Roll'!$T$25,0)</f>
        <v>0</v>
      </c>
      <c r="AL217" s="49">
        <f>IF(AL$4=EOMONTH(CloseDate,'Rent Roll'!$O$25-1),-'Rent Roll'!$F$25*'Rent Roll'!$T$25,0)</f>
        <v>0</v>
      </c>
      <c r="AM217" s="49">
        <f>IF(AM$4=EOMONTH(CloseDate,'Rent Roll'!$O$25-1),-'Rent Roll'!$F$25*'Rent Roll'!$T$25,0)</f>
        <v>0</v>
      </c>
      <c r="AN217" s="49">
        <f>IF(AN$4=EOMONTH(CloseDate,'Rent Roll'!$O$25-1),-'Rent Roll'!$F$25*'Rent Roll'!$T$25,0)</f>
        <v>0</v>
      </c>
      <c r="AO217" s="49">
        <f>IF(AO$4=EOMONTH(CloseDate,'Rent Roll'!$O$25-1),-'Rent Roll'!$F$25*'Rent Roll'!$T$25,0)</f>
        <v>0</v>
      </c>
      <c r="AP217" s="49">
        <f>IF(AP$4=EOMONTH(CloseDate,'Rent Roll'!$O$25-1),-'Rent Roll'!$F$25*'Rent Roll'!$T$25,0)</f>
        <v>0</v>
      </c>
      <c r="AQ217" s="49">
        <f>IF(AQ$4=EOMONTH(CloseDate,'Rent Roll'!$O$25-1),-'Rent Roll'!$F$25*'Rent Roll'!$T$25,0)</f>
        <v>0</v>
      </c>
      <c r="AR217" s="49">
        <f>IF(AR$4=EOMONTH(CloseDate,'Rent Roll'!$O$25-1),-'Rent Roll'!$F$25*'Rent Roll'!$T$25,0)</f>
        <v>0</v>
      </c>
      <c r="AS217" s="49">
        <f>IF(AS$4=EOMONTH(CloseDate,'Rent Roll'!$O$25-1),-'Rent Roll'!$F$25*'Rent Roll'!$T$25,0)</f>
        <v>0</v>
      </c>
      <c r="AT217" s="49">
        <f>IF(AT$4=EOMONTH(CloseDate,'Rent Roll'!$O$25-1),-'Rent Roll'!$F$25*'Rent Roll'!$T$25,0)</f>
        <v>0</v>
      </c>
      <c r="AU217" s="49">
        <f>IF(AU$4=EOMONTH(CloseDate,'Rent Roll'!$O$25-1),-'Rent Roll'!$F$25*'Rent Roll'!$T$25,0)</f>
        <v>0</v>
      </c>
      <c r="AV217" s="49">
        <f>IF(AV$4=EOMONTH(CloseDate,'Rent Roll'!$O$25-1),-'Rent Roll'!$F$25*'Rent Roll'!$T$25,0)</f>
        <v>0</v>
      </c>
      <c r="AW217" s="49">
        <f>IF(AW$4=EOMONTH(CloseDate,'Rent Roll'!$O$25-1),-'Rent Roll'!$F$25*'Rent Roll'!$T$25,0)</f>
        <v>0</v>
      </c>
      <c r="AX217" s="49">
        <f>IF(AX$4=EOMONTH(CloseDate,'Rent Roll'!$O$25-1),-'Rent Roll'!$F$25*'Rent Roll'!$T$25,0)</f>
        <v>0</v>
      </c>
      <c r="AY217" s="49">
        <f>IF(AY$4=EOMONTH(CloseDate,'Rent Roll'!$O$25-1),-'Rent Roll'!$F$25*'Rent Roll'!$T$25,0)</f>
        <v>0</v>
      </c>
      <c r="AZ217" s="49">
        <f>IF(AZ$4=EOMONTH(CloseDate,'Rent Roll'!$O$25-1),-'Rent Roll'!$F$25*'Rent Roll'!$T$25,0)</f>
        <v>0</v>
      </c>
      <c r="BA217" s="49">
        <f>IF(BA$4=EOMONTH(CloseDate,'Rent Roll'!$O$25-1),-'Rent Roll'!$F$25*'Rent Roll'!$T$25,0)</f>
        <v>0</v>
      </c>
      <c r="BB217" s="49">
        <f>IF(BB$4=EOMONTH(CloseDate,'Rent Roll'!$O$25-1),-'Rent Roll'!$F$25*'Rent Roll'!$T$25,0)</f>
        <v>0</v>
      </c>
      <c r="BC217" s="49">
        <f>IF(BC$4=EOMONTH(CloseDate,'Rent Roll'!$O$25-1),-'Rent Roll'!$F$25*'Rent Roll'!$T$25,0)</f>
        <v>0</v>
      </c>
      <c r="BD217" s="49">
        <f>IF(BD$4=EOMONTH(CloseDate,'Rent Roll'!$O$25-1),-'Rent Roll'!$F$25*'Rent Roll'!$T$25,0)</f>
        <v>0</v>
      </c>
      <c r="BE217" s="49">
        <f>IF(BE$4=EOMONTH(CloseDate,'Rent Roll'!$O$25-1),-'Rent Roll'!$F$25*'Rent Roll'!$T$25,0)</f>
        <v>0</v>
      </c>
      <c r="BF217" s="49">
        <f>IF(BF$4=EOMONTH(CloseDate,'Rent Roll'!$O$25-1),-'Rent Roll'!$F$25*'Rent Roll'!$T$25,0)</f>
        <v>0</v>
      </c>
      <c r="BG217" s="49">
        <f>IF(BG$4=EOMONTH(CloseDate,'Rent Roll'!$O$25-1),-'Rent Roll'!$F$25*'Rent Roll'!$T$25,0)</f>
        <v>0</v>
      </c>
      <c r="BH217" s="49">
        <f>IF(BH$4=EOMONTH(CloseDate,'Rent Roll'!$O$25-1),-'Rent Roll'!$F$25*'Rent Roll'!$T$25,0)</f>
        <v>0</v>
      </c>
      <c r="BI217" s="49">
        <f>IF(BI$4=EOMONTH(CloseDate,'Rent Roll'!$O$25-1),-'Rent Roll'!$F$25*'Rent Roll'!$T$25,0)</f>
        <v>0</v>
      </c>
      <c r="BJ217" s="49">
        <f>IF(BJ$4=EOMONTH(CloseDate,'Rent Roll'!$O$25-1),-'Rent Roll'!$F$25*'Rent Roll'!$T$25,0)</f>
        <v>0</v>
      </c>
      <c r="BK217" s="49">
        <f>IF(BK$4=EOMONTH(CloseDate,'Rent Roll'!$O$25-1),-'Rent Roll'!$F$25*'Rent Roll'!$T$25,0)</f>
        <v>0</v>
      </c>
      <c r="BL217" s="49">
        <f>IF(BL$4=EOMONTH(CloseDate,'Rent Roll'!$O$25-1),-'Rent Roll'!$F$25*'Rent Roll'!$T$25,0)</f>
        <v>0</v>
      </c>
      <c r="BM217" s="49">
        <f>IF(BM$4=EOMONTH(CloseDate,'Rent Roll'!$O$25-1),-'Rent Roll'!$F$25*'Rent Roll'!$T$25,0)</f>
        <v>0</v>
      </c>
      <c r="BN217" s="49">
        <f>IF(BN$4=EOMONTH(CloseDate,'Rent Roll'!$O$25-1),-'Rent Roll'!$F$25*'Rent Roll'!$T$25,0)</f>
        <v>0</v>
      </c>
      <c r="BO217" s="49">
        <f>IF(BO$4=EOMONTH(CloseDate,'Rent Roll'!$O$25-1),-'Rent Roll'!$F$25*'Rent Roll'!$T$25,0)</f>
        <v>0</v>
      </c>
      <c r="BP217" s="49">
        <f>IF(BP$4=EOMONTH(CloseDate,'Rent Roll'!$O$25-1),-'Rent Roll'!$F$25*'Rent Roll'!$T$25,0)</f>
        <v>0</v>
      </c>
      <c r="BQ217" s="49">
        <f>IF(BQ$4=EOMONTH(CloseDate,'Rent Roll'!$O$25-1),-'Rent Roll'!$F$25*'Rent Roll'!$T$25,0)</f>
        <v>0</v>
      </c>
      <c r="BR217" s="49">
        <f>IF(BR$4=EOMONTH(CloseDate,'Rent Roll'!$O$25-1),-'Rent Roll'!$F$25*'Rent Roll'!$T$25,0)</f>
        <v>0</v>
      </c>
      <c r="BS217" s="49">
        <f>IF(BS$4=EOMONTH(CloseDate,'Rent Roll'!$O$25-1),-'Rent Roll'!$F$25*'Rent Roll'!$T$25,0)</f>
        <v>0</v>
      </c>
      <c r="BT217" s="49">
        <f>IF(BT$4=EOMONTH(CloseDate,'Rent Roll'!$O$25-1),-'Rent Roll'!$F$25*'Rent Roll'!$T$25,0)</f>
        <v>0</v>
      </c>
      <c r="BU217" s="49">
        <f>IF(BU$4=EOMONTH(CloseDate,'Rent Roll'!$O$25-1),-'Rent Roll'!$F$25*'Rent Roll'!$T$25,0)</f>
        <v>0</v>
      </c>
      <c r="BV217" s="49">
        <f>IF(BV$4=EOMONTH(CloseDate,'Rent Roll'!$O$25-1),-'Rent Roll'!$F$25*'Rent Roll'!$T$25,0)</f>
        <v>0</v>
      </c>
      <c r="BW217" s="49">
        <f>IF(BW$4=EOMONTH(CloseDate,'Rent Roll'!$O$25-1),-'Rent Roll'!$F$25*'Rent Roll'!$T$25,0)</f>
        <v>0</v>
      </c>
      <c r="BX217" s="49">
        <f>IF(BX$4=EOMONTH(CloseDate,'Rent Roll'!$O$25-1),-'Rent Roll'!$F$25*'Rent Roll'!$T$25,0)</f>
        <v>0</v>
      </c>
    </row>
    <row r="218" spans="1:76" hidden="1" outlineLevel="1">
      <c r="B218" t="s">
        <v>87</v>
      </c>
      <c r="D218" s="49">
        <f>IF(D$4=EOMONTH(CloseDate,'Rent Roll'!$O$25-1),-'Rent Roll'!$U$25*'Rent Roll'!$F$25*'Rent Roll'!$X$25,0)</f>
        <v>0</v>
      </c>
      <c r="E218" s="49">
        <f>IF(E$4=EOMONTH(CloseDate,'Rent Roll'!$O$25-1),-'Rent Roll'!$U$25*'Rent Roll'!$F$25*'Rent Roll'!$X$25,0)</f>
        <v>0</v>
      </c>
      <c r="F218" s="49">
        <f>IF(F$4=EOMONTH(CloseDate,'Rent Roll'!$O$25-1),-'Rent Roll'!$U$25*'Rent Roll'!$F$25*'Rent Roll'!$X$25,0)</f>
        <v>-10485.281249999998</v>
      </c>
      <c r="G218" s="49">
        <f>IF(G$4=EOMONTH(CloseDate,'Rent Roll'!$O$25-1),-'Rent Roll'!$U$25*'Rent Roll'!$F$25*'Rent Roll'!$X$25,0)</f>
        <v>0</v>
      </c>
      <c r="H218" s="49">
        <f>IF(H$4=EOMONTH(CloseDate,'Rent Roll'!$O$25-1),-'Rent Roll'!$U$25*'Rent Roll'!$F$25*'Rent Roll'!$X$25,0)</f>
        <v>0</v>
      </c>
      <c r="I218" s="49">
        <f>IF(I$4=EOMONTH(CloseDate,'Rent Roll'!$O$25-1),-'Rent Roll'!$U$25*'Rent Roll'!$F$25*'Rent Roll'!$X$25,0)</f>
        <v>0</v>
      </c>
      <c r="J218" s="49">
        <f>IF(J$4=EOMONTH(CloseDate,'Rent Roll'!$O$25-1),-'Rent Roll'!$U$25*'Rent Roll'!$F$25*'Rent Roll'!$X$25,0)</f>
        <v>0</v>
      </c>
      <c r="K218" s="49">
        <f>IF(K$4=EOMONTH(CloseDate,'Rent Roll'!$O$25-1),-'Rent Roll'!$U$25*'Rent Roll'!$F$25*'Rent Roll'!$X$25,0)</f>
        <v>0</v>
      </c>
      <c r="L218" s="49">
        <f>IF(L$4=EOMONTH(CloseDate,'Rent Roll'!$O$25-1),-'Rent Roll'!$U$25*'Rent Roll'!$F$25*'Rent Roll'!$X$25,0)</f>
        <v>0</v>
      </c>
      <c r="M218" s="49">
        <f>IF(M$4=EOMONTH(CloseDate,'Rent Roll'!$O$25-1),-'Rent Roll'!$U$25*'Rent Roll'!$F$25*'Rent Roll'!$X$25,0)</f>
        <v>0</v>
      </c>
      <c r="N218" s="49">
        <f>IF(N$4=EOMONTH(CloseDate,'Rent Roll'!$O$25-1),-'Rent Roll'!$U$25*'Rent Roll'!$F$25*'Rent Roll'!$X$25,0)</f>
        <v>0</v>
      </c>
      <c r="O218" s="49">
        <f>IF(O$4=EOMONTH(CloseDate,'Rent Roll'!$O$25-1),-'Rent Roll'!$U$25*'Rent Roll'!$F$25*'Rent Roll'!$X$25,0)</f>
        <v>0</v>
      </c>
      <c r="P218" s="49">
        <f>IF(P$4=EOMONTH(CloseDate,'Rent Roll'!$O$25-1),-'Rent Roll'!$U$25*'Rent Roll'!$F$25*'Rent Roll'!$X$25,0)</f>
        <v>0</v>
      </c>
      <c r="Q218" s="49">
        <f>IF(Q$4=EOMONTH(CloseDate,'Rent Roll'!$O$25-1),-'Rent Roll'!$U$25*'Rent Roll'!$F$25*'Rent Roll'!$X$25,0)</f>
        <v>0</v>
      </c>
      <c r="R218" s="49">
        <f>IF(R$4=EOMONTH(CloseDate,'Rent Roll'!$O$25-1),-'Rent Roll'!$U$25*'Rent Roll'!$F$25*'Rent Roll'!$X$25,0)</f>
        <v>0</v>
      </c>
      <c r="S218" s="49">
        <f>IF(S$4=EOMONTH(CloseDate,'Rent Roll'!$O$25-1),-'Rent Roll'!$U$25*'Rent Roll'!$F$25*'Rent Roll'!$X$25,0)</f>
        <v>0</v>
      </c>
      <c r="T218" s="49">
        <f>IF(T$4=EOMONTH(CloseDate,'Rent Roll'!$O$25-1),-'Rent Roll'!$U$25*'Rent Roll'!$F$25*'Rent Roll'!$X$25,0)</f>
        <v>0</v>
      </c>
      <c r="U218" s="49">
        <f>IF(U$4=EOMONTH(CloseDate,'Rent Roll'!$O$25-1),-'Rent Roll'!$U$25*'Rent Roll'!$F$25*'Rent Roll'!$X$25,0)</f>
        <v>0</v>
      </c>
      <c r="V218" s="49">
        <f>IF(V$4=EOMONTH(CloseDate,'Rent Roll'!$O$25-1),-'Rent Roll'!$U$25*'Rent Roll'!$F$25*'Rent Roll'!$X$25,0)</f>
        <v>0</v>
      </c>
      <c r="W218" s="49">
        <f>IF(W$4=EOMONTH(CloseDate,'Rent Roll'!$O$25-1),-'Rent Roll'!$U$25*'Rent Roll'!$F$25*'Rent Roll'!$X$25,0)</f>
        <v>0</v>
      </c>
      <c r="X218" s="49">
        <f>IF(X$4=EOMONTH(CloseDate,'Rent Roll'!$O$25-1),-'Rent Roll'!$U$25*'Rent Roll'!$F$25*'Rent Roll'!$X$25,0)</f>
        <v>0</v>
      </c>
      <c r="Y218" s="49">
        <f>IF(Y$4=EOMONTH(CloseDate,'Rent Roll'!$O$25-1),-'Rent Roll'!$U$25*'Rent Roll'!$F$25*'Rent Roll'!$X$25,0)</f>
        <v>0</v>
      </c>
      <c r="Z218" s="49">
        <f>IF(Z$4=EOMONTH(CloseDate,'Rent Roll'!$O$25-1),-'Rent Roll'!$U$25*'Rent Roll'!$F$25*'Rent Roll'!$X$25,0)</f>
        <v>0</v>
      </c>
      <c r="AA218" s="49">
        <f>IF(AA$4=EOMONTH(CloseDate,'Rent Roll'!$O$25-1),-'Rent Roll'!$U$25*'Rent Roll'!$F$25*'Rent Roll'!$X$25,0)</f>
        <v>0</v>
      </c>
      <c r="AB218" s="49">
        <f>IF(AB$4=EOMONTH(CloseDate,'Rent Roll'!$O$25-1),-'Rent Roll'!$U$25*'Rent Roll'!$F$25*'Rent Roll'!$X$25,0)</f>
        <v>0</v>
      </c>
      <c r="AC218" s="49">
        <f>IF(AC$4=EOMONTH(CloseDate,'Rent Roll'!$O$25-1),-'Rent Roll'!$U$25*'Rent Roll'!$F$25*'Rent Roll'!$X$25,0)</f>
        <v>0</v>
      </c>
      <c r="AD218" s="49">
        <f>IF(AD$4=EOMONTH(CloseDate,'Rent Roll'!$O$25-1),-'Rent Roll'!$U$25*'Rent Roll'!$F$25*'Rent Roll'!$X$25,0)</f>
        <v>0</v>
      </c>
      <c r="AE218" s="49">
        <f>IF(AE$4=EOMONTH(CloseDate,'Rent Roll'!$O$25-1),-'Rent Roll'!$U$25*'Rent Roll'!$F$25*'Rent Roll'!$X$25,0)</f>
        <v>0</v>
      </c>
      <c r="AF218" s="49">
        <f>IF(AF$4=EOMONTH(CloseDate,'Rent Roll'!$O$25-1),-'Rent Roll'!$U$25*'Rent Roll'!$F$25*'Rent Roll'!$X$25,0)</f>
        <v>0</v>
      </c>
      <c r="AG218" s="49">
        <f>IF(AG$4=EOMONTH(CloseDate,'Rent Roll'!$O$25-1),-'Rent Roll'!$U$25*'Rent Roll'!$F$25*'Rent Roll'!$X$25,0)</f>
        <v>0</v>
      </c>
      <c r="AH218" s="49">
        <f>IF(AH$4=EOMONTH(CloseDate,'Rent Roll'!$O$25-1),-'Rent Roll'!$U$25*'Rent Roll'!$F$25*'Rent Roll'!$X$25,0)</f>
        <v>0</v>
      </c>
      <c r="AI218" s="49">
        <f>IF(AI$4=EOMONTH(CloseDate,'Rent Roll'!$O$25-1),-'Rent Roll'!$U$25*'Rent Roll'!$F$25*'Rent Roll'!$X$25,0)</f>
        <v>0</v>
      </c>
      <c r="AJ218" s="49">
        <f>IF(AJ$4=EOMONTH(CloseDate,'Rent Roll'!$O$25-1),-'Rent Roll'!$U$25*'Rent Roll'!$F$25*'Rent Roll'!$X$25,0)</f>
        <v>0</v>
      </c>
      <c r="AK218" s="49">
        <f>IF(AK$4=EOMONTH(CloseDate,'Rent Roll'!$O$25-1),-'Rent Roll'!$U$25*'Rent Roll'!$F$25*'Rent Roll'!$X$25,0)</f>
        <v>0</v>
      </c>
      <c r="AL218" s="49">
        <f>IF(AL$4=EOMONTH(CloseDate,'Rent Roll'!$O$25-1),-'Rent Roll'!$U$25*'Rent Roll'!$F$25*'Rent Roll'!$X$25,0)</f>
        <v>0</v>
      </c>
      <c r="AM218" s="49">
        <f>IF(AM$4=EOMONTH(CloseDate,'Rent Roll'!$O$25-1),-'Rent Roll'!$U$25*'Rent Roll'!$F$25*'Rent Roll'!$X$25,0)</f>
        <v>0</v>
      </c>
      <c r="AN218" s="49">
        <f>IF(AN$4=EOMONTH(CloseDate,'Rent Roll'!$O$25-1),-'Rent Roll'!$U$25*'Rent Roll'!$F$25*'Rent Roll'!$X$25,0)</f>
        <v>0</v>
      </c>
      <c r="AO218" s="49">
        <f>IF(AO$4=EOMONTH(CloseDate,'Rent Roll'!$O$25-1),-'Rent Roll'!$U$25*'Rent Roll'!$F$25*'Rent Roll'!$X$25,0)</f>
        <v>0</v>
      </c>
      <c r="AP218" s="49">
        <f>IF(AP$4=EOMONTH(CloseDate,'Rent Roll'!$O$25-1),-'Rent Roll'!$U$25*'Rent Roll'!$F$25*'Rent Roll'!$X$25,0)</f>
        <v>0</v>
      </c>
      <c r="AQ218" s="49">
        <f>IF(AQ$4=EOMONTH(CloseDate,'Rent Roll'!$O$25-1),-'Rent Roll'!$U$25*'Rent Roll'!$F$25*'Rent Roll'!$X$25,0)</f>
        <v>0</v>
      </c>
      <c r="AR218" s="49">
        <f>IF(AR$4=EOMONTH(CloseDate,'Rent Roll'!$O$25-1),-'Rent Roll'!$U$25*'Rent Roll'!$F$25*'Rent Roll'!$X$25,0)</f>
        <v>0</v>
      </c>
      <c r="AS218" s="49">
        <f>IF(AS$4=EOMONTH(CloseDate,'Rent Roll'!$O$25-1),-'Rent Roll'!$U$25*'Rent Roll'!$F$25*'Rent Roll'!$X$25,0)</f>
        <v>0</v>
      </c>
      <c r="AT218" s="49">
        <f>IF(AT$4=EOMONTH(CloseDate,'Rent Roll'!$O$25-1),-'Rent Roll'!$U$25*'Rent Roll'!$F$25*'Rent Roll'!$X$25,0)</f>
        <v>0</v>
      </c>
      <c r="AU218" s="49">
        <f>IF(AU$4=EOMONTH(CloseDate,'Rent Roll'!$O$25-1),-'Rent Roll'!$U$25*'Rent Roll'!$F$25*'Rent Roll'!$X$25,0)</f>
        <v>0</v>
      </c>
      <c r="AV218" s="49">
        <f>IF(AV$4=EOMONTH(CloseDate,'Rent Roll'!$O$25-1),-'Rent Roll'!$U$25*'Rent Roll'!$F$25*'Rent Roll'!$X$25,0)</f>
        <v>0</v>
      </c>
      <c r="AW218" s="49">
        <f>IF(AW$4=EOMONTH(CloseDate,'Rent Roll'!$O$25-1),-'Rent Roll'!$U$25*'Rent Roll'!$F$25*'Rent Roll'!$X$25,0)</f>
        <v>0</v>
      </c>
      <c r="AX218" s="49">
        <f>IF(AX$4=EOMONTH(CloseDate,'Rent Roll'!$O$25-1),-'Rent Roll'!$U$25*'Rent Roll'!$F$25*'Rent Roll'!$X$25,0)</f>
        <v>0</v>
      </c>
      <c r="AY218" s="49">
        <f>IF(AY$4=EOMONTH(CloseDate,'Rent Roll'!$O$25-1),-'Rent Roll'!$U$25*'Rent Roll'!$F$25*'Rent Roll'!$X$25,0)</f>
        <v>0</v>
      </c>
      <c r="AZ218" s="49">
        <f>IF(AZ$4=EOMONTH(CloseDate,'Rent Roll'!$O$25-1),-'Rent Roll'!$U$25*'Rent Roll'!$F$25*'Rent Roll'!$X$25,0)</f>
        <v>0</v>
      </c>
      <c r="BA218" s="49">
        <f>IF(BA$4=EOMONTH(CloseDate,'Rent Roll'!$O$25-1),-'Rent Roll'!$U$25*'Rent Roll'!$F$25*'Rent Roll'!$X$25,0)</f>
        <v>0</v>
      </c>
      <c r="BB218" s="49">
        <f>IF(BB$4=EOMONTH(CloseDate,'Rent Roll'!$O$25-1),-'Rent Roll'!$U$25*'Rent Roll'!$F$25*'Rent Roll'!$X$25,0)</f>
        <v>0</v>
      </c>
      <c r="BC218" s="49">
        <f>IF(BC$4=EOMONTH(CloseDate,'Rent Roll'!$O$25-1),-'Rent Roll'!$U$25*'Rent Roll'!$F$25*'Rent Roll'!$X$25,0)</f>
        <v>0</v>
      </c>
      <c r="BD218" s="49">
        <f>IF(BD$4=EOMONTH(CloseDate,'Rent Roll'!$O$25-1),-'Rent Roll'!$U$25*'Rent Roll'!$F$25*'Rent Roll'!$X$25,0)</f>
        <v>0</v>
      </c>
      <c r="BE218" s="49">
        <f>IF(BE$4=EOMONTH(CloseDate,'Rent Roll'!$O$25-1),-'Rent Roll'!$U$25*'Rent Roll'!$F$25*'Rent Roll'!$X$25,0)</f>
        <v>0</v>
      </c>
      <c r="BF218" s="49">
        <f>IF(BF$4=EOMONTH(CloseDate,'Rent Roll'!$O$25-1),-'Rent Roll'!$U$25*'Rent Roll'!$F$25*'Rent Roll'!$X$25,0)</f>
        <v>0</v>
      </c>
      <c r="BG218" s="49">
        <f>IF(BG$4=EOMONTH(CloseDate,'Rent Roll'!$O$25-1),-'Rent Roll'!$U$25*'Rent Roll'!$F$25*'Rent Roll'!$X$25,0)</f>
        <v>0</v>
      </c>
      <c r="BH218" s="49">
        <f>IF(BH$4=EOMONTH(CloseDate,'Rent Roll'!$O$25-1),-'Rent Roll'!$U$25*'Rent Roll'!$F$25*'Rent Roll'!$X$25,0)</f>
        <v>0</v>
      </c>
      <c r="BI218" s="49">
        <f>IF(BI$4=EOMONTH(CloseDate,'Rent Roll'!$O$25-1),-'Rent Roll'!$U$25*'Rent Roll'!$F$25*'Rent Roll'!$X$25,0)</f>
        <v>0</v>
      </c>
      <c r="BJ218" s="49">
        <f>IF(BJ$4=EOMONTH(CloseDate,'Rent Roll'!$O$25-1),-'Rent Roll'!$U$25*'Rent Roll'!$F$25*'Rent Roll'!$X$25,0)</f>
        <v>0</v>
      </c>
      <c r="BK218" s="49">
        <f>IF(BK$4=EOMONTH(CloseDate,'Rent Roll'!$O$25-1),-'Rent Roll'!$U$25*'Rent Roll'!$F$25*'Rent Roll'!$X$25,0)</f>
        <v>0</v>
      </c>
      <c r="BL218" s="49">
        <f>IF(BL$4=EOMONTH(CloseDate,'Rent Roll'!$O$25-1),-'Rent Roll'!$U$25*'Rent Roll'!$F$25*'Rent Roll'!$X$25,0)</f>
        <v>0</v>
      </c>
      <c r="BM218" s="49">
        <f>IF(BM$4=EOMONTH(CloseDate,'Rent Roll'!$O$25-1),-'Rent Roll'!$U$25*'Rent Roll'!$F$25*'Rent Roll'!$X$25,0)</f>
        <v>0</v>
      </c>
      <c r="BN218" s="49">
        <f>IF(BN$4=EOMONTH(CloseDate,'Rent Roll'!$O$25-1),-'Rent Roll'!$U$25*'Rent Roll'!$F$25*'Rent Roll'!$X$25,0)</f>
        <v>0</v>
      </c>
      <c r="BO218" s="49">
        <f>IF(BO$4=EOMONTH(CloseDate,'Rent Roll'!$O$25-1),-'Rent Roll'!$U$25*'Rent Roll'!$F$25*'Rent Roll'!$X$25,0)</f>
        <v>0</v>
      </c>
      <c r="BP218" s="49">
        <f>IF(BP$4=EOMONTH(CloseDate,'Rent Roll'!$O$25-1),-'Rent Roll'!$U$25*'Rent Roll'!$F$25*'Rent Roll'!$X$25,0)</f>
        <v>0</v>
      </c>
      <c r="BQ218" s="49">
        <f>IF(BQ$4=EOMONTH(CloseDate,'Rent Roll'!$O$25-1),-'Rent Roll'!$U$25*'Rent Roll'!$F$25*'Rent Roll'!$X$25,0)</f>
        <v>0</v>
      </c>
      <c r="BR218" s="49">
        <f>IF(BR$4=EOMONTH(CloseDate,'Rent Roll'!$O$25-1),-'Rent Roll'!$U$25*'Rent Roll'!$F$25*'Rent Roll'!$X$25,0)</f>
        <v>0</v>
      </c>
      <c r="BS218" s="49">
        <f>IF(BS$4=EOMONTH(CloseDate,'Rent Roll'!$O$25-1),-'Rent Roll'!$U$25*'Rent Roll'!$F$25*'Rent Roll'!$X$25,0)</f>
        <v>0</v>
      </c>
      <c r="BT218" s="49">
        <f>IF(BT$4=EOMONTH(CloseDate,'Rent Roll'!$O$25-1),-'Rent Roll'!$U$25*'Rent Roll'!$F$25*'Rent Roll'!$X$25,0)</f>
        <v>0</v>
      </c>
      <c r="BU218" s="49">
        <f>IF(BU$4=EOMONTH(CloseDate,'Rent Roll'!$O$25-1),-'Rent Roll'!$U$25*'Rent Roll'!$F$25*'Rent Roll'!$X$25,0)</f>
        <v>0</v>
      </c>
      <c r="BV218" s="49">
        <f>IF(BV$4=EOMONTH(CloseDate,'Rent Roll'!$O$25-1),-'Rent Roll'!$U$25*'Rent Roll'!$F$25*'Rent Roll'!$X$25,0)</f>
        <v>0</v>
      </c>
      <c r="BW218" s="49">
        <f>IF(BW$4=EOMONTH(CloseDate,'Rent Roll'!$O$25-1),-'Rent Roll'!$U$25*'Rent Roll'!$F$25*'Rent Roll'!$X$25,0)</f>
        <v>0</v>
      </c>
      <c r="BX218" s="49">
        <f>IF(BX$4=EOMONTH(CloseDate,'Rent Roll'!$O$25-1),-'Rent Roll'!$U$25*'Rent Roll'!$F$25*'Rent Roll'!$X$25,0)</f>
        <v>0</v>
      </c>
    </row>
    <row r="219" spans="1:76" hidden="1" outlineLevel="1">
      <c r="A219" s="46" t="str">
        <f>'Rent Roll'!C26</f>
        <v>Vacant — Suite 250</v>
      </c>
      <c r="B219" s="57">
        <f>INDEX('Rent Roll'!$F$5:$F$46,MATCH('Rent Roll Calc'!A219,'Rent Roll'!$C$5:$C$46,0))</f>
        <v>6400</v>
      </c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  <c r="AA219" s="49"/>
      <c r="AB219" s="49"/>
      <c r="AC219" s="49"/>
      <c r="AD219" s="49"/>
      <c r="AE219" s="49"/>
      <c r="AF219" s="49"/>
      <c r="AG219" s="49"/>
      <c r="AH219" s="49"/>
      <c r="AI219" s="49"/>
      <c r="AJ219" s="49"/>
      <c r="AK219" s="49"/>
      <c r="AL219" s="49"/>
      <c r="AM219" s="49"/>
      <c r="AN219" s="49"/>
      <c r="AO219" s="49"/>
      <c r="AP219" s="49"/>
      <c r="AQ219" s="49"/>
      <c r="AR219" s="49"/>
      <c r="AS219" s="49"/>
      <c r="AT219" s="49"/>
      <c r="AU219" s="49"/>
      <c r="AV219" s="49"/>
      <c r="AW219" s="49"/>
      <c r="AX219" s="49"/>
      <c r="AY219" s="49"/>
      <c r="AZ219" s="49"/>
      <c r="BA219" s="49"/>
      <c r="BB219" s="49"/>
      <c r="BC219" s="49"/>
      <c r="BD219" s="49"/>
      <c r="BE219" s="49"/>
      <c r="BF219" s="49"/>
      <c r="BG219" s="49"/>
      <c r="BH219" s="49"/>
      <c r="BI219" s="49"/>
      <c r="BJ219" s="49"/>
      <c r="BK219" s="49"/>
      <c r="BL219" s="49"/>
      <c r="BM219" s="49"/>
      <c r="BN219" s="49"/>
      <c r="BO219" s="49"/>
      <c r="BP219" s="49"/>
      <c r="BQ219" s="49"/>
      <c r="BR219" s="49"/>
      <c r="BS219" s="49"/>
      <c r="BT219" s="49"/>
      <c r="BU219" s="49"/>
      <c r="BV219" s="49"/>
      <c r="BW219" s="49"/>
      <c r="BX219" s="49"/>
    </row>
    <row r="220" spans="1:76" hidden="1" outlineLevel="1">
      <c r="B220" t="s">
        <v>83</v>
      </c>
      <c r="D220" s="49">
        <f>0</f>
        <v>0</v>
      </c>
      <c r="E220" s="49">
        <f>0</f>
        <v>0</v>
      </c>
      <c r="F220" s="49">
        <f>0</f>
        <v>0</v>
      </c>
      <c r="G220" s="49">
        <f>0</f>
        <v>0</v>
      </c>
      <c r="H220" s="49">
        <f>0</f>
        <v>0</v>
      </c>
      <c r="I220" s="49">
        <f>0</f>
        <v>0</v>
      </c>
      <c r="J220" s="49">
        <f>0</f>
        <v>0</v>
      </c>
      <c r="K220" s="49">
        <f>0</f>
        <v>0</v>
      </c>
      <c r="L220" s="49">
        <f>0</f>
        <v>0</v>
      </c>
      <c r="M220" s="49">
        <f>0</f>
        <v>0</v>
      </c>
      <c r="N220" s="49">
        <f>0</f>
        <v>0</v>
      </c>
      <c r="O220" s="49">
        <f>0</f>
        <v>0</v>
      </c>
      <c r="P220" s="49">
        <f>0</f>
        <v>0</v>
      </c>
      <c r="Q220" s="49">
        <f>0</f>
        <v>0</v>
      </c>
      <c r="R220" s="49">
        <f>0</f>
        <v>0</v>
      </c>
      <c r="S220" s="49">
        <f>0</f>
        <v>0</v>
      </c>
      <c r="T220" s="49">
        <f>0</f>
        <v>0</v>
      </c>
      <c r="U220" s="49">
        <f>0</f>
        <v>0</v>
      </c>
      <c r="V220" s="49">
        <f>0</f>
        <v>0</v>
      </c>
      <c r="W220" s="49">
        <f>0</f>
        <v>0</v>
      </c>
      <c r="X220" s="49">
        <f>0</f>
        <v>0</v>
      </c>
      <c r="Y220" s="49">
        <f>0</f>
        <v>0</v>
      </c>
      <c r="Z220" s="49">
        <f>0</f>
        <v>0</v>
      </c>
      <c r="AA220" s="49">
        <f>0</f>
        <v>0</v>
      </c>
      <c r="AB220" s="49">
        <f>0</f>
        <v>0</v>
      </c>
      <c r="AC220" s="49">
        <f>0</f>
        <v>0</v>
      </c>
      <c r="AD220" s="49">
        <f>0</f>
        <v>0</v>
      </c>
      <c r="AE220" s="49">
        <f>0</f>
        <v>0</v>
      </c>
      <c r="AF220" s="49">
        <f>0</f>
        <v>0</v>
      </c>
      <c r="AG220" s="49">
        <f>0</f>
        <v>0</v>
      </c>
      <c r="AH220" s="49">
        <f>0</f>
        <v>0</v>
      </c>
      <c r="AI220" s="49">
        <f>0</f>
        <v>0</v>
      </c>
      <c r="AJ220" s="49">
        <f>0</f>
        <v>0</v>
      </c>
      <c r="AK220" s="49">
        <f>0</f>
        <v>0</v>
      </c>
      <c r="AL220" s="49">
        <f>0</f>
        <v>0</v>
      </c>
      <c r="AM220" s="49">
        <f>0</f>
        <v>0</v>
      </c>
      <c r="AN220" s="49">
        <f>0</f>
        <v>0</v>
      </c>
      <c r="AO220" s="49">
        <f>0</f>
        <v>0</v>
      </c>
      <c r="AP220" s="49">
        <f>0</f>
        <v>0</v>
      </c>
      <c r="AQ220" s="49">
        <f>0</f>
        <v>0</v>
      </c>
      <c r="AR220" s="49">
        <f>0</f>
        <v>0</v>
      </c>
      <c r="AS220" s="49">
        <f>0</f>
        <v>0</v>
      </c>
      <c r="AT220" s="49">
        <f>0</f>
        <v>0</v>
      </c>
      <c r="AU220" s="49">
        <f>0</f>
        <v>0</v>
      </c>
      <c r="AV220" s="49">
        <f>0</f>
        <v>0</v>
      </c>
      <c r="AW220" s="49">
        <f>0</f>
        <v>0</v>
      </c>
      <c r="AX220" s="49">
        <f>0</f>
        <v>0</v>
      </c>
      <c r="AY220" s="49">
        <f>0</f>
        <v>0</v>
      </c>
      <c r="AZ220" s="49">
        <f>0</f>
        <v>0</v>
      </c>
      <c r="BA220" s="49">
        <f>0</f>
        <v>0</v>
      </c>
      <c r="BB220" s="49">
        <f>0</f>
        <v>0</v>
      </c>
      <c r="BC220" s="49">
        <f>0</f>
        <v>0</v>
      </c>
      <c r="BD220" s="49">
        <f>0</f>
        <v>0</v>
      </c>
      <c r="BE220" s="49">
        <f>0</f>
        <v>0</v>
      </c>
      <c r="BF220" s="49">
        <f>0</f>
        <v>0</v>
      </c>
      <c r="BG220" s="49">
        <f>0</f>
        <v>0</v>
      </c>
      <c r="BH220" s="49">
        <f>0</f>
        <v>0</v>
      </c>
      <c r="BI220" s="49">
        <f>0</f>
        <v>0</v>
      </c>
      <c r="BJ220" s="49">
        <f>0</f>
        <v>0</v>
      </c>
      <c r="BK220" s="49">
        <f>0</f>
        <v>0</v>
      </c>
      <c r="BL220" s="49">
        <f>0</f>
        <v>0</v>
      </c>
      <c r="BM220" s="49">
        <f>0</f>
        <v>0</v>
      </c>
      <c r="BN220" s="49">
        <f>0</f>
        <v>0</v>
      </c>
      <c r="BO220" s="49">
        <f>0</f>
        <v>0</v>
      </c>
      <c r="BP220" s="49">
        <f>0</f>
        <v>0</v>
      </c>
      <c r="BQ220" s="49">
        <f>0</f>
        <v>0</v>
      </c>
      <c r="BR220" s="49">
        <f>0</f>
        <v>0</v>
      </c>
      <c r="BS220" s="49">
        <f>0</f>
        <v>0</v>
      </c>
      <c r="BT220" s="49">
        <f>0</f>
        <v>0</v>
      </c>
      <c r="BU220" s="49">
        <f>0</f>
        <v>0</v>
      </c>
      <c r="BV220" s="49">
        <f>0</f>
        <v>0</v>
      </c>
      <c r="BW220" s="49">
        <f>0</f>
        <v>0</v>
      </c>
      <c r="BX220" s="49">
        <f>0</f>
        <v>0</v>
      </c>
    </row>
    <row r="221" spans="1:76" hidden="1" outlineLevel="1">
      <c r="B221" t="s">
        <v>159</v>
      </c>
      <c r="D221" s="49">
        <f>0</f>
        <v>0</v>
      </c>
      <c r="E221" s="49">
        <f>0</f>
        <v>0</v>
      </c>
      <c r="F221" s="49">
        <f>0</f>
        <v>0</v>
      </c>
      <c r="G221" s="49">
        <f>0</f>
        <v>0</v>
      </c>
      <c r="H221" s="49">
        <f>0</f>
        <v>0</v>
      </c>
      <c r="I221" s="49">
        <f>0</f>
        <v>0</v>
      </c>
      <c r="J221" s="49">
        <f>0</f>
        <v>0</v>
      </c>
      <c r="K221" s="49">
        <f>0</f>
        <v>0</v>
      </c>
      <c r="L221" s="49">
        <f>0</f>
        <v>0</v>
      </c>
      <c r="M221" s="49">
        <f>0</f>
        <v>0</v>
      </c>
      <c r="N221" s="49">
        <f>0</f>
        <v>0</v>
      </c>
      <c r="O221" s="49">
        <f>0</f>
        <v>0</v>
      </c>
      <c r="P221" s="49">
        <f>0</f>
        <v>0</v>
      </c>
      <c r="Q221" s="49">
        <f>0</f>
        <v>0</v>
      </c>
      <c r="R221" s="49">
        <f>0</f>
        <v>0</v>
      </c>
      <c r="S221" s="49">
        <f>0</f>
        <v>0</v>
      </c>
      <c r="T221" s="49">
        <f>0</f>
        <v>0</v>
      </c>
      <c r="U221" s="49">
        <f>0</f>
        <v>0</v>
      </c>
      <c r="V221" s="49">
        <f>0</f>
        <v>0</v>
      </c>
      <c r="W221" s="49">
        <f>0</f>
        <v>0</v>
      </c>
      <c r="X221" s="49">
        <f>0</f>
        <v>0</v>
      </c>
      <c r="Y221" s="49">
        <f>0</f>
        <v>0</v>
      </c>
      <c r="Z221" s="49">
        <f>0</f>
        <v>0</v>
      </c>
      <c r="AA221" s="49">
        <f>0</f>
        <v>0</v>
      </c>
      <c r="AB221" s="49">
        <f>0</f>
        <v>0</v>
      </c>
      <c r="AC221" s="49">
        <f>0</f>
        <v>0</v>
      </c>
      <c r="AD221" s="49">
        <f>0</f>
        <v>0</v>
      </c>
      <c r="AE221" s="49">
        <f>0</f>
        <v>0</v>
      </c>
      <c r="AF221" s="49">
        <f>0</f>
        <v>0</v>
      </c>
      <c r="AG221" s="49">
        <f>0</f>
        <v>0</v>
      </c>
      <c r="AH221" s="49">
        <f>0</f>
        <v>0</v>
      </c>
      <c r="AI221" s="49">
        <f>0</f>
        <v>0</v>
      </c>
      <c r="AJ221" s="49">
        <f>0</f>
        <v>0</v>
      </c>
      <c r="AK221" s="49">
        <f>0</f>
        <v>0</v>
      </c>
      <c r="AL221" s="49">
        <f>0</f>
        <v>0</v>
      </c>
      <c r="AM221" s="49">
        <f>0</f>
        <v>0</v>
      </c>
      <c r="AN221" s="49">
        <f>0</f>
        <v>0</v>
      </c>
      <c r="AO221" s="49">
        <f>0</f>
        <v>0</v>
      </c>
      <c r="AP221" s="49">
        <f>0</f>
        <v>0</v>
      </c>
      <c r="AQ221" s="49">
        <f>0</f>
        <v>0</v>
      </c>
      <c r="AR221" s="49">
        <f>0</f>
        <v>0</v>
      </c>
      <c r="AS221" s="49">
        <f>0</f>
        <v>0</v>
      </c>
      <c r="AT221" s="49">
        <f>0</f>
        <v>0</v>
      </c>
      <c r="AU221" s="49">
        <f>0</f>
        <v>0</v>
      </c>
      <c r="AV221" s="49">
        <f>0</f>
        <v>0</v>
      </c>
      <c r="AW221" s="49">
        <f>0</f>
        <v>0</v>
      </c>
      <c r="AX221" s="49">
        <f>0</f>
        <v>0</v>
      </c>
      <c r="AY221" s="49">
        <f>0</f>
        <v>0</v>
      </c>
      <c r="AZ221" s="49">
        <f>0</f>
        <v>0</v>
      </c>
      <c r="BA221" s="49">
        <f>0</f>
        <v>0</v>
      </c>
      <c r="BB221" s="49">
        <f>0</f>
        <v>0</v>
      </c>
      <c r="BC221" s="49">
        <f>0</f>
        <v>0</v>
      </c>
      <c r="BD221" s="49">
        <f>0</f>
        <v>0</v>
      </c>
      <c r="BE221" s="49">
        <f>0</f>
        <v>0</v>
      </c>
      <c r="BF221" s="49">
        <f>0</f>
        <v>0</v>
      </c>
      <c r="BG221" s="49">
        <f>0</f>
        <v>0</v>
      </c>
      <c r="BH221" s="49">
        <f>0</f>
        <v>0</v>
      </c>
      <c r="BI221" s="49">
        <f>0</f>
        <v>0</v>
      </c>
      <c r="BJ221" s="49">
        <f>0</f>
        <v>0</v>
      </c>
      <c r="BK221" s="49">
        <f>0</f>
        <v>0</v>
      </c>
      <c r="BL221" s="49">
        <f>0</f>
        <v>0</v>
      </c>
      <c r="BM221" s="49">
        <f>0</f>
        <v>0</v>
      </c>
      <c r="BN221" s="49">
        <f>0</f>
        <v>0</v>
      </c>
      <c r="BO221" s="49">
        <f>0</f>
        <v>0</v>
      </c>
      <c r="BP221" s="49">
        <f>0</f>
        <v>0</v>
      </c>
      <c r="BQ221" s="49">
        <f>0</f>
        <v>0</v>
      </c>
      <c r="BR221" s="49">
        <f>0</f>
        <v>0</v>
      </c>
      <c r="BS221" s="49">
        <f>0</f>
        <v>0</v>
      </c>
      <c r="BT221" s="49">
        <f>0</f>
        <v>0</v>
      </c>
      <c r="BU221" s="49">
        <f>0</f>
        <v>0</v>
      </c>
      <c r="BV221" s="49">
        <f>0</f>
        <v>0</v>
      </c>
      <c r="BW221" s="49">
        <f>0</f>
        <v>0</v>
      </c>
      <c r="BX221" s="49">
        <f>0</f>
        <v>0</v>
      </c>
    </row>
    <row r="222" spans="1:76" hidden="1" outlineLevel="1">
      <c r="B222" t="s">
        <v>160</v>
      </c>
      <c r="D222" s="49">
        <f>IF(D$4&gt;=EOMONTH(CloseDate,'Rent Roll'!$O$26-1),1,0)</f>
        <v>0</v>
      </c>
      <c r="E222" s="49">
        <f>IF(E$4&gt;=EOMONTH(CloseDate,'Rent Roll'!$O$26-1),1,0)</f>
        <v>0</v>
      </c>
      <c r="F222" s="49">
        <f>IF(F$4&gt;=EOMONTH(CloseDate,'Rent Roll'!$O$26-1),1,0)</f>
        <v>0</v>
      </c>
      <c r="G222" s="49">
        <f>IF(G$4&gt;=EOMONTH(CloseDate,'Rent Roll'!$O$26-1),1,0)</f>
        <v>1</v>
      </c>
      <c r="H222" s="49">
        <f>IF(H$4&gt;=EOMONTH(CloseDate,'Rent Roll'!$O$26-1),1,0)</f>
        <v>1</v>
      </c>
      <c r="I222" s="49">
        <f>IF(I$4&gt;=EOMONTH(CloseDate,'Rent Roll'!$O$26-1),1,0)</f>
        <v>1</v>
      </c>
      <c r="J222" s="49">
        <f>IF(J$4&gt;=EOMONTH(CloseDate,'Rent Roll'!$O$26-1),1,0)</f>
        <v>1</v>
      </c>
      <c r="K222" s="49">
        <f>IF(K$4&gt;=EOMONTH(CloseDate,'Rent Roll'!$O$26-1),1,0)</f>
        <v>1</v>
      </c>
      <c r="L222" s="49">
        <f>IF(L$4&gt;=EOMONTH(CloseDate,'Rent Roll'!$O$26-1),1,0)</f>
        <v>1</v>
      </c>
      <c r="M222" s="49">
        <f>IF(M$4&gt;=EOMONTH(CloseDate,'Rent Roll'!$O$26-1),1,0)</f>
        <v>1</v>
      </c>
      <c r="N222" s="49">
        <f>IF(N$4&gt;=EOMONTH(CloseDate,'Rent Roll'!$O$26-1),1,0)</f>
        <v>1</v>
      </c>
      <c r="O222" s="49">
        <f>IF(O$4&gt;=EOMONTH(CloseDate,'Rent Roll'!$O$26-1),1,0)</f>
        <v>1</v>
      </c>
      <c r="P222" s="49">
        <f>IF(P$4&gt;=EOMONTH(CloseDate,'Rent Roll'!$O$26-1),1,0)</f>
        <v>1</v>
      </c>
      <c r="Q222" s="49">
        <f>IF(Q$4&gt;=EOMONTH(CloseDate,'Rent Roll'!$O$26-1),1,0)</f>
        <v>1</v>
      </c>
      <c r="R222" s="49">
        <f>IF(R$4&gt;=EOMONTH(CloseDate,'Rent Roll'!$O$26-1),1,0)</f>
        <v>1</v>
      </c>
      <c r="S222" s="49">
        <f>IF(S$4&gt;=EOMONTH(CloseDate,'Rent Roll'!$O$26-1),1,0)</f>
        <v>1</v>
      </c>
      <c r="T222" s="49">
        <f>IF(T$4&gt;=EOMONTH(CloseDate,'Rent Roll'!$O$26-1),1,0)</f>
        <v>1</v>
      </c>
      <c r="U222" s="49">
        <f>IF(U$4&gt;=EOMONTH(CloseDate,'Rent Roll'!$O$26-1),1,0)</f>
        <v>1</v>
      </c>
      <c r="V222" s="49">
        <f>IF(V$4&gt;=EOMONTH(CloseDate,'Rent Roll'!$O$26-1),1,0)</f>
        <v>1</v>
      </c>
      <c r="W222" s="49">
        <f>IF(W$4&gt;=EOMONTH(CloseDate,'Rent Roll'!$O$26-1),1,0)</f>
        <v>1</v>
      </c>
      <c r="X222" s="49">
        <f>IF(X$4&gt;=EOMONTH(CloseDate,'Rent Roll'!$O$26-1),1,0)</f>
        <v>1</v>
      </c>
      <c r="Y222" s="49">
        <f>IF(Y$4&gt;=EOMONTH(CloseDate,'Rent Roll'!$O$26-1),1,0)</f>
        <v>1</v>
      </c>
      <c r="Z222" s="49">
        <f>IF(Z$4&gt;=EOMONTH(CloseDate,'Rent Roll'!$O$26-1),1,0)</f>
        <v>1</v>
      </c>
      <c r="AA222" s="49">
        <f>IF(AA$4&gt;=EOMONTH(CloseDate,'Rent Roll'!$O$26-1),1,0)</f>
        <v>1</v>
      </c>
      <c r="AB222" s="49">
        <f>IF(AB$4&gt;=EOMONTH(CloseDate,'Rent Roll'!$O$26-1),1,0)</f>
        <v>1</v>
      </c>
      <c r="AC222" s="49">
        <f>IF(AC$4&gt;=EOMONTH(CloseDate,'Rent Roll'!$O$26-1),1,0)</f>
        <v>1</v>
      </c>
      <c r="AD222" s="49">
        <f>IF(AD$4&gt;=EOMONTH(CloseDate,'Rent Roll'!$O$26-1),1,0)</f>
        <v>1</v>
      </c>
      <c r="AE222" s="49">
        <f>IF(AE$4&gt;=EOMONTH(CloseDate,'Rent Roll'!$O$26-1),1,0)</f>
        <v>1</v>
      </c>
      <c r="AF222" s="49">
        <f>IF(AF$4&gt;=EOMONTH(CloseDate,'Rent Roll'!$O$26-1),1,0)</f>
        <v>1</v>
      </c>
      <c r="AG222" s="49">
        <f>IF(AG$4&gt;=EOMONTH(CloseDate,'Rent Roll'!$O$26-1),1,0)</f>
        <v>1</v>
      </c>
      <c r="AH222" s="49">
        <f>IF(AH$4&gt;=EOMONTH(CloseDate,'Rent Roll'!$O$26-1),1,0)</f>
        <v>1</v>
      </c>
      <c r="AI222" s="49">
        <f>IF(AI$4&gt;=EOMONTH(CloseDate,'Rent Roll'!$O$26-1),1,0)</f>
        <v>1</v>
      </c>
      <c r="AJ222" s="49">
        <f>IF(AJ$4&gt;=EOMONTH(CloseDate,'Rent Roll'!$O$26-1),1,0)</f>
        <v>1</v>
      </c>
      <c r="AK222" s="49">
        <f>IF(AK$4&gt;=EOMONTH(CloseDate,'Rent Roll'!$O$26-1),1,0)</f>
        <v>1</v>
      </c>
      <c r="AL222" s="49">
        <f>IF(AL$4&gt;=EOMONTH(CloseDate,'Rent Roll'!$O$26-1),1,0)</f>
        <v>1</v>
      </c>
      <c r="AM222" s="49">
        <f>IF(AM$4&gt;=EOMONTH(CloseDate,'Rent Roll'!$O$26-1),1,0)</f>
        <v>1</v>
      </c>
      <c r="AN222" s="49">
        <f>IF(AN$4&gt;=EOMONTH(CloseDate,'Rent Roll'!$O$26-1),1,0)</f>
        <v>1</v>
      </c>
      <c r="AO222" s="49">
        <f>IF(AO$4&gt;=EOMONTH(CloseDate,'Rent Roll'!$O$26-1),1,0)</f>
        <v>1</v>
      </c>
      <c r="AP222" s="49">
        <f>IF(AP$4&gt;=EOMONTH(CloseDate,'Rent Roll'!$O$26-1),1,0)</f>
        <v>1</v>
      </c>
      <c r="AQ222" s="49">
        <f>IF(AQ$4&gt;=EOMONTH(CloseDate,'Rent Roll'!$O$26-1),1,0)</f>
        <v>1</v>
      </c>
      <c r="AR222" s="49">
        <f>IF(AR$4&gt;=EOMONTH(CloseDate,'Rent Roll'!$O$26-1),1,0)</f>
        <v>1</v>
      </c>
      <c r="AS222" s="49">
        <f>IF(AS$4&gt;=EOMONTH(CloseDate,'Rent Roll'!$O$26-1),1,0)</f>
        <v>1</v>
      </c>
      <c r="AT222" s="49">
        <f>IF(AT$4&gt;=EOMONTH(CloseDate,'Rent Roll'!$O$26-1),1,0)</f>
        <v>1</v>
      </c>
      <c r="AU222" s="49">
        <f>IF(AU$4&gt;=EOMONTH(CloseDate,'Rent Roll'!$O$26-1),1,0)</f>
        <v>1</v>
      </c>
      <c r="AV222" s="49">
        <f>IF(AV$4&gt;=EOMONTH(CloseDate,'Rent Roll'!$O$26-1),1,0)</f>
        <v>1</v>
      </c>
      <c r="AW222" s="49">
        <f>IF(AW$4&gt;=EOMONTH(CloseDate,'Rent Roll'!$O$26-1),1,0)</f>
        <v>1</v>
      </c>
      <c r="AX222" s="49">
        <f>IF(AX$4&gt;=EOMONTH(CloseDate,'Rent Roll'!$O$26-1),1,0)</f>
        <v>1</v>
      </c>
      <c r="AY222" s="49">
        <f>IF(AY$4&gt;=EOMONTH(CloseDate,'Rent Roll'!$O$26-1),1,0)</f>
        <v>1</v>
      </c>
      <c r="AZ222" s="49">
        <f>IF(AZ$4&gt;=EOMONTH(CloseDate,'Rent Roll'!$O$26-1),1,0)</f>
        <v>1</v>
      </c>
      <c r="BA222" s="49">
        <f>IF(BA$4&gt;=EOMONTH(CloseDate,'Rent Roll'!$O$26-1),1,0)</f>
        <v>1</v>
      </c>
      <c r="BB222" s="49">
        <f>IF(BB$4&gt;=EOMONTH(CloseDate,'Rent Roll'!$O$26-1),1,0)</f>
        <v>1</v>
      </c>
      <c r="BC222" s="49">
        <f>IF(BC$4&gt;=EOMONTH(CloseDate,'Rent Roll'!$O$26-1),1,0)</f>
        <v>1</v>
      </c>
      <c r="BD222" s="49">
        <f>IF(BD$4&gt;=EOMONTH(CloseDate,'Rent Roll'!$O$26-1),1,0)</f>
        <v>1</v>
      </c>
      <c r="BE222" s="49">
        <f>IF(BE$4&gt;=EOMONTH(CloseDate,'Rent Roll'!$O$26-1),1,0)</f>
        <v>1</v>
      </c>
      <c r="BF222" s="49">
        <f>IF(BF$4&gt;=EOMONTH(CloseDate,'Rent Roll'!$O$26-1),1,0)</f>
        <v>1</v>
      </c>
      <c r="BG222" s="49">
        <f>IF(BG$4&gt;=EOMONTH(CloseDate,'Rent Roll'!$O$26-1),1,0)</f>
        <v>1</v>
      </c>
      <c r="BH222" s="49">
        <f>IF(BH$4&gt;=EOMONTH(CloseDate,'Rent Roll'!$O$26-1),1,0)</f>
        <v>1</v>
      </c>
      <c r="BI222" s="49">
        <f>IF(BI$4&gt;=EOMONTH(CloseDate,'Rent Roll'!$O$26-1),1,0)</f>
        <v>1</v>
      </c>
      <c r="BJ222" s="49">
        <f>IF(BJ$4&gt;=EOMONTH(CloseDate,'Rent Roll'!$O$26-1),1,0)</f>
        <v>1</v>
      </c>
      <c r="BK222" s="49">
        <f>IF(BK$4&gt;=EOMONTH(CloseDate,'Rent Roll'!$O$26-1),1,0)</f>
        <v>1</v>
      </c>
      <c r="BL222" s="49">
        <f>IF(BL$4&gt;=EOMONTH(CloseDate,'Rent Roll'!$O$26-1),1,0)</f>
        <v>1</v>
      </c>
      <c r="BM222" s="49">
        <f>IF(BM$4&gt;=EOMONTH(CloseDate,'Rent Roll'!$O$26-1),1,0)</f>
        <v>1</v>
      </c>
      <c r="BN222" s="49">
        <f>IF(BN$4&gt;=EOMONTH(CloseDate,'Rent Roll'!$O$26-1),1,0)</f>
        <v>1</v>
      </c>
      <c r="BO222" s="49">
        <f>IF(BO$4&gt;=EOMONTH(CloseDate,'Rent Roll'!$O$26-1),1,0)</f>
        <v>1</v>
      </c>
      <c r="BP222" s="49">
        <f>IF(BP$4&gt;=EOMONTH(CloseDate,'Rent Roll'!$O$26-1),1,0)</f>
        <v>1</v>
      </c>
      <c r="BQ222" s="49">
        <f>IF(BQ$4&gt;=EOMONTH(CloseDate,'Rent Roll'!$O$26-1),1,0)</f>
        <v>1</v>
      </c>
      <c r="BR222" s="49">
        <f>IF(BR$4&gt;=EOMONTH(CloseDate,'Rent Roll'!$O$26-1),1,0)</f>
        <v>1</v>
      </c>
      <c r="BS222" s="49">
        <f>IF(BS$4&gt;=EOMONTH(CloseDate,'Rent Roll'!$O$26-1),1,0)</f>
        <v>1</v>
      </c>
      <c r="BT222" s="49">
        <f>IF(BT$4&gt;=EOMONTH(CloseDate,'Rent Roll'!$O$26-1),1,0)</f>
        <v>1</v>
      </c>
      <c r="BU222" s="49">
        <f>IF(BU$4&gt;=EOMONTH(CloseDate,'Rent Roll'!$O$26-1),1,0)</f>
        <v>1</v>
      </c>
      <c r="BV222" s="49">
        <f>IF(BV$4&gt;=EOMONTH(CloseDate,'Rent Roll'!$O$26-1),1,0)</f>
        <v>1</v>
      </c>
      <c r="BW222" s="49">
        <f>IF(BW$4&gt;=EOMONTH(CloseDate,'Rent Roll'!$O$26-1),1,0)</f>
        <v>1</v>
      </c>
      <c r="BX222" s="49">
        <f>IF(BX$4&gt;=EOMONTH(CloseDate,'Rent Roll'!$O$26-1),1,0)</f>
        <v>1</v>
      </c>
    </row>
    <row r="223" spans="1:76" hidden="1" outlineLevel="1">
      <c r="B223" t="s">
        <v>162</v>
      </c>
      <c r="D223" s="49">
        <f>IF(D222=1,'Rent Roll'!$F$26*'Rent Roll'!$X$26/12*D$6,0)</f>
        <v>0</v>
      </c>
      <c r="E223" s="49">
        <f>IF(E222=1,'Rent Roll'!$F$26*'Rent Roll'!$X$26/12*E$6,0)</f>
        <v>0</v>
      </c>
      <c r="F223" s="49">
        <f>IF(F222=1,'Rent Roll'!$F$26*'Rent Roll'!$X$26/12*F$6,0)</f>
        <v>0</v>
      </c>
      <c r="G223" s="49">
        <f>IF(G222=1,'Rent Roll'!$F$26*'Rent Roll'!$X$26/12*G$6,0)</f>
        <v>13157.999999999998</v>
      </c>
      <c r="H223" s="49">
        <f>IF(H222=1,'Rent Roll'!$F$26*'Rent Roll'!$X$26/12*H$6,0)</f>
        <v>13157.999999999998</v>
      </c>
      <c r="I223" s="49">
        <f>IF(I222=1,'Rent Roll'!$F$26*'Rent Roll'!$X$26/12*I$6,0)</f>
        <v>13513.265999999998</v>
      </c>
      <c r="J223" s="49">
        <f>IF(J222=1,'Rent Roll'!$F$26*'Rent Roll'!$X$26/12*J$6,0)</f>
        <v>13513.265999999998</v>
      </c>
      <c r="K223" s="49">
        <f>IF(K222=1,'Rent Roll'!$F$26*'Rent Roll'!$X$26/12*K$6,0)</f>
        <v>13513.265999999998</v>
      </c>
      <c r="L223" s="49">
        <f>IF(L222=1,'Rent Roll'!$F$26*'Rent Roll'!$X$26/12*L$6,0)</f>
        <v>13513.265999999998</v>
      </c>
      <c r="M223" s="49">
        <f>IF(M222=1,'Rent Roll'!$F$26*'Rent Roll'!$X$26/12*M$6,0)</f>
        <v>13513.265999999998</v>
      </c>
      <c r="N223" s="49">
        <f>IF(N222=1,'Rent Roll'!$F$26*'Rent Roll'!$X$26/12*N$6,0)</f>
        <v>13513.265999999998</v>
      </c>
      <c r="O223" s="49">
        <f>IF(O222=1,'Rent Roll'!$F$26*'Rent Roll'!$X$26/12*O$6,0)</f>
        <v>13513.265999999998</v>
      </c>
      <c r="P223" s="49">
        <f>IF(P222=1,'Rent Roll'!$F$26*'Rent Roll'!$X$26/12*P$6,0)</f>
        <v>13513.265999999998</v>
      </c>
      <c r="Q223" s="49">
        <f>IF(Q222=1,'Rent Roll'!$F$26*'Rent Roll'!$X$26/12*Q$6,0)</f>
        <v>13513.265999999998</v>
      </c>
      <c r="R223" s="49">
        <f>IF(R222=1,'Rent Roll'!$F$26*'Rent Roll'!$X$26/12*R$6,0)</f>
        <v>13513.265999999998</v>
      </c>
      <c r="S223" s="49">
        <f>IF(S222=1,'Rent Roll'!$F$26*'Rent Roll'!$X$26/12*S$6,0)</f>
        <v>13513.265999999998</v>
      </c>
      <c r="T223" s="49">
        <f>IF(T222=1,'Rent Roll'!$F$26*'Rent Roll'!$X$26/12*T$6,0)</f>
        <v>13513.265999999998</v>
      </c>
      <c r="U223" s="49">
        <f>IF(U222=1,'Rent Roll'!$F$26*'Rent Roll'!$X$26/12*U$6,0)</f>
        <v>13878.124181999996</v>
      </c>
      <c r="V223" s="49">
        <f>IF(V222=1,'Rent Roll'!$F$26*'Rent Roll'!$X$26/12*V$6,0)</f>
        <v>13878.124181999996</v>
      </c>
      <c r="W223" s="49">
        <f>IF(W222=1,'Rent Roll'!$F$26*'Rent Roll'!$X$26/12*W$6,0)</f>
        <v>13878.124181999996</v>
      </c>
      <c r="X223" s="49">
        <f>IF(X222=1,'Rent Roll'!$F$26*'Rent Roll'!$X$26/12*X$6,0)</f>
        <v>13878.124181999996</v>
      </c>
      <c r="Y223" s="49">
        <f>IF(Y222=1,'Rent Roll'!$F$26*'Rent Roll'!$X$26/12*Y$6,0)</f>
        <v>13878.124181999996</v>
      </c>
      <c r="Z223" s="49">
        <f>IF(Z222=1,'Rent Roll'!$F$26*'Rent Roll'!$X$26/12*Z$6,0)</f>
        <v>13878.124181999996</v>
      </c>
      <c r="AA223" s="49">
        <f>IF(AA222=1,'Rent Roll'!$F$26*'Rent Roll'!$X$26/12*AA$6,0)</f>
        <v>13878.124181999996</v>
      </c>
      <c r="AB223" s="49">
        <f>IF(AB222=1,'Rent Roll'!$F$26*'Rent Roll'!$X$26/12*AB$6,0)</f>
        <v>13878.124181999996</v>
      </c>
      <c r="AC223" s="49">
        <f>IF(AC222=1,'Rent Roll'!$F$26*'Rent Roll'!$X$26/12*AC$6,0)</f>
        <v>13878.124181999996</v>
      </c>
      <c r="AD223" s="49">
        <f>IF(AD222=1,'Rent Roll'!$F$26*'Rent Roll'!$X$26/12*AD$6,0)</f>
        <v>13878.124181999996</v>
      </c>
      <c r="AE223" s="49">
        <f>IF(AE222=1,'Rent Roll'!$F$26*'Rent Roll'!$X$26/12*AE$6,0)</f>
        <v>13878.124181999996</v>
      </c>
      <c r="AF223" s="49">
        <f>IF(AF222=1,'Rent Roll'!$F$26*'Rent Roll'!$X$26/12*AF$6,0)</f>
        <v>13878.124181999996</v>
      </c>
      <c r="AG223" s="49">
        <f>IF(AG222=1,'Rent Roll'!$F$26*'Rent Roll'!$X$26/12*AG$6,0)</f>
        <v>14252.833534913994</v>
      </c>
      <c r="AH223" s="49">
        <f>IF(AH222=1,'Rent Roll'!$F$26*'Rent Roll'!$X$26/12*AH$6,0)</f>
        <v>14252.833534913994</v>
      </c>
      <c r="AI223" s="49">
        <f>IF(AI222=1,'Rent Roll'!$F$26*'Rent Roll'!$X$26/12*AI$6,0)</f>
        <v>14252.833534913994</v>
      </c>
      <c r="AJ223" s="49">
        <f>IF(AJ222=1,'Rent Roll'!$F$26*'Rent Roll'!$X$26/12*AJ$6,0)</f>
        <v>14252.833534913994</v>
      </c>
      <c r="AK223" s="49">
        <f>IF(AK222=1,'Rent Roll'!$F$26*'Rent Roll'!$X$26/12*AK$6,0)</f>
        <v>14252.833534913994</v>
      </c>
      <c r="AL223" s="49">
        <f>IF(AL222=1,'Rent Roll'!$F$26*'Rent Roll'!$X$26/12*AL$6,0)</f>
        <v>14252.833534913994</v>
      </c>
      <c r="AM223" s="49">
        <f>IF(AM222=1,'Rent Roll'!$F$26*'Rent Roll'!$X$26/12*AM$6,0)</f>
        <v>14252.833534913994</v>
      </c>
      <c r="AN223" s="49">
        <f>IF(AN222=1,'Rent Roll'!$F$26*'Rent Roll'!$X$26/12*AN$6,0)</f>
        <v>14252.833534913994</v>
      </c>
      <c r="AO223" s="49">
        <f>IF(AO222=1,'Rent Roll'!$F$26*'Rent Roll'!$X$26/12*AO$6,0)</f>
        <v>14252.833534913994</v>
      </c>
      <c r="AP223" s="49">
        <f>IF(AP222=1,'Rent Roll'!$F$26*'Rent Roll'!$X$26/12*AP$6,0)</f>
        <v>14252.833534913994</v>
      </c>
      <c r="AQ223" s="49">
        <f>IF(AQ222=1,'Rent Roll'!$F$26*'Rent Roll'!$X$26/12*AQ$6,0)</f>
        <v>14252.833534913994</v>
      </c>
      <c r="AR223" s="49">
        <f>IF(AR222=1,'Rent Roll'!$F$26*'Rent Roll'!$X$26/12*AR$6,0)</f>
        <v>14252.833534913994</v>
      </c>
      <c r="AS223" s="49">
        <f>IF(AS222=1,'Rent Roll'!$F$26*'Rent Roll'!$X$26/12*AS$6,0)</f>
        <v>14637.66004035667</v>
      </c>
      <c r="AT223" s="49">
        <f>IF(AT222=1,'Rent Roll'!$F$26*'Rent Roll'!$X$26/12*AT$6,0)</f>
        <v>14637.66004035667</v>
      </c>
      <c r="AU223" s="49">
        <f>IF(AU222=1,'Rent Roll'!$F$26*'Rent Roll'!$X$26/12*AU$6,0)</f>
        <v>14637.66004035667</v>
      </c>
      <c r="AV223" s="49">
        <f>IF(AV222=1,'Rent Roll'!$F$26*'Rent Roll'!$X$26/12*AV$6,0)</f>
        <v>14637.66004035667</v>
      </c>
      <c r="AW223" s="49">
        <f>IF(AW222=1,'Rent Roll'!$F$26*'Rent Roll'!$X$26/12*AW$6,0)</f>
        <v>14637.66004035667</v>
      </c>
      <c r="AX223" s="49">
        <f>IF(AX222=1,'Rent Roll'!$F$26*'Rent Roll'!$X$26/12*AX$6,0)</f>
        <v>14637.66004035667</v>
      </c>
      <c r="AY223" s="49">
        <f>IF(AY222=1,'Rent Roll'!$F$26*'Rent Roll'!$X$26/12*AY$6,0)</f>
        <v>14637.66004035667</v>
      </c>
      <c r="AZ223" s="49">
        <f>IF(AZ222=1,'Rent Roll'!$F$26*'Rent Roll'!$X$26/12*AZ$6,0)</f>
        <v>14637.66004035667</v>
      </c>
      <c r="BA223" s="49">
        <f>IF(BA222=1,'Rent Roll'!$F$26*'Rent Roll'!$X$26/12*BA$6,0)</f>
        <v>14637.66004035667</v>
      </c>
      <c r="BB223" s="49">
        <f>IF(BB222=1,'Rent Roll'!$F$26*'Rent Roll'!$X$26/12*BB$6,0)</f>
        <v>14637.66004035667</v>
      </c>
      <c r="BC223" s="49">
        <f>IF(BC222=1,'Rent Roll'!$F$26*'Rent Roll'!$X$26/12*BC$6,0)</f>
        <v>14637.66004035667</v>
      </c>
      <c r="BD223" s="49">
        <f>IF(BD222=1,'Rent Roll'!$F$26*'Rent Roll'!$X$26/12*BD$6,0)</f>
        <v>14637.66004035667</v>
      </c>
      <c r="BE223" s="49">
        <f>IF(BE222=1,'Rent Roll'!$F$26*'Rent Roll'!$X$26/12*BE$6,0)</f>
        <v>15032.876861446299</v>
      </c>
      <c r="BF223" s="49">
        <f>IF(BF222=1,'Rent Roll'!$F$26*'Rent Roll'!$X$26/12*BF$6,0)</f>
        <v>15032.876861446299</v>
      </c>
      <c r="BG223" s="49">
        <f>IF(BG222=1,'Rent Roll'!$F$26*'Rent Roll'!$X$26/12*BG$6,0)</f>
        <v>15032.876861446299</v>
      </c>
      <c r="BH223" s="49">
        <f>IF(BH222=1,'Rent Roll'!$F$26*'Rent Roll'!$X$26/12*BH$6,0)</f>
        <v>15032.876861446299</v>
      </c>
      <c r="BI223" s="49">
        <f>IF(BI222=1,'Rent Roll'!$F$26*'Rent Roll'!$X$26/12*BI$6,0)</f>
        <v>15032.876861446299</v>
      </c>
      <c r="BJ223" s="49">
        <f>IF(BJ222=1,'Rent Roll'!$F$26*'Rent Roll'!$X$26/12*BJ$6,0)</f>
        <v>15032.876861446299</v>
      </c>
      <c r="BK223" s="49">
        <f>IF(BK222=1,'Rent Roll'!$F$26*'Rent Roll'!$X$26/12*BK$6,0)</f>
        <v>15032.876861446299</v>
      </c>
      <c r="BL223" s="49">
        <f>IF(BL222=1,'Rent Roll'!$F$26*'Rent Roll'!$X$26/12*BL$6,0)</f>
        <v>15032.876861446299</v>
      </c>
      <c r="BM223" s="49">
        <f>IF(BM222=1,'Rent Roll'!$F$26*'Rent Roll'!$X$26/12*BM$6,0)</f>
        <v>15032.876861446299</v>
      </c>
      <c r="BN223" s="49">
        <f>IF(BN222=1,'Rent Roll'!$F$26*'Rent Roll'!$X$26/12*BN$6,0)</f>
        <v>15032.876861446299</v>
      </c>
      <c r="BO223" s="49">
        <f>IF(BO222=1,'Rent Roll'!$F$26*'Rent Roll'!$X$26/12*BO$6,0)</f>
        <v>15032.876861446299</v>
      </c>
      <c r="BP223" s="49">
        <f>IF(BP222=1,'Rent Roll'!$F$26*'Rent Roll'!$X$26/12*BP$6,0)</f>
        <v>15032.876861446299</v>
      </c>
      <c r="BQ223" s="49">
        <f>IF(BQ222=1,'Rent Roll'!$F$26*'Rent Roll'!$X$26/12*BQ$6,0)</f>
        <v>15438.764536705348</v>
      </c>
      <c r="BR223" s="49">
        <f>IF(BR222=1,'Rent Roll'!$F$26*'Rent Roll'!$X$26/12*BR$6,0)</f>
        <v>15438.764536705348</v>
      </c>
      <c r="BS223" s="49">
        <f>IF(BS222=1,'Rent Roll'!$F$26*'Rent Roll'!$X$26/12*BS$6,0)</f>
        <v>15438.764536705348</v>
      </c>
      <c r="BT223" s="49">
        <f>IF(BT222=1,'Rent Roll'!$F$26*'Rent Roll'!$X$26/12*BT$6,0)</f>
        <v>15438.764536705348</v>
      </c>
      <c r="BU223" s="49">
        <f>IF(BU222=1,'Rent Roll'!$F$26*'Rent Roll'!$X$26/12*BU$6,0)</f>
        <v>15438.764536705348</v>
      </c>
      <c r="BV223" s="49">
        <f>IF(BV222=1,'Rent Roll'!$F$26*'Rent Roll'!$X$26/12*BV$6,0)</f>
        <v>15438.764536705348</v>
      </c>
      <c r="BW223" s="49">
        <f>IF(BW222=1,'Rent Roll'!$F$26*'Rent Roll'!$X$26/12*BW$6,0)</f>
        <v>15438.764536705348</v>
      </c>
      <c r="BX223" s="49">
        <f>IF(BX222=1,'Rent Roll'!$F$26*'Rent Roll'!$X$26/12*BX$6,0)</f>
        <v>15438.764536705348</v>
      </c>
    </row>
    <row r="224" spans="1:76" hidden="1" outlineLevel="1">
      <c r="B224" t="s">
        <v>163</v>
      </c>
      <c r="D224" s="49">
        <f>IF(AND(D$4&gt;=EOMONTH(CloseDate,'Rent Roll'!$O$26-1),D$4&lt;EOMONTH(CloseDate,'Rent Roll'!$O$26-1+'Rent Roll'!$V$26)),-D223,0)</f>
        <v>0</v>
      </c>
      <c r="E224" s="49">
        <f>IF(AND(E$4&gt;=EOMONTH(CloseDate,'Rent Roll'!$O$26-1),E$4&lt;EOMONTH(CloseDate,'Rent Roll'!$O$26-1+'Rent Roll'!$V$26)),-E223,0)</f>
        <v>0</v>
      </c>
      <c r="F224" s="49">
        <f>IF(AND(F$4&gt;=EOMONTH(CloseDate,'Rent Roll'!$O$26-1),F$4&lt;EOMONTH(CloseDate,'Rent Roll'!$O$26-1+'Rent Roll'!$V$26)),-F223,0)</f>
        <v>0</v>
      </c>
      <c r="G224" s="49">
        <f>IF(AND(G$4&gt;=EOMONTH(CloseDate,'Rent Roll'!$O$26-1),G$4&lt;EOMONTH(CloseDate,'Rent Roll'!$O$26-1+'Rent Roll'!$V$26)),-G223,0)</f>
        <v>-13157.999999999998</v>
      </c>
      <c r="H224" s="49">
        <f>IF(AND(H$4&gt;=EOMONTH(CloseDate,'Rent Roll'!$O$26-1),H$4&lt;EOMONTH(CloseDate,'Rent Roll'!$O$26-1+'Rent Roll'!$V$26)),-H223,0)</f>
        <v>-13157.999999999998</v>
      </c>
      <c r="I224" s="49">
        <f>IF(AND(I$4&gt;=EOMONTH(CloseDate,'Rent Roll'!$O$26-1),I$4&lt;EOMONTH(CloseDate,'Rent Roll'!$O$26-1+'Rent Roll'!$V$26)),-I223,0)</f>
        <v>0</v>
      </c>
      <c r="J224" s="49">
        <f>IF(AND(J$4&gt;=EOMONTH(CloseDate,'Rent Roll'!$O$26-1),J$4&lt;EOMONTH(CloseDate,'Rent Roll'!$O$26-1+'Rent Roll'!$V$26)),-J223,0)</f>
        <v>0</v>
      </c>
      <c r="K224" s="49">
        <f>IF(AND(K$4&gt;=EOMONTH(CloseDate,'Rent Roll'!$O$26-1),K$4&lt;EOMONTH(CloseDate,'Rent Roll'!$O$26-1+'Rent Roll'!$V$26)),-K223,0)</f>
        <v>0</v>
      </c>
      <c r="L224" s="49">
        <f>IF(AND(L$4&gt;=EOMONTH(CloseDate,'Rent Roll'!$O$26-1),L$4&lt;EOMONTH(CloseDate,'Rent Roll'!$O$26-1+'Rent Roll'!$V$26)),-L223,0)</f>
        <v>0</v>
      </c>
      <c r="M224" s="49">
        <f>IF(AND(M$4&gt;=EOMONTH(CloseDate,'Rent Roll'!$O$26-1),M$4&lt;EOMONTH(CloseDate,'Rent Roll'!$O$26-1+'Rent Roll'!$V$26)),-M223,0)</f>
        <v>0</v>
      </c>
      <c r="N224" s="49">
        <f>IF(AND(N$4&gt;=EOMONTH(CloseDate,'Rent Roll'!$O$26-1),N$4&lt;EOMONTH(CloseDate,'Rent Roll'!$O$26-1+'Rent Roll'!$V$26)),-N223,0)</f>
        <v>0</v>
      </c>
      <c r="O224" s="49">
        <f>IF(AND(O$4&gt;=EOMONTH(CloseDate,'Rent Roll'!$O$26-1),O$4&lt;EOMONTH(CloseDate,'Rent Roll'!$O$26-1+'Rent Roll'!$V$26)),-O223,0)</f>
        <v>0</v>
      </c>
      <c r="P224" s="49">
        <f>IF(AND(P$4&gt;=EOMONTH(CloseDate,'Rent Roll'!$O$26-1),P$4&lt;EOMONTH(CloseDate,'Rent Roll'!$O$26-1+'Rent Roll'!$V$26)),-P223,0)</f>
        <v>0</v>
      </c>
      <c r="Q224" s="49">
        <f>IF(AND(Q$4&gt;=EOMONTH(CloseDate,'Rent Roll'!$O$26-1),Q$4&lt;EOMONTH(CloseDate,'Rent Roll'!$O$26-1+'Rent Roll'!$V$26)),-Q223,0)</f>
        <v>0</v>
      </c>
      <c r="R224" s="49">
        <f>IF(AND(R$4&gt;=EOMONTH(CloseDate,'Rent Roll'!$O$26-1),R$4&lt;EOMONTH(CloseDate,'Rent Roll'!$O$26-1+'Rent Roll'!$V$26)),-R223,0)</f>
        <v>0</v>
      </c>
      <c r="S224" s="49">
        <f>IF(AND(S$4&gt;=EOMONTH(CloseDate,'Rent Roll'!$O$26-1),S$4&lt;EOMONTH(CloseDate,'Rent Roll'!$O$26-1+'Rent Roll'!$V$26)),-S223,0)</f>
        <v>0</v>
      </c>
      <c r="T224" s="49">
        <f>IF(AND(T$4&gt;=EOMONTH(CloseDate,'Rent Roll'!$O$26-1),T$4&lt;EOMONTH(CloseDate,'Rent Roll'!$O$26-1+'Rent Roll'!$V$26)),-T223,0)</f>
        <v>0</v>
      </c>
      <c r="U224" s="49">
        <f>IF(AND(U$4&gt;=EOMONTH(CloseDate,'Rent Roll'!$O$26-1),U$4&lt;EOMONTH(CloseDate,'Rent Roll'!$O$26-1+'Rent Roll'!$V$26)),-U223,0)</f>
        <v>0</v>
      </c>
      <c r="V224" s="49">
        <f>IF(AND(V$4&gt;=EOMONTH(CloseDate,'Rent Roll'!$O$26-1),V$4&lt;EOMONTH(CloseDate,'Rent Roll'!$O$26-1+'Rent Roll'!$V$26)),-V223,0)</f>
        <v>0</v>
      </c>
      <c r="W224" s="49">
        <f>IF(AND(W$4&gt;=EOMONTH(CloseDate,'Rent Roll'!$O$26-1),W$4&lt;EOMONTH(CloseDate,'Rent Roll'!$O$26-1+'Rent Roll'!$V$26)),-W223,0)</f>
        <v>0</v>
      </c>
      <c r="X224" s="49">
        <f>IF(AND(X$4&gt;=EOMONTH(CloseDate,'Rent Roll'!$O$26-1),X$4&lt;EOMONTH(CloseDate,'Rent Roll'!$O$26-1+'Rent Roll'!$V$26)),-X223,0)</f>
        <v>0</v>
      </c>
      <c r="Y224" s="49">
        <f>IF(AND(Y$4&gt;=EOMONTH(CloseDate,'Rent Roll'!$O$26-1),Y$4&lt;EOMONTH(CloseDate,'Rent Roll'!$O$26-1+'Rent Roll'!$V$26)),-Y223,0)</f>
        <v>0</v>
      </c>
      <c r="Z224" s="49">
        <f>IF(AND(Z$4&gt;=EOMONTH(CloseDate,'Rent Roll'!$O$26-1),Z$4&lt;EOMONTH(CloseDate,'Rent Roll'!$O$26-1+'Rent Roll'!$V$26)),-Z223,0)</f>
        <v>0</v>
      </c>
      <c r="AA224" s="49">
        <f>IF(AND(AA$4&gt;=EOMONTH(CloseDate,'Rent Roll'!$O$26-1),AA$4&lt;EOMONTH(CloseDate,'Rent Roll'!$O$26-1+'Rent Roll'!$V$26)),-AA223,0)</f>
        <v>0</v>
      </c>
      <c r="AB224" s="49">
        <f>IF(AND(AB$4&gt;=EOMONTH(CloseDate,'Rent Roll'!$O$26-1),AB$4&lt;EOMONTH(CloseDate,'Rent Roll'!$O$26-1+'Rent Roll'!$V$26)),-AB223,0)</f>
        <v>0</v>
      </c>
      <c r="AC224" s="49">
        <f>IF(AND(AC$4&gt;=EOMONTH(CloseDate,'Rent Roll'!$O$26-1),AC$4&lt;EOMONTH(CloseDate,'Rent Roll'!$O$26-1+'Rent Roll'!$V$26)),-AC223,0)</f>
        <v>0</v>
      </c>
      <c r="AD224" s="49">
        <f>IF(AND(AD$4&gt;=EOMONTH(CloseDate,'Rent Roll'!$O$26-1),AD$4&lt;EOMONTH(CloseDate,'Rent Roll'!$O$26-1+'Rent Roll'!$V$26)),-AD223,0)</f>
        <v>0</v>
      </c>
      <c r="AE224" s="49">
        <f>IF(AND(AE$4&gt;=EOMONTH(CloseDate,'Rent Roll'!$O$26-1),AE$4&lt;EOMONTH(CloseDate,'Rent Roll'!$O$26-1+'Rent Roll'!$V$26)),-AE223,0)</f>
        <v>0</v>
      </c>
      <c r="AF224" s="49">
        <f>IF(AND(AF$4&gt;=EOMONTH(CloseDate,'Rent Roll'!$O$26-1),AF$4&lt;EOMONTH(CloseDate,'Rent Roll'!$O$26-1+'Rent Roll'!$V$26)),-AF223,0)</f>
        <v>0</v>
      </c>
      <c r="AG224" s="49">
        <f>IF(AND(AG$4&gt;=EOMONTH(CloseDate,'Rent Roll'!$O$26-1),AG$4&lt;EOMONTH(CloseDate,'Rent Roll'!$O$26-1+'Rent Roll'!$V$26)),-AG223,0)</f>
        <v>0</v>
      </c>
      <c r="AH224" s="49">
        <f>IF(AND(AH$4&gt;=EOMONTH(CloseDate,'Rent Roll'!$O$26-1),AH$4&lt;EOMONTH(CloseDate,'Rent Roll'!$O$26-1+'Rent Roll'!$V$26)),-AH223,0)</f>
        <v>0</v>
      </c>
      <c r="AI224" s="49">
        <f>IF(AND(AI$4&gt;=EOMONTH(CloseDate,'Rent Roll'!$O$26-1),AI$4&lt;EOMONTH(CloseDate,'Rent Roll'!$O$26-1+'Rent Roll'!$V$26)),-AI223,0)</f>
        <v>0</v>
      </c>
      <c r="AJ224" s="49">
        <f>IF(AND(AJ$4&gt;=EOMONTH(CloseDate,'Rent Roll'!$O$26-1),AJ$4&lt;EOMONTH(CloseDate,'Rent Roll'!$O$26-1+'Rent Roll'!$V$26)),-AJ223,0)</f>
        <v>0</v>
      </c>
      <c r="AK224" s="49">
        <f>IF(AND(AK$4&gt;=EOMONTH(CloseDate,'Rent Roll'!$O$26-1),AK$4&lt;EOMONTH(CloseDate,'Rent Roll'!$O$26-1+'Rent Roll'!$V$26)),-AK223,0)</f>
        <v>0</v>
      </c>
      <c r="AL224" s="49">
        <f>IF(AND(AL$4&gt;=EOMONTH(CloseDate,'Rent Roll'!$O$26-1),AL$4&lt;EOMONTH(CloseDate,'Rent Roll'!$O$26-1+'Rent Roll'!$V$26)),-AL223,0)</f>
        <v>0</v>
      </c>
      <c r="AM224" s="49">
        <f>IF(AND(AM$4&gt;=EOMONTH(CloseDate,'Rent Roll'!$O$26-1),AM$4&lt;EOMONTH(CloseDate,'Rent Roll'!$O$26-1+'Rent Roll'!$V$26)),-AM223,0)</f>
        <v>0</v>
      </c>
      <c r="AN224" s="49">
        <f>IF(AND(AN$4&gt;=EOMONTH(CloseDate,'Rent Roll'!$O$26-1),AN$4&lt;EOMONTH(CloseDate,'Rent Roll'!$O$26-1+'Rent Roll'!$V$26)),-AN223,0)</f>
        <v>0</v>
      </c>
      <c r="AO224" s="49">
        <f>IF(AND(AO$4&gt;=EOMONTH(CloseDate,'Rent Roll'!$O$26-1),AO$4&lt;EOMONTH(CloseDate,'Rent Roll'!$O$26-1+'Rent Roll'!$V$26)),-AO223,0)</f>
        <v>0</v>
      </c>
      <c r="AP224" s="49">
        <f>IF(AND(AP$4&gt;=EOMONTH(CloseDate,'Rent Roll'!$O$26-1),AP$4&lt;EOMONTH(CloseDate,'Rent Roll'!$O$26-1+'Rent Roll'!$V$26)),-AP223,0)</f>
        <v>0</v>
      </c>
      <c r="AQ224" s="49">
        <f>IF(AND(AQ$4&gt;=EOMONTH(CloseDate,'Rent Roll'!$O$26-1),AQ$4&lt;EOMONTH(CloseDate,'Rent Roll'!$O$26-1+'Rent Roll'!$V$26)),-AQ223,0)</f>
        <v>0</v>
      </c>
      <c r="AR224" s="49">
        <f>IF(AND(AR$4&gt;=EOMONTH(CloseDate,'Rent Roll'!$O$26-1),AR$4&lt;EOMONTH(CloseDate,'Rent Roll'!$O$26-1+'Rent Roll'!$V$26)),-AR223,0)</f>
        <v>0</v>
      </c>
      <c r="AS224" s="49">
        <f>IF(AND(AS$4&gt;=EOMONTH(CloseDate,'Rent Roll'!$O$26-1),AS$4&lt;EOMONTH(CloseDate,'Rent Roll'!$O$26-1+'Rent Roll'!$V$26)),-AS223,0)</f>
        <v>0</v>
      </c>
      <c r="AT224" s="49">
        <f>IF(AND(AT$4&gt;=EOMONTH(CloseDate,'Rent Roll'!$O$26-1),AT$4&lt;EOMONTH(CloseDate,'Rent Roll'!$O$26-1+'Rent Roll'!$V$26)),-AT223,0)</f>
        <v>0</v>
      </c>
      <c r="AU224" s="49">
        <f>IF(AND(AU$4&gt;=EOMONTH(CloseDate,'Rent Roll'!$O$26-1),AU$4&lt;EOMONTH(CloseDate,'Rent Roll'!$O$26-1+'Rent Roll'!$V$26)),-AU223,0)</f>
        <v>0</v>
      </c>
      <c r="AV224" s="49">
        <f>IF(AND(AV$4&gt;=EOMONTH(CloseDate,'Rent Roll'!$O$26-1),AV$4&lt;EOMONTH(CloseDate,'Rent Roll'!$O$26-1+'Rent Roll'!$V$26)),-AV223,0)</f>
        <v>0</v>
      </c>
      <c r="AW224" s="49">
        <f>IF(AND(AW$4&gt;=EOMONTH(CloseDate,'Rent Roll'!$O$26-1),AW$4&lt;EOMONTH(CloseDate,'Rent Roll'!$O$26-1+'Rent Roll'!$V$26)),-AW223,0)</f>
        <v>0</v>
      </c>
      <c r="AX224" s="49">
        <f>IF(AND(AX$4&gt;=EOMONTH(CloseDate,'Rent Roll'!$O$26-1),AX$4&lt;EOMONTH(CloseDate,'Rent Roll'!$O$26-1+'Rent Roll'!$V$26)),-AX223,0)</f>
        <v>0</v>
      </c>
      <c r="AY224" s="49">
        <f>IF(AND(AY$4&gt;=EOMONTH(CloseDate,'Rent Roll'!$O$26-1),AY$4&lt;EOMONTH(CloseDate,'Rent Roll'!$O$26-1+'Rent Roll'!$V$26)),-AY223,0)</f>
        <v>0</v>
      </c>
      <c r="AZ224" s="49">
        <f>IF(AND(AZ$4&gt;=EOMONTH(CloseDate,'Rent Roll'!$O$26-1),AZ$4&lt;EOMONTH(CloseDate,'Rent Roll'!$O$26-1+'Rent Roll'!$V$26)),-AZ223,0)</f>
        <v>0</v>
      </c>
      <c r="BA224" s="49">
        <f>IF(AND(BA$4&gt;=EOMONTH(CloseDate,'Rent Roll'!$O$26-1),BA$4&lt;EOMONTH(CloseDate,'Rent Roll'!$O$26-1+'Rent Roll'!$V$26)),-BA223,0)</f>
        <v>0</v>
      </c>
      <c r="BB224" s="49">
        <f>IF(AND(BB$4&gt;=EOMONTH(CloseDate,'Rent Roll'!$O$26-1),BB$4&lt;EOMONTH(CloseDate,'Rent Roll'!$O$26-1+'Rent Roll'!$V$26)),-BB223,0)</f>
        <v>0</v>
      </c>
      <c r="BC224" s="49">
        <f>IF(AND(BC$4&gt;=EOMONTH(CloseDate,'Rent Roll'!$O$26-1),BC$4&lt;EOMONTH(CloseDate,'Rent Roll'!$O$26-1+'Rent Roll'!$V$26)),-BC223,0)</f>
        <v>0</v>
      </c>
      <c r="BD224" s="49">
        <f>IF(AND(BD$4&gt;=EOMONTH(CloseDate,'Rent Roll'!$O$26-1),BD$4&lt;EOMONTH(CloseDate,'Rent Roll'!$O$26-1+'Rent Roll'!$V$26)),-BD223,0)</f>
        <v>0</v>
      </c>
      <c r="BE224" s="49">
        <f>IF(AND(BE$4&gt;=EOMONTH(CloseDate,'Rent Roll'!$O$26-1),BE$4&lt;EOMONTH(CloseDate,'Rent Roll'!$O$26-1+'Rent Roll'!$V$26)),-BE223,0)</f>
        <v>0</v>
      </c>
      <c r="BF224" s="49">
        <f>IF(AND(BF$4&gt;=EOMONTH(CloseDate,'Rent Roll'!$O$26-1),BF$4&lt;EOMONTH(CloseDate,'Rent Roll'!$O$26-1+'Rent Roll'!$V$26)),-BF223,0)</f>
        <v>0</v>
      </c>
      <c r="BG224" s="49">
        <f>IF(AND(BG$4&gt;=EOMONTH(CloseDate,'Rent Roll'!$O$26-1),BG$4&lt;EOMONTH(CloseDate,'Rent Roll'!$O$26-1+'Rent Roll'!$V$26)),-BG223,0)</f>
        <v>0</v>
      </c>
      <c r="BH224" s="49">
        <f>IF(AND(BH$4&gt;=EOMONTH(CloseDate,'Rent Roll'!$O$26-1),BH$4&lt;EOMONTH(CloseDate,'Rent Roll'!$O$26-1+'Rent Roll'!$V$26)),-BH223,0)</f>
        <v>0</v>
      </c>
      <c r="BI224" s="49">
        <f>IF(AND(BI$4&gt;=EOMONTH(CloseDate,'Rent Roll'!$O$26-1),BI$4&lt;EOMONTH(CloseDate,'Rent Roll'!$O$26-1+'Rent Roll'!$V$26)),-BI223,0)</f>
        <v>0</v>
      </c>
      <c r="BJ224" s="49">
        <f>IF(AND(BJ$4&gt;=EOMONTH(CloseDate,'Rent Roll'!$O$26-1),BJ$4&lt;EOMONTH(CloseDate,'Rent Roll'!$O$26-1+'Rent Roll'!$V$26)),-BJ223,0)</f>
        <v>0</v>
      </c>
      <c r="BK224" s="49">
        <f>IF(AND(BK$4&gt;=EOMONTH(CloseDate,'Rent Roll'!$O$26-1),BK$4&lt;EOMONTH(CloseDate,'Rent Roll'!$O$26-1+'Rent Roll'!$V$26)),-BK223,0)</f>
        <v>0</v>
      </c>
      <c r="BL224" s="49">
        <f>IF(AND(BL$4&gt;=EOMONTH(CloseDate,'Rent Roll'!$O$26-1),BL$4&lt;EOMONTH(CloseDate,'Rent Roll'!$O$26-1+'Rent Roll'!$V$26)),-BL223,0)</f>
        <v>0</v>
      </c>
      <c r="BM224" s="49">
        <f>IF(AND(BM$4&gt;=EOMONTH(CloseDate,'Rent Roll'!$O$26-1),BM$4&lt;EOMONTH(CloseDate,'Rent Roll'!$O$26-1+'Rent Roll'!$V$26)),-BM223,0)</f>
        <v>0</v>
      </c>
      <c r="BN224" s="49">
        <f>IF(AND(BN$4&gt;=EOMONTH(CloseDate,'Rent Roll'!$O$26-1),BN$4&lt;EOMONTH(CloseDate,'Rent Roll'!$O$26-1+'Rent Roll'!$V$26)),-BN223,0)</f>
        <v>0</v>
      </c>
      <c r="BO224" s="49">
        <f>IF(AND(BO$4&gt;=EOMONTH(CloseDate,'Rent Roll'!$O$26-1),BO$4&lt;EOMONTH(CloseDate,'Rent Roll'!$O$26-1+'Rent Roll'!$V$26)),-BO223,0)</f>
        <v>0</v>
      </c>
      <c r="BP224" s="49">
        <f>IF(AND(BP$4&gt;=EOMONTH(CloseDate,'Rent Roll'!$O$26-1),BP$4&lt;EOMONTH(CloseDate,'Rent Roll'!$O$26-1+'Rent Roll'!$V$26)),-BP223,0)</f>
        <v>0</v>
      </c>
      <c r="BQ224" s="49">
        <f>IF(AND(BQ$4&gt;=EOMONTH(CloseDate,'Rent Roll'!$O$26-1),BQ$4&lt;EOMONTH(CloseDate,'Rent Roll'!$O$26-1+'Rent Roll'!$V$26)),-BQ223,0)</f>
        <v>0</v>
      </c>
      <c r="BR224" s="49">
        <f>IF(AND(BR$4&gt;=EOMONTH(CloseDate,'Rent Roll'!$O$26-1),BR$4&lt;EOMONTH(CloseDate,'Rent Roll'!$O$26-1+'Rent Roll'!$V$26)),-BR223,0)</f>
        <v>0</v>
      </c>
      <c r="BS224" s="49">
        <f>IF(AND(BS$4&gt;=EOMONTH(CloseDate,'Rent Roll'!$O$26-1),BS$4&lt;EOMONTH(CloseDate,'Rent Roll'!$O$26-1+'Rent Roll'!$V$26)),-BS223,0)</f>
        <v>0</v>
      </c>
      <c r="BT224" s="49">
        <f>IF(AND(BT$4&gt;=EOMONTH(CloseDate,'Rent Roll'!$O$26-1),BT$4&lt;EOMONTH(CloseDate,'Rent Roll'!$O$26-1+'Rent Roll'!$V$26)),-BT223,0)</f>
        <v>0</v>
      </c>
      <c r="BU224" s="49">
        <f>IF(AND(BU$4&gt;=EOMONTH(CloseDate,'Rent Roll'!$O$26-1),BU$4&lt;EOMONTH(CloseDate,'Rent Roll'!$O$26-1+'Rent Roll'!$V$26)),-BU223,0)</f>
        <v>0</v>
      </c>
      <c r="BV224" s="49">
        <f>IF(AND(BV$4&gt;=EOMONTH(CloseDate,'Rent Roll'!$O$26-1),BV$4&lt;EOMONTH(CloseDate,'Rent Roll'!$O$26-1+'Rent Roll'!$V$26)),-BV223,0)</f>
        <v>0</v>
      </c>
      <c r="BW224" s="49">
        <f>IF(AND(BW$4&gt;=EOMONTH(CloseDate,'Rent Roll'!$O$26-1),BW$4&lt;EOMONTH(CloseDate,'Rent Roll'!$O$26-1+'Rent Roll'!$V$26)),-BW223,0)</f>
        <v>0</v>
      </c>
      <c r="BX224" s="49">
        <f>IF(AND(BX$4&gt;=EOMONTH(CloseDate,'Rent Roll'!$O$26-1),BX$4&lt;EOMONTH(CloseDate,'Rent Roll'!$O$26-1+'Rent Roll'!$V$26)),-BX223,0)</f>
        <v>0</v>
      </c>
    </row>
    <row r="225" spans="1:76" hidden="1" outlineLevel="1">
      <c r="B225" t="s">
        <v>84</v>
      </c>
      <c r="D225" s="49">
        <f>D221+D223+D224</f>
        <v>0</v>
      </c>
      <c r="E225" s="49">
        <f t="shared" ref="E225:BJ225" si="74">E221+E223+E224</f>
        <v>0</v>
      </c>
      <c r="F225" s="49">
        <f t="shared" si="74"/>
        <v>0</v>
      </c>
      <c r="G225" s="49">
        <f t="shared" si="74"/>
        <v>0</v>
      </c>
      <c r="H225" s="49">
        <f t="shared" si="74"/>
        <v>0</v>
      </c>
      <c r="I225" s="49">
        <f t="shared" si="74"/>
        <v>13513.265999999998</v>
      </c>
      <c r="J225" s="49">
        <f t="shared" si="74"/>
        <v>13513.265999999998</v>
      </c>
      <c r="K225" s="49">
        <f t="shared" si="74"/>
        <v>13513.265999999998</v>
      </c>
      <c r="L225" s="49">
        <f t="shared" si="74"/>
        <v>13513.265999999998</v>
      </c>
      <c r="M225" s="49">
        <f t="shared" si="74"/>
        <v>13513.265999999998</v>
      </c>
      <c r="N225" s="49">
        <f t="shared" si="74"/>
        <v>13513.265999999998</v>
      </c>
      <c r="O225" s="49">
        <f t="shared" si="74"/>
        <v>13513.265999999998</v>
      </c>
      <c r="P225" s="49">
        <f t="shared" si="74"/>
        <v>13513.265999999998</v>
      </c>
      <c r="Q225" s="49">
        <f t="shared" si="74"/>
        <v>13513.265999999998</v>
      </c>
      <c r="R225" s="49">
        <f t="shared" si="74"/>
        <v>13513.265999999998</v>
      </c>
      <c r="S225" s="49">
        <f t="shared" si="74"/>
        <v>13513.265999999998</v>
      </c>
      <c r="T225" s="49">
        <f t="shared" si="74"/>
        <v>13513.265999999998</v>
      </c>
      <c r="U225" s="49">
        <f t="shared" si="74"/>
        <v>13878.124181999996</v>
      </c>
      <c r="V225" s="49">
        <f t="shared" si="74"/>
        <v>13878.124181999996</v>
      </c>
      <c r="W225" s="49">
        <f t="shared" si="74"/>
        <v>13878.124181999996</v>
      </c>
      <c r="X225" s="49">
        <f t="shared" si="74"/>
        <v>13878.124181999996</v>
      </c>
      <c r="Y225" s="49">
        <f t="shared" si="74"/>
        <v>13878.124181999996</v>
      </c>
      <c r="Z225" s="49">
        <f t="shared" si="74"/>
        <v>13878.124181999996</v>
      </c>
      <c r="AA225" s="49">
        <f t="shared" si="74"/>
        <v>13878.124181999996</v>
      </c>
      <c r="AB225" s="49">
        <f t="shared" si="74"/>
        <v>13878.124181999996</v>
      </c>
      <c r="AC225" s="49">
        <f t="shared" si="74"/>
        <v>13878.124181999996</v>
      </c>
      <c r="AD225" s="49">
        <f t="shared" si="74"/>
        <v>13878.124181999996</v>
      </c>
      <c r="AE225" s="49">
        <f t="shared" si="74"/>
        <v>13878.124181999996</v>
      </c>
      <c r="AF225" s="49">
        <f t="shared" si="74"/>
        <v>13878.124181999996</v>
      </c>
      <c r="AG225" s="49">
        <f t="shared" si="74"/>
        <v>14252.833534913994</v>
      </c>
      <c r="AH225" s="49">
        <f t="shared" si="74"/>
        <v>14252.833534913994</v>
      </c>
      <c r="AI225" s="49">
        <f t="shared" si="74"/>
        <v>14252.833534913994</v>
      </c>
      <c r="AJ225" s="49">
        <f t="shared" si="74"/>
        <v>14252.833534913994</v>
      </c>
      <c r="AK225" s="49">
        <f t="shared" si="74"/>
        <v>14252.833534913994</v>
      </c>
      <c r="AL225" s="49">
        <f t="shared" si="74"/>
        <v>14252.833534913994</v>
      </c>
      <c r="AM225" s="49">
        <f t="shared" si="74"/>
        <v>14252.833534913994</v>
      </c>
      <c r="AN225" s="49">
        <f t="shared" si="74"/>
        <v>14252.833534913994</v>
      </c>
      <c r="AO225" s="49">
        <f t="shared" si="74"/>
        <v>14252.833534913994</v>
      </c>
      <c r="AP225" s="49">
        <f t="shared" si="74"/>
        <v>14252.833534913994</v>
      </c>
      <c r="AQ225" s="49">
        <f t="shared" si="74"/>
        <v>14252.833534913994</v>
      </c>
      <c r="AR225" s="49">
        <f t="shared" si="74"/>
        <v>14252.833534913994</v>
      </c>
      <c r="AS225" s="49">
        <f t="shared" si="74"/>
        <v>14637.66004035667</v>
      </c>
      <c r="AT225" s="49">
        <f t="shared" si="74"/>
        <v>14637.66004035667</v>
      </c>
      <c r="AU225" s="49">
        <f t="shared" si="74"/>
        <v>14637.66004035667</v>
      </c>
      <c r="AV225" s="49">
        <f t="shared" si="74"/>
        <v>14637.66004035667</v>
      </c>
      <c r="AW225" s="49">
        <f t="shared" si="74"/>
        <v>14637.66004035667</v>
      </c>
      <c r="AX225" s="49">
        <f t="shared" si="74"/>
        <v>14637.66004035667</v>
      </c>
      <c r="AY225" s="49">
        <f t="shared" si="74"/>
        <v>14637.66004035667</v>
      </c>
      <c r="AZ225" s="49">
        <f t="shared" si="74"/>
        <v>14637.66004035667</v>
      </c>
      <c r="BA225" s="49">
        <f t="shared" si="74"/>
        <v>14637.66004035667</v>
      </c>
      <c r="BB225" s="49">
        <f t="shared" si="74"/>
        <v>14637.66004035667</v>
      </c>
      <c r="BC225" s="49">
        <f t="shared" si="74"/>
        <v>14637.66004035667</v>
      </c>
      <c r="BD225" s="49">
        <f t="shared" si="74"/>
        <v>14637.66004035667</v>
      </c>
      <c r="BE225" s="49">
        <f t="shared" si="74"/>
        <v>15032.876861446299</v>
      </c>
      <c r="BF225" s="49">
        <f t="shared" si="74"/>
        <v>15032.876861446299</v>
      </c>
      <c r="BG225" s="49">
        <f t="shared" si="74"/>
        <v>15032.876861446299</v>
      </c>
      <c r="BH225" s="49">
        <f t="shared" si="74"/>
        <v>15032.876861446299</v>
      </c>
      <c r="BI225" s="49">
        <f t="shared" si="74"/>
        <v>15032.876861446299</v>
      </c>
      <c r="BJ225" s="49">
        <f t="shared" si="74"/>
        <v>15032.876861446299</v>
      </c>
      <c r="BK225" s="49">
        <f t="shared" ref="BK225" si="75">BK221+BK223+BK224</f>
        <v>15032.876861446299</v>
      </c>
      <c r="BL225" s="49">
        <f t="shared" ref="BL225:BX225" si="76">BL221+BL223+BL224</f>
        <v>15032.876861446299</v>
      </c>
      <c r="BM225" s="49">
        <f t="shared" si="76"/>
        <v>15032.876861446299</v>
      </c>
      <c r="BN225" s="49">
        <f t="shared" si="76"/>
        <v>15032.876861446299</v>
      </c>
      <c r="BO225" s="49">
        <f t="shared" si="76"/>
        <v>15032.876861446299</v>
      </c>
      <c r="BP225" s="49">
        <f t="shared" si="76"/>
        <v>15032.876861446299</v>
      </c>
      <c r="BQ225" s="49">
        <f t="shared" si="76"/>
        <v>15438.764536705348</v>
      </c>
      <c r="BR225" s="49">
        <f t="shared" si="76"/>
        <v>15438.764536705348</v>
      </c>
      <c r="BS225" s="49">
        <f t="shared" si="76"/>
        <v>15438.764536705348</v>
      </c>
      <c r="BT225" s="49">
        <f t="shared" si="76"/>
        <v>15438.764536705348</v>
      </c>
      <c r="BU225" s="49">
        <f t="shared" si="76"/>
        <v>15438.764536705348</v>
      </c>
      <c r="BV225" s="49">
        <f t="shared" si="76"/>
        <v>15438.764536705348</v>
      </c>
      <c r="BW225" s="49">
        <f t="shared" si="76"/>
        <v>15438.764536705348</v>
      </c>
      <c r="BX225" s="49">
        <f t="shared" si="76"/>
        <v>15438.764536705348</v>
      </c>
    </row>
    <row r="226" spans="1:76" collapsed="1">
      <c r="B226" t="s">
        <v>85</v>
      </c>
      <c r="D226" s="49">
        <f>IF(D222=1,'Rent Roll'!$F$26/BldgSF*ReimbPool/12*D$7,0)</f>
        <v>0</v>
      </c>
      <c r="E226" s="49">
        <f>IF(E222=1,'Rent Roll'!$F$26/BldgSF*ReimbPool/12*E$7,0)</f>
        <v>0</v>
      </c>
      <c r="F226" s="49">
        <f>IF(F222=1,'Rent Roll'!$F$26/BldgSF*ReimbPool/12*F$7,0)</f>
        <v>0</v>
      </c>
      <c r="G226" s="49">
        <f>IF(G222=1,'Rent Roll'!$F$26/BldgSF*ReimbPool/12*G$7,0)</f>
        <v>5584</v>
      </c>
      <c r="H226" s="49">
        <f>IF(H222=1,'Rent Roll'!$F$26/BldgSF*ReimbPool/12*H$7,0)</f>
        <v>5584</v>
      </c>
      <c r="I226" s="49">
        <f>IF(I222=1,'Rent Roll'!$F$26/BldgSF*ReimbPool/12*I$7,0)</f>
        <v>5734.7679999999991</v>
      </c>
      <c r="J226" s="49">
        <f>IF(J222=1,'Rent Roll'!$F$26/BldgSF*ReimbPool/12*J$7,0)</f>
        <v>5734.7679999999991</v>
      </c>
      <c r="K226" s="49">
        <f>IF(K222=1,'Rent Roll'!$F$26/BldgSF*ReimbPool/12*K$7,0)</f>
        <v>5734.7679999999991</v>
      </c>
      <c r="L226" s="49">
        <f>IF(L222=1,'Rent Roll'!$F$26/BldgSF*ReimbPool/12*L$7,0)</f>
        <v>5734.7679999999991</v>
      </c>
      <c r="M226" s="49">
        <f>IF(M222=1,'Rent Roll'!$F$26/BldgSF*ReimbPool/12*M$7,0)</f>
        <v>5734.7679999999991</v>
      </c>
      <c r="N226" s="49">
        <f>IF(N222=1,'Rent Roll'!$F$26/BldgSF*ReimbPool/12*N$7,0)</f>
        <v>5734.7679999999991</v>
      </c>
      <c r="O226" s="49">
        <f>IF(O222=1,'Rent Roll'!$F$26/BldgSF*ReimbPool/12*O$7,0)</f>
        <v>5734.7679999999991</v>
      </c>
      <c r="P226" s="49">
        <f>IF(P222=1,'Rent Roll'!$F$26/BldgSF*ReimbPool/12*P$7,0)</f>
        <v>5734.7679999999991</v>
      </c>
      <c r="Q226" s="49">
        <f>IF(Q222=1,'Rent Roll'!$F$26/BldgSF*ReimbPool/12*Q$7,0)</f>
        <v>5734.7679999999991</v>
      </c>
      <c r="R226" s="49">
        <f>IF(R222=1,'Rent Roll'!$F$26/BldgSF*ReimbPool/12*R$7,0)</f>
        <v>5734.7679999999991</v>
      </c>
      <c r="S226" s="49">
        <f>IF(S222=1,'Rent Roll'!$F$26/BldgSF*ReimbPool/12*S$7,0)</f>
        <v>5734.7679999999991</v>
      </c>
      <c r="T226" s="49">
        <f>IF(T222=1,'Rent Roll'!$F$26/BldgSF*ReimbPool/12*T$7,0)</f>
        <v>5734.7679999999991</v>
      </c>
      <c r="U226" s="49">
        <f>IF(U222=1,'Rent Roll'!$F$26/BldgSF*ReimbPool/12*U$7,0)</f>
        <v>5889.6067359999988</v>
      </c>
      <c r="V226" s="49">
        <f>IF(V222=1,'Rent Roll'!$F$26/BldgSF*ReimbPool/12*V$7,0)</f>
        <v>5889.6067359999988</v>
      </c>
      <c r="W226" s="49">
        <f>IF(W222=1,'Rent Roll'!$F$26/BldgSF*ReimbPool/12*W$7,0)</f>
        <v>5889.6067359999988</v>
      </c>
      <c r="X226" s="49">
        <f>IF(X222=1,'Rent Roll'!$F$26/BldgSF*ReimbPool/12*X$7,0)</f>
        <v>5889.6067359999988</v>
      </c>
      <c r="Y226" s="49">
        <f>IF(Y222=1,'Rent Roll'!$F$26/BldgSF*ReimbPool/12*Y$7,0)</f>
        <v>5889.6067359999988</v>
      </c>
      <c r="Z226" s="49">
        <f>IF(Z222=1,'Rent Roll'!$F$26/BldgSF*ReimbPool/12*Z$7,0)</f>
        <v>5889.6067359999988</v>
      </c>
      <c r="AA226" s="49">
        <f>IF(AA222=1,'Rent Roll'!$F$26/BldgSF*ReimbPool/12*AA$7,0)</f>
        <v>5889.6067359999988</v>
      </c>
      <c r="AB226" s="49">
        <f>IF(AB222=1,'Rent Roll'!$F$26/BldgSF*ReimbPool/12*AB$7,0)</f>
        <v>5889.6067359999988</v>
      </c>
      <c r="AC226" s="49">
        <f>IF(AC222=1,'Rent Roll'!$F$26/BldgSF*ReimbPool/12*AC$7,0)</f>
        <v>5889.6067359999988</v>
      </c>
      <c r="AD226" s="49">
        <f>IF(AD222=1,'Rent Roll'!$F$26/BldgSF*ReimbPool/12*AD$7,0)</f>
        <v>5889.6067359999988</v>
      </c>
      <c r="AE226" s="49">
        <f>IF(AE222=1,'Rent Roll'!$F$26/BldgSF*ReimbPool/12*AE$7,0)</f>
        <v>5889.6067359999988</v>
      </c>
      <c r="AF226" s="49">
        <f>IF(AF222=1,'Rent Roll'!$F$26/BldgSF*ReimbPool/12*AF$7,0)</f>
        <v>5889.6067359999988</v>
      </c>
      <c r="AG226" s="49">
        <f>IF(AG222=1,'Rent Roll'!$F$26/BldgSF*ReimbPool/12*AG$7,0)</f>
        <v>6048.6261178719988</v>
      </c>
      <c r="AH226" s="49">
        <f>IF(AH222=1,'Rent Roll'!$F$26/BldgSF*ReimbPool/12*AH$7,0)</f>
        <v>6048.6261178719988</v>
      </c>
      <c r="AI226" s="49">
        <f>IF(AI222=1,'Rent Roll'!$F$26/BldgSF*ReimbPool/12*AI$7,0)</f>
        <v>6048.6261178719988</v>
      </c>
      <c r="AJ226" s="49">
        <f>IF(AJ222=1,'Rent Roll'!$F$26/BldgSF*ReimbPool/12*AJ$7,0)</f>
        <v>6048.6261178719988</v>
      </c>
      <c r="AK226" s="49">
        <f>IF(AK222=1,'Rent Roll'!$F$26/BldgSF*ReimbPool/12*AK$7,0)</f>
        <v>6048.6261178719988</v>
      </c>
      <c r="AL226" s="49">
        <f>IF(AL222=1,'Rent Roll'!$F$26/BldgSF*ReimbPool/12*AL$7,0)</f>
        <v>6048.6261178719988</v>
      </c>
      <c r="AM226" s="49">
        <f>IF(AM222=1,'Rent Roll'!$F$26/BldgSF*ReimbPool/12*AM$7,0)</f>
        <v>6048.6261178719988</v>
      </c>
      <c r="AN226" s="49">
        <f>IF(AN222=1,'Rent Roll'!$F$26/BldgSF*ReimbPool/12*AN$7,0)</f>
        <v>6048.6261178719988</v>
      </c>
      <c r="AO226" s="49">
        <f>IF(AO222=1,'Rent Roll'!$F$26/BldgSF*ReimbPool/12*AO$7,0)</f>
        <v>6048.6261178719988</v>
      </c>
      <c r="AP226" s="49">
        <f>IF(AP222=1,'Rent Roll'!$F$26/BldgSF*ReimbPool/12*AP$7,0)</f>
        <v>6048.6261178719988</v>
      </c>
      <c r="AQ226" s="49">
        <f>IF(AQ222=1,'Rent Roll'!$F$26/BldgSF*ReimbPool/12*AQ$7,0)</f>
        <v>6048.6261178719988</v>
      </c>
      <c r="AR226" s="49">
        <f>IF(AR222=1,'Rent Roll'!$F$26/BldgSF*ReimbPool/12*AR$7,0)</f>
        <v>6048.6261178719988</v>
      </c>
      <c r="AS226" s="49">
        <f>IF(AS222=1,'Rent Roll'!$F$26/BldgSF*ReimbPool/12*AS$7,0)</f>
        <v>6211.9390230545414</v>
      </c>
      <c r="AT226" s="49">
        <f>IF(AT222=1,'Rent Roll'!$F$26/BldgSF*ReimbPool/12*AT$7,0)</f>
        <v>6211.9390230545414</v>
      </c>
      <c r="AU226" s="49">
        <f>IF(AU222=1,'Rent Roll'!$F$26/BldgSF*ReimbPool/12*AU$7,0)</f>
        <v>6211.9390230545414</v>
      </c>
      <c r="AV226" s="49">
        <f>IF(AV222=1,'Rent Roll'!$F$26/BldgSF*ReimbPool/12*AV$7,0)</f>
        <v>6211.9390230545414</v>
      </c>
      <c r="AW226" s="49">
        <f>IF(AW222=1,'Rent Roll'!$F$26/BldgSF*ReimbPool/12*AW$7,0)</f>
        <v>6211.9390230545414</v>
      </c>
      <c r="AX226" s="49">
        <f>IF(AX222=1,'Rent Roll'!$F$26/BldgSF*ReimbPool/12*AX$7,0)</f>
        <v>6211.9390230545414</v>
      </c>
      <c r="AY226" s="49">
        <f>IF(AY222=1,'Rent Roll'!$F$26/BldgSF*ReimbPool/12*AY$7,0)</f>
        <v>6211.9390230545414</v>
      </c>
      <c r="AZ226" s="49">
        <f>IF(AZ222=1,'Rent Roll'!$F$26/BldgSF*ReimbPool/12*AZ$7,0)</f>
        <v>6211.9390230545414</v>
      </c>
      <c r="BA226" s="49">
        <f>IF(BA222=1,'Rent Roll'!$F$26/BldgSF*ReimbPool/12*BA$7,0)</f>
        <v>6211.9390230545414</v>
      </c>
      <c r="BB226" s="49">
        <f>IF(BB222=1,'Rent Roll'!$F$26/BldgSF*ReimbPool/12*BB$7,0)</f>
        <v>6211.9390230545414</v>
      </c>
      <c r="BC226" s="49">
        <f>IF(BC222=1,'Rent Roll'!$F$26/BldgSF*ReimbPool/12*BC$7,0)</f>
        <v>6211.9390230545414</v>
      </c>
      <c r="BD226" s="49">
        <f>IF(BD222=1,'Rent Roll'!$F$26/BldgSF*ReimbPool/12*BD$7,0)</f>
        <v>6211.9390230545414</v>
      </c>
      <c r="BE226" s="49">
        <f>IF(BE222=1,'Rent Roll'!$F$26/BldgSF*ReimbPool/12*BE$7,0)</f>
        <v>6379.6613766770142</v>
      </c>
      <c r="BF226" s="49">
        <f>IF(BF222=1,'Rent Roll'!$F$26/BldgSF*ReimbPool/12*BF$7,0)</f>
        <v>6379.6613766770142</v>
      </c>
      <c r="BG226" s="49">
        <f>IF(BG222=1,'Rent Roll'!$F$26/BldgSF*ReimbPool/12*BG$7,0)</f>
        <v>6379.6613766770142</v>
      </c>
      <c r="BH226" s="49">
        <f>IF(BH222=1,'Rent Roll'!$F$26/BldgSF*ReimbPool/12*BH$7,0)</f>
        <v>6379.6613766770142</v>
      </c>
      <c r="BI226" s="49">
        <f>IF(BI222=1,'Rent Roll'!$F$26/BldgSF*ReimbPool/12*BI$7,0)</f>
        <v>6379.6613766770142</v>
      </c>
      <c r="BJ226" s="49">
        <f>IF(BJ222=1,'Rent Roll'!$F$26/BldgSF*ReimbPool/12*BJ$7,0)</f>
        <v>6379.6613766770142</v>
      </c>
      <c r="BK226" s="49">
        <f>IF(BK222=1,'Rent Roll'!$F$26/BldgSF*ReimbPool/12*BK$7,0)</f>
        <v>6379.6613766770142</v>
      </c>
      <c r="BL226" s="49">
        <f>IF(BL222=1,'Rent Roll'!$F$26/BldgSF*ReimbPool/12*BL$7,0)</f>
        <v>6379.6613766770142</v>
      </c>
      <c r="BM226" s="49">
        <f>IF(BM222=1,'Rent Roll'!$F$26/BldgSF*ReimbPool/12*BM$7,0)</f>
        <v>6379.6613766770142</v>
      </c>
      <c r="BN226" s="49">
        <f>IF(BN222=1,'Rent Roll'!$F$26/BldgSF*ReimbPool/12*BN$7,0)</f>
        <v>6379.6613766770142</v>
      </c>
      <c r="BO226" s="49">
        <f>IF(BO222=1,'Rent Roll'!$F$26/BldgSF*ReimbPool/12*BO$7,0)</f>
        <v>6379.6613766770142</v>
      </c>
      <c r="BP226" s="49">
        <f>IF(BP222=1,'Rent Roll'!$F$26/BldgSF*ReimbPool/12*BP$7,0)</f>
        <v>6379.6613766770142</v>
      </c>
      <c r="BQ226" s="49">
        <f>IF(BQ222=1,'Rent Roll'!$F$26/BldgSF*ReimbPool/12*BQ$7,0)</f>
        <v>6551.9122338472926</v>
      </c>
      <c r="BR226" s="49">
        <f>IF(BR222=1,'Rent Roll'!$F$26/BldgSF*ReimbPool/12*BR$7,0)</f>
        <v>6551.9122338472926</v>
      </c>
      <c r="BS226" s="49">
        <f>IF(BS222=1,'Rent Roll'!$F$26/BldgSF*ReimbPool/12*BS$7,0)</f>
        <v>6551.9122338472926</v>
      </c>
      <c r="BT226" s="49">
        <f>IF(BT222=1,'Rent Roll'!$F$26/BldgSF*ReimbPool/12*BT$7,0)</f>
        <v>6551.9122338472926</v>
      </c>
      <c r="BU226" s="49">
        <f>IF(BU222=1,'Rent Roll'!$F$26/BldgSF*ReimbPool/12*BU$7,0)</f>
        <v>6551.9122338472926</v>
      </c>
      <c r="BV226" s="49">
        <f>IF(BV222=1,'Rent Roll'!$F$26/BldgSF*ReimbPool/12*BV$7,0)</f>
        <v>6551.9122338472926</v>
      </c>
      <c r="BW226" s="49">
        <f>IF(BW222=1,'Rent Roll'!$F$26/BldgSF*ReimbPool/12*BW$7,0)</f>
        <v>6551.9122338472926</v>
      </c>
      <c r="BX226" s="49">
        <f>IF(BX222=1,'Rent Roll'!$F$26/BldgSF*ReimbPool/12*BX$7,0)</f>
        <v>6551.9122338472926</v>
      </c>
    </row>
    <row r="227" spans="1:76">
      <c r="B227" t="s">
        <v>86</v>
      </c>
      <c r="D227" s="49">
        <f>IF(D$4=EOMONTH(CloseDate,'Rent Roll'!$O$26-1),-'Rent Roll'!$F$26*'Rent Roll'!$T$26,0)</f>
        <v>0</v>
      </c>
      <c r="E227" s="49">
        <f>IF(E$4=EOMONTH(CloseDate,'Rent Roll'!$O$26-1),-'Rent Roll'!$F$26*'Rent Roll'!$T$26,0)</f>
        <v>0</v>
      </c>
      <c r="F227" s="49">
        <f>IF(F$4=EOMONTH(CloseDate,'Rent Roll'!$O$26-1),-'Rent Roll'!$F$26*'Rent Roll'!$T$26,0)</f>
        <v>0</v>
      </c>
      <c r="G227" s="49">
        <f>IF(G$4=EOMONTH(CloseDate,'Rent Roll'!$O$26-1),-'Rent Roll'!$F$26*'Rent Roll'!$T$26,0)</f>
        <v>-230400</v>
      </c>
      <c r="H227" s="49">
        <f>IF(H$4=EOMONTH(CloseDate,'Rent Roll'!$O$26-1),-'Rent Roll'!$F$26*'Rent Roll'!$T$26,0)</f>
        <v>0</v>
      </c>
      <c r="I227" s="49">
        <f>IF(I$4=EOMONTH(CloseDate,'Rent Roll'!$O$26-1),-'Rent Roll'!$F$26*'Rent Roll'!$T$26,0)</f>
        <v>0</v>
      </c>
      <c r="J227" s="49">
        <f>IF(J$4=EOMONTH(CloseDate,'Rent Roll'!$O$26-1),-'Rent Roll'!$F$26*'Rent Roll'!$T$26,0)</f>
        <v>0</v>
      </c>
      <c r="K227" s="49">
        <f>IF(K$4=EOMONTH(CloseDate,'Rent Roll'!$O$26-1),-'Rent Roll'!$F$26*'Rent Roll'!$T$26,0)</f>
        <v>0</v>
      </c>
      <c r="L227" s="49">
        <f>IF(L$4=EOMONTH(CloseDate,'Rent Roll'!$O$26-1),-'Rent Roll'!$F$26*'Rent Roll'!$T$26,0)</f>
        <v>0</v>
      </c>
      <c r="M227" s="49">
        <f>IF(M$4=EOMONTH(CloseDate,'Rent Roll'!$O$26-1),-'Rent Roll'!$F$26*'Rent Roll'!$T$26,0)</f>
        <v>0</v>
      </c>
      <c r="N227" s="49">
        <f>IF(N$4=EOMONTH(CloseDate,'Rent Roll'!$O$26-1),-'Rent Roll'!$F$26*'Rent Roll'!$T$26,0)</f>
        <v>0</v>
      </c>
      <c r="O227" s="49">
        <f>IF(O$4=EOMONTH(CloseDate,'Rent Roll'!$O$26-1),-'Rent Roll'!$F$26*'Rent Roll'!$T$26,0)</f>
        <v>0</v>
      </c>
      <c r="P227" s="49">
        <f>IF(P$4=EOMONTH(CloseDate,'Rent Roll'!$O$26-1),-'Rent Roll'!$F$26*'Rent Roll'!$T$26,0)</f>
        <v>0</v>
      </c>
      <c r="Q227" s="49">
        <f>IF(Q$4=EOMONTH(CloseDate,'Rent Roll'!$O$26-1),-'Rent Roll'!$F$26*'Rent Roll'!$T$26,0)</f>
        <v>0</v>
      </c>
      <c r="R227" s="49">
        <f>IF(R$4=EOMONTH(CloseDate,'Rent Roll'!$O$26-1),-'Rent Roll'!$F$26*'Rent Roll'!$T$26,0)</f>
        <v>0</v>
      </c>
      <c r="S227" s="49">
        <f>IF(S$4=EOMONTH(CloseDate,'Rent Roll'!$O$26-1),-'Rent Roll'!$F$26*'Rent Roll'!$T$26,0)</f>
        <v>0</v>
      </c>
      <c r="T227" s="49">
        <f>IF(T$4=EOMONTH(CloseDate,'Rent Roll'!$O$26-1),-'Rent Roll'!$F$26*'Rent Roll'!$T$26,0)</f>
        <v>0</v>
      </c>
      <c r="U227" s="49">
        <f>IF(U$4=EOMONTH(CloseDate,'Rent Roll'!$O$26-1),-'Rent Roll'!$F$26*'Rent Roll'!$T$26,0)</f>
        <v>0</v>
      </c>
      <c r="V227" s="49">
        <f>IF(V$4=EOMONTH(CloseDate,'Rent Roll'!$O$26-1),-'Rent Roll'!$F$26*'Rent Roll'!$T$26,0)</f>
        <v>0</v>
      </c>
      <c r="W227" s="49">
        <f>IF(W$4=EOMONTH(CloseDate,'Rent Roll'!$O$26-1),-'Rent Roll'!$F$26*'Rent Roll'!$T$26,0)</f>
        <v>0</v>
      </c>
      <c r="X227" s="49">
        <f>IF(X$4=EOMONTH(CloseDate,'Rent Roll'!$O$26-1),-'Rent Roll'!$F$26*'Rent Roll'!$T$26,0)</f>
        <v>0</v>
      </c>
      <c r="Y227" s="49">
        <f>IF(Y$4=EOMONTH(CloseDate,'Rent Roll'!$O$26-1),-'Rent Roll'!$F$26*'Rent Roll'!$T$26,0)</f>
        <v>0</v>
      </c>
      <c r="Z227" s="49">
        <f>IF(Z$4=EOMONTH(CloseDate,'Rent Roll'!$O$26-1),-'Rent Roll'!$F$26*'Rent Roll'!$T$26,0)</f>
        <v>0</v>
      </c>
      <c r="AA227" s="49">
        <f>IF(AA$4=EOMONTH(CloseDate,'Rent Roll'!$O$26-1),-'Rent Roll'!$F$26*'Rent Roll'!$T$26,0)</f>
        <v>0</v>
      </c>
      <c r="AB227" s="49">
        <f>IF(AB$4=EOMONTH(CloseDate,'Rent Roll'!$O$26-1),-'Rent Roll'!$F$26*'Rent Roll'!$T$26,0)</f>
        <v>0</v>
      </c>
      <c r="AC227" s="49">
        <f>IF(AC$4=EOMONTH(CloseDate,'Rent Roll'!$O$26-1),-'Rent Roll'!$F$26*'Rent Roll'!$T$26,0)</f>
        <v>0</v>
      </c>
      <c r="AD227" s="49">
        <f>IF(AD$4=EOMONTH(CloseDate,'Rent Roll'!$O$26-1),-'Rent Roll'!$F$26*'Rent Roll'!$T$26,0)</f>
        <v>0</v>
      </c>
      <c r="AE227" s="49">
        <f>IF(AE$4=EOMONTH(CloseDate,'Rent Roll'!$O$26-1),-'Rent Roll'!$F$26*'Rent Roll'!$T$26,0)</f>
        <v>0</v>
      </c>
      <c r="AF227" s="49">
        <f>IF(AF$4=EOMONTH(CloseDate,'Rent Roll'!$O$26-1),-'Rent Roll'!$F$26*'Rent Roll'!$T$26,0)</f>
        <v>0</v>
      </c>
      <c r="AG227" s="49">
        <f>IF(AG$4=EOMONTH(CloseDate,'Rent Roll'!$O$26-1),-'Rent Roll'!$F$26*'Rent Roll'!$T$26,0)</f>
        <v>0</v>
      </c>
      <c r="AH227" s="49">
        <f>IF(AH$4=EOMONTH(CloseDate,'Rent Roll'!$O$26-1),-'Rent Roll'!$F$26*'Rent Roll'!$T$26,0)</f>
        <v>0</v>
      </c>
      <c r="AI227" s="49">
        <f>IF(AI$4=EOMONTH(CloseDate,'Rent Roll'!$O$26-1),-'Rent Roll'!$F$26*'Rent Roll'!$T$26,0)</f>
        <v>0</v>
      </c>
      <c r="AJ227" s="49">
        <f>IF(AJ$4=EOMONTH(CloseDate,'Rent Roll'!$O$26-1),-'Rent Roll'!$F$26*'Rent Roll'!$T$26,0)</f>
        <v>0</v>
      </c>
      <c r="AK227" s="49">
        <f>IF(AK$4=EOMONTH(CloseDate,'Rent Roll'!$O$26-1),-'Rent Roll'!$F$26*'Rent Roll'!$T$26,0)</f>
        <v>0</v>
      </c>
      <c r="AL227" s="49">
        <f>IF(AL$4=EOMONTH(CloseDate,'Rent Roll'!$O$26-1),-'Rent Roll'!$F$26*'Rent Roll'!$T$26,0)</f>
        <v>0</v>
      </c>
      <c r="AM227" s="49">
        <f>IF(AM$4=EOMONTH(CloseDate,'Rent Roll'!$O$26-1),-'Rent Roll'!$F$26*'Rent Roll'!$T$26,0)</f>
        <v>0</v>
      </c>
      <c r="AN227" s="49">
        <f>IF(AN$4=EOMONTH(CloseDate,'Rent Roll'!$O$26-1),-'Rent Roll'!$F$26*'Rent Roll'!$T$26,0)</f>
        <v>0</v>
      </c>
      <c r="AO227" s="49">
        <f>IF(AO$4=EOMONTH(CloseDate,'Rent Roll'!$O$26-1),-'Rent Roll'!$F$26*'Rent Roll'!$T$26,0)</f>
        <v>0</v>
      </c>
      <c r="AP227" s="49">
        <f>IF(AP$4=EOMONTH(CloseDate,'Rent Roll'!$O$26-1),-'Rent Roll'!$F$26*'Rent Roll'!$T$26,0)</f>
        <v>0</v>
      </c>
      <c r="AQ227" s="49">
        <f>IF(AQ$4=EOMONTH(CloseDate,'Rent Roll'!$O$26-1),-'Rent Roll'!$F$26*'Rent Roll'!$T$26,0)</f>
        <v>0</v>
      </c>
      <c r="AR227" s="49">
        <f>IF(AR$4=EOMONTH(CloseDate,'Rent Roll'!$O$26-1),-'Rent Roll'!$F$26*'Rent Roll'!$T$26,0)</f>
        <v>0</v>
      </c>
      <c r="AS227" s="49">
        <f>IF(AS$4=EOMONTH(CloseDate,'Rent Roll'!$O$26-1),-'Rent Roll'!$F$26*'Rent Roll'!$T$26,0)</f>
        <v>0</v>
      </c>
      <c r="AT227" s="49">
        <f>IF(AT$4=EOMONTH(CloseDate,'Rent Roll'!$O$26-1),-'Rent Roll'!$F$26*'Rent Roll'!$T$26,0)</f>
        <v>0</v>
      </c>
      <c r="AU227" s="49">
        <f>IF(AU$4=EOMONTH(CloseDate,'Rent Roll'!$O$26-1),-'Rent Roll'!$F$26*'Rent Roll'!$T$26,0)</f>
        <v>0</v>
      </c>
      <c r="AV227" s="49">
        <f>IF(AV$4=EOMONTH(CloseDate,'Rent Roll'!$O$26-1),-'Rent Roll'!$F$26*'Rent Roll'!$T$26,0)</f>
        <v>0</v>
      </c>
      <c r="AW227" s="49">
        <f>IF(AW$4=EOMONTH(CloseDate,'Rent Roll'!$O$26-1),-'Rent Roll'!$F$26*'Rent Roll'!$T$26,0)</f>
        <v>0</v>
      </c>
      <c r="AX227" s="49">
        <f>IF(AX$4=EOMONTH(CloseDate,'Rent Roll'!$O$26-1),-'Rent Roll'!$F$26*'Rent Roll'!$T$26,0)</f>
        <v>0</v>
      </c>
      <c r="AY227" s="49">
        <f>IF(AY$4=EOMONTH(CloseDate,'Rent Roll'!$O$26-1),-'Rent Roll'!$F$26*'Rent Roll'!$T$26,0)</f>
        <v>0</v>
      </c>
      <c r="AZ227" s="49">
        <f>IF(AZ$4=EOMONTH(CloseDate,'Rent Roll'!$O$26-1),-'Rent Roll'!$F$26*'Rent Roll'!$T$26,0)</f>
        <v>0</v>
      </c>
      <c r="BA227" s="49">
        <f>IF(BA$4=EOMONTH(CloseDate,'Rent Roll'!$O$26-1),-'Rent Roll'!$F$26*'Rent Roll'!$T$26,0)</f>
        <v>0</v>
      </c>
      <c r="BB227" s="49">
        <f>IF(BB$4=EOMONTH(CloseDate,'Rent Roll'!$O$26-1),-'Rent Roll'!$F$26*'Rent Roll'!$T$26,0)</f>
        <v>0</v>
      </c>
      <c r="BC227" s="49">
        <f>IF(BC$4=EOMONTH(CloseDate,'Rent Roll'!$O$26-1),-'Rent Roll'!$F$26*'Rent Roll'!$T$26,0)</f>
        <v>0</v>
      </c>
      <c r="BD227" s="49">
        <f>IF(BD$4=EOMONTH(CloseDate,'Rent Roll'!$O$26-1),-'Rent Roll'!$F$26*'Rent Roll'!$T$26,0)</f>
        <v>0</v>
      </c>
      <c r="BE227" s="49">
        <f>IF(BE$4=EOMONTH(CloseDate,'Rent Roll'!$O$26-1),-'Rent Roll'!$F$26*'Rent Roll'!$T$26,0)</f>
        <v>0</v>
      </c>
      <c r="BF227" s="49">
        <f>IF(BF$4=EOMONTH(CloseDate,'Rent Roll'!$O$26-1),-'Rent Roll'!$F$26*'Rent Roll'!$T$26,0)</f>
        <v>0</v>
      </c>
      <c r="BG227" s="49">
        <f>IF(BG$4=EOMONTH(CloseDate,'Rent Roll'!$O$26-1),-'Rent Roll'!$F$26*'Rent Roll'!$T$26,0)</f>
        <v>0</v>
      </c>
      <c r="BH227" s="49">
        <f>IF(BH$4=EOMONTH(CloseDate,'Rent Roll'!$O$26-1),-'Rent Roll'!$F$26*'Rent Roll'!$T$26,0)</f>
        <v>0</v>
      </c>
      <c r="BI227" s="49">
        <f>IF(BI$4=EOMONTH(CloseDate,'Rent Roll'!$O$26-1),-'Rent Roll'!$F$26*'Rent Roll'!$T$26,0)</f>
        <v>0</v>
      </c>
      <c r="BJ227" s="49">
        <f>IF(BJ$4=EOMONTH(CloseDate,'Rent Roll'!$O$26-1),-'Rent Roll'!$F$26*'Rent Roll'!$T$26,0)</f>
        <v>0</v>
      </c>
      <c r="BK227" s="49">
        <f>IF(BK$4=EOMONTH(CloseDate,'Rent Roll'!$O$26-1),-'Rent Roll'!$F$26*'Rent Roll'!$T$26,0)</f>
        <v>0</v>
      </c>
      <c r="BL227" s="49">
        <f>IF(BL$4=EOMONTH(CloseDate,'Rent Roll'!$O$26-1),-'Rent Roll'!$F$26*'Rent Roll'!$T$26,0)</f>
        <v>0</v>
      </c>
      <c r="BM227" s="49">
        <f>IF(BM$4=EOMONTH(CloseDate,'Rent Roll'!$O$26-1),-'Rent Roll'!$F$26*'Rent Roll'!$T$26,0)</f>
        <v>0</v>
      </c>
      <c r="BN227" s="49">
        <f>IF(BN$4=EOMONTH(CloseDate,'Rent Roll'!$O$26-1),-'Rent Roll'!$F$26*'Rent Roll'!$T$26,0)</f>
        <v>0</v>
      </c>
      <c r="BO227" s="49">
        <f>IF(BO$4=EOMONTH(CloseDate,'Rent Roll'!$O$26-1),-'Rent Roll'!$F$26*'Rent Roll'!$T$26,0)</f>
        <v>0</v>
      </c>
      <c r="BP227" s="49">
        <f>IF(BP$4=EOMONTH(CloseDate,'Rent Roll'!$O$26-1),-'Rent Roll'!$F$26*'Rent Roll'!$T$26,0)</f>
        <v>0</v>
      </c>
      <c r="BQ227" s="49">
        <f>IF(BQ$4=EOMONTH(CloseDate,'Rent Roll'!$O$26-1),-'Rent Roll'!$F$26*'Rent Roll'!$T$26,0)</f>
        <v>0</v>
      </c>
      <c r="BR227" s="49">
        <f>IF(BR$4=EOMONTH(CloseDate,'Rent Roll'!$O$26-1),-'Rent Roll'!$F$26*'Rent Roll'!$T$26,0)</f>
        <v>0</v>
      </c>
      <c r="BS227" s="49">
        <f>IF(BS$4=EOMONTH(CloseDate,'Rent Roll'!$O$26-1),-'Rent Roll'!$F$26*'Rent Roll'!$T$26,0)</f>
        <v>0</v>
      </c>
      <c r="BT227" s="49">
        <f>IF(BT$4=EOMONTH(CloseDate,'Rent Roll'!$O$26-1),-'Rent Roll'!$F$26*'Rent Roll'!$T$26,0)</f>
        <v>0</v>
      </c>
      <c r="BU227" s="49">
        <f>IF(BU$4=EOMONTH(CloseDate,'Rent Roll'!$O$26-1),-'Rent Roll'!$F$26*'Rent Roll'!$T$26,0)</f>
        <v>0</v>
      </c>
      <c r="BV227" s="49">
        <f>IF(BV$4=EOMONTH(CloseDate,'Rent Roll'!$O$26-1),-'Rent Roll'!$F$26*'Rent Roll'!$T$26,0)</f>
        <v>0</v>
      </c>
      <c r="BW227" s="49">
        <f>IF(BW$4=EOMONTH(CloseDate,'Rent Roll'!$O$26-1),-'Rent Roll'!$F$26*'Rent Roll'!$T$26,0)</f>
        <v>0</v>
      </c>
      <c r="BX227" s="49">
        <f>IF(BX$4=EOMONTH(CloseDate,'Rent Roll'!$O$26-1),-'Rent Roll'!$F$26*'Rent Roll'!$T$26,0)</f>
        <v>0</v>
      </c>
    </row>
    <row r="228" spans="1:76" hidden="1" outlineLevel="1">
      <c r="B228" t="s">
        <v>87</v>
      </c>
      <c r="D228" s="49">
        <f>IF(D$4=EOMONTH(CloseDate,'Rent Roll'!$O$26-1),-'Rent Roll'!$U$26*'Rent Roll'!$F$26*'Rent Roll'!$X$26,0)</f>
        <v>0</v>
      </c>
      <c r="E228" s="49">
        <f>IF(E$4=EOMONTH(CloseDate,'Rent Roll'!$O$26-1),-'Rent Roll'!$U$26*'Rent Roll'!$F$26*'Rent Roll'!$X$26,0)</f>
        <v>0</v>
      </c>
      <c r="F228" s="49">
        <f>IF(F$4=EOMONTH(CloseDate,'Rent Roll'!$O$26-1),-'Rent Roll'!$U$26*'Rent Roll'!$F$26*'Rent Roll'!$X$26,0)</f>
        <v>0</v>
      </c>
      <c r="G228" s="49">
        <f>IF(G$4=EOMONTH(CloseDate,'Rent Roll'!$O$26-1),-'Rent Roll'!$U$26*'Rent Roll'!$F$26*'Rent Roll'!$X$26,0)</f>
        <v>-7894.7999999999993</v>
      </c>
      <c r="H228" s="49">
        <f>IF(H$4=EOMONTH(CloseDate,'Rent Roll'!$O$26-1),-'Rent Roll'!$U$26*'Rent Roll'!$F$26*'Rent Roll'!$X$26,0)</f>
        <v>0</v>
      </c>
      <c r="I228" s="49">
        <f>IF(I$4=EOMONTH(CloseDate,'Rent Roll'!$O$26-1),-'Rent Roll'!$U$26*'Rent Roll'!$F$26*'Rent Roll'!$X$26,0)</f>
        <v>0</v>
      </c>
      <c r="J228" s="49">
        <f>IF(J$4=EOMONTH(CloseDate,'Rent Roll'!$O$26-1),-'Rent Roll'!$U$26*'Rent Roll'!$F$26*'Rent Roll'!$X$26,0)</f>
        <v>0</v>
      </c>
      <c r="K228" s="49">
        <f>IF(K$4=EOMONTH(CloseDate,'Rent Roll'!$O$26-1),-'Rent Roll'!$U$26*'Rent Roll'!$F$26*'Rent Roll'!$X$26,0)</f>
        <v>0</v>
      </c>
      <c r="L228" s="49">
        <f>IF(L$4=EOMONTH(CloseDate,'Rent Roll'!$O$26-1),-'Rent Roll'!$U$26*'Rent Roll'!$F$26*'Rent Roll'!$X$26,0)</f>
        <v>0</v>
      </c>
      <c r="M228" s="49">
        <f>IF(M$4=EOMONTH(CloseDate,'Rent Roll'!$O$26-1),-'Rent Roll'!$U$26*'Rent Roll'!$F$26*'Rent Roll'!$X$26,0)</f>
        <v>0</v>
      </c>
      <c r="N228" s="49">
        <f>IF(N$4=EOMONTH(CloseDate,'Rent Roll'!$O$26-1),-'Rent Roll'!$U$26*'Rent Roll'!$F$26*'Rent Roll'!$X$26,0)</f>
        <v>0</v>
      </c>
      <c r="O228" s="49">
        <f>IF(O$4=EOMONTH(CloseDate,'Rent Roll'!$O$26-1),-'Rent Roll'!$U$26*'Rent Roll'!$F$26*'Rent Roll'!$X$26,0)</f>
        <v>0</v>
      </c>
      <c r="P228" s="49">
        <f>IF(P$4=EOMONTH(CloseDate,'Rent Roll'!$O$26-1),-'Rent Roll'!$U$26*'Rent Roll'!$F$26*'Rent Roll'!$X$26,0)</f>
        <v>0</v>
      </c>
      <c r="Q228" s="49">
        <f>IF(Q$4=EOMONTH(CloseDate,'Rent Roll'!$O$26-1),-'Rent Roll'!$U$26*'Rent Roll'!$F$26*'Rent Roll'!$X$26,0)</f>
        <v>0</v>
      </c>
      <c r="R228" s="49">
        <f>IF(R$4=EOMONTH(CloseDate,'Rent Roll'!$O$26-1),-'Rent Roll'!$U$26*'Rent Roll'!$F$26*'Rent Roll'!$X$26,0)</f>
        <v>0</v>
      </c>
      <c r="S228" s="49">
        <f>IF(S$4=EOMONTH(CloseDate,'Rent Roll'!$O$26-1),-'Rent Roll'!$U$26*'Rent Roll'!$F$26*'Rent Roll'!$X$26,0)</f>
        <v>0</v>
      </c>
      <c r="T228" s="49">
        <f>IF(T$4=EOMONTH(CloseDate,'Rent Roll'!$O$26-1),-'Rent Roll'!$U$26*'Rent Roll'!$F$26*'Rent Roll'!$X$26,0)</f>
        <v>0</v>
      </c>
      <c r="U228" s="49">
        <f>IF(U$4=EOMONTH(CloseDate,'Rent Roll'!$O$26-1),-'Rent Roll'!$U$26*'Rent Roll'!$F$26*'Rent Roll'!$X$26,0)</f>
        <v>0</v>
      </c>
      <c r="V228" s="49">
        <f>IF(V$4=EOMONTH(CloseDate,'Rent Roll'!$O$26-1),-'Rent Roll'!$U$26*'Rent Roll'!$F$26*'Rent Roll'!$X$26,0)</f>
        <v>0</v>
      </c>
      <c r="W228" s="49">
        <f>IF(W$4=EOMONTH(CloseDate,'Rent Roll'!$O$26-1),-'Rent Roll'!$U$26*'Rent Roll'!$F$26*'Rent Roll'!$X$26,0)</f>
        <v>0</v>
      </c>
      <c r="X228" s="49">
        <f>IF(X$4=EOMONTH(CloseDate,'Rent Roll'!$O$26-1),-'Rent Roll'!$U$26*'Rent Roll'!$F$26*'Rent Roll'!$X$26,0)</f>
        <v>0</v>
      </c>
      <c r="Y228" s="49">
        <f>IF(Y$4=EOMONTH(CloseDate,'Rent Roll'!$O$26-1),-'Rent Roll'!$U$26*'Rent Roll'!$F$26*'Rent Roll'!$X$26,0)</f>
        <v>0</v>
      </c>
      <c r="Z228" s="49">
        <f>IF(Z$4=EOMONTH(CloseDate,'Rent Roll'!$O$26-1),-'Rent Roll'!$U$26*'Rent Roll'!$F$26*'Rent Roll'!$X$26,0)</f>
        <v>0</v>
      </c>
      <c r="AA228" s="49">
        <f>IF(AA$4=EOMONTH(CloseDate,'Rent Roll'!$O$26-1),-'Rent Roll'!$U$26*'Rent Roll'!$F$26*'Rent Roll'!$X$26,0)</f>
        <v>0</v>
      </c>
      <c r="AB228" s="49">
        <f>IF(AB$4=EOMONTH(CloseDate,'Rent Roll'!$O$26-1),-'Rent Roll'!$U$26*'Rent Roll'!$F$26*'Rent Roll'!$X$26,0)</f>
        <v>0</v>
      </c>
      <c r="AC228" s="49">
        <f>IF(AC$4=EOMONTH(CloseDate,'Rent Roll'!$O$26-1),-'Rent Roll'!$U$26*'Rent Roll'!$F$26*'Rent Roll'!$X$26,0)</f>
        <v>0</v>
      </c>
      <c r="AD228" s="49">
        <f>IF(AD$4=EOMONTH(CloseDate,'Rent Roll'!$O$26-1),-'Rent Roll'!$U$26*'Rent Roll'!$F$26*'Rent Roll'!$X$26,0)</f>
        <v>0</v>
      </c>
      <c r="AE228" s="49">
        <f>IF(AE$4=EOMONTH(CloseDate,'Rent Roll'!$O$26-1),-'Rent Roll'!$U$26*'Rent Roll'!$F$26*'Rent Roll'!$X$26,0)</f>
        <v>0</v>
      </c>
      <c r="AF228" s="49">
        <f>IF(AF$4=EOMONTH(CloseDate,'Rent Roll'!$O$26-1),-'Rent Roll'!$U$26*'Rent Roll'!$F$26*'Rent Roll'!$X$26,0)</f>
        <v>0</v>
      </c>
      <c r="AG228" s="49">
        <f>IF(AG$4=EOMONTH(CloseDate,'Rent Roll'!$O$26-1),-'Rent Roll'!$U$26*'Rent Roll'!$F$26*'Rent Roll'!$X$26,0)</f>
        <v>0</v>
      </c>
      <c r="AH228" s="49">
        <f>IF(AH$4=EOMONTH(CloseDate,'Rent Roll'!$O$26-1),-'Rent Roll'!$U$26*'Rent Roll'!$F$26*'Rent Roll'!$X$26,0)</f>
        <v>0</v>
      </c>
      <c r="AI228" s="49">
        <f>IF(AI$4=EOMONTH(CloseDate,'Rent Roll'!$O$26-1),-'Rent Roll'!$U$26*'Rent Roll'!$F$26*'Rent Roll'!$X$26,0)</f>
        <v>0</v>
      </c>
      <c r="AJ228" s="49">
        <f>IF(AJ$4=EOMONTH(CloseDate,'Rent Roll'!$O$26-1),-'Rent Roll'!$U$26*'Rent Roll'!$F$26*'Rent Roll'!$X$26,0)</f>
        <v>0</v>
      </c>
      <c r="AK228" s="49">
        <f>IF(AK$4=EOMONTH(CloseDate,'Rent Roll'!$O$26-1),-'Rent Roll'!$U$26*'Rent Roll'!$F$26*'Rent Roll'!$X$26,0)</f>
        <v>0</v>
      </c>
      <c r="AL228" s="49">
        <f>IF(AL$4=EOMONTH(CloseDate,'Rent Roll'!$O$26-1),-'Rent Roll'!$U$26*'Rent Roll'!$F$26*'Rent Roll'!$X$26,0)</f>
        <v>0</v>
      </c>
      <c r="AM228" s="49">
        <f>IF(AM$4=EOMONTH(CloseDate,'Rent Roll'!$O$26-1),-'Rent Roll'!$U$26*'Rent Roll'!$F$26*'Rent Roll'!$X$26,0)</f>
        <v>0</v>
      </c>
      <c r="AN228" s="49">
        <f>IF(AN$4=EOMONTH(CloseDate,'Rent Roll'!$O$26-1),-'Rent Roll'!$U$26*'Rent Roll'!$F$26*'Rent Roll'!$X$26,0)</f>
        <v>0</v>
      </c>
      <c r="AO228" s="49">
        <f>IF(AO$4=EOMONTH(CloseDate,'Rent Roll'!$O$26-1),-'Rent Roll'!$U$26*'Rent Roll'!$F$26*'Rent Roll'!$X$26,0)</f>
        <v>0</v>
      </c>
      <c r="AP228" s="49">
        <f>IF(AP$4=EOMONTH(CloseDate,'Rent Roll'!$O$26-1),-'Rent Roll'!$U$26*'Rent Roll'!$F$26*'Rent Roll'!$X$26,0)</f>
        <v>0</v>
      </c>
      <c r="AQ228" s="49">
        <f>IF(AQ$4=EOMONTH(CloseDate,'Rent Roll'!$O$26-1),-'Rent Roll'!$U$26*'Rent Roll'!$F$26*'Rent Roll'!$X$26,0)</f>
        <v>0</v>
      </c>
      <c r="AR228" s="49">
        <f>IF(AR$4=EOMONTH(CloseDate,'Rent Roll'!$O$26-1),-'Rent Roll'!$U$26*'Rent Roll'!$F$26*'Rent Roll'!$X$26,0)</f>
        <v>0</v>
      </c>
      <c r="AS228" s="49">
        <f>IF(AS$4=EOMONTH(CloseDate,'Rent Roll'!$O$26-1),-'Rent Roll'!$U$26*'Rent Roll'!$F$26*'Rent Roll'!$X$26,0)</f>
        <v>0</v>
      </c>
      <c r="AT228" s="49">
        <f>IF(AT$4=EOMONTH(CloseDate,'Rent Roll'!$O$26-1),-'Rent Roll'!$U$26*'Rent Roll'!$F$26*'Rent Roll'!$X$26,0)</f>
        <v>0</v>
      </c>
      <c r="AU228" s="49">
        <f>IF(AU$4=EOMONTH(CloseDate,'Rent Roll'!$O$26-1),-'Rent Roll'!$U$26*'Rent Roll'!$F$26*'Rent Roll'!$X$26,0)</f>
        <v>0</v>
      </c>
      <c r="AV228" s="49">
        <f>IF(AV$4=EOMONTH(CloseDate,'Rent Roll'!$O$26-1),-'Rent Roll'!$U$26*'Rent Roll'!$F$26*'Rent Roll'!$X$26,0)</f>
        <v>0</v>
      </c>
      <c r="AW228" s="49">
        <f>IF(AW$4=EOMONTH(CloseDate,'Rent Roll'!$O$26-1),-'Rent Roll'!$U$26*'Rent Roll'!$F$26*'Rent Roll'!$X$26,0)</f>
        <v>0</v>
      </c>
      <c r="AX228" s="49">
        <f>IF(AX$4=EOMONTH(CloseDate,'Rent Roll'!$O$26-1),-'Rent Roll'!$U$26*'Rent Roll'!$F$26*'Rent Roll'!$X$26,0)</f>
        <v>0</v>
      </c>
      <c r="AY228" s="49">
        <f>IF(AY$4=EOMONTH(CloseDate,'Rent Roll'!$O$26-1),-'Rent Roll'!$U$26*'Rent Roll'!$F$26*'Rent Roll'!$X$26,0)</f>
        <v>0</v>
      </c>
      <c r="AZ228" s="49">
        <f>IF(AZ$4=EOMONTH(CloseDate,'Rent Roll'!$O$26-1),-'Rent Roll'!$U$26*'Rent Roll'!$F$26*'Rent Roll'!$X$26,0)</f>
        <v>0</v>
      </c>
      <c r="BA228" s="49">
        <f>IF(BA$4=EOMONTH(CloseDate,'Rent Roll'!$O$26-1),-'Rent Roll'!$U$26*'Rent Roll'!$F$26*'Rent Roll'!$X$26,0)</f>
        <v>0</v>
      </c>
      <c r="BB228" s="49">
        <f>IF(BB$4=EOMONTH(CloseDate,'Rent Roll'!$O$26-1),-'Rent Roll'!$U$26*'Rent Roll'!$F$26*'Rent Roll'!$X$26,0)</f>
        <v>0</v>
      </c>
      <c r="BC228" s="49">
        <f>IF(BC$4=EOMONTH(CloseDate,'Rent Roll'!$O$26-1),-'Rent Roll'!$U$26*'Rent Roll'!$F$26*'Rent Roll'!$X$26,0)</f>
        <v>0</v>
      </c>
      <c r="BD228" s="49">
        <f>IF(BD$4=EOMONTH(CloseDate,'Rent Roll'!$O$26-1),-'Rent Roll'!$U$26*'Rent Roll'!$F$26*'Rent Roll'!$X$26,0)</f>
        <v>0</v>
      </c>
      <c r="BE228" s="49">
        <f>IF(BE$4=EOMONTH(CloseDate,'Rent Roll'!$O$26-1),-'Rent Roll'!$U$26*'Rent Roll'!$F$26*'Rent Roll'!$X$26,0)</f>
        <v>0</v>
      </c>
      <c r="BF228" s="49">
        <f>IF(BF$4=EOMONTH(CloseDate,'Rent Roll'!$O$26-1),-'Rent Roll'!$U$26*'Rent Roll'!$F$26*'Rent Roll'!$X$26,0)</f>
        <v>0</v>
      </c>
      <c r="BG228" s="49">
        <f>IF(BG$4=EOMONTH(CloseDate,'Rent Roll'!$O$26-1),-'Rent Roll'!$U$26*'Rent Roll'!$F$26*'Rent Roll'!$X$26,0)</f>
        <v>0</v>
      </c>
      <c r="BH228" s="49">
        <f>IF(BH$4=EOMONTH(CloseDate,'Rent Roll'!$O$26-1),-'Rent Roll'!$U$26*'Rent Roll'!$F$26*'Rent Roll'!$X$26,0)</f>
        <v>0</v>
      </c>
      <c r="BI228" s="49">
        <f>IF(BI$4=EOMONTH(CloseDate,'Rent Roll'!$O$26-1),-'Rent Roll'!$U$26*'Rent Roll'!$F$26*'Rent Roll'!$X$26,0)</f>
        <v>0</v>
      </c>
      <c r="BJ228" s="49">
        <f>IF(BJ$4=EOMONTH(CloseDate,'Rent Roll'!$O$26-1),-'Rent Roll'!$U$26*'Rent Roll'!$F$26*'Rent Roll'!$X$26,0)</f>
        <v>0</v>
      </c>
      <c r="BK228" s="49">
        <f>IF(BK$4=EOMONTH(CloseDate,'Rent Roll'!$O$26-1),-'Rent Roll'!$U$26*'Rent Roll'!$F$26*'Rent Roll'!$X$26,0)</f>
        <v>0</v>
      </c>
      <c r="BL228" s="49">
        <f>IF(BL$4=EOMONTH(CloseDate,'Rent Roll'!$O$26-1),-'Rent Roll'!$U$26*'Rent Roll'!$F$26*'Rent Roll'!$X$26,0)</f>
        <v>0</v>
      </c>
      <c r="BM228" s="49">
        <f>IF(BM$4=EOMONTH(CloseDate,'Rent Roll'!$O$26-1),-'Rent Roll'!$U$26*'Rent Roll'!$F$26*'Rent Roll'!$X$26,0)</f>
        <v>0</v>
      </c>
      <c r="BN228" s="49">
        <f>IF(BN$4=EOMONTH(CloseDate,'Rent Roll'!$O$26-1),-'Rent Roll'!$U$26*'Rent Roll'!$F$26*'Rent Roll'!$X$26,0)</f>
        <v>0</v>
      </c>
      <c r="BO228" s="49">
        <f>IF(BO$4=EOMONTH(CloseDate,'Rent Roll'!$O$26-1),-'Rent Roll'!$U$26*'Rent Roll'!$F$26*'Rent Roll'!$X$26,0)</f>
        <v>0</v>
      </c>
      <c r="BP228" s="49">
        <f>IF(BP$4=EOMONTH(CloseDate,'Rent Roll'!$O$26-1),-'Rent Roll'!$U$26*'Rent Roll'!$F$26*'Rent Roll'!$X$26,0)</f>
        <v>0</v>
      </c>
      <c r="BQ228" s="49">
        <f>IF(BQ$4=EOMONTH(CloseDate,'Rent Roll'!$O$26-1),-'Rent Roll'!$U$26*'Rent Roll'!$F$26*'Rent Roll'!$X$26,0)</f>
        <v>0</v>
      </c>
      <c r="BR228" s="49">
        <f>IF(BR$4=EOMONTH(CloseDate,'Rent Roll'!$O$26-1),-'Rent Roll'!$U$26*'Rent Roll'!$F$26*'Rent Roll'!$X$26,0)</f>
        <v>0</v>
      </c>
      <c r="BS228" s="49">
        <f>IF(BS$4=EOMONTH(CloseDate,'Rent Roll'!$O$26-1),-'Rent Roll'!$U$26*'Rent Roll'!$F$26*'Rent Roll'!$X$26,0)</f>
        <v>0</v>
      </c>
      <c r="BT228" s="49">
        <f>IF(BT$4=EOMONTH(CloseDate,'Rent Roll'!$O$26-1),-'Rent Roll'!$U$26*'Rent Roll'!$F$26*'Rent Roll'!$X$26,0)</f>
        <v>0</v>
      </c>
      <c r="BU228" s="49">
        <f>IF(BU$4=EOMONTH(CloseDate,'Rent Roll'!$O$26-1),-'Rent Roll'!$U$26*'Rent Roll'!$F$26*'Rent Roll'!$X$26,0)</f>
        <v>0</v>
      </c>
      <c r="BV228" s="49">
        <f>IF(BV$4=EOMONTH(CloseDate,'Rent Roll'!$O$26-1),-'Rent Roll'!$U$26*'Rent Roll'!$F$26*'Rent Roll'!$X$26,0)</f>
        <v>0</v>
      </c>
      <c r="BW228" s="49">
        <f>IF(BW$4=EOMONTH(CloseDate,'Rent Roll'!$O$26-1),-'Rent Roll'!$U$26*'Rent Roll'!$F$26*'Rent Roll'!$X$26,0)</f>
        <v>0</v>
      </c>
      <c r="BX228" s="49">
        <f>IF(BX$4=EOMONTH(CloseDate,'Rent Roll'!$O$26-1),-'Rent Roll'!$U$26*'Rent Roll'!$F$26*'Rent Roll'!$X$26,0)</f>
        <v>0</v>
      </c>
    </row>
    <row r="229" spans="1:76" hidden="1" outlineLevel="1">
      <c r="A229" s="46" t="str">
        <f>'Rent Roll'!C27</f>
        <v>Vacant — Suite 360</v>
      </c>
      <c r="B229" s="57">
        <f>INDEX('Rent Roll'!$F$5:$F$46,MATCH('Rent Roll Calc'!A229,'Rent Roll'!$C$5:$C$46,0))</f>
        <v>5800</v>
      </c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  <c r="AA229" s="49"/>
      <c r="AB229" s="49"/>
      <c r="AC229" s="49"/>
      <c r="AD229" s="49"/>
      <c r="AE229" s="49"/>
      <c r="AF229" s="49"/>
      <c r="AG229" s="49"/>
      <c r="AH229" s="49"/>
      <c r="AI229" s="49"/>
      <c r="AJ229" s="49"/>
      <c r="AK229" s="49"/>
      <c r="AL229" s="49"/>
      <c r="AM229" s="49"/>
      <c r="AN229" s="49"/>
      <c r="AO229" s="49"/>
      <c r="AP229" s="49"/>
      <c r="AQ229" s="49"/>
      <c r="AR229" s="49"/>
      <c r="AS229" s="49"/>
      <c r="AT229" s="49"/>
      <c r="AU229" s="49"/>
      <c r="AV229" s="49"/>
      <c r="AW229" s="49"/>
      <c r="AX229" s="49"/>
      <c r="AY229" s="49"/>
      <c r="AZ229" s="49"/>
      <c r="BA229" s="49"/>
      <c r="BB229" s="49"/>
      <c r="BC229" s="49"/>
      <c r="BD229" s="49"/>
      <c r="BE229" s="49"/>
      <c r="BF229" s="49"/>
      <c r="BG229" s="49"/>
      <c r="BH229" s="49"/>
      <c r="BI229" s="49"/>
      <c r="BJ229" s="49"/>
      <c r="BK229" s="49"/>
      <c r="BL229" s="49"/>
      <c r="BM229" s="49"/>
      <c r="BN229" s="49"/>
      <c r="BO229" s="49"/>
      <c r="BP229" s="49"/>
      <c r="BQ229" s="49"/>
      <c r="BR229" s="49"/>
      <c r="BS229" s="49"/>
      <c r="BT229" s="49"/>
      <c r="BU229" s="49"/>
      <c r="BV229" s="49"/>
      <c r="BW229" s="49"/>
      <c r="BX229" s="49"/>
    </row>
    <row r="230" spans="1:76" hidden="1" outlineLevel="1">
      <c r="B230" t="s">
        <v>83</v>
      </c>
      <c r="D230" s="49">
        <f>0</f>
        <v>0</v>
      </c>
      <c r="E230" s="49">
        <f>0</f>
        <v>0</v>
      </c>
      <c r="F230" s="49">
        <f>0</f>
        <v>0</v>
      </c>
      <c r="G230" s="49">
        <f>0</f>
        <v>0</v>
      </c>
      <c r="H230" s="49">
        <f>0</f>
        <v>0</v>
      </c>
      <c r="I230" s="49">
        <f>0</f>
        <v>0</v>
      </c>
      <c r="J230" s="49">
        <f>0</f>
        <v>0</v>
      </c>
      <c r="K230" s="49">
        <f>0</f>
        <v>0</v>
      </c>
      <c r="L230" s="49">
        <f>0</f>
        <v>0</v>
      </c>
      <c r="M230" s="49">
        <f>0</f>
        <v>0</v>
      </c>
      <c r="N230" s="49">
        <f>0</f>
        <v>0</v>
      </c>
      <c r="O230" s="49">
        <f>0</f>
        <v>0</v>
      </c>
      <c r="P230" s="49">
        <f>0</f>
        <v>0</v>
      </c>
      <c r="Q230" s="49">
        <f>0</f>
        <v>0</v>
      </c>
      <c r="R230" s="49">
        <f>0</f>
        <v>0</v>
      </c>
      <c r="S230" s="49">
        <f>0</f>
        <v>0</v>
      </c>
      <c r="T230" s="49">
        <f>0</f>
        <v>0</v>
      </c>
      <c r="U230" s="49">
        <f>0</f>
        <v>0</v>
      </c>
      <c r="V230" s="49">
        <f>0</f>
        <v>0</v>
      </c>
      <c r="W230" s="49">
        <f>0</f>
        <v>0</v>
      </c>
      <c r="X230" s="49">
        <f>0</f>
        <v>0</v>
      </c>
      <c r="Y230" s="49">
        <f>0</f>
        <v>0</v>
      </c>
      <c r="Z230" s="49">
        <f>0</f>
        <v>0</v>
      </c>
      <c r="AA230" s="49">
        <f>0</f>
        <v>0</v>
      </c>
      <c r="AB230" s="49">
        <f>0</f>
        <v>0</v>
      </c>
      <c r="AC230" s="49">
        <f>0</f>
        <v>0</v>
      </c>
      <c r="AD230" s="49">
        <f>0</f>
        <v>0</v>
      </c>
      <c r="AE230" s="49">
        <f>0</f>
        <v>0</v>
      </c>
      <c r="AF230" s="49">
        <f>0</f>
        <v>0</v>
      </c>
      <c r="AG230" s="49">
        <f>0</f>
        <v>0</v>
      </c>
      <c r="AH230" s="49">
        <f>0</f>
        <v>0</v>
      </c>
      <c r="AI230" s="49">
        <f>0</f>
        <v>0</v>
      </c>
      <c r="AJ230" s="49">
        <f>0</f>
        <v>0</v>
      </c>
      <c r="AK230" s="49">
        <f>0</f>
        <v>0</v>
      </c>
      <c r="AL230" s="49">
        <f>0</f>
        <v>0</v>
      </c>
      <c r="AM230" s="49">
        <f>0</f>
        <v>0</v>
      </c>
      <c r="AN230" s="49">
        <f>0</f>
        <v>0</v>
      </c>
      <c r="AO230" s="49">
        <f>0</f>
        <v>0</v>
      </c>
      <c r="AP230" s="49">
        <f>0</f>
        <v>0</v>
      </c>
      <c r="AQ230" s="49">
        <f>0</f>
        <v>0</v>
      </c>
      <c r="AR230" s="49">
        <f>0</f>
        <v>0</v>
      </c>
      <c r="AS230" s="49">
        <f>0</f>
        <v>0</v>
      </c>
      <c r="AT230" s="49">
        <f>0</f>
        <v>0</v>
      </c>
      <c r="AU230" s="49">
        <f>0</f>
        <v>0</v>
      </c>
      <c r="AV230" s="49">
        <f>0</f>
        <v>0</v>
      </c>
      <c r="AW230" s="49">
        <f>0</f>
        <v>0</v>
      </c>
      <c r="AX230" s="49">
        <f>0</f>
        <v>0</v>
      </c>
      <c r="AY230" s="49">
        <f>0</f>
        <v>0</v>
      </c>
      <c r="AZ230" s="49">
        <f>0</f>
        <v>0</v>
      </c>
      <c r="BA230" s="49">
        <f>0</f>
        <v>0</v>
      </c>
      <c r="BB230" s="49">
        <f>0</f>
        <v>0</v>
      </c>
      <c r="BC230" s="49">
        <f>0</f>
        <v>0</v>
      </c>
      <c r="BD230" s="49">
        <f>0</f>
        <v>0</v>
      </c>
      <c r="BE230" s="49">
        <f>0</f>
        <v>0</v>
      </c>
      <c r="BF230" s="49">
        <f>0</f>
        <v>0</v>
      </c>
      <c r="BG230" s="49">
        <f>0</f>
        <v>0</v>
      </c>
      <c r="BH230" s="49">
        <f>0</f>
        <v>0</v>
      </c>
      <c r="BI230" s="49">
        <f>0</f>
        <v>0</v>
      </c>
      <c r="BJ230" s="49">
        <f>0</f>
        <v>0</v>
      </c>
      <c r="BK230" s="49">
        <f>0</f>
        <v>0</v>
      </c>
      <c r="BL230" s="49">
        <f>0</f>
        <v>0</v>
      </c>
      <c r="BM230" s="49">
        <f>0</f>
        <v>0</v>
      </c>
      <c r="BN230" s="49">
        <f>0</f>
        <v>0</v>
      </c>
      <c r="BO230" s="49">
        <f>0</f>
        <v>0</v>
      </c>
      <c r="BP230" s="49">
        <f>0</f>
        <v>0</v>
      </c>
      <c r="BQ230" s="49">
        <f>0</f>
        <v>0</v>
      </c>
      <c r="BR230" s="49">
        <f>0</f>
        <v>0</v>
      </c>
      <c r="BS230" s="49">
        <f>0</f>
        <v>0</v>
      </c>
      <c r="BT230" s="49">
        <f>0</f>
        <v>0</v>
      </c>
      <c r="BU230" s="49">
        <f>0</f>
        <v>0</v>
      </c>
      <c r="BV230" s="49">
        <f>0</f>
        <v>0</v>
      </c>
      <c r="BW230" s="49">
        <f>0</f>
        <v>0</v>
      </c>
      <c r="BX230" s="49">
        <f>0</f>
        <v>0</v>
      </c>
    </row>
    <row r="231" spans="1:76" hidden="1" outlineLevel="1">
      <c r="B231" t="s">
        <v>159</v>
      </c>
      <c r="D231" s="49">
        <f>0</f>
        <v>0</v>
      </c>
      <c r="E231" s="49">
        <f>0</f>
        <v>0</v>
      </c>
      <c r="F231" s="49">
        <f>0</f>
        <v>0</v>
      </c>
      <c r="G231" s="49">
        <f>0</f>
        <v>0</v>
      </c>
      <c r="H231" s="49">
        <f>0</f>
        <v>0</v>
      </c>
      <c r="I231" s="49">
        <f>0</f>
        <v>0</v>
      </c>
      <c r="J231" s="49">
        <f>0</f>
        <v>0</v>
      </c>
      <c r="K231" s="49">
        <f>0</f>
        <v>0</v>
      </c>
      <c r="L231" s="49">
        <f>0</f>
        <v>0</v>
      </c>
      <c r="M231" s="49">
        <f>0</f>
        <v>0</v>
      </c>
      <c r="N231" s="49">
        <f>0</f>
        <v>0</v>
      </c>
      <c r="O231" s="49">
        <f>0</f>
        <v>0</v>
      </c>
      <c r="P231" s="49">
        <f>0</f>
        <v>0</v>
      </c>
      <c r="Q231" s="49">
        <f>0</f>
        <v>0</v>
      </c>
      <c r="R231" s="49">
        <f>0</f>
        <v>0</v>
      </c>
      <c r="S231" s="49">
        <f>0</f>
        <v>0</v>
      </c>
      <c r="T231" s="49">
        <f>0</f>
        <v>0</v>
      </c>
      <c r="U231" s="49">
        <f>0</f>
        <v>0</v>
      </c>
      <c r="V231" s="49">
        <f>0</f>
        <v>0</v>
      </c>
      <c r="W231" s="49">
        <f>0</f>
        <v>0</v>
      </c>
      <c r="X231" s="49">
        <f>0</f>
        <v>0</v>
      </c>
      <c r="Y231" s="49">
        <f>0</f>
        <v>0</v>
      </c>
      <c r="Z231" s="49">
        <f>0</f>
        <v>0</v>
      </c>
      <c r="AA231" s="49">
        <f>0</f>
        <v>0</v>
      </c>
      <c r="AB231" s="49">
        <f>0</f>
        <v>0</v>
      </c>
      <c r="AC231" s="49">
        <f>0</f>
        <v>0</v>
      </c>
      <c r="AD231" s="49">
        <f>0</f>
        <v>0</v>
      </c>
      <c r="AE231" s="49">
        <f>0</f>
        <v>0</v>
      </c>
      <c r="AF231" s="49">
        <f>0</f>
        <v>0</v>
      </c>
      <c r="AG231" s="49">
        <f>0</f>
        <v>0</v>
      </c>
      <c r="AH231" s="49">
        <f>0</f>
        <v>0</v>
      </c>
      <c r="AI231" s="49">
        <f>0</f>
        <v>0</v>
      </c>
      <c r="AJ231" s="49">
        <f>0</f>
        <v>0</v>
      </c>
      <c r="AK231" s="49">
        <f>0</f>
        <v>0</v>
      </c>
      <c r="AL231" s="49">
        <f>0</f>
        <v>0</v>
      </c>
      <c r="AM231" s="49">
        <f>0</f>
        <v>0</v>
      </c>
      <c r="AN231" s="49">
        <f>0</f>
        <v>0</v>
      </c>
      <c r="AO231" s="49">
        <f>0</f>
        <v>0</v>
      </c>
      <c r="AP231" s="49">
        <f>0</f>
        <v>0</v>
      </c>
      <c r="AQ231" s="49">
        <f>0</f>
        <v>0</v>
      </c>
      <c r="AR231" s="49">
        <f>0</f>
        <v>0</v>
      </c>
      <c r="AS231" s="49">
        <f>0</f>
        <v>0</v>
      </c>
      <c r="AT231" s="49">
        <f>0</f>
        <v>0</v>
      </c>
      <c r="AU231" s="49">
        <f>0</f>
        <v>0</v>
      </c>
      <c r="AV231" s="49">
        <f>0</f>
        <v>0</v>
      </c>
      <c r="AW231" s="49">
        <f>0</f>
        <v>0</v>
      </c>
      <c r="AX231" s="49">
        <f>0</f>
        <v>0</v>
      </c>
      <c r="AY231" s="49">
        <f>0</f>
        <v>0</v>
      </c>
      <c r="AZ231" s="49">
        <f>0</f>
        <v>0</v>
      </c>
      <c r="BA231" s="49">
        <f>0</f>
        <v>0</v>
      </c>
      <c r="BB231" s="49">
        <f>0</f>
        <v>0</v>
      </c>
      <c r="BC231" s="49">
        <f>0</f>
        <v>0</v>
      </c>
      <c r="BD231" s="49">
        <f>0</f>
        <v>0</v>
      </c>
      <c r="BE231" s="49">
        <f>0</f>
        <v>0</v>
      </c>
      <c r="BF231" s="49">
        <f>0</f>
        <v>0</v>
      </c>
      <c r="BG231" s="49">
        <f>0</f>
        <v>0</v>
      </c>
      <c r="BH231" s="49">
        <f>0</f>
        <v>0</v>
      </c>
      <c r="BI231" s="49">
        <f>0</f>
        <v>0</v>
      </c>
      <c r="BJ231" s="49">
        <f>0</f>
        <v>0</v>
      </c>
      <c r="BK231" s="49">
        <f>0</f>
        <v>0</v>
      </c>
      <c r="BL231" s="49">
        <f>0</f>
        <v>0</v>
      </c>
      <c r="BM231" s="49">
        <f>0</f>
        <v>0</v>
      </c>
      <c r="BN231" s="49">
        <f>0</f>
        <v>0</v>
      </c>
      <c r="BO231" s="49">
        <f>0</f>
        <v>0</v>
      </c>
      <c r="BP231" s="49">
        <f>0</f>
        <v>0</v>
      </c>
      <c r="BQ231" s="49">
        <f>0</f>
        <v>0</v>
      </c>
      <c r="BR231" s="49">
        <f>0</f>
        <v>0</v>
      </c>
      <c r="BS231" s="49">
        <f>0</f>
        <v>0</v>
      </c>
      <c r="BT231" s="49">
        <f>0</f>
        <v>0</v>
      </c>
      <c r="BU231" s="49">
        <f>0</f>
        <v>0</v>
      </c>
      <c r="BV231" s="49">
        <f>0</f>
        <v>0</v>
      </c>
      <c r="BW231" s="49">
        <f>0</f>
        <v>0</v>
      </c>
      <c r="BX231" s="49">
        <f>0</f>
        <v>0</v>
      </c>
    </row>
    <row r="232" spans="1:76" hidden="1" outlineLevel="1">
      <c r="B232" t="s">
        <v>160</v>
      </c>
      <c r="D232" s="49">
        <f>IF(D$4&gt;=EOMONTH(CloseDate,'Rent Roll'!$O$27-1),1,0)</f>
        <v>0</v>
      </c>
      <c r="E232" s="49">
        <f>IF(E$4&gt;=EOMONTH(CloseDate,'Rent Roll'!$O$27-1),1,0)</f>
        <v>0</v>
      </c>
      <c r="F232" s="49">
        <f>IF(F$4&gt;=EOMONTH(CloseDate,'Rent Roll'!$O$27-1),1,0)</f>
        <v>0</v>
      </c>
      <c r="G232" s="49">
        <f>IF(G$4&gt;=EOMONTH(CloseDate,'Rent Roll'!$O$27-1),1,0)</f>
        <v>0</v>
      </c>
      <c r="H232" s="49">
        <f>IF(H$4&gt;=EOMONTH(CloseDate,'Rent Roll'!$O$27-1),1,0)</f>
        <v>1</v>
      </c>
      <c r="I232" s="49">
        <f>IF(I$4&gt;=EOMONTH(CloseDate,'Rent Roll'!$O$27-1),1,0)</f>
        <v>1</v>
      </c>
      <c r="J232" s="49">
        <f>IF(J$4&gt;=EOMONTH(CloseDate,'Rent Roll'!$O$27-1),1,0)</f>
        <v>1</v>
      </c>
      <c r="K232" s="49">
        <f>IF(K$4&gt;=EOMONTH(CloseDate,'Rent Roll'!$O$27-1),1,0)</f>
        <v>1</v>
      </c>
      <c r="L232" s="49">
        <f>IF(L$4&gt;=EOMONTH(CloseDate,'Rent Roll'!$O$27-1),1,0)</f>
        <v>1</v>
      </c>
      <c r="M232" s="49">
        <f>IF(M$4&gt;=EOMONTH(CloseDate,'Rent Roll'!$O$27-1),1,0)</f>
        <v>1</v>
      </c>
      <c r="N232" s="49">
        <f>IF(N$4&gt;=EOMONTH(CloseDate,'Rent Roll'!$O$27-1),1,0)</f>
        <v>1</v>
      </c>
      <c r="O232" s="49">
        <f>IF(O$4&gt;=EOMONTH(CloseDate,'Rent Roll'!$O$27-1),1,0)</f>
        <v>1</v>
      </c>
      <c r="P232" s="49">
        <f>IF(P$4&gt;=EOMONTH(CloseDate,'Rent Roll'!$O$27-1),1,0)</f>
        <v>1</v>
      </c>
      <c r="Q232" s="49">
        <f>IF(Q$4&gt;=EOMONTH(CloseDate,'Rent Roll'!$O$27-1),1,0)</f>
        <v>1</v>
      </c>
      <c r="R232" s="49">
        <f>IF(R$4&gt;=EOMONTH(CloseDate,'Rent Roll'!$O$27-1),1,0)</f>
        <v>1</v>
      </c>
      <c r="S232" s="49">
        <f>IF(S$4&gt;=EOMONTH(CloseDate,'Rent Roll'!$O$27-1),1,0)</f>
        <v>1</v>
      </c>
      <c r="T232" s="49">
        <f>IF(T$4&gt;=EOMONTH(CloseDate,'Rent Roll'!$O$27-1),1,0)</f>
        <v>1</v>
      </c>
      <c r="U232" s="49">
        <f>IF(U$4&gt;=EOMONTH(CloseDate,'Rent Roll'!$O$27-1),1,0)</f>
        <v>1</v>
      </c>
      <c r="V232" s="49">
        <f>IF(V$4&gt;=EOMONTH(CloseDate,'Rent Roll'!$O$27-1),1,0)</f>
        <v>1</v>
      </c>
      <c r="W232" s="49">
        <f>IF(W$4&gt;=EOMONTH(CloseDate,'Rent Roll'!$O$27-1),1,0)</f>
        <v>1</v>
      </c>
      <c r="X232" s="49">
        <f>IF(X$4&gt;=EOMONTH(CloseDate,'Rent Roll'!$O$27-1),1,0)</f>
        <v>1</v>
      </c>
      <c r="Y232" s="49">
        <f>IF(Y$4&gt;=EOMONTH(CloseDate,'Rent Roll'!$O$27-1),1,0)</f>
        <v>1</v>
      </c>
      <c r="Z232" s="49">
        <f>IF(Z$4&gt;=EOMONTH(CloseDate,'Rent Roll'!$O$27-1),1,0)</f>
        <v>1</v>
      </c>
      <c r="AA232" s="49">
        <f>IF(AA$4&gt;=EOMONTH(CloseDate,'Rent Roll'!$O$27-1),1,0)</f>
        <v>1</v>
      </c>
      <c r="AB232" s="49">
        <f>IF(AB$4&gt;=EOMONTH(CloseDate,'Rent Roll'!$O$27-1),1,0)</f>
        <v>1</v>
      </c>
      <c r="AC232" s="49">
        <f>IF(AC$4&gt;=EOMONTH(CloseDate,'Rent Roll'!$O$27-1),1,0)</f>
        <v>1</v>
      </c>
      <c r="AD232" s="49">
        <f>IF(AD$4&gt;=EOMONTH(CloseDate,'Rent Roll'!$O$27-1),1,0)</f>
        <v>1</v>
      </c>
      <c r="AE232" s="49">
        <f>IF(AE$4&gt;=EOMONTH(CloseDate,'Rent Roll'!$O$27-1),1,0)</f>
        <v>1</v>
      </c>
      <c r="AF232" s="49">
        <f>IF(AF$4&gt;=EOMONTH(CloseDate,'Rent Roll'!$O$27-1),1,0)</f>
        <v>1</v>
      </c>
      <c r="AG232" s="49">
        <f>IF(AG$4&gt;=EOMONTH(CloseDate,'Rent Roll'!$O$27-1),1,0)</f>
        <v>1</v>
      </c>
      <c r="AH232" s="49">
        <f>IF(AH$4&gt;=EOMONTH(CloseDate,'Rent Roll'!$O$27-1),1,0)</f>
        <v>1</v>
      </c>
      <c r="AI232" s="49">
        <f>IF(AI$4&gt;=EOMONTH(CloseDate,'Rent Roll'!$O$27-1),1,0)</f>
        <v>1</v>
      </c>
      <c r="AJ232" s="49">
        <f>IF(AJ$4&gt;=EOMONTH(CloseDate,'Rent Roll'!$O$27-1),1,0)</f>
        <v>1</v>
      </c>
      <c r="AK232" s="49">
        <f>IF(AK$4&gt;=EOMONTH(CloseDate,'Rent Roll'!$O$27-1),1,0)</f>
        <v>1</v>
      </c>
      <c r="AL232" s="49">
        <f>IF(AL$4&gt;=EOMONTH(CloseDate,'Rent Roll'!$O$27-1),1,0)</f>
        <v>1</v>
      </c>
      <c r="AM232" s="49">
        <f>IF(AM$4&gt;=EOMONTH(CloseDate,'Rent Roll'!$O$27-1),1,0)</f>
        <v>1</v>
      </c>
      <c r="AN232" s="49">
        <f>IF(AN$4&gt;=EOMONTH(CloseDate,'Rent Roll'!$O$27-1),1,0)</f>
        <v>1</v>
      </c>
      <c r="AO232" s="49">
        <f>IF(AO$4&gt;=EOMONTH(CloseDate,'Rent Roll'!$O$27-1),1,0)</f>
        <v>1</v>
      </c>
      <c r="AP232" s="49">
        <f>IF(AP$4&gt;=EOMONTH(CloseDate,'Rent Roll'!$O$27-1),1,0)</f>
        <v>1</v>
      </c>
      <c r="AQ232" s="49">
        <f>IF(AQ$4&gt;=EOMONTH(CloseDate,'Rent Roll'!$O$27-1),1,0)</f>
        <v>1</v>
      </c>
      <c r="AR232" s="49">
        <f>IF(AR$4&gt;=EOMONTH(CloseDate,'Rent Roll'!$O$27-1),1,0)</f>
        <v>1</v>
      </c>
      <c r="AS232" s="49">
        <f>IF(AS$4&gt;=EOMONTH(CloseDate,'Rent Roll'!$O$27-1),1,0)</f>
        <v>1</v>
      </c>
      <c r="AT232" s="49">
        <f>IF(AT$4&gt;=EOMONTH(CloseDate,'Rent Roll'!$O$27-1),1,0)</f>
        <v>1</v>
      </c>
      <c r="AU232" s="49">
        <f>IF(AU$4&gt;=EOMONTH(CloseDate,'Rent Roll'!$O$27-1),1,0)</f>
        <v>1</v>
      </c>
      <c r="AV232" s="49">
        <f>IF(AV$4&gt;=EOMONTH(CloseDate,'Rent Roll'!$O$27-1),1,0)</f>
        <v>1</v>
      </c>
      <c r="AW232" s="49">
        <f>IF(AW$4&gt;=EOMONTH(CloseDate,'Rent Roll'!$O$27-1),1,0)</f>
        <v>1</v>
      </c>
      <c r="AX232" s="49">
        <f>IF(AX$4&gt;=EOMONTH(CloseDate,'Rent Roll'!$O$27-1),1,0)</f>
        <v>1</v>
      </c>
      <c r="AY232" s="49">
        <f>IF(AY$4&gt;=EOMONTH(CloseDate,'Rent Roll'!$O$27-1),1,0)</f>
        <v>1</v>
      </c>
      <c r="AZ232" s="49">
        <f>IF(AZ$4&gt;=EOMONTH(CloseDate,'Rent Roll'!$O$27-1),1,0)</f>
        <v>1</v>
      </c>
      <c r="BA232" s="49">
        <f>IF(BA$4&gt;=EOMONTH(CloseDate,'Rent Roll'!$O$27-1),1,0)</f>
        <v>1</v>
      </c>
      <c r="BB232" s="49">
        <f>IF(BB$4&gt;=EOMONTH(CloseDate,'Rent Roll'!$O$27-1),1,0)</f>
        <v>1</v>
      </c>
      <c r="BC232" s="49">
        <f>IF(BC$4&gt;=EOMONTH(CloseDate,'Rent Roll'!$O$27-1),1,0)</f>
        <v>1</v>
      </c>
      <c r="BD232" s="49">
        <f>IF(BD$4&gt;=EOMONTH(CloseDate,'Rent Roll'!$O$27-1),1,0)</f>
        <v>1</v>
      </c>
      <c r="BE232" s="49">
        <f>IF(BE$4&gt;=EOMONTH(CloseDate,'Rent Roll'!$O$27-1),1,0)</f>
        <v>1</v>
      </c>
      <c r="BF232" s="49">
        <f>IF(BF$4&gt;=EOMONTH(CloseDate,'Rent Roll'!$O$27-1),1,0)</f>
        <v>1</v>
      </c>
      <c r="BG232" s="49">
        <f>IF(BG$4&gt;=EOMONTH(CloseDate,'Rent Roll'!$O$27-1),1,0)</f>
        <v>1</v>
      </c>
      <c r="BH232" s="49">
        <f>IF(BH$4&gt;=EOMONTH(CloseDate,'Rent Roll'!$O$27-1),1,0)</f>
        <v>1</v>
      </c>
      <c r="BI232" s="49">
        <f>IF(BI$4&gt;=EOMONTH(CloseDate,'Rent Roll'!$O$27-1),1,0)</f>
        <v>1</v>
      </c>
      <c r="BJ232" s="49">
        <f>IF(BJ$4&gt;=EOMONTH(CloseDate,'Rent Roll'!$O$27-1),1,0)</f>
        <v>1</v>
      </c>
      <c r="BK232" s="49">
        <f>IF(BK$4&gt;=EOMONTH(CloseDate,'Rent Roll'!$O$27-1),1,0)</f>
        <v>1</v>
      </c>
      <c r="BL232" s="49">
        <f>IF(BL$4&gt;=EOMONTH(CloseDate,'Rent Roll'!$O$27-1),1,0)</f>
        <v>1</v>
      </c>
      <c r="BM232" s="49">
        <f>IF(BM$4&gt;=EOMONTH(CloseDate,'Rent Roll'!$O$27-1),1,0)</f>
        <v>1</v>
      </c>
      <c r="BN232" s="49">
        <f>IF(BN$4&gt;=EOMONTH(CloseDate,'Rent Roll'!$O$27-1),1,0)</f>
        <v>1</v>
      </c>
      <c r="BO232" s="49">
        <f>IF(BO$4&gt;=EOMONTH(CloseDate,'Rent Roll'!$O$27-1),1,0)</f>
        <v>1</v>
      </c>
      <c r="BP232" s="49">
        <f>IF(BP$4&gt;=EOMONTH(CloseDate,'Rent Roll'!$O$27-1),1,0)</f>
        <v>1</v>
      </c>
      <c r="BQ232" s="49">
        <f>IF(BQ$4&gt;=EOMONTH(CloseDate,'Rent Roll'!$O$27-1),1,0)</f>
        <v>1</v>
      </c>
      <c r="BR232" s="49">
        <f>IF(BR$4&gt;=EOMONTH(CloseDate,'Rent Roll'!$O$27-1),1,0)</f>
        <v>1</v>
      </c>
      <c r="BS232" s="49">
        <f>IF(BS$4&gt;=EOMONTH(CloseDate,'Rent Roll'!$O$27-1),1,0)</f>
        <v>1</v>
      </c>
      <c r="BT232" s="49">
        <f>IF(BT$4&gt;=EOMONTH(CloseDate,'Rent Roll'!$O$27-1),1,0)</f>
        <v>1</v>
      </c>
      <c r="BU232" s="49">
        <f>IF(BU$4&gt;=EOMONTH(CloseDate,'Rent Roll'!$O$27-1),1,0)</f>
        <v>1</v>
      </c>
      <c r="BV232" s="49">
        <f>IF(BV$4&gt;=EOMONTH(CloseDate,'Rent Roll'!$O$27-1),1,0)</f>
        <v>1</v>
      </c>
      <c r="BW232" s="49">
        <f>IF(BW$4&gt;=EOMONTH(CloseDate,'Rent Roll'!$O$27-1),1,0)</f>
        <v>1</v>
      </c>
      <c r="BX232" s="49">
        <f>IF(BX$4&gt;=EOMONTH(CloseDate,'Rent Roll'!$O$27-1),1,0)</f>
        <v>1</v>
      </c>
    </row>
    <row r="233" spans="1:76" hidden="1" outlineLevel="1">
      <c r="B233" t="s">
        <v>162</v>
      </c>
      <c r="D233" s="49">
        <f>IF(D232=1,'Rent Roll'!$F$27*'Rent Roll'!$X$27/12*D$6,0)</f>
        <v>0</v>
      </c>
      <c r="E233" s="49">
        <f>IF(E232=1,'Rent Roll'!$F$27*'Rent Roll'!$X$27/12*E$6,0)</f>
        <v>0</v>
      </c>
      <c r="F233" s="49">
        <f>IF(F232=1,'Rent Roll'!$F$27*'Rent Roll'!$X$27/12*F$6,0)</f>
        <v>0</v>
      </c>
      <c r="G233" s="49">
        <f>IF(G232=1,'Rent Roll'!$F$27*'Rent Roll'!$X$27/12*G$6,0)</f>
        <v>0</v>
      </c>
      <c r="H233" s="49">
        <f>IF(H232=1,'Rent Roll'!$F$27*'Rent Roll'!$X$27/12*H$6,0)</f>
        <v>11924.437499999998</v>
      </c>
      <c r="I233" s="49">
        <f>IF(I232=1,'Rent Roll'!$F$27*'Rent Roll'!$X$27/12*I$6,0)</f>
        <v>12246.397312499997</v>
      </c>
      <c r="J233" s="49">
        <f>IF(J232=1,'Rent Roll'!$F$27*'Rent Roll'!$X$27/12*J$6,0)</f>
        <v>12246.397312499997</v>
      </c>
      <c r="K233" s="49">
        <f>IF(K232=1,'Rent Roll'!$F$27*'Rent Roll'!$X$27/12*K$6,0)</f>
        <v>12246.397312499997</v>
      </c>
      <c r="L233" s="49">
        <f>IF(L232=1,'Rent Roll'!$F$27*'Rent Roll'!$X$27/12*L$6,0)</f>
        <v>12246.397312499997</v>
      </c>
      <c r="M233" s="49">
        <f>IF(M232=1,'Rent Roll'!$F$27*'Rent Roll'!$X$27/12*M$6,0)</f>
        <v>12246.397312499997</v>
      </c>
      <c r="N233" s="49">
        <f>IF(N232=1,'Rent Roll'!$F$27*'Rent Roll'!$X$27/12*N$6,0)</f>
        <v>12246.397312499997</v>
      </c>
      <c r="O233" s="49">
        <f>IF(O232=1,'Rent Roll'!$F$27*'Rent Roll'!$X$27/12*O$6,0)</f>
        <v>12246.397312499997</v>
      </c>
      <c r="P233" s="49">
        <f>IF(P232=1,'Rent Roll'!$F$27*'Rent Roll'!$X$27/12*P$6,0)</f>
        <v>12246.397312499997</v>
      </c>
      <c r="Q233" s="49">
        <f>IF(Q232=1,'Rent Roll'!$F$27*'Rent Roll'!$X$27/12*Q$6,0)</f>
        <v>12246.397312499997</v>
      </c>
      <c r="R233" s="49">
        <f>IF(R232=1,'Rent Roll'!$F$27*'Rent Roll'!$X$27/12*R$6,0)</f>
        <v>12246.397312499997</v>
      </c>
      <c r="S233" s="49">
        <f>IF(S232=1,'Rent Roll'!$F$27*'Rent Roll'!$X$27/12*S$6,0)</f>
        <v>12246.397312499997</v>
      </c>
      <c r="T233" s="49">
        <f>IF(T232=1,'Rent Roll'!$F$27*'Rent Roll'!$X$27/12*T$6,0)</f>
        <v>12246.397312499997</v>
      </c>
      <c r="U233" s="49">
        <f>IF(U232=1,'Rent Roll'!$F$27*'Rent Roll'!$X$27/12*U$6,0)</f>
        <v>12577.050039937496</v>
      </c>
      <c r="V233" s="49">
        <f>IF(V232=1,'Rent Roll'!$F$27*'Rent Roll'!$X$27/12*V$6,0)</f>
        <v>12577.050039937496</v>
      </c>
      <c r="W233" s="49">
        <f>IF(W232=1,'Rent Roll'!$F$27*'Rent Roll'!$X$27/12*W$6,0)</f>
        <v>12577.050039937496</v>
      </c>
      <c r="X233" s="49">
        <f>IF(X232=1,'Rent Roll'!$F$27*'Rent Roll'!$X$27/12*X$6,0)</f>
        <v>12577.050039937496</v>
      </c>
      <c r="Y233" s="49">
        <f>IF(Y232=1,'Rent Roll'!$F$27*'Rent Roll'!$X$27/12*Y$6,0)</f>
        <v>12577.050039937496</v>
      </c>
      <c r="Z233" s="49">
        <f>IF(Z232=1,'Rent Roll'!$F$27*'Rent Roll'!$X$27/12*Z$6,0)</f>
        <v>12577.050039937496</v>
      </c>
      <c r="AA233" s="49">
        <f>IF(AA232=1,'Rent Roll'!$F$27*'Rent Roll'!$X$27/12*AA$6,0)</f>
        <v>12577.050039937496</v>
      </c>
      <c r="AB233" s="49">
        <f>IF(AB232=1,'Rent Roll'!$F$27*'Rent Roll'!$X$27/12*AB$6,0)</f>
        <v>12577.050039937496</v>
      </c>
      <c r="AC233" s="49">
        <f>IF(AC232=1,'Rent Roll'!$F$27*'Rent Roll'!$X$27/12*AC$6,0)</f>
        <v>12577.050039937496</v>
      </c>
      <c r="AD233" s="49">
        <f>IF(AD232=1,'Rent Roll'!$F$27*'Rent Roll'!$X$27/12*AD$6,0)</f>
        <v>12577.050039937496</v>
      </c>
      <c r="AE233" s="49">
        <f>IF(AE232=1,'Rent Roll'!$F$27*'Rent Roll'!$X$27/12*AE$6,0)</f>
        <v>12577.050039937496</v>
      </c>
      <c r="AF233" s="49">
        <f>IF(AF232=1,'Rent Roll'!$F$27*'Rent Roll'!$X$27/12*AF$6,0)</f>
        <v>12577.050039937496</v>
      </c>
      <c r="AG233" s="49">
        <f>IF(AG232=1,'Rent Roll'!$F$27*'Rent Roll'!$X$27/12*AG$6,0)</f>
        <v>12916.630391015808</v>
      </c>
      <c r="AH233" s="49">
        <f>IF(AH232=1,'Rent Roll'!$F$27*'Rent Roll'!$X$27/12*AH$6,0)</f>
        <v>12916.630391015808</v>
      </c>
      <c r="AI233" s="49">
        <f>IF(AI232=1,'Rent Roll'!$F$27*'Rent Roll'!$X$27/12*AI$6,0)</f>
        <v>12916.630391015808</v>
      </c>
      <c r="AJ233" s="49">
        <f>IF(AJ232=1,'Rent Roll'!$F$27*'Rent Roll'!$X$27/12*AJ$6,0)</f>
        <v>12916.630391015808</v>
      </c>
      <c r="AK233" s="49">
        <f>IF(AK232=1,'Rent Roll'!$F$27*'Rent Roll'!$X$27/12*AK$6,0)</f>
        <v>12916.630391015808</v>
      </c>
      <c r="AL233" s="49">
        <f>IF(AL232=1,'Rent Roll'!$F$27*'Rent Roll'!$X$27/12*AL$6,0)</f>
        <v>12916.630391015808</v>
      </c>
      <c r="AM233" s="49">
        <f>IF(AM232=1,'Rent Roll'!$F$27*'Rent Roll'!$X$27/12*AM$6,0)</f>
        <v>12916.630391015808</v>
      </c>
      <c r="AN233" s="49">
        <f>IF(AN232=1,'Rent Roll'!$F$27*'Rent Roll'!$X$27/12*AN$6,0)</f>
        <v>12916.630391015808</v>
      </c>
      <c r="AO233" s="49">
        <f>IF(AO232=1,'Rent Roll'!$F$27*'Rent Roll'!$X$27/12*AO$6,0)</f>
        <v>12916.630391015808</v>
      </c>
      <c r="AP233" s="49">
        <f>IF(AP232=1,'Rent Roll'!$F$27*'Rent Roll'!$X$27/12*AP$6,0)</f>
        <v>12916.630391015808</v>
      </c>
      <c r="AQ233" s="49">
        <f>IF(AQ232=1,'Rent Roll'!$F$27*'Rent Roll'!$X$27/12*AQ$6,0)</f>
        <v>12916.630391015808</v>
      </c>
      <c r="AR233" s="49">
        <f>IF(AR232=1,'Rent Roll'!$F$27*'Rent Roll'!$X$27/12*AR$6,0)</f>
        <v>12916.630391015808</v>
      </c>
      <c r="AS233" s="49">
        <f>IF(AS232=1,'Rent Roll'!$F$27*'Rent Roll'!$X$27/12*AS$6,0)</f>
        <v>13265.379411573233</v>
      </c>
      <c r="AT233" s="49">
        <f>IF(AT232=1,'Rent Roll'!$F$27*'Rent Roll'!$X$27/12*AT$6,0)</f>
        <v>13265.379411573233</v>
      </c>
      <c r="AU233" s="49">
        <f>IF(AU232=1,'Rent Roll'!$F$27*'Rent Roll'!$X$27/12*AU$6,0)</f>
        <v>13265.379411573233</v>
      </c>
      <c r="AV233" s="49">
        <f>IF(AV232=1,'Rent Roll'!$F$27*'Rent Roll'!$X$27/12*AV$6,0)</f>
        <v>13265.379411573233</v>
      </c>
      <c r="AW233" s="49">
        <f>IF(AW232=1,'Rent Roll'!$F$27*'Rent Roll'!$X$27/12*AW$6,0)</f>
        <v>13265.379411573233</v>
      </c>
      <c r="AX233" s="49">
        <f>IF(AX232=1,'Rent Roll'!$F$27*'Rent Roll'!$X$27/12*AX$6,0)</f>
        <v>13265.379411573233</v>
      </c>
      <c r="AY233" s="49">
        <f>IF(AY232=1,'Rent Roll'!$F$27*'Rent Roll'!$X$27/12*AY$6,0)</f>
        <v>13265.379411573233</v>
      </c>
      <c r="AZ233" s="49">
        <f>IF(AZ232=1,'Rent Roll'!$F$27*'Rent Roll'!$X$27/12*AZ$6,0)</f>
        <v>13265.379411573233</v>
      </c>
      <c r="BA233" s="49">
        <f>IF(BA232=1,'Rent Roll'!$F$27*'Rent Roll'!$X$27/12*BA$6,0)</f>
        <v>13265.379411573233</v>
      </c>
      <c r="BB233" s="49">
        <f>IF(BB232=1,'Rent Roll'!$F$27*'Rent Roll'!$X$27/12*BB$6,0)</f>
        <v>13265.379411573233</v>
      </c>
      <c r="BC233" s="49">
        <f>IF(BC232=1,'Rent Roll'!$F$27*'Rent Roll'!$X$27/12*BC$6,0)</f>
        <v>13265.379411573233</v>
      </c>
      <c r="BD233" s="49">
        <f>IF(BD232=1,'Rent Roll'!$F$27*'Rent Roll'!$X$27/12*BD$6,0)</f>
        <v>13265.379411573233</v>
      </c>
      <c r="BE233" s="49">
        <f>IF(BE232=1,'Rent Roll'!$F$27*'Rent Roll'!$X$27/12*BE$6,0)</f>
        <v>13623.54465568571</v>
      </c>
      <c r="BF233" s="49">
        <f>IF(BF232=1,'Rent Roll'!$F$27*'Rent Roll'!$X$27/12*BF$6,0)</f>
        <v>13623.54465568571</v>
      </c>
      <c r="BG233" s="49">
        <f>IF(BG232=1,'Rent Roll'!$F$27*'Rent Roll'!$X$27/12*BG$6,0)</f>
        <v>13623.54465568571</v>
      </c>
      <c r="BH233" s="49">
        <f>IF(BH232=1,'Rent Roll'!$F$27*'Rent Roll'!$X$27/12*BH$6,0)</f>
        <v>13623.54465568571</v>
      </c>
      <c r="BI233" s="49">
        <f>IF(BI232=1,'Rent Roll'!$F$27*'Rent Roll'!$X$27/12*BI$6,0)</f>
        <v>13623.54465568571</v>
      </c>
      <c r="BJ233" s="49">
        <f>IF(BJ232=1,'Rent Roll'!$F$27*'Rent Roll'!$X$27/12*BJ$6,0)</f>
        <v>13623.54465568571</v>
      </c>
      <c r="BK233" s="49">
        <f>IF(BK232=1,'Rent Roll'!$F$27*'Rent Roll'!$X$27/12*BK$6,0)</f>
        <v>13623.54465568571</v>
      </c>
      <c r="BL233" s="49">
        <f>IF(BL232=1,'Rent Roll'!$F$27*'Rent Roll'!$X$27/12*BL$6,0)</f>
        <v>13623.54465568571</v>
      </c>
      <c r="BM233" s="49">
        <f>IF(BM232=1,'Rent Roll'!$F$27*'Rent Roll'!$X$27/12*BM$6,0)</f>
        <v>13623.54465568571</v>
      </c>
      <c r="BN233" s="49">
        <f>IF(BN232=1,'Rent Roll'!$F$27*'Rent Roll'!$X$27/12*BN$6,0)</f>
        <v>13623.54465568571</v>
      </c>
      <c r="BO233" s="49">
        <f>IF(BO232=1,'Rent Roll'!$F$27*'Rent Roll'!$X$27/12*BO$6,0)</f>
        <v>13623.54465568571</v>
      </c>
      <c r="BP233" s="49">
        <f>IF(BP232=1,'Rent Roll'!$F$27*'Rent Roll'!$X$27/12*BP$6,0)</f>
        <v>13623.54465568571</v>
      </c>
      <c r="BQ233" s="49">
        <f>IF(BQ232=1,'Rent Roll'!$F$27*'Rent Roll'!$X$27/12*BQ$6,0)</f>
        <v>13991.380361389221</v>
      </c>
      <c r="BR233" s="49">
        <f>IF(BR232=1,'Rent Roll'!$F$27*'Rent Roll'!$X$27/12*BR$6,0)</f>
        <v>13991.380361389221</v>
      </c>
      <c r="BS233" s="49">
        <f>IF(BS232=1,'Rent Roll'!$F$27*'Rent Roll'!$X$27/12*BS$6,0)</f>
        <v>13991.380361389221</v>
      </c>
      <c r="BT233" s="49">
        <f>IF(BT232=1,'Rent Roll'!$F$27*'Rent Roll'!$X$27/12*BT$6,0)</f>
        <v>13991.380361389221</v>
      </c>
      <c r="BU233" s="49">
        <f>IF(BU232=1,'Rent Roll'!$F$27*'Rent Roll'!$X$27/12*BU$6,0)</f>
        <v>13991.380361389221</v>
      </c>
      <c r="BV233" s="49">
        <f>IF(BV232=1,'Rent Roll'!$F$27*'Rent Roll'!$X$27/12*BV$6,0)</f>
        <v>13991.380361389221</v>
      </c>
      <c r="BW233" s="49">
        <f>IF(BW232=1,'Rent Roll'!$F$27*'Rent Roll'!$X$27/12*BW$6,0)</f>
        <v>13991.380361389221</v>
      </c>
      <c r="BX233" s="49">
        <f>IF(BX232=1,'Rent Roll'!$F$27*'Rent Roll'!$X$27/12*BX$6,0)</f>
        <v>13991.380361389221</v>
      </c>
    </row>
    <row r="234" spans="1:76" hidden="1" outlineLevel="1">
      <c r="B234" t="s">
        <v>163</v>
      </c>
      <c r="D234" s="49">
        <f>IF(AND(D$4&gt;=EOMONTH(CloseDate,'Rent Roll'!$O$27-1),D$4&lt;EOMONTH(CloseDate,'Rent Roll'!$O$27-1+'Rent Roll'!$V$27)),-D233,0)</f>
        <v>0</v>
      </c>
      <c r="E234" s="49">
        <f>IF(AND(E$4&gt;=EOMONTH(CloseDate,'Rent Roll'!$O$27-1),E$4&lt;EOMONTH(CloseDate,'Rent Roll'!$O$27-1+'Rent Roll'!$V$27)),-E233,0)</f>
        <v>0</v>
      </c>
      <c r="F234" s="49">
        <f>IF(AND(F$4&gt;=EOMONTH(CloseDate,'Rent Roll'!$O$27-1),F$4&lt;EOMONTH(CloseDate,'Rent Roll'!$O$27-1+'Rent Roll'!$V$27)),-F233,0)</f>
        <v>0</v>
      </c>
      <c r="G234" s="49">
        <f>IF(AND(G$4&gt;=EOMONTH(CloseDate,'Rent Roll'!$O$27-1),G$4&lt;EOMONTH(CloseDate,'Rent Roll'!$O$27-1+'Rent Roll'!$V$27)),-G233,0)</f>
        <v>0</v>
      </c>
      <c r="H234" s="49">
        <f>IF(AND(H$4&gt;=EOMONTH(CloseDate,'Rent Roll'!$O$27-1),H$4&lt;EOMONTH(CloseDate,'Rent Roll'!$O$27-1+'Rent Roll'!$V$27)),-H233,0)</f>
        <v>-11924.437499999998</v>
      </c>
      <c r="I234" s="49">
        <f>IF(AND(I$4&gt;=EOMONTH(CloseDate,'Rent Roll'!$O$27-1),I$4&lt;EOMONTH(CloseDate,'Rent Roll'!$O$27-1+'Rent Roll'!$V$27)),-I233,0)</f>
        <v>-12246.397312499997</v>
      </c>
      <c r="J234" s="49">
        <f>IF(AND(J$4&gt;=EOMONTH(CloseDate,'Rent Roll'!$O$27-1),J$4&lt;EOMONTH(CloseDate,'Rent Roll'!$O$27-1+'Rent Roll'!$V$27)),-J233,0)</f>
        <v>0</v>
      </c>
      <c r="K234" s="49">
        <f>IF(AND(K$4&gt;=EOMONTH(CloseDate,'Rent Roll'!$O$27-1),K$4&lt;EOMONTH(CloseDate,'Rent Roll'!$O$27-1+'Rent Roll'!$V$27)),-K233,0)</f>
        <v>0</v>
      </c>
      <c r="L234" s="49">
        <f>IF(AND(L$4&gt;=EOMONTH(CloseDate,'Rent Roll'!$O$27-1),L$4&lt;EOMONTH(CloseDate,'Rent Roll'!$O$27-1+'Rent Roll'!$V$27)),-L233,0)</f>
        <v>0</v>
      </c>
      <c r="M234" s="49">
        <f>IF(AND(M$4&gt;=EOMONTH(CloseDate,'Rent Roll'!$O$27-1),M$4&lt;EOMONTH(CloseDate,'Rent Roll'!$O$27-1+'Rent Roll'!$V$27)),-M233,0)</f>
        <v>0</v>
      </c>
      <c r="N234" s="49">
        <f>IF(AND(N$4&gt;=EOMONTH(CloseDate,'Rent Roll'!$O$27-1),N$4&lt;EOMONTH(CloseDate,'Rent Roll'!$O$27-1+'Rent Roll'!$V$27)),-N233,0)</f>
        <v>0</v>
      </c>
      <c r="O234" s="49">
        <f>IF(AND(O$4&gt;=EOMONTH(CloseDate,'Rent Roll'!$O$27-1),O$4&lt;EOMONTH(CloseDate,'Rent Roll'!$O$27-1+'Rent Roll'!$V$27)),-O233,0)</f>
        <v>0</v>
      </c>
      <c r="P234" s="49">
        <f>IF(AND(P$4&gt;=EOMONTH(CloseDate,'Rent Roll'!$O$27-1),P$4&lt;EOMONTH(CloseDate,'Rent Roll'!$O$27-1+'Rent Roll'!$V$27)),-P233,0)</f>
        <v>0</v>
      </c>
      <c r="Q234" s="49">
        <f>IF(AND(Q$4&gt;=EOMONTH(CloseDate,'Rent Roll'!$O$27-1),Q$4&lt;EOMONTH(CloseDate,'Rent Roll'!$O$27-1+'Rent Roll'!$V$27)),-Q233,0)</f>
        <v>0</v>
      </c>
      <c r="R234" s="49">
        <f>IF(AND(R$4&gt;=EOMONTH(CloseDate,'Rent Roll'!$O$27-1),R$4&lt;EOMONTH(CloseDate,'Rent Roll'!$O$27-1+'Rent Roll'!$V$27)),-R233,0)</f>
        <v>0</v>
      </c>
      <c r="S234" s="49">
        <f>IF(AND(S$4&gt;=EOMONTH(CloseDate,'Rent Roll'!$O$27-1),S$4&lt;EOMONTH(CloseDate,'Rent Roll'!$O$27-1+'Rent Roll'!$V$27)),-S233,0)</f>
        <v>0</v>
      </c>
      <c r="T234" s="49">
        <f>IF(AND(T$4&gt;=EOMONTH(CloseDate,'Rent Roll'!$O$27-1),T$4&lt;EOMONTH(CloseDate,'Rent Roll'!$O$27-1+'Rent Roll'!$V$27)),-T233,0)</f>
        <v>0</v>
      </c>
      <c r="U234" s="49">
        <f>IF(AND(U$4&gt;=EOMONTH(CloseDate,'Rent Roll'!$O$27-1),U$4&lt;EOMONTH(CloseDate,'Rent Roll'!$O$27-1+'Rent Roll'!$V$27)),-U233,0)</f>
        <v>0</v>
      </c>
      <c r="V234" s="49">
        <f>IF(AND(V$4&gt;=EOMONTH(CloseDate,'Rent Roll'!$O$27-1),V$4&lt;EOMONTH(CloseDate,'Rent Roll'!$O$27-1+'Rent Roll'!$V$27)),-V233,0)</f>
        <v>0</v>
      </c>
      <c r="W234" s="49">
        <f>IF(AND(W$4&gt;=EOMONTH(CloseDate,'Rent Roll'!$O$27-1),W$4&lt;EOMONTH(CloseDate,'Rent Roll'!$O$27-1+'Rent Roll'!$V$27)),-W233,0)</f>
        <v>0</v>
      </c>
      <c r="X234" s="49">
        <f>IF(AND(X$4&gt;=EOMONTH(CloseDate,'Rent Roll'!$O$27-1),X$4&lt;EOMONTH(CloseDate,'Rent Roll'!$O$27-1+'Rent Roll'!$V$27)),-X233,0)</f>
        <v>0</v>
      </c>
      <c r="Y234" s="49">
        <f>IF(AND(Y$4&gt;=EOMONTH(CloseDate,'Rent Roll'!$O$27-1),Y$4&lt;EOMONTH(CloseDate,'Rent Roll'!$O$27-1+'Rent Roll'!$V$27)),-Y233,0)</f>
        <v>0</v>
      </c>
      <c r="Z234" s="49">
        <f>IF(AND(Z$4&gt;=EOMONTH(CloseDate,'Rent Roll'!$O$27-1),Z$4&lt;EOMONTH(CloseDate,'Rent Roll'!$O$27-1+'Rent Roll'!$V$27)),-Z233,0)</f>
        <v>0</v>
      </c>
      <c r="AA234" s="49">
        <f>IF(AND(AA$4&gt;=EOMONTH(CloseDate,'Rent Roll'!$O$27-1),AA$4&lt;EOMONTH(CloseDate,'Rent Roll'!$O$27-1+'Rent Roll'!$V$27)),-AA233,0)</f>
        <v>0</v>
      </c>
      <c r="AB234" s="49">
        <f>IF(AND(AB$4&gt;=EOMONTH(CloseDate,'Rent Roll'!$O$27-1),AB$4&lt;EOMONTH(CloseDate,'Rent Roll'!$O$27-1+'Rent Roll'!$V$27)),-AB233,0)</f>
        <v>0</v>
      </c>
      <c r="AC234" s="49">
        <f>IF(AND(AC$4&gt;=EOMONTH(CloseDate,'Rent Roll'!$O$27-1),AC$4&lt;EOMONTH(CloseDate,'Rent Roll'!$O$27-1+'Rent Roll'!$V$27)),-AC233,0)</f>
        <v>0</v>
      </c>
      <c r="AD234" s="49">
        <f>IF(AND(AD$4&gt;=EOMONTH(CloseDate,'Rent Roll'!$O$27-1),AD$4&lt;EOMONTH(CloseDate,'Rent Roll'!$O$27-1+'Rent Roll'!$V$27)),-AD233,0)</f>
        <v>0</v>
      </c>
      <c r="AE234" s="49">
        <f>IF(AND(AE$4&gt;=EOMONTH(CloseDate,'Rent Roll'!$O$27-1),AE$4&lt;EOMONTH(CloseDate,'Rent Roll'!$O$27-1+'Rent Roll'!$V$27)),-AE233,0)</f>
        <v>0</v>
      </c>
      <c r="AF234" s="49">
        <f>IF(AND(AF$4&gt;=EOMONTH(CloseDate,'Rent Roll'!$O$27-1),AF$4&lt;EOMONTH(CloseDate,'Rent Roll'!$O$27-1+'Rent Roll'!$V$27)),-AF233,0)</f>
        <v>0</v>
      </c>
      <c r="AG234" s="49">
        <f>IF(AND(AG$4&gt;=EOMONTH(CloseDate,'Rent Roll'!$O$27-1),AG$4&lt;EOMONTH(CloseDate,'Rent Roll'!$O$27-1+'Rent Roll'!$V$27)),-AG233,0)</f>
        <v>0</v>
      </c>
      <c r="AH234" s="49">
        <f>IF(AND(AH$4&gt;=EOMONTH(CloseDate,'Rent Roll'!$O$27-1),AH$4&lt;EOMONTH(CloseDate,'Rent Roll'!$O$27-1+'Rent Roll'!$V$27)),-AH233,0)</f>
        <v>0</v>
      </c>
      <c r="AI234" s="49">
        <f>IF(AND(AI$4&gt;=EOMONTH(CloseDate,'Rent Roll'!$O$27-1),AI$4&lt;EOMONTH(CloseDate,'Rent Roll'!$O$27-1+'Rent Roll'!$V$27)),-AI233,0)</f>
        <v>0</v>
      </c>
      <c r="AJ234" s="49">
        <f>IF(AND(AJ$4&gt;=EOMONTH(CloseDate,'Rent Roll'!$O$27-1),AJ$4&lt;EOMONTH(CloseDate,'Rent Roll'!$O$27-1+'Rent Roll'!$V$27)),-AJ233,0)</f>
        <v>0</v>
      </c>
      <c r="AK234" s="49">
        <f>IF(AND(AK$4&gt;=EOMONTH(CloseDate,'Rent Roll'!$O$27-1),AK$4&lt;EOMONTH(CloseDate,'Rent Roll'!$O$27-1+'Rent Roll'!$V$27)),-AK233,0)</f>
        <v>0</v>
      </c>
      <c r="AL234" s="49">
        <f>IF(AND(AL$4&gt;=EOMONTH(CloseDate,'Rent Roll'!$O$27-1),AL$4&lt;EOMONTH(CloseDate,'Rent Roll'!$O$27-1+'Rent Roll'!$V$27)),-AL233,0)</f>
        <v>0</v>
      </c>
      <c r="AM234" s="49">
        <f>IF(AND(AM$4&gt;=EOMONTH(CloseDate,'Rent Roll'!$O$27-1),AM$4&lt;EOMONTH(CloseDate,'Rent Roll'!$O$27-1+'Rent Roll'!$V$27)),-AM233,0)</f>
        <v>0</v>
      </c>
      <c r="AN234" s="49">
        <f>IF(AND(AN$4&gt;=EOMONTH(CloseDate,'Rent Roll'!$O$27-1),AN$4&lt;EOMONTH(CloseDate,'Rent Roll'!$O$27-1+'Rent Roll'!$V$27)),-AN233,0)</f>
        <v>0</v>
      </c>
      <c r="AO234" s="49">
        <f>IF(AND(AO$4&gt;=EOMONTH(CloseDate,'Rent Roll'!$O$27-1),AO$4&lt;EOMONTH(CloseDate,'Rent Roll'!$O$27-1+'Rent Roll'!$V$27)),-AO233,0)</f>
        <v>0</v>
      </c>
      <c r="AP234" s="49">
        <f>IF(AND(AP$4&gt;=EOMONTH(CloseDate,'Rent Roll'!$O$27-1),AP$4&lt;EOMONTH(CloseDate,'Rent Roll'!$O$27-1+'Rent Roll'!$V$27)),-AP233,0)</f>
        <v>0</v>
      </c>
      <c r="AQ234" s="49">
        <f>IF(AND(AQ$4&gt;=EOMONTH(CloseDate,'Rent Roll'!$O$27-1),AQ$4&lt;EOMONTH(CloseDate,'Rent Roll'!$O$27-1+'Rent Roll'!$V$27)),-AQ233,0)</f>
        <v>0</v>
      </c>
      <c r="AR234" s="49">
        <f>IF(AND(AR$4&gt;=EOMONTH(CloseDate,'Rent Roll'!$O$27-1),AR$4&lt;EOMONTH(CloseDate,'Rent Roll'!$O$27-1+'Rent Roll'!$V$27)),-AR233,0)</f>
        <v>0</v>
      </c>
      <c r="AS234" s="49">
        <f>IF(AND(AS$4&gt;=EOMONTH(CloseDate,'Rent Roll'!$O$27-1),AS$4&lt;EOMONTH(CloseDate,'Rent Roll'!$O$27-1+'Rent Roll'!$V$27)),-AS233,0)</f>
        <v>0</v>
      </c>
      <c r="AT234" s="49">
        <f>IF(AND(AT$4&gt;=EOMONTH(CloseDate,'Rent Roll'!$O$27-1),AT$4&lt;EOMONTH(CloseDate,'Rent Roll'!$O$27-1+'Rent Roll'!$V$27)),-AT233,0)</f>
        <v>0</v>
      </c>
      <c r="AU234" s="49">
        <f>IF(AND(AU$4&gt;=EOMONTH(CloseDate,'Rent Roll'!$O$27-1),AU$4&lt;EOMONTH(CloseDate,'Rent Roll'!$O$27-1+'Rent Roll'!$V$27)),-AU233,0)</f>
        <v>0</v>
      </c>
      <c r="AV234" s="49">
        <f>IF(AND(AV$4&gt;=EOMONTH(CloseDate,'Rent Roll'!$O$27-1),AV$4&lt;EOMONTH(CloseDate,'Rent Roll'!$O$27-1+'Rent Roll'!$V$27)),-AV233,0)</f>
        <v>0</v>
      </c>
      <c r="AW234" s="49">
        <f>IF(AND(AW$4&gt;=EOMONTH(CloseDate,'Rent Roll'!$O$27-1),AW$4&lt;EOMONTH(CloseDate,'Rent Roll'!$O$27-1+'Rent Roll'!$V$27)),-AW233,0)</f>
        <v>0</v>
      </c>
      <c r="AX234" s="49">
        <f>IF(AND(AX$4&gt;=EOMONTH(CloseDate,'Rent Roll'!$O$27-1),AX$4&lt;EOMONTH(CloseDate,'Rent Roll'!$O$27-1+'Rent Roll'!$V$27)),-AX233,0)</f>
        <v>0</v>
      </c>
      <c r="AY234" s="49">
        <f>IF(AND(AY$4&gt;=EOMONTH(CloseDate,'Rent Roll'!$O$27-1),AY$4&lt;EOMONTH(CloseDate,'Rent Roll'!$O$27-1+'Rent Roll'!$V$27)),-AY233,0)</f>
        <v>0</v>
      </c>
      <c r="AZ234" s="49">
        <f>IF(AND(AZ$4&gt;=EOMONTH(CloseDate,'Rent Roll'!$O$27-1),AZ$4&lt;EOMONTH(CloseDate,'Rent Roll'!$O$27-1+'Rent Roll'!$V$27)),-AZ233,0)</f>
        <v>0</v>
      </c>
      <c r="BA234" s="49">
        <f>IF(AND(BA$4&gt;=EOMONTH(CloseDate,'Rent Roll'!$O$27-1),BA$4&lt;EOMONTH(CloseDate,'Rent Roll'!$O$27-1+'Rent Roll'!$V$27)),-BA233,0)</f>
        <v>0</v>
      </c>
      <c r="BB234" s="49">
        <f>IF(AND(BB$4&gt;=EOMONTH(CloseDate,'Rent Roll'!$O$27-1),BB$4&lt;EOMONTH(CloseDate,'Rent Roll'!$O$27-1+'Rent Roll'!$V$27)),-BB233,0)</f>
        <v>0</v>
      </c>
      <c r="BC234" s="49">
        <f>IF(AND(BC$4&gt;=EOMONTH(CloseDate,'Rent Roll'!$O$27-1),BC$4&lt;EOMONTH(CloseDate,'Rent Roll'!$O$27-1+'Rent Roll'!$V$27)),-BC233,0)</f>
        <v>0</v>
      </c>
      <c r="BD234" s="49">
        <f>IF(AND(BD$4&gt;=EOMONTH(CloseDate,'Rent Roll'!$O$27-1),BD$4&lt;EOMONTH(CloseDate,'Rent Roll'!$O$27-1+'Rent Roll'!$V$27)),-BD233,0)</f>
        <v>0</v>
      </c>
      <c r="BE234" s="49">
        <f>IF(AND(BE$4&gt;=EOMONTH(CloseDate,'Rent Roll'!$O$27-1),BE$4&lt;EOMONTH(CloseDate,'Rent Roll'!$O$27-1+'Rent Roll'!$V$27)),-BE233,0)</f>
        <v>0</v>
      </c>
      <c r="BF234" s="49">
        <f>IF(AND(BF$4&gt;=EOMONTH(CloseDate,'Rent Roll'!$O$27-1),BF$4&lt;EOMONTH(CloseDate,'Rent Roll'!$O$27-1+'Rent Roll'!$V$27)),-BF233,0)</f>
        <v>0</v>
      </c>
      <c r="BG234" s="49">
        <f>IF(AND(BG$4&gt;=EOMONTH(CloseDate,'Rent Roll'!$O$27-1),BG$4&lt;EOMONTH(CloseDate,'Rent Roll'!$O$27-1+'Rent Roll'!$V$27)),-BG233,0)</f>
        <v>0</v>
      </c>
      <c r="BH234" s="49">
        <f>IF(AND(BH$4&gt;=EOMONTH(CloseDate,'Rent Roll'!$O$27-1),BH$4&lt;EOMONTH(CloseDate,'Rent Roll'!$O$27-1+'Rent Roll'!$V$27)),-BH233,0)</f>
        <v>0</v>
      </c>
      <c r="BI234" s="49">
        <f>IF(AND(BI$4&gt;=EOMONTH(CloseDate,'Rent Roll'!$O$27-1),BI$4&lt;EOMONTH(CloseDate,'Rent Roll'!$O$27-1+'Rent Roll'!$V$27)),-BI233,0)</f>
        <v>0</v>
      </c>
      <c r="BJ234" s="49">
        <f>IF(AND(BJ$4&gt;=EOMONTH(CloseDate,'Rent Roll'!$O$27-1),BJ$4&lt;EOMONTH(CloseDate,'Rent Roll'!$O$27-1+'Rent Roll'!$V$27)),-BJ233,0)</f>
        <v>0</v>
      </c>
      <c r="BK234" s="49">
        <f>IF(AND(BK$4&gt;=EOMONTH(CloseDate,'Rent Roll'!$O$27-1),BK$4&lt;EOMONTH(CloseDate,'Rent Roll'!$O$27-1+'Rent Roll'!$V$27)),-BK233,0)</f>
        <v>0</v>
      </c>
      <c r="BL234" s="49">
        <f>IF(AND(BL$4&gt;=EOMONTH(CloseDate,'Rent Roll'!$O$27-1),BL$4&lt;EOMONTH(CloseDate,'Rent Roll'!$O$27-1+'Rent Roll'!$V$27)),-BL233,0)</f>
        <v>0</v>
      </c>
      <c r="BM234" s="49">
        <f>IF(AND(BM$4&gt;=EOMONTH(CloseDate,'Rent Roll'!$O$27-1),BM$4&lt;EOMONTH(CloseDate,'Rent Roll'!$O$27-1+'Rent Roll'!$V$27)),-BM233,0)</f>
        <v>0</v>
      </c>
      <c r="BN234" s="49">
        <f>IF(AND(BN$4&gt;=EOMONTH(CloseDate,'Rent Roll'!$O$27-1),BN$4&lt;EOMONTH(CloseDate,'Rent Roll'!$O$27-1+'Rent Roll'!$V$27)),-BN233,0)</f>
        <v>0</v>
      </c>
      <c r="BO234" s="49">
        <f>IF(AND(BO$4&gt;=EOMONTH(CloseDate,'Rent Roll'!$O$27-1),BO$4&lt;EOMONTH(CloseDate,'Rent Roll'!$O$27-1+'Rent Roll'!$V$27)),-BO233,0)</f>
        <v>0</v>
      </c>
      <c r="BP234" s="49">
        <f>IF(AND(BP$4&gt;=EOMONTH(CloseDate,'Rent Roll'!$O$27-1),BP$4&lt;EOMONTH(CloseDate,'Rent Roll'!$O$27-1+'Rent Roll'!$V$27)),-BP233,0)</f>
        <v>0</v>
      </c>
      <c r="BQ234" s="49">
        <f>IF(AND(BQ$4&gt;=EOMONTH(CloseDate,'Rent Roll'!$O$27-1),BQ$4&lt;EOMONTH(CloseDate,'Rent Roll'!$O$27-1+'Rent Roll'!$V$27)),-BQ233,0)</f>
        <v>0</v>
      </c>
      <c r="BR234" s="49">
        <f>IF(AND(BR$4&gt;=EOMONTH(CloseDate,'Rent Roll'!$O$27-1),BR$4&lt;EOMONTH(CloseDate,'Rent Roll'!$O$27-1+'Rent Roll'!$V$27)),-BR233,0)</f>
        <v>0</v>
      </c>
      <c r="BS234" s="49">
        <f>IF(AND(BS$4&gt;=EOMONTH(CloseDate,'Rent Roll'!$O$27-1),BS$4&lt;EOMONTH(CloseDate,'Rent Roll'!$O$27-1+'Rent Roll'!$V$27)),-BS233,0)</f>
        <v>0</v>
      </c>
      <c r="BT234" s="49">
        <f>IF(AND(BT$4&gt;=EOMONTH(CloseDate,'Rent Roll'!$O$27-1),BT$4&lt;EOMONTH(CloseDate,'Rent Roll'!$O$27-1+'Rent Roll'!$V$27)),-BT233,0)</f>
        <v>0</v>
      </c>
      <c r="BU234" s="49">
        <f>IF(AND(BU$4&gt;=EOMONTH(CloseDate,'Rent Roll'!$O$27-1),BU$4&lt;EOMONTH(CloseDate,'Rent Roll'!$O$27-1+'Rent Roll'!$V$27)),-BU233,0)</f>
        <v>0</v>
      </c>
      <c r="BV234" s="49">
        <f>IF(AND(BV$4&gt;=EOMONTH(CloseDate,'Rent Roll'!$O$27-1),BV$4&lt;EOMONTH(CloseDate,'Rent Roll'!$O$27-1+'Rent Roll'!$V$27)),-BV233,0)</f>
        <v>0</v>
      </c>
      <c r="BW234" s="49">
        <f>IF(AND(BW$4&gt;=EOMONTH(CloseDate,'Rent Roll'!$O$27-1),BW$4&lt;EOMONTH(CloseDate,'Rent Roll'!$O$27-1+'Rent Roll'!$V$27)),-BW233,0)</f>
        <v>0</v>
      </c>
      <c r="BX234" s="49">
        <f>IF(AND(BX$4&gt;=EOMONTH(CloseDate,'Rent Roll'!$O$27-1),BX$4&lt;EOMONTH(CloseDate,'Rent Roll'!$O$27-1+'Rent Roll'!$V$27)),-BX233,0)</f>
        <v>0</v>
      </c>
    </row>
    <row r="235" spans="1:76" hidden="1" outlineLevel="1">
      <c r="B235" t="s">
        <v>84</v>
      </c>
      <c r="D235" s="49">
        <f>D231+D233+D234</f>
        <v>0</v>
      </c>
      <c r="E235" s="49">
        <f t="shared" ref="E235:BJ235" si="77">E231+E233+E234</f>
        <v>0</v>
      </c>
      <c r="F235" s="49">
        <f t="shared" si="77"/>
        <v>0</v>
      </c>
      <c r="G235" s="49">
        <f t="shared" si="77"/>
        <v>0</v>
      </c>
      <c r="H235" s="49">
        <f t="shared" si="77"/>
        <v>0</v>
      </c>
      <c r="I235" s="49">
        <f t="shared" si="77"/>
        <v>0</v>
      </c>
      <c r="J235" s="49">
        <f t="shared" si="77"/>
        <v>12246.397312499997</v>
      </c>
      <c r="K235" s="49">
        <f t="shared" si="77"/>
        <v>12246.397312499997</v>
      </c>
      <c r="L235" s="49">
        <f t="shared" si="77"/>
        <v>12246.397312499997</v>
      </c>
      <c r="M235" s="49">
        <f t="shared" si="77"/>
        <v>12246.397312499997</v>
      </c>
      <c r="N235" s="49">
        <f t="shared" si="77"/>
        <v>12246.397312499997</v>
      </c>
      <c r="O235" s="49">
        <f t="shared" si="77"/>
        <v>12246.397312499997</v>
      </c>
      <c r="P235" s="49">
        <f t="shared" si="77"/>
        <v>12246.397312499997</v>
      </c>
      <c r="Q235" s="49">
        <f t="shared" si="77"/>
        <v>12246.397312499997</v>
      </c>
      <c r="R235" s="49">
        <f t="shared" si="77"/>
        <v>12246.397312499997</v>
      </c>
      <c r="S235" s="49">
        <f t="shared" si="77"/>
        <v>12246.397312499997</v>
      </c>
      <c r="T235" s="49">
        <f t="shared" si="77"/>
        <v>12246.397312499997</v>
      </c>
      <c r="U235" s="49">
        <f t="shared" si="77"/>
        <v>12577.050039937496</v>
      </c>
      <c r="V235" s="49">
        <f t="shared" si="77"/>
        <v>12577.050039937496</v>
      </c>
      <c r="W235" s="49">
        <f t="shared" si="77"/>
        <v>12577.050039937496</v>
      </c>
      <c r="X235" s="49">
        <f t="shared" si="77"/>
        <v>12577.050039937496</v>
      </c>
      <c r="Y235" s="49">
        <f t="shared" si="77"/>
        <v>12577.050039937496</v>
      </c>
      <c r="Z235" s="49">
        <f t="shared" si="77"/>
        <v>12577.050039937496</v>
      </c>
      <c r="AA235" s="49">
        <f t="shared" si="77"/>
        <v>12577.050039937496</v>
      </c>
      <c r="AB235" s="49">
        <f t="shared" si="77"/>
        <v>12577.050039937496</v>
      </c>
      <c r="AC235" s="49">
        <f t="shared" si="77"/>
        <v>12577.050039937496</v>
      </c>
      <c r="AD235" s="49">
        <f t="shared" si="77"/>
        <v>12577.050039937496</v>
      </c>
      <c r="AE235" s="49">
        <f t="shared" si="77"/>
        <v>12577.050039937496</v>
      </c>
      <c r="AF235" s="49">
        <f t="shared" si="77"/>
        <v>12577.050039937496</v>
      </c>
      <c r="AG235" s="49">
        <f t="shared" si="77"/>
        <v>12916.630391015808</v>
      </c>
      <c r="AH235" s="49">
        <f t="shared" si="77"/>
        <v>12916.630391015808</v>
      </c>
      <c r="AI235" s="49">
        <f t="shared" si="77"/>
        <v>12916.630391015808</v>
      </c>
      <c r="AJ235" s="49">
        <f t="shared" si="77"/>
        <v>12916.630391015808</v>
      </c>
      <c r="AK235" s="49">
        <f t="shared" si="77"/>
        <v>12916.630391015808</v>
      </c>
      <c r="AL235" s="49">
        <f t="shared" si="77"/>
        <v>12916.630391015808</v>
      </c>
      <c r="AM235" s="49">
        <f t="shared" si="77"/>
        <v>12916.630391015808</v>
      </c>
      <c r="AN235" s="49">
        <f t="shared" si="77"/>
        <v>12916.630391015808</v>
      </c>
      <c r="AO235" s="49">
        <f t="shared" si="77"/>
        <v>12916.630391015808</v>
      </c>
      <c r="AP235" s="49">
        <f t="shared" si="77"/>
        <v>12916.630391015808</v>
      </c>
      <c r="AQ235" s="49">
        <f t="shared" si="77"/>
        <v>12916.630391015808</v>
      </c>
      <c r="AR235" s="49">
        <f t="shared" si="77"/>
        <v>12916.630391015808</v>
      </c>
      <c r="AS235" s="49">
        <f t="shared" si="77"/>
        <v>13265.379411573233</v>
      </c>
      <c r="AT235" s="49">
        <f t="shared" si="77"/>
        <v>13265.379411573233</v>
      </c>
      <c r="AU235" s="49">
        <f t="shared" si="77"/>
        <v>13265.379411573233</v>
      </c>
      <c r="AV235" s="49">
        <f t="shared" si="77"/>
        <v>13265.379411573233</v>
      </c>
      <c r="AW235" s="49">
        <f t="shared" si="77"/>
        <v>13265.379411573233</v>
      </c>
      <c r="AX235" s="49">
        <f t="shared" si="77"/>
        <v>13265.379411573233</v>
      </c>
      <c r="AY235" s="49">
        <f t="shared" si="77"/>
        <v>13265.379411573233</v>
      </c>
      <c r="AZ235" s="49">
        <f t="shared" si="77"/>
        <v>13265.379411573233</v>
      </c>
      <c r="BA235" s="49">
        <f t="shared" si="77"/>
        <v>13265.379411573233</v>
      </c>
      <c r="BB235" s="49">
        <f t="shared" si="77"/>
        <v>13265.379411573233</v>
      </c>
      <c r="BC235" s="49">
        <f t="shared" si="77"/>
        <v>13265.379411573233</v>
      </c>
      <c r="BD235" s="49">
        <f t="shared" si="77"/>
        <v>13265.379411573233</v>
      </c>
      <c r="BE235" s="49">
        <f t="shared" si="77"/>
        <v>13623.54465568571</v>
      </c>
      <c r="BF235" s="49">
        <f t="shared" si="77"/>
        <v>13623.54465568571</v>
      </c>
      <c r="BG235" s="49">
        <f t="shared" si="77"/>
        <v>13623.54465568571</v>
      </c>
      <c r="BH235" s="49">
        <f t="shared" si="77"/>
        <v>13623.54465568571</v>
      </c>
      <c r="BI235" s="49">
        <f t="shared" si="77"/>
        <v>13623.54465568571</v>
      </c>
      <c r="BJ235" s="49">
        <f t="shared" si="77"/>
        <v>13623.54465568571</v>
      </c>
      <c r="BK235" s="49">
        <f t="shared" ref="BK235" si="78">BK231+BK233+BK234</f>
        <v>13623.54465568571</v>
      </c>
      <c r="BL235" s="49">
        <f t="shared" ref="BL235:BX235" si="79">BL231+BL233+BL234</f>
        <v>13623.54465568571</v>
      </c>
      <c r="BM235" s="49">
        <f t="shared" si="79"/>
        <v>13623.54465568571</v>
      </c>
      <c r="BN235" s="49">
        <f t="shared" si="79"/>
        <v>13623.54465568571</v>
      </c>
      <c r="BO235" s="49">
        <f t="shared" si="79"/>
        <v>13623.54465568571</v>
      </c>
      <c r="BP235" s="49">
        <f t="shared" si="79"/>
        <v>13623.54465568571</v>
      </c>
      <c r="BQ235" s="49">
        <f t="shared" si="79"/>
        <v>13991.380361389221</v>
      </c>
      <c r="BR235" s="49">
        <f t="shared" si="79"/>
        <v>13991.380361389221</v>
      </c>
      <c r="BS235" s="49">
        <f t="shared" si="79"/>
        <v>13991.380361389221</v>
      </c>
      <c r="BT235" s="49">
        <f t="shared" si="79"/>
        <v>13991.380361389221</v>
      </c>
      <c r="BU235" s="49">
        <f t="shared" si="79"/>
        <v>13991.380361389221</v>
      </c>
      <c r="BV235" s="49">
        <f t="shared" si="79"/>
        <v>13991.380361389221</v>
      </c>
      <c r="BW235" s="49">
        <f t="shared" si="79"/>
        <v>13991.380361389221</v>
      </c>
      <c r="BX235" s="49">
        <f t="shared" si="79"/>
        <v>13991.380361389221</v>
      </c>
    </row>
    <row r="236" spans="1:76" hidden="1" outlineLevel="1">
      <c r="B236" t="s">
        <v>85</v>
      </c>
      <c r="D236" s="49">
        <f>IF(D232=1,'Rent Roll'!$F$27/BldgSF*ReimbPool/12*D$7,0)</f>
        <v>0</v>
      </c>
      <c r="E236" s="49">
        <f>IF(E232=1,'Rent Roll'!$F$27/BldgSF*ReimbPool/12*E$7,0)</f>
        <v>0</v>
      </c>
      <c r="F236" s="49">
        <f>IF(F232=1,'Rent Roll'!$F$27/BldgSF*ReimbPool/12*F$7,0)</f>
        <v>0</v>
      </c>
      <c r="G236" s="49">
        <f>IF(G232=1,'Rent Roll'!$F$27/BldgSF*ReimbPool/12*G$7,0)</f>
        <v>0</v>
      </c>
      <c r="H236" s="49">
        <f>IF(H232=1,'Rent Roll'!$F$27/BldgSF*ReimbPool/12*H$7,0)</f>
        <v>5060.4999999999991</v>
      </c>
      <c r="I236" s="49">
        <f>IF(I232=1,'Rent Roll'!$F$27/BldgSF*ReimbPool/12*I$7,0)</f>
        <v>5197.133499999999</v>
      </c>
      <c r="J236" s="49">
        <f>IF(J232=1,'Rent Roll'!$F$27/BldgSF*ReimbPool/12*J$7,0)</f>
        <v>5197.133499999999</v>
      </c>
      <c r="K236" s="49">
        <f>IF(K232=1,'Rent Roll'!$F$27/BldgSF*ReimbPool/12*K$7,0)</f>
        <v>5197.133499999999</v>
      </c>
      <c r="L236" s="49">
        <f>IF(L232=1,'Rent Roll'!$F$27/BldgSF*ReimbPool/12*L$7,0)</f>
        <v>5197.133499999999</v>
      </c>
      <c r="M236" s="49">
        <f>IF(M232=1,'Rent Roll'!$F$27/BldgSF*ReimbPool/12*M$7,0)</f>
        <v>5197.133499999999</v>
      </c>
      <c r="N236" s="49">
        <f>IF(N232=1,'Rent Roll'!$F$27/BldgSF*ReimbPool/12*N$7,0)</f>
        <v>5197.133499999999</v>
      </c>
      <c r="O236" s="49">
        <f>IF(O232=1,'Rent Roll'!$F$27/BldgSF*ReimbPool/12*O$7,0)</f>
        <v>5197.133499999999</v>
      </c>
      <c r="P236" s="49">
        <f>IF(P232=1,'Rent Roll'!$F$27/BldgSF*ReimbPool/12*P$7,0)</f>
        <v>5197.133499999999</v>
      </c>
      <c r="Q236" s="49">
        <f>IF(Q232=1,'Rent Roll'!$F$27/BldgSF*ReimbPool/12*Q$7,0)</f>
        <v>5197.133499999999</v>
      </c>
      <c r="R236" s="49">
        <f>IF(R232=1,'Rent Roll'!$F$27/BldgSF*ReimbPool/12*R$7,0)</f>
        <v>5197.133499999999</v>
      </c>
      <c r="S236" s="49">
        <f>IF(S232=1,'Rent Roll'!$F$27/BldgSF*ReimbPool/12*S$7,0)</f>
        <v>5197.133499999999</v>
      </c>
      <c r="T236" s="49">
        <f>IF(T232=1,'Rent Roll'!$F$27/BldgSF*ReimbPool/12*T$7,0)</f>
        <v>5197.133499999999</v>
      </c>
      <c r="U236" s="49">
        <f>IF(U232=1,'Rent Roll'!$F$27/BldgSF*ReimbPool/12*U$7,0)</f>
        <v>5337.4561044999982</v>
      </c>
      <c r="V236" s="49">
        <f>IF(V232=1,'Rent Roll'!$F$27/BldgSF*ReimbPool/12*V$7,0)</f>
        <v>5337.4561044999982</v>
      </c>
      <c r="W236" s="49">
        <f>IF(W232=1,'Rent Roll'!$F$27/BldgSF*ReimbPool/12*W$7,0)</f>
        <v>5337.4561044999982</v>
      </c>
      <c r="X236" s="49">
        <f>IF(X232=1,'Rent Roll'!$F$27/BldgSF*ReimbPool/12*X$7,0)</f>
        <v>5337.4561044999982</v>
      </c>
      <c r="Y236" s="49">
        <f>IF(Y232=1,'Rent Roll'!$F$27/BldgSF*ReimbPool/12*Y$7,0)</f>
        <v>5337.4561044999982</v>
      </c>
      <c r="Z236" s="49">
        <f>IF(Z232=1,'Rent Roll'!$F$27/BldgSF*ReimbPool/12*Z$7,0)</f>
        <v>5337.4561044999982</v>
      </c>
      <c r="AA236" s="49">
        <f>IF(AA232=1,'Rent Roll'!$F$27/BldgSF*ReimbPool/12*AA$7,0)</f>
        <v>5337.4561044999982</v>
      </c>
      <c r="AB236" s="49">
        <f>IF(AB232=1,'Rent Roll'!$F$27/BldgSF*ReimbPool/12*AB$7,0)</f>
        <v>5337.4561044999982</v>
      </c>
      <c r="AC236" s="49">
        <f>IF(AC232=1,'Rent Roll'!$F$27/BldgSF*ReimbPool/12*AC$7,0)</f>
        <v>5337.4561044999982</v>
      </c>
      <c r="AD236" s="49">
        <f>IF(AD232=1,'Rent Roll'!$F$27/BldgSF*ReimbPool/12*AD$7,0)</f>
        <v>5337.4561044999982</v>
      </c>
      <c r="AE236" s="49">
        <f>IF(AE232=1,'Rent Roll'!$F$27/BldgSF*ReimbPool/12*AE$7,0)</f>
        <v>5337.4561044999982</v>
      </c>
      <c r="AF236" s="49">
        <f>IF(AF232=1,'Rent Roll'!$F$27/BldgSF*ReimbPool/12*AF$7,0)</f>
        <v>5337.4561044999982</v>
      </c>
      <c r="AG236" s="49">
        <f>IF(AG232=1,'Rent Roll'!$F$27/BldgSF*ReimbPool/12*AG$7,0)</f>
        <v>5481.5674193214982</v>
      </c>
      <c r="AH236" s="49">
        <f>IF(AH232=1,'Rent Roll'!$F$27/BldgSF*ReimbPool/12*AH$7,0)</f>
        <v>5481.5674193214982</v>
      </c>
      <c r="AI236" s="49">
        <f>IF(AI232=1,'Rent Roll'!$F$27/BldgSF*ReimbPool/12*AI$7,0)</f>
        <v>5481.5674193214982</v>
      </c>
      <c r="AJ236" s="49">
        <f>IF(AJ232=1,'Rent Roll'!$F$27/BldgSF*ReimbPool/12*AJ$7,0)</f>
        <v>5481.5674193214982</v>
      </c>
      <c r="AK236" s="49">
        <f>IF(AK232=1,'Rent Roll'!$F$27/BldgSF*ReimbPool/12*AK$7,0)</f>
        <v>5481.5674193214982</v>
      </c>
      <c r="AL236" s="49">
        <f>IF(AL232=1,'Rent Roll'!$F$27/BldgSF*ReimbPool/12*AL$7,0)</f>
        <v>5481.5674193214982</v>
      </c>
      <c r="AM236" s="49">
        <f>IF(AM232=1,'Rent Roll'!$F$27/BldgSF*ReimbPool/12*AM$7,0)</f>
        <v>5481.5674193214982</v>
      </c>
      <c r="AN236" s="49">
        <f>IF(AN232=1,'Rent Roll'!$F$27/BldgSF*ReimbPool/12*AN$7,0)</f>
        <v>5481.5674193214982</v>
      </c>
      <c r="AO236" s="49">
        <f>IF(AO232=1,'Rent Roll'!$F$27/BldgSF*ReimbPool/12*AO$7,0)</f>
        <v>5481.5674193214982</v>
      </c>
      <c r="AP236" s="49">
        <f>IF(AP232=1,'Rent Roll'!$F$27/BldgSF*ReimbPool/12*AP$7,0)</f>
        <v>5481.5674193214982</v>
      </c>
      <c r="AQ236" s="49">
        <f>IF(AQ232=1,'Rent Roll'!$F$27/BldgSF*ReimbPool/12*AQ$7,0)</f>
        <v>5481.5674193214982</v>
      </c>
      <c r="AR236" s="49">
        <f>IF(AR232=1,'Rent Roll'!$F$27/BldgSF*ReimbPool/12*AR$7,0)</f>
        <v>5481.5674193214982</v>
      </c>
      <c r="AS236" s="49">
        <f>IF(AS232=1,'Rent Roll'!$F$27/BldgSF*ReimbPool/12*AS$7,0)</f>
        <v>5629.5697396431779</v>
      </c>
      <c r="AT236" s="49">
        <f>IF(AT232=1,'Rent Roll'!$F$27/BldgSF*ReimbPool/12*AT$7,0)</f>
        <v>5629.5697396431779</v>
      </c>
      <c r="AU236" s="49">
        <f>IF(AU232=1,'Rent Roll'!$F$27/BldgSF*ReimbPool/12*AU$7,0)</f>
        <v>5629.5697396431779</v>
      </c>
      <c r="AV236" s="49">
        <f>IF(AV232=1,'Rent Roll'!$F$27/BldgSF*ReimbPool/12*AV$7,0)</f>
        <v>5629.5697396431779</v>
      </c>
      <c r="AW236" s="49">
        <f>IF(AW232=1,'Rent Roll'!$F$27/BldgSF*ReimbPool/12*AW$7,0)</f>
        <v>5629.5697396431779</v>
      </c>
      <c r="AX236" s="49">
        <f>IF(AX232=1,'Rent Roll'!$F$27/BldgSF*ReimbPool/12*AX$7,0)</f>
        <v>5629.5697396431779</v>
      </c>
      <c r="AY236" s="49">
        <f>IF(AY232=1,'Rent Roll'!$F$27/BldgSF*ReimbPool/12*AY$7,0)</f>
        <v>5629.5697396431779</v>
      </c>
      <c r="AZ236" s="49">
        <f>IF(AZ232=1,'Rent Roll'!$F$27/BldgSF*ReimbPool/12*AZ$7,0)</f>
        <v>5629.5697396431779</v>
      </c>
      <c r="BA236" s="49">
        <f>IF(BA232=1,'Rent Roll'!$F$27/BldgSF*ReimbPool/12*BA$7,0)</f>
        <v>5629.5697396431779</v>
      </c>
      <c r="BB236" s="49">
        <f>IF(BB232=1,'Rent Roll'!$F$27/BldgSF*ReimbPool/12*BB$7,0)</f>
        <v>5629.5697396431779</v>
      </c>
      <c r="BC236" s="49">
        <f>IF(BC232=1,'Rent Roll'!$F$27/BldgSF*ReimbPool/12*BC$7,0)</f>
        <v>5629.5697396431779</v>
      </c>
      <c r="BD236" s="49">
        <f>IF(BD232=1,'Rent Roll'!$F$27/BldgSF*ReimbPool/12*BD$7,0)</f>
        <v>5629.5697396431779</v>
      </c>
      <c r="BE236" s="49">
        <f>IF(BE232=1,'Rent Roll'!$F$27/BldgSF*ReimbPool/12*BE$7,0)</f>
        <v>5781.568122613543</v>
      </c>
      <c r="BF236" s="49">
        <f>IF(BF232=1,'Rent Roll'!$F$27/BldgSF*ReimbPool/12*BF$7,0)</f>
        <v>5781.568122613543</v>
      </c>
      <c r="BG236" s="49">
        <f>IF(BG232=1,'Rent Roll'!$F$27/BldgSF*ReimbPool/12*BG$7,0)</f>
        <v>5781.568122613543</v>
      </c>
      <c r="BH236" s="49">
        <f>IF(BH232=1,'Rent Roll'!$F$27/BldgSF*ReimbPool/12*BH$7,0)</f>
        <v>5781.568122613543</v>
      </c>
      <c r="BI236" s="49">
        <f>IF(BI232=1,'Rent Roll'!$F$27/BldgSF*ReimbPool/12*BI$7,0)</f>
        <v>5781.568122613543</v>
      </c>
      <c r="BJ236" s="49">
        <f>IF(BJ232=1,'Rent Roll'!$F$27/BldgSF*ReimbPool/12*BJ$7,0)</f>
        <v>5781.568122613543</v>
      </c>
      <c r="BK236" s="49">
        <f>IF(BK232=1,'Rent Roll'!$F$27/BldgSF*ReimbPool/12*BK$7,0)</f>
        <v>5781.568122613543</v>
      </c>
      <c r="BL236" s="49">
        <f>IF(BL232=1,'Rent Roll'!$F$27/BldgSF*ReimbPool/12*BL$7,0)</f>
        <v>5781.568122613543</v>
      </c>
      <c r="BM236" s="49">
        <f>IF(BM232=1,'Rent Roll'!$F$27/BldgSF*ReimbPool/12*BM$7,0)</f>
        <v>5781.568122613543</v>
      </c>
      <c r="BN236" s="49">
        <f>IF(BN232=1,'Rent Roll'!$F$27/BldgSF*ReimbPool/12*BN$7,0)</f>
        <v>5781.568122613543</v>
      </c>
      <c r="BO236" s="49">
        <f>IF(BO232=1,'Rent Roll'!$F$27/BldgSF*ReimbPool/12*BO$7,0)</f>
        <v>5781.568122613543</v>
      </c>
      <c r="BP236" s="49">
        <f>IF(BP232=1,'Rent Roll'!$F$27/BldgSF*ReimbPool/12*BP$7,0)</f>
        <v>5781.568122613543</v>
      </c>
      <c r="BQ236" s="49">
        <f>IF(BQ232=1,'Rent Roll'!$F$27/BldgSF*ReimbPool/12*BQ$7,0)</f>
        <v>5937.6704619241073</v>
      </c>
      <c r="BR236" s="49">
        <f>IF(BR232=1,'Rent Roll'!$F$27/BldgSF*ReimbPool/12*BR$7,0)</f>
        <v>5937.6704619241073</v>
      </c>
      <c r="BS236" s="49">
        <f>IF(BS232=1,'Rent Roll'!$F$27/BldgSF*ReimbPool/12*BS$7,0)</f>
        <v>5937.6704619241073</v>
      </c>
      <c r="BT236" s="49">
        <f>IF(BT232=1,'Rent Roll'!$F$27/BldgSF*ReimbPool/12*BT$7,0)</f>
        <v>5937.6704619241073</v>
      </c>
      <c r="BU236" s="49">
        <f>IF(BU232=1,'Rent Roll'!$F$27/BldgSF*ReimbPool/12*BU$7,0)</f>
        <v>5937.6704619241073</v>
      </c>
      <c r="BV236" s="49">
        <f>IF(BV232=1,'Rent Roll'!$F$27/BldgSF*ReimbPool/12*BV$7,0)</f>
        <v>5937.6704619241073</v>
      </c>
      <c r="BW236" s="49">
        <f>IF(BW232=1,'Rent Roll'!$F$27/BldgSF*ReimbPool/12*BW$7,0)</f>
        <v>5937.6704619241073</v>
      </c>
      <c r="BX236" s="49">
        <f>IF(BX232=1,'Rent Roll'!$F$27/BldgSF*ReimbPool/12*BX$7,0)</f>
        <v>5937.6704619241073</v>
      </c>
    </row>
    <row r="237" spans="1:76" hidden="1" outlineLevel="1">
      <c r="B237" t="s">
        <v>86</v>
      </c>
      <c r="D237" s="49">
        <f>IF(D$4=EOMONTH(CloseDate,'Rent Roll'!$O$27-1),-'Rent Roll'!$F$27*'Rent Roll'!$T$27,0)</f>
        <v>0</v>
      </c>
      <c r="E237" s="49">
        <f>IF(E$4=EOMONTH(CloseDate,'Rent Roll'!$O$27-1),-'Rent Roll'!$F$27*'Rent Roll'!$T$27,0)</f>
        <v>0</v>
      </c>
      <c r="F237" s="49">
        <f>IF(F$4=EOMONTH(CloseDate,'Rent Roll'!$O$27-1),-'Rent Roll'!$F$27*'Rent Roll'!$T$27,0)</f>
        <v>0</v>
      </c>
      <c r="G237" s="49">
        <f>IF(G$4=EOMONTH(CloseDate,'Rent Roll'!$O$27-1),-'Rent Roll'!$F$27*'Rent Roll'!$T$27,0)</f>
        <v>0</v>
      </c>
      <c r="H237" s="49">
        <f>IF(H$4=EOMONTH(CloseDate,'Rent Roll'!$O$27-1),-'Rent Roll'!$F$27*'Rent Roll'!$T$27,0)</f>
        <v>-208800</v>
      </c>
      <c r="I237" s="49">
        <f>IF(I$4=EOMONTH(CloseDate,'Rent Roll'!$O$27-1),-'Rent Roll'!$F$27*'Rent Roll'!$T$27,0)</f>
        <v>0</v>
      </c>
      <c r="J237" s="49">
        <f>IF(J$4=EOMONTH(CloseDate,'Rent Roll'!$O$27-1),-'Rent Roll'!$F$27*'Rent Roll'!$T$27,0)</f>
        <v>0</v>
      </c>
      <c r="K237" s="49">
        <f>IF(K$4=EOMONTH(CloseDate,'Rent Roll'!$O$27-1),-'Rent Roll'!$F$27*'Rent Roll'!$T$27,0)</f>
        <v>0</v>
      </c>
      <c r="L237" s="49">
        <f>IF(L$4=EOMONTH(CloseDate,'Rent Roll'!$O$27-1),-'Rent Roll'!$F$27*'Rent Roll'!$T$27,0)</f>
        <v>0</v>
      </c>
      <c r="M237" s="49">
        <f>IF(M$4=EOMONTH(CloseDate,'Rent Roll'!$O$27-1),-'Rent Roll'!$F$27*'Rent Roll'!$T$27,0)</f>
        <v>0</v>
      </c>
      <c r="N237" s="49">
        <f>IF(N$4=EOMONTH(CloseDate,'Rent Roll'!$O$27-1),-'Rent Roll'!$F$27*'Rent Roll'!$T$27,0)</f>
        <v>0</v>
      </c>
      <c r="O237" s="49">
        <f>IF(O$4=EOMONTH(CloseDate,'Rent Roll'!$O$27-1),-'Rent Roll'!$F$27*'Rent Roll'!$T$27,0)</f>
        <v>0</v>
      </c>
      <c r="P237" s="49">
        <f>IF(P$4=EOMONTH(CloseDate,'Rent Roll'!$O$27-1),-'Rent Roll'!$F$27*'Rent Roll'!$T$27,0)</f>
        <v>0</v>
      </c>
      <c r="Q237" s="49">
        <f>IF(Q$4=EOMONTH(CloseDate,'Rent Roll'!$O$27-1),-'Rent Roll'!$F$27*'Rent Roll'!$T$27,0)</f>
        <v>0</v>
      </c>
      <c r="R237" s="49">
        <f>IF(R$4=EOMONTH(CloseDate,'Rent Roll'!$O$27-1),-'Rent Roll'!$F$27*'Rent Roll'!$T$27,0)</f>
        <v>0</v>
      </c>
      <c r="S237" s="49">
        <f>IF(S$4=EOMONTH(CloseDate,'Rent Roll'!$O$27-1),-'Rent Roll'!$F$27*'Rent Roll'!$T$27,0)</f>
        <v>0</v>
      </c>
      <c r="T237" s="49">
        <f>IF(T$4=EOMONTH(CloseDate,'Rent Roll'!$O$27-1),-'Rent Roll'!$F$27*'Rent Roll'!$T$27,0)</f>
        <v>0</v>
      </c>
      <c r="U237" s="49">
        <f>IF(U$4=EOMONTH(CloseDate,'Rent Roll'!$O$27-1),-'Rent Roll'!$F$27*'Rent Roll'!$T$27,0)</f>
        <v>0</v>
      </c>
      <c r="V237" s="49">
        <f>IF(V$4=EOMONTH(CloseDate,'Rent Roll'!$O$27-1),-'Rent Roll'!$F$27*'Rent Roll'!$T$27,0)</f>
        <v>0</v>
      </c>
      <c r="W237" s="49">
        <f>IF(W$4=EOMONTH(CloseDate,'Rent Roll'!$O$27-1),-'Rent Roll'!$F$27*'Rent Roll'!$T$27,0)</f>
        <v>0</v>
      </c>
      <c r="X237" s="49">
        <f>IF(X$4=EOMONTH(CloseDate,'Rent Roll'!$O$27-1),-'Rent Roll'!$F$27*'Rent Roll'!$T$27,0)</f>
        <v>0</v>
      </c>
      <c r="Y237" s="49">
        <f>IF(Y$4=EOMONTH(CloseDate,'Rent Roll'!$O$27-1),-'Rent Roll'!$F$27*'Rent Roll'!$T$27,0)</f>
        <v>0</v>
      </c>
      <c r="Z237" s="49">
        <f>IF(Z$4=EOMONTH(CloseDate,'Rent Roll'!$O$27-1),-'Rent Roll'!$F$27*'Rent Roll'!$T$27,0)</f>
        <v>0</v>
      </c>
      <c r="AA237" s="49">
        <f>IF(AA$4=EOMONTH(CloseDate,'Rent Roll'!$O$27-1),-'Rent Roll'!$F$27*'Rent Roll'!$T$27,0)</f>
        <v>0</v>
      </c>
      <c r="AB237" s="49">
        <f>IF(AB$4=EOMONTH(CloseDate,'Rent Roll'!$O$27-1),-'Rent Roll'!$F$27*'Rent Roll'!$T$27,0)</f>
        <v>0</v>
      </c>
      <c r="AC237" s="49">
        <f>IF(AC$4=EOMONTH(CloseDate,'Rent Roll'!$O$27-1),-'Rent Roll'!$F$27*'Rent Roll'!$T$27,0)</f>
        <v>0</v>
      </c>
      <c r="AD237" s="49">
        <f>IF(AD$4=EOMONTH(CloseDate,'Rent Roll'!$O$27-1),-'Rent Roll'!$F$27*'Rent Roll'!$T$27,0)</f>
        <v>0</v>
      </c>
      <c r="AE237" s="49">
        <f>IF(AE$4=EOMONTH(CloseDate,'Rent Roll'!$O$27-1),-'Rent Roll'!$F$27*'Rent Roll'!$T$27,0)</f>
        <v>0</v>
      </c>
      <c r="AF237" s="49">
        <f>IF(AF$4=EOMONTH(CloseDate,'Rent Roll'!$O$27-1),-'Rent Roll'!$F$27*'Rent Roll'!$T$27,0)</f>
        <v>0</v>
      </c>
      <c r="AG237" s="49">
        <f>IF(AG$4=EOMONTH(CloseDate,'Rent Roll'!$O$27-1),-'Rent Roll'!$F$27*'Rent Roll'!$T$27,0)</f>
        <v>0</v>
      </c>
      <c r="AH237" s="49">
        <f>IF(AH$4=EOMONTH(CloseDate,'Rent Roll'!$O$27-1),-'Rent Roll'!$F$27*'Rent Roll'!$T$27,0)</f>
        <v>0</v>
      </c>
      <c r="AI237" s="49">
        <f>IF(AI$4=EOMONTH(CloseDate,'Rent Roll'!$O$27-1),-'Rent Roll'!$F$27*'Rent Roll'!$T$27,0)</f>
        <v>0</v>
      </c>
      <c r="AJ237" s="49">
        <f>IF(AJ$4=EOMONTH(CloseDate,'Rent Roll'!$O$27-1),-'Rent Roll'!$F$27*'Rent Roll'!$T$27,0)</f>
        <v>0</v>
      </c>
      <c r="AK237" s="49">
        <f>IF(AK$4=EOMONTH(CloseDate,'Rent Roll'!$O$27-1),-'Rent Roll'!$F$27*'Rent Roll'!$T$27,0)</f>
        <v>0</v>
      </c>
      <c r="AL237" s="49">
        <f>IF(AL$4=EOMONTH(CloseDate,'Rent Roll'!$O$27-1),-'Rent Roll'!$F$27*'Rent Roll'!$T$27,0)</f>
        <v>0</v>
      </c>
      <c r="AM237" s="49">
        <f>IF(AM$4=EOMONTH(CloseDate,'Rent Roll'!$O$27-1),-'Rent Roll'!$F$27*'Rent Roll'!$T$27,0)</f>
        <v>0</v>
      </c>
      <c r="AN237" s="49">
        <f>IF(AN$4=EOMONTH(CloseDate,'Rent Roll'!$O$27-1),-'Rent Roll'!$F$27*'Rent Roll'!$T$27,0)</f>
        <v>0</v>
      </c>
      <c r="AO237" s="49">
        <f>IF(AO$4=EOMONTH(CloseDate,'Rent Roll'!$O$27-1),-'Rent Roll'!$F$27*'Rent Roll'!$T$27,0)</f>
        <v>0</v>
      </c>
      <c r="AP237" s="49">
        <f>IF(AP$4=EOMONTH(CloseDate,'Rent Roll'!$O$27-1),-'Rent Roll'!$F$27*'Rent Roll'!$T$27,0)</f>
        <v>0</v>
      </c>
      <c r="AQ237" s="49">
        <f>IF(AQ$4=EOMONTH(CloseDate,'Rent Roll'!$O$27-1),-'Rent Roll'!$F$27*'Rent Roll'!$T$27,0)</f>
        <v>0</v>
      </c>
      <c r="AR237" s="49">
        <f>IF(AR$4=EOMONTH(CloseDate,'Rent Roll'!$O$27-1),-'Rent Roll'!$F$27*'Rent Roll'!$T$27,0)</f>
        <v>0</v>
      </c>
      <c r="AS237" s="49">
        <f>IF(AS$4=EOMONTH(CloseDate,'Rent Roll'!$O$27-1),-'Rent Roll'!$F$27*'Rent Roll'!$T$27,0)</f>
        <v>0</v>
      </c>
      <c r="AT237" s="49">
        <f>IF(AT$4=EOMONTH(CloseDate,'Rent Roll'!$O$27-1),-'Rent Roll'!$F$27*'Rent Roll'!$T$27,0)</f>
        <v>0</v>
      </c>
      <c r="AU237" s="49">
        <f>IF(AU$4=EOMONTH(CloseDate,'Rent Roll'!$O$27-1),-'Rent Roll'!$F$27*'Rent Roll'!$T$27,0)</f>
        <v>0</v>
      </c>
      <c r="AV237" s="49">
        <f>IF(AV$4=EOMONTH(CloseDate,'Rent Roll'!$O$27-1),-'Rent Roll'!$F$27*'Rent Roll'!$T$27,0)</f>
        <v>0</v>
      </c>
      <c r="AW237" s="49">
        <f>IF(AW$4=EOMONTH(CloseDate,'Rent Roll'!$O$27-1),-'Rent Roll'!$F$27*'Rent Roll'!$T$27,0)</f>
        <v>0</v>
      </c>
      <c r="AX237" s="49">
        <f>IF(AX$4=EOMONTH(CloseDate,'Rent Roll'!$O$27-1),-'Rent Roll'!$F$27*'Rent Roll'!$T$27,0)</f>
        <v>0</v>
      </c>
      <c r="AY237" s="49">
        <f>IF(AY$4=EOMONTH(CloseDate,'Rent Roll'!$O$27-1),-'Rent Roll'!$F$27*'Rent Roll'!$T$27,0)</f>
        <v>0</v>
      </c>
      <c r="AZ237" s="49">
        <f>IF(AZ$4=EOMONTH(CloseDate,'Rent Roll'!$O$27-1),-'Rent Roll'!$F$27*'Rent Roll'!$T$27,0)</f>
        <v>0</v>
      </c>
      <c r="BA237" s="49">
        <f>IF(BA$4=EOMONTH(CloseDate,'Rent Roll'!$O$27-1),-'Rent Roll'!$F$27*'Rent Roll'!$T$27,0)</f>
        <v>0</v>
      </c>
      <c r="BB237" s="49">
        <f>IF(BB$4=EOMONTH(CloseDate,'Rent Roll'!$O$27-1),-'Rent Roll'!$F$27*'Rent Roll'!$T$27,0)</f>
        <v>0</v>
      </c>
      <c r="BC237" s="49">
        <f>IF(BC$4=EOMONTH(CloseDate,'Rent Roll'!$O$27-1),-'Rent Roll'!$F$27*'Rent Roll'!$T$27,0)</f>
        <v>0</v>
      </c>
      <c r="BD237" s="49">
        <f>IF(BD$4=EOMONTH(CloseDate,'Rent Roll'!$O$27-1),-'Rent Roll'!$F$27*'Rent Roll'!$T$27,0)</f>
        <v>0</v>
      </c>
      <c r="BE237" s="49">
        <f>IF(BE$4=EOMONTH(CloseDate,'Rent Roll'!$O$27-1),-'Rent Roll'!$F$27*'Rent Roll'!$T$27,0)</f>
        <v>0</v>
      </c>
      <c r="BF237" s="49">
        <f>IF(BF$4=EOMONTH(CloseDate,'Rent Roll'!$O$27-1),-'Rent Roll'!$F$27*'Rent Roll'!$T$27,0)</f>
        <v>0</v>
      </c>
      <c r="BG237" s="49">
        <f>IF(BG$4=EOMONTH(CloseDate,'Rent Roll'!$O$27-1),-'Rent Roll'!$F$27*'Rent Roll'!$T$27,0)</f>
        <v>0</v>
      </c>
      <c r="BH237" s="49">
        <f>IF(BH$4=EOMONTH(CloseDate,'Rent Roll'!$O$27-1),-'Rent Roll'!$F$27*'Rent Roll'!$T$27,0)</f>
        <v>0</v>
      </c>
      <c r="BI237" s="49">
        <f>IF(BI$4=EOMONTH(CloseDate,'Rent Roll'!$O$27-1),-'Rent Roll'!$F$27*'Rent Roll'!$T$27,0)</f>
        <v>0</v>
      </c>
      <c r="BJ237" s="49">
        <f>IF(BJ$4=EOMONTH(CloseDate,'Rent Roll'!$O$27-1),-'Rent Roll'!$F$27*'Rent Roll'!$T$27,0)</f>
        <v>0</v>
      </c>
      <c r="BK237" s="49">
        <f>IF(BK$4=EOMONTH(CloseDate,'Rent Roll'!$O$27-1),-'Rent Roll'!$F$27*'Rent Roll'!$T$27,0)</f>
        <v>0</v>
      </c>
      <c r="BL237" s="49">
        <f>IF(BL$4=EOMONTH(CloseDate,'Rent Roll'!$O$27-1),-'Rent Roll'!$F$27*'Rent Roll'!$T$27,0)</f>
        <v>0</v>
      </c>
      <c r="BM237" s="49">
        <f>IF(BM$4=EOMONTH(CloseDate,'Rent Roll'!$O$27-1),-'Rent Roll'!$F$27*'Rent Roll'!$T$27,0)</f>
        <v>0</v>
      </c>
      <c r="BN237" s="49">
        <f>IF(BN$4=EOMONTH(CloseDate,'Rent Roll'!$O$27-1),-'Rent Roll'!$F$27*'Rent Roll'!$T$27,0)</f>
        <v>0</v>
      </c>
      <c r="BO237" s="49">
        <f>IF(BO$4=EOMONTH(CloseDate,'Rent Roll'!$O$27-1),-'Rent Roll'!$F$27*'Rent Roll'!$T$27,0)</f>
        <v>0</v>
      </c>
      <c r="BP237" s="49">
        <f>IF(BP$4=EOMONTH(CloseDate,'Rent Roll'!$O$27-1),-'Rent Roll'!$F$27*'Rent Roll'!$T$27,0)</f>
        <v>0</v>
      </c>
      <c r="BQ237" s="49">
        <f>IF(BQ$4=EOMONTH(CloseDate,'Rent Roll'!$O$27-1),-'Rent Roll'!$F$27*'Rent Roll'!$T$27,0)</f>
        <v>0</v>
      </c>
      <c r="BR237" s="49">
        <f>IF(BR$4=EOMONTH(CloseDate,'Rent Roll'!$O$27-1),-'Rent Roll'!$F$27*'Rent Roll'!$T$27,0)</f>
        <v>0</v>
      </c>
      <c r="BS237" s="49">
        <f>IF(BS$4=EOMONTH(CloseDate,'Rent Roll'!$O$27-1),-'Rent Roll'!$F$27*'Rent Roll'!$T$27,0)</f>
        <v>0</v>
      </c>
      <c r="BT237" s="49">
        <f>IF(BT$4=EOMONTH(CloseDate,'Rent Roll'!$O$27-1),-'Rent Roll'!$F$27*'Rent Roll'!$T$27,0)</f>
        <v>0</v>
      </c>
      <c r="BU237" s="49">
        <f>IF(BU$4=EOMONTH(CloseDate,'Rent Roll'!$O$27-1),-'Rent Roll'!$F$27*'Rent Roll'!$T$27,0)</f>
        <v>0</v>
      </c>
      <c r="BV237" s="49">
        <f>IF(BV$4=EOMONTH(CloseDate,'Rent Roll'!$O$27-1),-'Rent Roll'!$F$27*'Rent Roll'!$T$27,0)</f>
        <v>0</v>
      </c>
      <c r="BW237" s="49">
        <f>IF(BW$4=EOMONTH(CloseDate,'Rent Roll'!$O$27-1),-'Rent Roll'!$F$27*'Rent Roll'!$T$27,0)</f>
        <v>0</v>
      </c>
      <c r="BX237" s="49">
        <f>IF(BX$4=EOMONTH(CloseDate,'Rent Roll'!$O$27-1),-'Rent Roll'!$F$27*'Rent Roll'!$T$27,0)</f>
        <v>0</v>
      </c>
    </row>
    <row r="238" spans="1:76" hidden="1" outlineLevel="1">
      <c r="B238" t="s">
        <v>87</v>
      </c>
      <c r="D238" s="49">
        <f>IF(D$4=EOMONTH(CloseDate,'Rent Roll'!$O$27-1),-'Rent Roll'!$U$27*'Rent Roll'!$F$27*'Rent Roll'!$X$27,0)</f>
        <v>0</v>
      </c>
      <c r="E238" s="49">
        <f>IF(E$4=EOMONTH(CloseDate,'Rent Roll'!$O$27-1),-'Rent Roll'!$U$27*'Rent Roll'!$F$27*'Rent Roll'!$X$27,0)</f>
        <v>0</v>
      </c>
      <c r="F238" s="49">
        <f>IF(F$4=EOMONTH(CloseDate,'Rent Roll'!$O$27-1),-'Rent Roll'!$U$27*'Rent Roll'!$F$27*'Rent Roll'!$X$27,0)</f>
        <v>0</v>
      </c>
      <c r="G238" s="49">
        <f>IF(G$4=EOMONTH(CloseDate,'Rent Roll'!$O$27-1),-'Rent Roll'!$U$27*'Rent Roll'!$F$27*'Rent Roll'!$X$27,0)</f>
        <v>0</v>
      </c>
      <c r="H238" s="49">
        <f>IF(H$4=EOMONTH(CloseDate,'Rent Roll'!$O$27-1),-'Rent Roll'!$U$27*'Rent Roll'!$F$27*'Rent Roll'!$X$27,0)</f>
        <v>-7154.6624999999995</v>
      </c>
      <c r="I238" s="49">
        <f>IF(I$4=EOMONTH(CloseDate,'Rent Roll'!$O$27-1),-'Rent Roll'!$U$27*'Rent Roll'!$F$27*'Rent Roll'!$X$27,0)</f>
        <v>0</v>
      </c>
      <c r="J238" s="49">
        <f>IF(J$4=EOMONTH(CloseDate,'Rent Roll'!$O$27-1),-'Rent Roll'!$U$27*'Rent Roll'!$F$27*'Rent Roll'!$X$27,0)</f>
        <v>0</v>
      </c>
      <c r="K238" s="49">
        <f>IF(K$4=EOMONTH(CloseDate,'Rent Roll'!$O$27-1),-'Rent Roll'!$U$27*'Rent Roll'!$F$27*'Rent Roll'!$X$27,0)</f>
        <v>0</v>
      </c>
      <c r="L238" s="49">
        <f>IF(L$4=EOMONTH(CloseDate,'Rent Roll'!$O$27-1),-'Rent Roll'!$U$27*'Rent Roll'!$F$27*'Rent Roll'!$X$27,0)</f>
        <v>0</v>
      </c>
      <c r="M238" s="49">
        <f>IF(M$4=EOMONTH(CloseDate,'Rent Roll'!$O$27-1),-'Rent Roll'!$U$27*'Rent Roll'!$F$27*'Rent Roll'!$X$27,0)</f>
        <v>0</v>
      </c>
      <c r="N238" s="49">
        <f>IF(N$4=EOMONTH(CloseDate,'Rent Roll'!$O$27-1),-'Rent Roll'!$U$27*'Rent Roll'!$F$27*'Rent Roll'!$X$27,0)</f>
        <v>0</v>
      </c>
      <c r="O238" s="49">
        <f>IF(O$4=EOMONTH(CloseDate,'Rent Roll'!$O$27-1),-'Rent Roll'!$U$27*'Rent Roll'!$F$27*'Rent Roll'!$X$27,0)</f>
        <v>0</v>
      </c>
      <c r="P238" s="49">
        <f>IF(P$4=EOMONTH(CloseDate,'Rent Roll'!$O$27-1),-'Rent Roll'!$U$27*'Rent Roll'!$F$27*'Rent Roll'!$X$27,0)</f>
        <v>0</v>
      </c>
      <c r="Q238" s="49">
        <f>IF(Q$4=EOMONTH(CloseDate,'Rent Roll'!$O$27-1),-'Rent Roll'!$U$27*'Rent Roll'!$F$27*'Rent Roll'!$X$27,0)</f>
        <v>0</v>
      </c>
      <c r="R238" s="49">
        <f>IF(R$4=EOMONTH(CloseDate,'Rent Roll'!$O$27-1),-'Rent Roll'!$U$27*'Rent Roll'!$F$27*'Rent Roll'!$X$27,0)</f>
        <v>0</v>
      </c>
      <c r="S238" s="49">
        <f>IF(S$4=EOMONTH(CloseDate,'Rent Roll'!$O$27-1),-'Rent Roll'!$U$27*'Rent Roll'!$F$27*'Rent Roll'!$X$27,0)</f>
        <v>0</v>
      </c>
      <c r="T238" s="49">
        <f>IF(T$4=EOMONTH(CloseDate,'Rent Roll'!$O$27-1),-'Rent Roll'!$U$27*'Rent Roll'!$F$27*'Rent Roll'!$X$27,0)</f>
        <v>0</v>
      </c>
      <c r="U238" s="49">
        <f>IF(U$4=EOMONTH(CloseDate,'Rent Roll'!$O$27-1),-'Rent Roll'!$U$27*'Rent Roll'!$F$27*'Rent Roll'!$X$27,0)</f>
        <v>0</v>
      </c>
      <c r="V238" s="49">
        <f>IF(V$4=EOMONTH(CloseDate,'Rent Roll'!$O$27-1),-'Rent Roll'!$U$27*'Rent Roll'!$F$27*'Rent Roll'!$X$27,0)</f>
        <v>0</v>
      </c>
      <c r="W238" s="49">
        <f>IF(W$4=EOMONTH(CloseDate,'Rent Roll'!$O$27-1),-'Rent Roll'!$U$27*'Rent Roll'!$F$27*'Rent Roll'!$X$27,0)</f>
        <v>0</v>
      </c>
      <c r="X238" s="49">
        <f>IF(X$4=EOMONTH(CloseDate,'Rent Roll'!$O$27-1),-'Rent Roll'!$U$27*'Rent Roll'!$F$27*'Rent Roll'!$X$27,0)</f>
        <v>0</v>
      </c>
      <c r="Y238" s="49">
        <f>IF(Y$4=EOMONTH(CloseDate,'Rent Roll'!$O$27-1),-'Rent Roll'!$U$27*'Rent Roll'!$F$27*'Rent Roll'!$X$27,0)</f>
        <v>0</v>
      </c>
      <c r="Z238" s="49">
        <f>IF(Z$4=EOMONTH(CloseDate,'Rent Roll'!$O$27-1),-'Rent Roll'!$U$27*'Rent Roll'!$F$27*'Rent Roll'!$X$27,0)</f>
        <v>0</v>
      </c>
      <c r="AA238" s="49">
        <f>IF(AA$4=EOMONTH(CloseDate,'Rent Roll'!$O$27-1),-'Rent Roll'!$U$27*'Rent Roll'!$F$27*'Rent Roll'!$X$27,0)</f>
        <v>0</v>
      </c>
      <c r="AB238" s="49">
        <f>IF(AB$4=EOMONTH(CloseDate,'Rent Roll'!$O$27-1),-'Rent Roll'!$U$27*'Rent Roll'!$F$27*'Rent Roll'!$X$27,0)</f>
        <v>0</v>
      </c>
      <c r="AC238" s="49">
        <f>IF(AC$4=EOMONTH(CloseDate,'Rent Roll'!$O$27-1),-'Rent Roll'!$U$27*'Rent Roll'!$F$27*'Rent Roll'!$X$27,0)</f>
        <v>0</v>
      </c>
      <c r="AD238" s="49">
        <f>IF(AD$4=EOMONTH(CloseDate,'Rent Roll'!$O$27-1),-'Rent Roll'!$U$27*'Rent Roll'!$F$27*'Rent Roll'!$X$27,0)</f>
        <v>0</v>
      </c>
      <c r="AE238" s="49">
        <f>IF(AE$4=EOMONTH(CloseDate,'Rent Roll'!$O$27-1),-'Rent Roll'!$U$27*'Rent Roll'!$F$27*'Rent Roll'!$X$27,0)</f>
        <v>0</v>
      </c>
      <c r="AF238" s="49">
        <f>IF(AF$4=EOMONTH(CloseDate,'Rent Roll'!$O$27-1),-'Rent Roll'!$U$27*'Rent Roll'!$F$27*'Rent Roll'!$X$27,0)</f>
        <v>0</v>
      </c>
      <c r="AG238" s="49">
        <f>IF(AG$4=EOMONTH(CloseDate,'Rent Roll'!$O$27-1),-'Rent Roll'!$U$27*'Rent Roll'!$F$27*'Rent Roll'!$X$27,0)</f>
        <v>0</v>
      </c>
      <c r="AH238" s="49">
        <f>IF(AH$4=EOMONTH(CloseDate,'Rent Roll'!$O$27-1),-'Rent Roll'!$U$27*'Rent Roll'!$F$27*'Rent Roll'!$X$27,0)</f>
        <v>0</v>
      </c>
      <c r="AI238" s="49">
        <f>IF(AI$4=EOMONTH(CloseDate,'Rent Roll'!$O$27-1),-'Rent Roll'!$U$27*'Rent Roll'!$F$27*'Rent Roll'!$X$27,0)</f>
        <v>0</v>
      </c>
      <c r="AJ238" s="49">
        <f>IF(AJ$4=EOMONTH(CloseDate,'Rent Roll'!$O$27-1),-'Rent Roll'!$U$27*'Rent Roll'!$F$27*'Rent Roll'!$X$27,0)</f>
        <v>0</v>
      </c>
      <c r="AK238" s="49">
        <f>IF(AK$4=EOMONTH(CloseDate,'Rent Roll'!$O$27-1),-'Rent Roll'!$U$27*'Rent Roll'!$F$27*'Rent Roll'!$X$27,0)</f>
        <v>0</v>
      </c>
      <c r="AL238" s="49">
        <f>IF(AL$4=EOMONTH(CloseDate,'Rent Roll'!$O$27-1),-'Rent Roll'!$U$27*'Rent Roll'!$F$27*'Rent Roll'!$X$27,0)</f>
        <v>0</v>
      </c>
      <c r="AM238" s="49">
        <f>IF(AM$4=EOMONTH(CloseDate,'Rent Roll'!$O$27-1),-'Rent Roll'!$U$27*'Rent Roll'!$F$27*'Rent Roll'!$X$27,0)</f>
        <v>0</v>
      </c>
      <c r="AN238" s="49">
        <f>IF(AN$4=EOMONTH(CloseDate,'Rent Roll'!$O$27-1),-'Rent Roll'!$U$27*'Rent Roll'!$F$27*'Rent Roll'!$X$27,0)</f>
        <v>0</v>
      </c>
      <c r="AO238" s="49">
        <f>IF(AO$4=EOMONTH(CloseDate,'Rent Roll'!$O$27-1),-'Rent Roll'!$U$27*'Rent Roll'!$F$27*'Rent Roll'!$X$27,0)</f>
        <v>0</v>
      </c>
      <c r="AP238" s="49">
        <f>IF(AP$4=EOMONTH(CloseDate,'Rent Roll'!$O$27-1),-'Rent Roll'!$U$27*'Rent Roll'!$F$27*'Rent Roll'!$X$27,0)</f>
        <v>0</v>
      </c>
      <c r="AQ238" s="49">
        <f>IF(AQ$4=EOMONTH(CloseDate,'Rent Roll'!$O$27-1),-'Rent Roll'!$U$27*'Rent Roll'!$F$27*'Rent Roll'!$X$27,0)</f>
        <v>0</v>
      </c>
      <c r="AR238" s="49">
        <f>IF(AR$4=EOMONTH(CloseDate,'Rent Roll'!$O$27-1),-'Rent Roll'!$U$27*'Rent Roll'!$F$27*'Rent Roll'!$X$27,0)</f>
        <v>0</v>
      </c>
      <c r="AS238" s="49">
        <f>IF(AS$4=EOMONTH(CloseDate,'Rent Roll'!$O$27-1),-'Rent Roll'!$U$27*'Rent Roll'!$F$27*'Rent Roll'!$X$27,0)</f>
        <v>0</v>
      </c>
      <c r="AT238" s="49">
        <f>IF(AT$4=EOMONTH(CloseDate,'Rent Roll'!$O$27-1),-'Rent Roll'!$U$27*'Rent Roll'!$F$27*'Rent Roll'!$X$27,0)</f>
        <v>0</v>
      </c>
      <c r="AU238" s="49">
        <f>IF(AU$4=EOMONTH(CloseDate,'Rent Roll'!$O$27-1),-'Rent Roll'!$U$27*'Rent Roll'!$F$27*'Rent Roll'!$X$27,0)</f>
        <v>0</v>
      </c>
      <c r="AV238" s="49">
        <f>IF(AV$4=EOMONTH(CloseDate,'Rent Roll'!$O$27-1),-'Rent Roll'!$U$27*'Rent Roll'!$F$27*'Rent Roll'!$X$27,0)</f>
        <v>0</v>
      </c>
      <c r="AW238" s="49">
        <f>IF(AW$4=EOMONTH(CloseDate,'Rent Roll'!$O$27-1),-'Rent Roll'!$U$27*'Rent Roll'!$F$27*'Rent Roll'!$X$27,0)</f>
        <v>0</v>
      </c>
      <c r="AX238" s="49">
        <f>IF(AX$4=EOMONTH(CloseDate,'Rent Roll'!$O$27-1),-'Rent Roll'!$U$27*'Rent Roll'!$F$27*'Rent Roll'!$X$27,0)</f>
        <v>0</v>
      </c>
      <c r="AY238" s="49">
        <f>IF(AY$4=EOMONTH(CloseDate,'Rent Roll'!$O$27-1),-'Rent Roll'!$U$27*'Rent Roll'!$F$27*'Rent Roll'!$X$27,0)</f>
        <v>0</v>
      </c>
      <c r="AZ238" s="49">
        <f>IF(AZ$4=EOMONTH(CloseDate,'Rent Roll'!$O$27-1),-'Rent Roll'!$U$27*'Rent Roll'!$F$27*'Rent Roll'!$X$27,0)</f>
        <v>0</v>
      </c>
      <c r="BA238" s="49">
        <f>IF(BA$4=EOMONTH(CloseDate,'Rent Roll'!$O$27-1),-'Rent Roll'!$U$27*'Rent Roll'!$F$27*'Rent Roll'!$X$27,0)</f>
        <v>0</v>
      </c>
      <c r="BB238" s="49">
        <f>IF(BB$4=EOMONTH(CloseDate,'Rent Roll'!$O$27-1),-'Rent Roll'!$U$27*'Rent Roll'!$F$27*'Rent Roll'!$X$27,0)</f>
        <v>0</v>
      </c>
      <c r="BC238" s="49">
        <f>IF(BC$4=EOMONTH(CloseDate,'Rent Roll'!$O$27-1),-'Rent Roll'!$U$27*'Rent Roll'!$F$27*'Rent Roll'!$X$27,0)</f>
        <v>0</v>
      </c>
      <c r="BD238" s="49">
        <f>IF(BD$4=EOMONTH(CloseDate,'Rent Roll'!$O$27-1),-'Rent Roll'!$U$27*'Rent Roll'!$F$27*'Rent Roll'!$X$27,0)</f>
        <v>0</v>
      </c>
      <c r="BE238" s="49">
        <f>IF(BE$4=EOMONTH(CloseDate,'Rent Roll'!$O$27-1),-'Rent Roll'!$U$27*'Rent Roll'!$F$27*'Rent Roll'!$X$27,0)</f>
        <v>0</v>
      </c>
      <c r="BF238" s="49">
        <f>IF(BF$4=EOMONTH(CloseDate,'Rent Roll'!$O$27-1),-'Rent Roll'!$U$27*'Rent Roll'!$F$27*'Rent Roll'!$X$27,0)</f>
        <v>0</v>
      </c>
      <c r="BG238" s="49">
        <f>IF(BG$4=EOMONTH(CloseDate,'Rent Roll'!$O$27-1),-'Rent Roll'!$U$27*'Rent Roll'!$F$27*'Rent Roll'!$X$27,0)</f>
        <v>0</v>
      </c>
      <c r="BH238" s="49">
        <f>IF(BH$4=EOMONTH(CloseDate,'Rent Roll'!$O$27-1),-'Rent Roll'!$U$27*'Rent Roll'!$F$27*'Rent Roll'!$X$27,0)</f>
        <v>0</v>
      </c>
      <c r="BI238" s="49">
        <f>IF(BI$4=EOMONTH(CloseDate,'Rent Roll'!$O$27-1),-'Rent Roll'!$U$27*'Rent Roll'!$F$27*'Rent Roll'!$X$27,0)</f>
        <v>0</v>
      </c>
      <c r="BJ238" s="49">
        <f>IF(BJ$4=EOMONTH(CloseDate,'Rent Roll'!$O$27-1),-'Rent Roll'!$U$27*'Rent Roll'!$F$27*'Rent Roll'!$X$27,0)</f>
        <v>0</v>
      </c>
      <c r="BK238" s="49">
        <f>IF(BK$4=EOMONTH(CloseDate,'Rent Roll'!$O$27-1),-'Rent Roll'!$U$27*'Rent Roll'!$F$27*'Rent Roll'!$X$27,0)</f>
        <v>0</v>
      </c>
      <c r="BL238" s="49">
        <f>IF(BL$4=EOMONTH(CloseDate,'Rent Roll'!$O$27-1),-'Rent Roll'!$U$27*'Rent Roll'!$F$27*'Rent Roll'!$X$27,0)</f>
        <v>0</v>
      </c>
      <c r="BM238" s="49">
        <f>IF(BM$4=EOMONTH(CloseDate,'Rent Roll'!$O$27-1),-'Rent Roll'!$U$27*'Rent Roll'!$F$27*'Rent Roll'!$X$27,0)</f>
        <v>0</v>
      </c>
      <c r="BN238" s="49">
        <f>IF(BN$4=EOMONTH(CloseDate,'Rent Roll'!$O$27-1),-'Rent Roll'!$U$27*'Rent Roll'!$F$27*'Rent Roll'!$X$27,0)</f>
        <v>0</v>
      </c>
      <c r="BO238" s="49">
        <f>IF(BO$4=EOMONTH(CloseDate,'Rent Roll'!$O$27-1),-'Rent Roll'!$U$27*'Rent Roll'!$F$27*'Rent Roll'!$X$27,0)</f>
        <v>0</v>
      </c>
      <c r="BP238" s="49">
        <f>IF(BP$4=EOMONTH(CloseDate,'Rent Roll'!$O$27-1),-'Rent Roll'!$U$27*'Rent Roll'!$F$27*'Rent Roll'!$X$27,0)</f>
        <v>0</v>
      </c>
      <c r="BQ238" s="49">
        <f>IF(BQ$4=EOMONTH(CloseDate,'Rent Roll'!$O$27-1),-'Rent Roll'!$U$27*'Rent Roll'!$F$27*'Rent Roll'!$X$27,0)</f>
        <v>0</v>
      </c>
      <c r="BR238" s="49">
        <f>IF(BR$4=EOMONTH(CloseDate,'Rent Roll'!$O$27-1),-'Rent Roll'!$U$27*'Rent Roll'!$F$27*'Rent Roll'!$X$27,0)</f>
        <v>0</v>
      </c>
      <c r="BS238" s="49">
        <f>IF(BS$4=EOMONTH(CloseDate,'Rent Roll'!$O$27-1),-'Rent Roll'!$U$27*'Rent Roll'!$F$27*'Rent Roll'!$X$27,0)</f>
        <v>0</v>
      </c>
      <c r="BT238" s="49">
        <f>IF(BT$4=EOMONTH(CloseDate,'Rent Roll'!$O$27-1),-'Rent Roll'!$U$27*'Rent Roll'!$F$27*'Rent Roll'!$X$27,0)</f>
        <v>0</v>
      </c>
      <c r="BU238" s="49">
        <f>IF(BU$4=EOMONTH(CloseDate,'Rent Roll'!$O$27-1),-'Rent Roll'!$U$27*'Rent Roll'!$F$27*'Rent Roll'!$X$27,0)</f>
        <v>0</v>
      </c>
      <c r="BV238" s="49">
        <f>IF(BV$4=EOMONTH(CloseDate,'Rent Roll'!$O$27-1),-'Rent Roll'!$U$27*'Rent Roll'!$F$27*'Rent Roll'!$X$27,0)</f>
        <v>0</v>
      </c>
      <c r="BW238" s="49">
        <f>IF(BW$4=EOMONTH(CloseDate,'Rent Roll'!$O$27-1),-'Rent Roll'!$U$27*'Rent Roll'!$F$27*'Rent Roll'!$X$27,0)</f>
        <v>0</v>
      </c>
      <c r="BX238" s="49">
        <f>IF(BX$4=EOMONTH(CloseDate,'Rent Roll'!$O$27-1),-'Rent Roll'!$U$27*'Rent Roll'!$F$27*'Rent Roll'!$X$27,0)</f>
        <v>0</v>
      </c>
    </row>
    <row r="239" spans="1:76" collapsed="1">
      <c r="A239" s="46" t="str">
        <f>'Rent Roll'!C28</f>
        <v>Vacant — Suite 450</v>
      </c>
      <c r="B239" s="57">
        <f>INDEX('Rent Roll'!$F$5:$F$46,MATCH('Rent Roll Calc'!A239,'Rent Roll'!$C$5:$C$46,0))</f>
        <v>9200</v>
      </c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  <c r="AA239" s="49"/>
      <c r="AB239" s="49"/>
      <c r="AC239" s="49"/>
      <c r="AD239" s="49"/>
      <c r="AE239" s="49"/>
      <c r="AF239" s="49"/>
      <c r="AG239" s="49"/>
      <c r="AH239" s="49"/>
      <c r="AI239" s="49"/>
      <c r="AJ239" s="49"/>
      <c r="AK239" s="49"/>
      <c r="AL239" s="49"/>
      <c r="AM239" s="49"/>
      <c r="AN239" s="49"/>
      <c r="AO239" s="49"/>
      <c r="AP239" s="49"/>
      <c r="AQ239" s="49"/>
      <c r="AR239" s="49"/>
      <c r="AS239" s="49"/>
      <c r="AT239" s="49"/>
      <c r="AU239" s="49"/>
      <c r="AV239" s="49"/>
      <c r="AW239" s="49"/>
      <c r="AX239" s="49"/>
      <c r="AY239" s="49"/>
      <c r="AZ239" s="49"/>
      <c r="BA239" s="49"/>
      <c r="BB239" s="49"/>
      <c r="BC239" s="49"/>
      <c r="BD239" s="49"/>
      <c r="BE239" s="49"/>
      <c r="BF239" s="49"/>
      <c r="BG239" s="49"/>
      <c r="BH239" s="49"/>
      <c r="BI239" s="49"/>
      <c r="BJ239" s="49"/>
      <c r="BK239" s="49"/>
      <c r="BL239" s="49"/>
      <c r="BM239" s="49"/>
      <c r="BN239" s="49"/>
      <c r="BO239" s="49"/>
      <c r="BP239" s="49"/>
      <c r="BQ239" s="49"/>
      <c r="BR239" s="49"/>
      <c r="BS239" s="49"/>
      <c r="BT239" s="49"/>
      <c r="BU239" s="49"/>
      <c r="BV239" s="49"/>
      <c r="BW239" s="49"/>
      <c r="BX239" s="49"/>
    </row>
    <row r="240" spans="1:76">
      <c r="B240" t="s">
        <v>83</v>
      </c>
      <c r="D240" s="49">
        <f>0</f>
        <v>0</v>
      </c>
      <c r="E240" s="49">
        <f>0</f>
        <v>0</v>
      </c>
      <c r="F240" s="49">
        <f>0</f>
        <v>0</v>
      </c>
      <c r="G240" s="49">
        <f>0</f>
        <v>0</v>
      </c>
      <c r="H240" s="49">
        <f>0</f>
        <v>0</v>
      </c>
      <c r="I240" s="49">
        <f>0</f>
        <v>0</v>
      </c>
      <c r="J240" s="49">
        <f>0</f>
        <v>0</v>
      </c>
      <c r="K240" s="49">
        <f>0</f>
        <v>0</v>
      </c>
      <c r="L240" s="49">
        <f>0</f>
        <v>0</v>
      </c>
      <c r="M240" s="49">
        <f>0</f>
        <v>0</v>
      </c>
      <c r="N240" s="49">
        <f>0</f>
        <v>0</v>
      </c>
      <c r="O240" s="49">
        <f>0</f>
        <v>0</v>
      </c>
      <c r="P240" s="49">
        <f>0</f>
        <v>0</v>
      </c>
      <c r="Q240" s="49">
        <f>0</f>
        <v>0</v>
      </c>
      <c r="R240" s="49">
        <f>0</f>
        <v>0</v>
      </c>
      <c r="S240" s="49">
        <f>0</f>
        <v>0</v>
      </c>
      <c r="T240" s="49">
        <f>0</f>
        <v>0</v>
      </c>
      <c r="U240" s="49">
        <f>0</f>
        <v>0</v>
      </c>
      <c r="V240" s="49">
        <f>0</f>
        <v>0</v>
      </c>
      <c r="W240" s="49">
        <f>0</f>
        <v>0</v>
      </c>
      <c r="X240" s="49">
        <f>0</f>
        <v>0</v>
      </c>
      <c r="Y240" s="49">
        <f>0</f>
        <v>0</v>
      </c>
      <c r="Z240" s="49">
        <f>0</f>
        <v>0</v>
      </c>
      <c r="AA240" s="49">
        <f>0</f>
        <v>0</v>
      </c>
      <c r="AB240" s="49">
        <f>0</f>
        <v>0</v>
      </c>
      <c r="AC240" s="49">
        <f>0</f>
        <v>0</v>
      </c>
      <c r="AD240" s="49">
        <f>0</f>
        <v>0</v>
      </c>
      <c r="AE240" s="49">
        <f>0</f>
        <v>0</v>
      </c>
      <c r="AF240" s="49">
        <f>0</f>
        <v>0</v>
      </c>
      <c r="AG240" s="49">
        <f>0</f>
        <v>0</v>
      </c>
      <c r="AH240" s="49">
        <f>0</f>
        <v>0</v>
      </c>
      <c r="AI240" s="49">
        <f>0</f>
        <v>0</v>
      </c>
      <c r="AJ240" s="49">
        <f>0</f>
        <v>0</v>
      </c>
      <c r="AK240" s="49">
        <f>0</f>
        <v>0</v>
      </c>
      <c r="AL240" s="49">
        <f>0</f>
        <v>0</v>
      </c>
      <c r="AM240" s="49">
        <f>0</f>
        <v>0</v>
      </c>
      <c r="AN240" s="49">
        <f>0</f>
        <v>0</v>
      </c>
      <c r="AO240" s="49">
        <f>0</f>
        <v>0</v>
      </c>
      <c r="AP240" s="49">
        <f>0</f>
        <v>0</v>
      </c>
      <c r="AQ240" s="49">
        <f>0</f>
        <v>0</v>
      </c>
      <c r="AR240" s="49">
        <f>0</f>
        <v>0</v>
      </c>
      <c r="AS240" s="49">
        <f>0</f>
        <v>0</v>
      </c>
      <c r="AT240" s="49">
        <f>0</f>
        <v>0</v>
      </c>
      <c r="AU240" s="49">
        <f>0</f>
        <v>0</v>
      </c>
      <c r="AV240" s="49">
        <f>0</f>
        <v>0</v>
      </c>
      <c r="AW240" s="49">
        <f>0</f>
        <v>0</v>
      </c>
      <c r="AX240" s="49">
        <f>0</f>
        <v>0</v>
      </c>
      <c r="AY240" s="49">
        <f>0</f>
        <v>0</v>
      </c>
      <c r="AZ240" s="49">
        <f>0</f>
        <v>0</v>
      </c>
      <c r="BA240" s="49">
        <f>0</f>
        <v>0</v>
      </c>
      <c r="BB240" s="49">
        <f>0</f>
        <v>0</v>
      </c>
      <c r="BC240" s="49">
        <f>0</f>
        <v>0</v>
      </c>
      <c r="BD240" s="49">
        <f>0</f>
        <v>0</v>
      </c>
      <c r="BE240" s="49">
        <f>0</f>
        <v>0</v>
      </c>
      <c r="BF240" s="49">
        <f>0</f>
        <v>0</v>
      </c>
      <c r="BG240" s="49">
        <f>0</f>
        <v>0</v>
      </c>
      <c r="BH240" s="49">
        <f>0</f>
        <v>0</v>
      </c>
      <c r="BI240" s="49">
        <f>0</f>
        <v>0</v>
      </c>
      <c r="BJ240" s="49">
        <f>0</f>
        <v>0</v>
      </c>
      <c r="BK240" s="49">
        <f>0</f>
        <v>0</v>
      </c>
      <c r="BL240" s="49">
        <f>0</f>
        <v>0</v>
      </c>
      <c r="BM240" s="49">
        <f>0</f>
        <v>0</v>
      </c>
      <c r="BN240" s="49">
        <f>0</f>
        <v>0</v>
      </c>
      <c r="BO240" s="49">
        <f>0</f>
        <v>0</v>
      </c>
      <c r="BP240" s="49">
        <f>0</f>
        <v>0</v>
      </c>
      <c r="BQ240" s="49">
        <f>0</f>
        <v>0</v>
      </c>
      <c r="BR240" s="49">
        <f>0</f>
        <v>0</v>
      </c>
      <c r="BS240" s="49">
        <f>0</f>
        <v>0</v>
      </c>
      <c r="BT240" s="49">
        <f>0</f>
        <v>0</v>
      </c>
      <c r="BU240" s="49">
        <f>0</f>
        <v>0</v>
      </c>
      <c r="BV240" s="49">
        <f>0</f>
        <v>0</v>
      </c>
      <c r="BW240" s="49">
        <f>0</f>
        <v>0</v>
      </c>
      <c r="BX240" s="49">
        <f>0</f>
        <v>0</v>
      </c>
    </row>
    <row r="241" spans="1:76" hidden="1" outlineLevel="1">
      <c r="B241" t="s">
        <v>159</v>
      </c>
      <c r="D241" s="49">
        <f>0</f>
        <v>0</v>
      </c>
      <c r="E241" s="49">
        <f>0</f>
        <v>0</v>
      </c>
      <c r="F241" s="49">
        <f>0</f>
        <v>0</v>
      </c>
      <c r="G241" s="49">
        <f>0</f>
        <v>0</v>
      </c>
      <c r="H241" s="49">
        <f>0</f>
        <v>0</v>
      </c>
      <c r="I241" s="49">
        <f>0</f>
        <v>0</v>
      </c>
      <c r="J241" s="49">
        <f>0</f>
        <v>0</v>
      </c>
      <c r="K241" s="49">
        <f>0</f>
        <v>0</v>
      </c>
      <c r="L241" s="49">
        <f>0</f>
        <v>0</v>
      </c>
      <c r="M241" s="49">
        <f>0</f>
        <v>0</v>
      </c>
      <c r="N241" s="49">
        <f>0</f>
        <v>0</v>
      </c>
      <c r="O241" s="49">
        <f>0</f>
        <v>0</v>
      </c>
      <c r="P241" s="49">
        <f>0</f>
        <v>0</v>
      </c>
      <c r="Q241" s="49">
        <f>0</f>
        <v>0</v>
      </c>
      <c r="R241" s="49">
        <f>0</f>
        <v>0</v>
      </c>
      <c r="S241" s="49">
        <f>0</f>
        <v>0</v>
      </c>
      <c r="T241" s="49">
        <f>0</f>
        <v>0</v>
      </c>
      <c r="U241" s="49">
        <f>0</f>
        <v>0</v>
      </c>
      <c r="V241" s="49">
        <f>0</f>
        <v>0</v>
      </c>
      <c r="W241" s="49">
        <f>0</f>
        <v>0</v>
      </c>
      <c r="X241" s="49">
        <f>0</f>
        <v>0</v>
      </c>
      <c r="Y241" s="49">
        <f>0</f>
        <v>0</v>
      </c>
      <c r="Z241" s="49">
        <f>0</f>
        <v>0</v>
      </c>
      <c r="AA241" s="49">
        <f>0</f>
        <v>0</v>
      </c>
      <c r="AB241" s="49">
        <f>0</f>
        <v>0</v>
      </c>
      <c r="AC241" s="49">
        <f>0</f>
        <v>0</v>
      </c>
      <c r="AD241" s="49">
        <f>0</f>
        <v>0</v>
      </c>
      <c r="AE241" s="49">
        <f>0</f>
        <v>0</v>
      </c>
      <c r="AF241" s="49">
        <f>0</f>
        <v>0</v>
      </c>
      <c r="AG241" s="49">
        <f>0</f>
        <v>0</v>
      </c>
      <c r="AH241" s="49">
        <f>0</f>
        <v>0</v>
      </c>
      <c r="AI241" s="49">
        <f>0</f>
        <v>0</v>
      </c>
      <c r="AJ241" s="49">
        <f>0</f>
        <v>0</v>
      </c>
      <c r="AK241" s="49">
        <f>0</f>
        <v>0</v>
      </c>
      <c r="AL241" s="49">
        <f>0</f>
        <v>0</v>
      </c>
      <c r="AM241" s="49">
        <f>0</f>
        <v>0</v>
      </c>
      <c r="AN241" s="49">
        <f>0</f>
        <v>0</v>
      </c>
      <c r="AO241" s="49">
        <f>0</f>
        <v>0</v>
      </c>
      <c r="AP241" s="49">
        <f>0</f>
        <v>0</v>
      </c>
      <c r="AQ241" s="49">
        <f>0</f>
        <v>0</v>
      </c>
      <c r="AR241" s="49">
        <f>0</f>
        <v>0</v>
      </c>
      <c r="AS241" s="49">
        <f>0</f>
        <v>0</v>
      </c>
      <c r="AT241" s="49">
        <f>0</f>
        <v>0</v>
      </c>
      <c r="AU241" s="49">
        <f>0</f>
        <v>0</v>
      </c>
      <c r="AV241" s="49">
        <f>0</f>
        <v>0</v>
      </c>
      <c r="AW241" s="49">
        <f>0</f>
        <v>0</v>
      </c>
      <c r="AX241" s="49">
        <f>0</f>
        <v>0</v>
      </c>
      <c r="AY241" s="49">
        <f>0</f>
        <v>0</v>
      </c>
      <c r="AZ241" s="49">
        <f>0</f>
        <v>0</v>
      </c>
      <c r="BA241" s="49">
        <f>0</f>
        <v>0</v>
      </c>
      <c r="BB241" s="49">
        <f>0</f>
        <v>0</v>
      </c>
      <c r="BC241" s="49">
        <f>0</f>
        <v>0</v>
      </c>
      <c r="BD241" s="49">
        <f>0</f>
        <v>0</v>
      </c>
      <c r="BE241" s="49">
        <f>0</f>
        <v>0</v>
      </c>
      <c r="BF241" s="49">
        <f>0</f>
        <v>0</v>
      </c>
      <c r="BG241" s="49">
        <f>0</f>
        <v>0</v>
      </c>
      <c r="BH241" s="49">
        <f>0</f>
        <v>0</v>
      </c>
      <c r="BI241" s="49">
        <f>0</f>
        <v>0</v>
      </c>
      <c r="BJ241" s="49">
        <f>0</f>
        <v>0</v>
      </c>
      <c r="BK241" s="49">
        <f>0</f>
        <v>0</v>
      </c>
      <c r="BL241" s="49">
        <f>0</f>
        <v>0</v>
      </c>
      <c r="BM241" s="49">
        <f>0</f>
        <v>0</v>
      </c>
      <c r="BN241" s="49">
        <f>0</f>
        <v>0</v>
      </c>
      <c r="BO241" s="49">
        <f>0</f>
        <v>0</v>
      </c>
      <c r="BP241" s="49">
        <f>0</f>
        <v>0</v>
      </c>
      <c r="BQ241" s="49">
        <f>0</f>
        <v>0</v>
      </c>
      <c r="BR241" s="49">
        <f>0</f>
        <v>0</v>
      </c>
      <c r="BS241" s="49">
        <f>0</f>
        <v>0</v>
      </c>
      <c r="BT241" s="49">
        <f>0</f>
        <v>0</v>
      </c>
      <c r="BU241" s="49">
        <f>0</f>
        <v>0</v>
      </c>
      <c r="BV241" s="49">
        <f>0</f>
        <v>0</v>
      </c>
      <c r="BW241" s="49">
        <f>0</f>
        <v>0</v>
      </c>
      <c r="BX241" s="49">
        <f>0</f>
        <v>0</v>
      </c>
    </row>
    <row r="242" spans="1:76" hidden="1" outlineLevel="1">
      <c r="B242" t="s">
        <v>160</v>
      </c>
      <c r="D242" s="49">
        <f>IF(D$4&gt;=EOMONTH(CloseDate,'Rent Roll'!$O$28-1),1,0)</f>
        <v>0</v>
      </c>
      <c r="E242" s="49">
        <f>IF(E$4&gt;=EOMONTH(CloseDate,'Rent Roll'!$O$28-1),1,0)</f>
        <v>0</v>
      </c>
      <c r="F242" s="49">
        <f>IF(F$4&gt;=EOMONTH(CloseDate,'Rent Roll'!$O$28-1),1,0)</f>
        <v>0</v>
      </c>
      <c r="G242" s="49">
        <f>IF(G$4&gt;=EOMONTH(CloseDate,'Rent Roll'!$O$28-1),1,0)</f>
        <v>0</v>
      </c>
      <c r="H242" s="49">
        <f>IF(H$4&gt;=EOMONTH(CloseDate,'Rent Roll'!$O$28-1),1,0)</f>
        <v>0</v>
      </c>
      <c r="I242" s="49">
        <f>IF(I$4&gt;=EOMONTH(CloseDate,'Rent Roll'!$O$28-1),1,0)</f>
        <v>1</v>
      </c>
      <c r="J242" s="49">
        <f>IF(J$4&gt;=EOMONTH(CloseDate,'Rent Roll'!$O$28-1),1,0)</f>
        <v>1</v>
      </c>
      <c r="K242" s="49">
        <f>IF(K$4&gt;=EOMONTH(CloseDate,'Rent Roll'!$O$28-1),1,0)</f>
        <v>1</v>
      </c>
      <c r="L242" s="49">
        <f>IF(L$4&gt;=EOMONTH(CloseDate,'Rent Roll'!$O$28-1),1,0)</f>
        <v>1</v>
      </c>
      <c r="M242" s="49">
        <f>IF(M$4&gt;=EOMONTH(CloseDate,'Rent Roll'!$O$28-1),1,0)</f>
        <v>1</v>
      </c>
      <c r="N242" s="49">
        <f>IF(N$4&gt;=EOMONTH(CloseDate,'Rent Roll'!$O$28-1),1,0)</f>
        <v>1</v>
      </c>
      <c r="O242" s="49">
        <f>IF(O$4&gt;=EOMONTH(CloseDate,'Rent Roll'!$O$28-1),1,0)</f>
        <v>1</v>
      </c>
      <c r="P242" s="49">
        <f>IF(P$4&gt;=EOMONTH(CloseDate,'Rent Roll'!$O$28-1),1,0)</f>
        <v>1</v>
      </c>
      <c r="Q242" s="49">
        <f>IF(Q$4&gt;=EOMONTH(CloseDate,'Rent Roll'!$O$28-1),1,0)</f>
        <v>1</v>
      </c>
      <c r="R242" s="49">
        <f>IF(R$4&gt;=EOMONTH(CloseDate,'Rent Roll'!$O$28-1),1,0)</f>
        <v>1</v>
      </c>
      <c r="S242" s="49">
        <f>IF(S$4&gt;=EOMONTH(CloseDate,'Rent Roll'!$O$28-1),1,0)</f>
        <v>1</v>
      </c>
      <c r="T242" s="49">
        <f>IF(T$4&gt;=EOMONTH(CloseDate,'Rent Roll'!$O$28-1),1,0)</f>
        <v>1</v>
      </c>
      <c r="U242" s="49">
        <f>IF(U$4&gt;=EOMONTH(CloseDate,'Rent Roll'!$O$28-1),1,0)</f>
        <v>1</v>
      </c>
      <c r="V242" s="49">
        <f>IF(V$4&gt;=EOMONTH(CloseDate,'Rent Roll'!$O$28-1),1,0)</f>
        <v>1</v>
      </c>
      <c r="W242" s="49">
        <f>IF(W$4&gt;=EOMONTH(CloseDate,'Rent Roll'!$O$28-1),1,0)</f>
        <v>1</v>
      </c>
      <c r="X242" s="49">
        <f>IF(X$4&gt;=EOMONTH(CloseDate,'Rent Roll'!$O$28-1),1,0)</f>
        <v>1</v>
      </c>
      <c r="Y242" s="49">
        <f>IF(Y$4&gt;=EOMONTH(CloseDate,'Rent Roll'!$O$28-1),1,0)</f>
        <v>1</v>
      </c>
      <c r="Z242" s="49">
        <f>IF(Z$4&gt;=EOMONTH(CloseDate,'Rent Roll'!$O$28-1),1,0)</f>
        <v>1</v>
      </c>
      <c r="AA242" s="49">
        <f>IF(AA$4&gt;=EOMONTH(CloseDate,'Rent Roll'!$O$28-1),1,0)</f>
        <v>1</v>
      </c>
      <c r="AB242" s="49">
        <f>IF(AB$4&gt;=EOMONTH(CloseDate,'Rent Roll'!$O$28-1),1,0)</f>
        <v>1</v>
      </c>
      <c r="AC242" s="49">
        <f>IF(AC$4&gt;=EOMONTH(CloseDate,'Rent Roll'!$O$28-1),1,0)</f>
        <v>1</v>
      </c>
      <c r="AD242" s="49">
        <f>IF(AD$4&gt;=EOMONTH(CloseDate,'Rent Roll'!$O$28-1),1,0)</f>
        <v>1</v>
      </c>
      <c r="AE242" s="49">
        <f>IF(AE$4&gt;=EOMONTH(CloseDate,'Rent Roll'!$O$28-1),1,0)</f>
        <v>1</v>
      </c>
      <c r="AF242" s="49">
        <f>IF(AF$4&gt;=EOMONTH(CloseDate,'Rent Roll'!$O$28-1),1,0)</f>
        <v>1</v>
      </c>
      <c r="AG242" s="49">
        <f>IF(AG$4&gt;=EOMONTH(CloseDate,'Rent Roll'!$O$28-1),1,0)</f>
        <v>1</v>
      </c>
      <c r="AH242" s="49">
        <f>IF(AH$4&gt;=EOMONTH(CloseDate,'Rent Roll'!$O$28-1),1,0)</f>
        <v>1</v>
      </c>
      <c r="AI242" s="49">
        <f>IF(AI$4&gt;=EOMONTH(CloseDate,'Rent Roll'!$O$28-1),1,0)</f>
        <v>1</v>
      </c>
      <c r="AJ242" s="49">
        <f>IF(AJ$4&gt;=EOMONTH(CloseDate,'Rent Roll'!$O$28-1),1,0)</f>
        <v>1</v>
      </c>
      <c r="AK242" s="49">
        <f>IF(AK$4&gt;=EOMONTH(CloseDate,'Rent Roll'!$O$28-1),1,0)</f>
        <v>1</v>
      </c>
      <c r="AL242" s="49">
        <f>IF(AL$4&gt;=EOMONTH(CloseDate,'Rent Roll'!$O$28-1),1,0)</f>
        <v>1</v>
      </c>
      <c r="AM242" s="49">
        <f>IF(AM$4&gt;=EOMONTH(CloseDate,'Rent Roll'!$O$28-1),1,0)</f>
        <v>1</v>
      </c>
      <c r="AN242" s="49">
        <f>IF(AN$4&gt;=EOMONTH(CloseDate,'Rent Roll'!$O$28-1),1,0)</f>
        <v>1</v>
      </c>
      <c r="AO242" s="49">
        <f>IF(AO$4&gt;=EOMONTH(CloseDate,'Rent Roll'!$O$28-1),1,0)</f>
        <v>1</v>
      </c>
      <c r="AP242" s="49">
        <f>IF(AP$4&gt;=EOMONTH(CloseDate,'Rent Roll'!$O$28-1),1,0)</f>
        <v>1</v>
      </c>
      <c r="AQ242" s="49">
        <f>IF(AQ$4&gt;=EOMONTH(CloseDate,'Rent Roll'!$O$28-1),1,0)</f>
        <v>1</v>
      </c>
      <c r="AR242" s="49">
        <f>IF(AR$4&gt;=EOMONTH(CloseDate,'Rent Roll'!$O$28-1),1,0)</f>
        <v>1</v>
      </c>
      <c r="AS242" s="49">
        <f>IF(AS$4&gt;=EOMONTH(CloseDate,'Rent Roll'!$O$28-1),1,0)</f>
        <v>1</v>
      </c>
      <c r="AT242" s="49">
        <f>IF(AT$4&gt;=EOMONTH(CloseDate,'Rent Roll'!$O$28-1),1,0)</f>
        <v>1</v>
      </c>
      <c r="AU242" s="49">
        <f>IF(AU$4&gt;=EOMONTH(CloseDate,'Rent Roll'!$O$28-1),1,0)</f>
        <v>1</v>
      </c>
      <c r="AV242" s="49">
        <f>IF(AV$4&gt;=EOMONTH(CloseDate,'Rent Roll'!$O$28-1),1,0)</f>
        <v>1</v>
      </c>
      <c r="AW242" s="49">
        <f>IF(AW$4&gt;=EOMONTH(CloseDate,'Rent Roll'!$O$28-1),1,0)</f>
        <v>1</v>
      </c>
      <c r="AX242" s="49">
        <f>IF(AX$4&gt;=EOMONTH(CloseDate,'Rent Roll'!$O$28-1),1,0)</f>
        <v>1</v>
      </c>
      <c r="AY242" s="49">
        <f>IF(AY$4&gt;=EOMONTH(CloseDate,'Rent Roll'!$O$28-1),1,0)</f>
        <v>1</v>
      </c>
      <c r="AZ242" s="49">
        <f>IF(AZ$4&gt;=EOMONTH(CloseDate,'Rent Roll'!$O$28-1),1,0)</f>
        <v>1</v>
      </c>
      <c r="BA242" s="49">
        <f>IF(BA$4&gt;=EOMONTH(CloseDate,'Rent Roll'!$O$28-1),1,0)</f>
        <v>1</v>
      </c>
      <c r="BB242" s="49">
        <f>IF(BB$4&gt;=EOMONTH(CloseDate,'Rent Roll'!$O$28-1),1,0)</f>
        <v>1</v>
      </c>
      <c r="BC242" s="49">
        <f>IF(BC$4&gt;=EOMONTH(CloseDate,'Rent Roll'!$O$28-1),1,0)</f>
        <v>1</v>
      </c>
      <c r="BD242" s="49">
        <f>IF(BD$4&gt;=EOMONTH(CloseDate,'Rent Roll'!$O$28-1),1,0)</f>
        <v>1</v>
      </c>
      <c r="BE242" s="49">
        <f>IF(BE$4&gt;=EOMONTH(CloseDate,'Rent Roll'!$O$28-1),1,0)</f>
        <v>1</v>
      </c>
      <c r="BF242" s="49">
        <f>IF(BF$4&gt;=EOMONTH(CloseDate,'Rent Roll'!$O$28-1),1,0)</f>
        <v>1</v>
      </c>
      <c r="BG242" s="49">
        <f>IF(BG$4&gt;=EOMONTH(CloseDate,'Rent Roll'!$O$28-1),1,0)</f>
        <v>1</v>
      </c>
      <c r="BH242" s="49">
        <f>IF(BH$4&gt;=EOMONTH(CloseDate,'Rent Roll'!$O$28-1),1,0)</f>
        <v>1</v>
      </c>
      <c r="BI242" s="49">
        <f>IF(BI$4&gt;=EOMONTH(CloseDate,'Rent Roll'!$O$28-1),1,0)</f>
        <v>1</v>
      </c>
      <c r="BJ242" s="49">
        <f>IF(BJ$4&gt;=EOMONTH(CloseDate,'Rent Roll'!$O$28-1),1,0)</f>
        <v>1</v>
      </c>
      <c r="BK242" s="49">
        <f>IF(BK$4&gt;=EOMONTH(CloseDate,'Rent Roll'!$O$28-1),1,0)</f>
        <v>1</v>
      </c>
      <c r="BL242" s="49">
        <f>IF(BL$4&gt;=EOMONTH(CloseDate,'Rent Roll'!$O$28-1),1,0)</f>
        <v>1</v>
      </c>
      <c r="BM242" s="49">
        <f>IF(BM$4&gt;=EOMONTH(CloseDate,'Rent Roll'!$O$28-1),1,0)</f>
        <v>1</v>
      </c>
      <c r="BN242" s="49">
        <f>IF(BN$4&gt;=EOMONTH(CloseDate,'Rent Roll'!$O$28-1),1,0)</f>
        <v>1</v>
      </c>
      <c r="BO242" s="49">
        <f>IF(BO$4&gt;=EOMONTH(CloseDate,'Rent Roll'!$O$28-1),1,0)</f>
        <v>1</v>
      </c>
      <c r="BP242" s="49">
        <f>IF(BP$4&gt;=EOMONTH(CloseDate,'Rent Roll'!$O$28-1),1,0)</f>
        <v>1</v>
      </c>
      <c r="BQ242" s="49">
        <f>IF(BQ$4&gt;=EOMONTH(CloseDate,'Rent Roll'!$O$28-1),1,0)</f>
        <v>1</v>
      </c>
      <c r="BR242" s="49">
        <f>IF(BR$4&gt;=EOMONTH(CloseDate,'Rent Roll'!$O$28-1),1,0)</f>
        <v>1</v>
      </c>
      <c r="BS242" s="49">
        <f>IF(BS$4&gt;=EOMONTH(CloseDate,'Rent Roll'!$O$28-1),1,0)</f>
        <v>1</v>
      </c>
      <c r="BT242" s="49">
        <f>IF(BT$4&gt;=EOMONTH(CloseDate,'Rent Roll'!$O$28-1),1,0)</f>
        <v>1</v>
      </c>
      <c r="BU242" s="49">
        <f>IF(BU$4&gt;=EOMONTH(CloseDate,'Rent Roll'!$O$28-1),1,0)</f>
        <v>1</v>
      </c>
      <c r="BV242" s="49">
        <f>IF(BV$4&gt;=EOMONTH(CloseDate,'Rent Roll'!$O$28-1),1,0)</f>
        <v>1</v>
      </c>
      <c r="BW242" s="49">
        <f>IF(BW$4&gt;=EOMONTH(CloseDate,'Rent Roll'!$O$28-1),1,0)</f>
        <v>1</v>
      </c>
      <c r="BX242" s="49">
        <f>IF(BX$4&gt;=EOMONTH(CloseDate,'Rent Roll'!$O$28-1),1,0)</f>
        <v>1</v>
      </c>
    </row>
    <row r="243" spans="1:76" hidden="1" outlineLevel="1">
      <c r="B243" t="s">
        <v>162</v>
      </c>
      <c r="D243" s="49">
        <f>IF(D242=1,'Rent Roll'!$F$28*'Rent Roll'!$X$28/12*D$6,0)</f>
        <v>0</v>
      </c>
      <c r="E243" s="49">
        <f>IF(E242=1,'Rent Roll'!$F$28*'Rent Roll'!$X$28/12*E$6,0)</f>
        <v>0</v>
      </c>
      <c r="F243" s="49">
        <f>IF(F242=1,'Rent Roll'!$F$28*'Rent Roll'!$X$28/12*F$6,0)</f>
        <v>0</v>
      </c>
      <c r="G243" s="49">
        <f>IF(G242=1,'Rent Roll'!$F$28*'Rent Roll'!$X$28/12*G$6,0)</f>
        <v>0</v>
      </c>
      <c r="H243" s="49">
        <f>IF(H242=1,'Rent Roll'!$F$28*'Rent Roll'!$X$28/12*H$6,0)</f>
        <v>0</v>
      </c>
      <c r="I243" s="49">
        <f>IF(I242=1,'Rent Roll'!$F$28*'Rent Roll'!$X$28/12*I$6,0)</f>
        <v>19425.319874999994</v>
      </c>
      <c r="J243" s="49">
        <f>IF(J242=1,'Rent Roll'!$F$28*'Rent Roll'!$X$28/12*J$6,0)</f>
        <v>19425.319874999994</v>
      </c>
      <c r="K243" s="49">
        <f>IF(K242=1,'Rent Roll'!$F$28*'Rent Roll'!$X$28/12*K$6,0)</f>
        <v>19425.319874999994</v>
      </c>
      <c r="L243" s="49">
        <f>IF(L242=1,'Rent Roll'!$F$28*'Rent Roll'!$X$28/12*L$6,0)</f>
        <v>19425.319874999994</v>
      </c>
      <c r="M243" s="49">
        <f>IF(M242=1,'Rent Roll'!$F$28*'Rent Roll'!$X$28/12*M$6,0)</f>
        <v>19425.319874999994</v>
      </c>
      <c r="N243" s="49">
        <f>IF(N242=1,'Rent Roll'!$F$28*'Rent Roll'!$X$28/12*N$6,0)</f>
        <v>19425.319874999994</v>
      </c>
      <c r="O243" s="49">
        <f>IF(O242=1,'Rent Roll'!$F$28*'Rent Roll'!$X$28/12*O$6,0)</f>
        <v>19425.319874999994</v>
      </c>
      <c r="P243" s="49">
        <f>IF(P242=1,'Rent Roll'!$F$28*'Rent Roll'!$X$28/12*P$6,0)</f>
        <v>19425.319874999994</v>
      </c>
      <c r="Q243" s="49">
        <f>IF(Q242=1,'Rent Roll'!$F$28*'Rent Roll'!$X$28/12*Q$6,0)</f>
        <v>19425.319874999994</v>
      </c>
      <c r="R243" s="49">
        <f>IF(R242=1,'Rent Roll'!$F$28*'Rent Roll'!$X$28/12*R$6,0)</f>
        <v>19425.319874999994</v>
      </c>
      <c r="S243" s="49">
        <f>IF(S242=1,'Rent Roll'!$F$28*'Rent Roll'!$X$28/12*S$6,0)</f>
        <v>19425.319874999994</v>
      </c>
      <c r="T243" s="49">
        <f>IF(T242=1,'Rent Roll'!$F$28*'Rent Roll'!$X$28/12*T$6,0)</f>
        <v>19425.319874999994</v>
      </c>
      <c r="U243" s="49">
        <f>IF(U242=1,'Rent Roll'!$F$28*'Rent Roll'!$X$28/12*U$6,0)</f>
        <v>19949.803511624992</v>
      </c>
      <c r="V243" s="49">
        <f>IF(V242=1,'Rent Roll'!$F$28*'Rent Roll'!$X$28/12*V$6,0)</f>
        <v>19949.803511624992</v>
      </c>
      <c r="W243" s="49">
        <f>IF(W242=1,'Rent Roll'!$F$28*'Rent Roll'!$X$28/12*W$6,0)</f>
        <v>19949.803511624992</v>
      </c>
      <c r="X243" s="49">
        <f>IF(X242=1,'Rent Roll'!$F$28*'Rent Roll'!$X$28/12*X$6,0)</f>
        <v>19949.803511624992</v>
      </c>
      <c r="Y243" s="49">
        <f>IF(Y242=1,'Rent Roll'!$F$28*'Rent Roll'!$X$28/12*Y$6,0)</f>
        <v>19949.803511624992</v>
      </c>
      <c r="Z243" s="49">
        <f>IF(Z242=1,'Rent Roll'!$F$28*'Rent Roll'!$X$28/12*Z$6,0)</f>
        <v>19949.803511624992</v>
      </c>
      <c r="AA243" s="49">
        <f>IF(AA242=1,'Rent Roll'!$F$28*'Rent Roll'!$X$28/12*AA$6,0)</f>
        <v>19949.803511624992</v>
      </c>
      <c r="AB243" s="49">
        <f>IF(AB242=1,'Rent Roll'!$F$28*'Rent Roll'!$X$28/12*AB$6,0)</f>
        <v>19949.803511624992</v>
      </c>
      <c r="AC243" s="49">
        <f>IF(AC242=1,'Rent Roll'!$F$28*'Rent Roll'!$X$28/12*AC$6,0)</f>
        <v>19949.803511624992</v>
      </c>
      <c r="AD243" s="49">
        <f>IF(AD242=1,'Rent Roll'!$F$28*'Rent Roll'!$X$28/12*AD$6,0)</f>
        <v>19949.803511624992</v>
      </c>
      <c r="AE243" s="49">
        <f>IF(AE242=1,'Rent Roll'!$F$28*'Rent Roll'!$X$28/12*AE$6,0)</f>
        <v>19949.803511624992</v>
      </c>
      <c r="AF243" s="49">
        <f>IF(AF242=1,'Rent Roll'!$F$28*'Rent Roll'!$X$28/12*AF$6,0)</f>
        <v>19949.803511624992</v>
      </c>
      <c r="AG243" s="49">
        <f>IF(AG242=1,'Rent Roll'!$F$28*'Rent Roll'!$X$28/12*AG$6,0)</f>
        <v>20488.448206438869</v>
      </c>
      <c r="AH243" s="49">
        <f>IF(AH242=1,'Rent Roll'!$F$28*'Rent Roll'!$X$28/12*AH$6,0)</f>
        <v>20488.448206438869</v>
      </c>
      <c r="AI243" s="49">
        <f>IF(AI242=1,'Rent Roll'!$F$28*'Rent Roll'!$X$28/12*AI$6,0)</f>
        <v>20488.448206438869</v>
      </c>
      <c r="AJ243" s="49">
        <f>IF(AJ242=1,'Rent Roll'!$F$28*'Rent Roll'!$X$28/12*AJ$6,0)</f>
        <v>20488.448206438869</v>
      </c>
      <c r="AK243" s="49">
        <f>IF(AK242=1,'Rent Roll'!$F$28*'Rent Roll'!$X$28/12*AK$6,0)</f>
        <v>20488.448206438869</v>
      </c>
      <c r="AL243" s="49">
        <f>IF(AL242=1,'Rent Roll'!$F$28*'Rent Roll'!$X$28/12*AL$6,0)</f>
        <v>20488.448206438869</v>
      </c>
      <c r="AM243" s="49">
        <f>IF(AM242=1,'Rent Roll'!$F$28*'Rent Roll'!$X$28/12*AM$6,0)</f>
        <v>20488.448206438869</v>
      </c>
      <c r="AN243" s="49">
        <f>IF(AN242=1,'Rent Roll'!$F$28*'Rent Roll'!$X$28/12*AN$6,0)</f>
        <v>20488.448206438869</v>
      </c>
      <c r="AO243" s="49">
        <f>IF(AO242=1,'Rent Roll'!$F$28*'Rent Roll'!$X$28/12*AO$6,0)</f>
        <v>20488.448206438869</v>
      </c>
      <c r="AP243" s="49">
        <f>IF(AP242=1,'Rent Roll'!$F$28*'Rent Roll'!$X$28/12*AP$6,0)</f>
        <v>20488.448206438869</v>
      </c>
      <c r="AQ243" s="49">
        <f>IF(AQ242=1,'Rent Roll'!$F$28*'Rent Roll'!$X$28/12*AQ$6,0)</f>
        <v>20488.448206438869</v>
      </c>
      <c r="AR243" s="49">
        <f>IF(AR242=1,'Rent Roll'!$F$28*'Rent Roll'!$X$28/12*AR$6,0)</f>
        <v>20488.448206438869</v>
      </c>
      <c r="AS243" s="49">
        <f>IF(AS242=1,'Rent Roll'!$F$28*'Rent Roll'!$X$28/12*AS$6,0)</f>
        <v>21041.636308012712</v>
      </c>
      <c r="AT243" s="49">
        <f>IF(AT242=1,'Rent Roll'!$F$28*'Rent Roll'!$X$28/12*AT$6,0)</f>
        <v>21041.636308012712</v>
      </c>
      <c r="AU243" s="49">
        <f>IF(AU242=1,'Rent Roll'!$F$28*'Rent Roll'!$X$28/12*AU$6,0)</f>
        <v>21041.636308012712</v>
      </c>
      <c r="AV243" s="49">
        <f>IF(AV242=1,'Rent Roll'!$F$28*'Rent Roll'!$X$28/12*AV$6,0)</f>
        <v>21041.636308012712</v>
      </c>
      <c r="AW243" s="49">
        <f>IF(AW242=1,'Rent Roll'!$F$28*'Rent Roll'!$X$28/12*AW$6,0)</f>
        <v>21041.636308012712</v>
      </c>
      <c r="AX243" s="49">
        <f>IF(AX242=1,'Rent Roll'!$F$28*'Rent Roll'!$X$28/12*AX$6,0)</f>
        <v>21041.636308012712</v>
      </c>
      <c r="AY243" s="49">
        <f>IF(AY242=1,'Rent Roll'!$F$28*'Rent Roll'!$X$28/12*AY$6,0)</f>
        <v>21041.636308012712</v>
      </c>
      <c r="AZ243" s="49">
        <f>IF(AZ242=1,'Rent Roll'!$F$28*'Rent Roll'!$X$28/12*AZ$6,0)</f>
        <v>21041.636308012712</v>
      </c>
      <c r="BA243" s="49">
        <f>IF(BA242=1,'Rent Roll'!$F$28*'Rent Roll'!$X$28/12*BA$6,0)</f>
        <v>21041.636308012712</v>
      </c>
      <c r="BB243" s="49">
        <f>IF(BB242=1,'Rent Roll'!$F$28*'Rent Roll'!$X$28/12*BB$6,0)</f>
        <v>21041.636308012712</v>
      </c>
      <c r="BC243" s="49">
        <f>IF(BC242=1,'Rent Roll'!$F$28*'Rent Roll'!$X$28/12*BC$6,0)</f>
        <v>21041.636308012712</v>
      </c>
      <c r="BD243" s="49">
        <f>IF(BD242=1,'Rent Roll'!$F$28*'Rent Roll'!$X$28/12*BD$6,0)</f>
        <v>21041.636308012712</v>
      </c>
      <c r="BE243" s="49">
        <f>IF(BE242=1,'Rent Roll'!$F$28*'Rent Roll'!$X$28/12*BE$6,0)</f>
        <v>21609.760488329055</v>
      </c>
      <c r="BF243" s="49">
        <f>IF(BF242=1,'Rent Roll'!$F$28*'Rent Roll'!$X$28/12*BF$6,0)</f>
        <v>21609.760488329055</v>
      </c>
      <c r="BG243" s="49">
        <f>IF(BG242=1,'Rent Roll'!$F$28*'Rent Roll'!$X$28/12*BG$6,0)</f>
        <v>21609.760488329055</v>
      </c>
      <c r="BH243" s="49">
        <f>IF(BH242=1,'Rent Roll'!$F$28*'Rent Roll'!$X$28/12*BH$6,0)</f>
        <v>21609.760488329055</v>
      </c>
      <c r="BI243" s="49">
        <f>IF(BI242=1,'Rent Roll'!$F$28*'Rent Roll'!$X$28/12*BI$6,0)</f>
        <v>21609.760488329055</v>
      </c>
      <c r="BJ243" s="49">
        <f>IF(BJ242=1,'Rent Roll'!$F$28*'Rent Roll'!$X$28/12*BJ$6,0)</f>
        <v>21609.760488329055</v>
      </c>
      <c r="BK243" s="49">
        <f>IF(BK242=1,'Rent Roll'!$F$28*'Rent Roll'!$X$28/12*BK$6,0)</f>
        <v>21609.760488329055</v>
      </c>
      <c r="BL243" s="49">
        <f>IF(BL242=1,'Rent Roll'!$F$28*'Rent Roll'!$X$28/12*BL$6,0)</f>
        <v>21609.760488329055</v>
      </c>
      <c r="BM243" s="49">
        <f>IF(BM242=1,'Rent Roll'!$F$28*'Rent Roll'!$X$28/12*BM$6,0)</f>
        <v>21609.760488329055</v>
      </c>
      <c r="BN243" s="49">
        <f>IF(BN242=1,'Rent Roll'!$F$28*'Rent Roll'!$X$28/12*BN$6,0)</f>
        <v>21609.760488329055</v>
      </c>
      <c r="BO243" s="49">
        <f>IF(BO242=1,'Rent Roll'!$F$28*'Rent Roll'!$X$28/12*BO$6,0)</f>
        <v>21609.760488329055</v>
      </c>
      <c r="BP243" s="49">
        <f>IF(BP242=1,'Rent Roll'!$F$28*'Rent Roll'!$X$28/12*BP$6,0)</f>
        <v>21609.760488329055</v>
      </c>
      <c r="BQ243" s="49">
        <f>IF(BQ242=1,'Rent Roll'!$F$28*'Rent Roll'!$X$28/12*BQ$6,0)</f>
        <v>22193.224021513935</v>
      </c>
      <c r="BR243" s="49">
        <f>IF(BR242=1,'Rent Roll'!$F$28*'Rent Roll'!$X$28/12*BR$6,0)</f>
        <v>22193.224021513935</v>
      </c>
      <c r="BS243" s="49">
        <f>IF(BS242=1,'Rent Roll'!$F$28*'Rent Roll'!$X$28/12*BS$6,0)</f>
        <v>22193.224021513935</v>
      </c>
      <c r="BT243" s="49">
        <f>IF(BT242=1,'Rent Roll'!$F$28*'Rent Roll'!$X$28/12*BT$6,0)</f>
        <v>22193.224021513935</v>
      </c>
      <c r="BU243" s="49">
        <f>IF(BU242=1,'Rent Roll'!$F$28*'Rent Roll'!$X$28/12*BU$6,0)</f>
        <v>22193.224021513935</v>
      </c>
      <c r="BV243" s="49">
        <f>IF(BV242=1,'Rent Roll'!$F$28*'Rent Roll'!$X$28/12*BV$6,0)</f>
        <v>22193.224021513935</v>
      </c>
      <c r="BW243" s="49">
        <f>IF(BW242=1,'Rent Roll'!$F$28*'Rent Roll'!$X$28/12*BW$6,0)</f>
        <v>22193.224021513935</v>
      </c>
      <c r="BX243" s="49">
        <f>IF(BX242=1,'Rent Roll'!$F$28*'Rent Roll'!$X$28/12*BX$6,0)</f>
        <v>22193.224021513935</v>
      </c>
    </row>
    <row r="244" spans="1:76" hidden="1" outlineLevel="1">
      <c r="B244" t="s">
        <v>163</v>
      </c>
      <c r="D244" s="49">
        <f>IF(AND(D$4&gt;=EOMONTH(CloseDate,'Rent Roll'!$O$28-1),D$4&lt;EOMONTH(CloseDate,'Rent Roll'!$O$28-1+'Rent Roll'!$V$28)),-D243,0)</f>
        <v>0</v>
      </c>
      <c r="E244" s="49">
        <f>IF(AND(E$4&gt;=EOMONTH(CloseDate,'Rent Roll'!$O$28-1),E$4&lt;EOMONTH(CloseDate,'Rent Roll'!$O$28-1+'Rent Roll'!$V$28)),-E243,0)</f>
        <v>0</v>
      </c>
      <c r="F244" s="49">
        <f>IF(AND(F$4&gt;=EOMONTH(CloseDate,'Rent Roll'!$O$28-1),F$4&lt;EOMONTH(CloseDate,'Rent Roll'!$O$28-1+'Rent Roll'!$V$28)),-F243,0)</f>
        <v>0</v>
      </c>
      <c r="G244" s="49">
        <f>IF(AND(G$4&gt;=EOMONTH(CloseDate,'Rent Roll'!$O$28-1),G$4&lt;EOMONTH(CloseDate,'Rent Roll'!$O$28-1+'Rent Roll'!$V$28)),-G243,0)</f>
        <v>0</v>
      </c>
      <c r="H244" s="49">
        <f>IF(AND(H$4&gt;=EOMONTH(CloseDate,'Rent Roll'!$O$28-1),H$4&lt;EOMONTH(CloseDate,'Rent Roll'!$O$28-1+'Rent Roll'!$V$28)),-H243,0)</f>
        <v>0</v>
      </c>
      <c r="I244" s="49">
        <f>IF(AND(I$4&gt;=EOMONTH(CloseDate,'Rent Roll'!$O$28-1),I$4&lt;EOMONTH(CloseDate,'Rent Roll'!$O$28-1+'Rent Roll'!$V$28)),-I243,0)</f>
        <v>-19425.319874999994</v>
      </c>
      <c r="J244" s="49">
        <f>IF(AND(J$4&gt;=EOMONTH(CloseDate,'Rent Roll'!$O$28-1),J$4&lt;EOMONTH(CloseDate,'Rent Roll'!$O$28-1+'Rent Roll'!$V$28)),-J243,0)</f>
        <v>-19425.319874999994</v>
      </c>
      <c r="K244" s="49">
        <f>IF(AND(K$4&gt;=EOMONTH(CloseDate,'Rent Roll'!$O$28-1),K$4&lt;EOMONTH(CloseDate,'Rent Roll'!$O$28-1+'Rent Roll'!$V$28)),-K243,0)</f>
        <v>0</v>
      </c>
      <c r="L244" s="49">
        <f>IF(AND(L$4&gt;=EOMONTH(CloseDate,'Rent Roll'!$O$28-1),L$4&lt;EOMONTH(CloseDate,'Rent Roll'!$O$28-1+'Rent Roll'!$V$28)),-L243,0)</f>
        <v>0</v>
      </c>
      <c r="M244" s="49">
        <f>IF(AND(M$4&gt;=EOMONTH(CloseDate,'Rent Roll'!$O$28-1),M$4&lt;EOMONTH(CloseDate,'Rent Roll'!$O$28-1+'Rent Roll'!$V$28)),-M243,0)</f>
        <v>0</v>
      </c>
      <c r="N244" s="49">
        <f>IF(AND(N$4&gt;=EOMONTH(CloseDate,'Rent Roll'!$O$28-1),N$4&lt;EOMONTH(CloseDate,'Rent Roll'!$O$28-1+'Rent Roll'!$V$28)),-N243,0)</f>
        <v>0</v>
      </c>
      <c r="O244" s="49">
        <f>IF(AND(O$4&gt;=EOMONTH(CloseDate,'Rent Roll'!$O$28-1),O$4&lt;EOMONTH(CloseDate,'Rent Roll'!$O$28-1+'Rent Roll'!$V$28)),-O243,0)</f>
        <v>0</v>
      </c>
      <c r="P244" s="49">
        <f>IF(AND(P$4&gt;=EOMONTH(CloseDate,'Rent Roll'!$O$28-1),P$4&lt;EOMONTH(CloseDate,'Rent Roll'!$O$28-1+'Rent Roll'!$V$28)),-P243,0)</f>
        <v>0</v>
      </c>
      <c r="Q244" s="49">
        <f>IF(AND(Q$4&gt;=EOMONTH(CloseDate,'Rent Roll'!$O$28-1),Q$4&lt;EOMONTH(CloseDate,'Rent Roll'!$O$28-1+'Rent Roll'!$V$28)),-Q243,0)</f>
        <v>0</v>
      </c>
      <c r="R244" s="49">
        <f>IF(AND(R$4&gt;=EOMONTH(CloseDate,'Rent Roll'!$O$28-1),R$4&lt;EOMONTH(CloseDate,'Rent Roll'!$O$28-1+'Rent Roll'!$V$28)),-R243,0)</f>
        <v>0</v>
      </c>
      <c r="S244" s="49">
        <f>IF(AND(S$4&gt;=EOMONTH(CloseDate,'Rent Roll'!$O$28-1),S$4&lt;EOMONTH(CloseDate,'Rent Roll'!$O$28-1+'Rent Roll'!$V$28)),-S243,0)</f>
        <v>0</v>
      </c>
      <c r="T244" s="49">
        <f>IF(AND(T$4&gt;=EOMONTH(CloseDate,'Rent Roll'!$O$28-1),T$4&lt;EOMONTH(CloseDate,'Rent Roll'!$O$28-1+'Rent Roll'!$V$28)),-T243,0)</f>
        <v>0</v>
      </c>
      <c r="U244" s="49">
        <f>IF(AND(U$4&gt;=EOMONTH(CloseDate,'Rent Roll'!$O$28-1),U$4&lt;EOMONTH(CloseDate,'Rent Roll'!$O$28-1+'Rent Roll'!$V$28)),-U243,0)</f>
        <v>0</v>
      </c>
      <c r="V244" s="49">
        <f>IF(AND(V$4&gt;=EOMONTH(CloseDate,'Rent Roll'!$O$28-1),V$4&lt;EOMONTH(CloseDate,'Rent Roll'!$O$28-1+'Rent Roll'!$V$28)),-V243,0)</f>
        <v>0</v>
      </c>
      <c r="W244" s="49">
        <f>IF(AND(W$4&gt;=EOMONTH(CloseDate,'Rent Roll'!$O$28-1),W$4&lt;EOMONTH(CloseDate,'Rent Roll'!$O$28-1+'Rent Roll'!$V$28)),-W243,0)</f>
        <v>0</v>
      </c>
      <c r="X244" s="49">
        <f>IF(AND(X$4&gt;=EOMONTH(CloseDate,'Rent Roll'!$O$28-1),X$4&lt;EOMONTH(CloseDate,'Rent Roll'!$O$28-1+'Rent Roll'!$V$28)),-X243,0)</f>
        <v>0</v>
      </c>
      <c r="Y244" s="49">
        <f>IF(AND(Y$4&gt;=EOMONTH(CloseDate,'Rent Roll'!$O$28-1),Y$4&lt;EOMONTH(CloseDate,'Rent Roll'!$O$28-1+'Rent Roll'!$V$28)),-Y243,0)</f>
        <v>0</v>
      </c>
      <c r="Z244" s="49">
        <f>IF(AND(Z$4&gt;=EOMONTH(CloseDate,'Rent Roll'!$O$28-1),Z$4&lt;EOMONTH(CloseDate,'Rent Roll'!$O$28-1+'Rent Roll'!$V$28)),-Z243,0)</f>
        <v>0</v>
      </c>
      <c r="AA244" s="49">
        <f>IF(AND(AA$4&gt;=EOMONTH(CloseDate,'Rent Roll'!$O$28-1),AA$4&lt;EOMONTH(CloseDate,'Rent Roll'!$O$28-1+'Rent Roll'!$V$28)),-AA243,0)</f>
        <v>0</v>
      </c>
      <c r="AB244" s="49">
        <f>IF(AND(AB$4&gt;=EOMONTH(CloseDate,'Rent Roll'!$O$28-1),AB$4&lt;EOMONTH(CloseDate,'Rent Roll'!$O$28-1+'Rent Roll'!$V$28)),-AB243,0)</f>
        <v>0</v>
      </c>
      <c r="AC244" s="49">
        <f>IF(AND(AC$4&gt;=EOMONTH(CloseDate,'Rent Roll'!$O$28-1),AC$4&lt;EOMONTH(CloseDate,'Rent Roll'!$O$28-1+'Rent Roll'!$V$28)),-AC243,0)</f>
        <v>0</v>
      </c>
      <c r="AD244" s="49">
        <f>IF(AND(AD$4&gt;=EOMONTH(CloseDate,'Rent Roll'!$O$28-1),AD$4&lt;EOMONTH(CloseDate,'Rent Roll'!$O$28-1+'Rent Roll'!$V$28)),-AD243,0)</f>
        <v>0</v>
      </c>
      <c r="AE244" s="49">
        <f>IF(AND(AE$4&gt;=EOMONTH(CloseDate,'Rent Roll'!$O$28-1),AE$4&lt;EOMONTH(CloseDate,'Rent Roll'!$O$28-1+'Rent Roll'!$V$28)),-AE243,0)</f>
        <v>0</v>
      </c>
      <c r="AF244" s="49">
        <f>IF(AND(AF$4&gt;=EOMONTH(CloseDate,'Rent Roll'!$O$28-1),AF$4&lt;EOMONTH(CloseDate,'Rent Roll'!$O$28-1+'Rent Roll'!$V$28)),-AF243,0)</f>
        <v>0</v>
      </c>
      <c r="AG244" s="49">
        <f>IF(AND(AG$4&gt;=EOMONTH(CloseDate,'Rent Roll'!$O$28-1),AG$4&lt;EOMONTH(CloseDate,'Rent Roll'!$O$28-1+'Rent Roll'!$V$28)),-AG243,0)</f>
        <v>0</v>
      </c>
      <c r="AH244" s="49">
        <f>IF(AND(AH$4&gt;=EOMONTH(CloseDate,'Rent Roll'!$O$28-1),AH$4&lt;EOMONTH(CloseDate,'Rent Roll'!$O$28-1+'Rent Roll'!$V$28)),-AH243,0)</f>
        <v>0</v>
      </c>
      <c r="AI244" s="49">
        <f>IF(AND(AI$4&gt;=EOMONTH(CloseDate,'Rent Roll'!$O$28-1),AI$4&lt;EOMONTH(CloseDate,'Rent Roll'!$O$28-1+'Rent Roll'!$V$28)),-AI243,0)</f>
        <v>0</v>
      </c>
      <c r="AJ244" s="49">
        <f>IF(AND(AJ$4&gt;=EOMONTH(CloseDate,'Rent Roll'!$O$28-1),AJ$4&lt;EOMONTH(CloseDate,'Rent Roll'!$O$28-1+'Rent Roll'!$V$28)),-AJ243,0)</f>
        <v>0</v>
      </c>
      <c r="AK244" s="49">
        <f>IF(AND(AK$4&gt;=EOMONTH(CloseDate,'Rent Roll'!$O$28-1),AK$4&lt;EOMONTH(CloseDate,'Rent Roll'!$O$28-1+'Rent Roll'!$V$28)),-AK243,0)</f>
        <v>0</v>
      </c>
      <c r="AL244" s="49">
        <f>IF(AND(AL$4&gt;=EOMONTH(CloseDate,'Rent Roll'!$O$28-1),AL$4&lt;EOMONTH(CloseDate,'Rent Roll'!$O$28-1+'Rent Roll'!$V$28)),-AL243,0)</f>
        <v>0</v>
      </c>
      <c r="AM244" s="49">
        <f>IF(AND(AM$4&gt;=EOMONTH(CloseDate,'Rent Roll'!$O$28-1),AM$4&lt;EOMONTH(CloseDate,'Rent Roll'!$O$28-1+'Rent Roll'!$V$28)),-AM243,0)</f>
        <v>0</v>
      </c>
      <c r="AN244" s="49">
        <f>IF(AND(AN$4&gt;=EOMONTH(CloseDate,'Rent Roll'!$O$28-1),AN$4&lt;EOMONTH(CloseDate,'Rent Roll'!$O$28-1+'Rent Roll'!$V$28)),-AN243,0)</f>
        <v>0</v>
      </c>
      <c r="AO244" s="49">
        <f>IF(AND(AO$4&gt;=EOMONTH(CloseDate,'Rent Roll'!$O$28-1),AO$4&lt;EOMONTH(CloseDate,'Rent Roll'!$O$28-1+'Rent Roll'!$V$28)),-AO243,0)</f>
        <v>0</v>
      </c>
      <c r="AP244" s="49">
        <f>IF(AND(AP$4&gt;=EOMONTH(CloseDate,'Rent Roll'!$O$28-1),AP$4&lt;EOMONTH(CloseDate,'Rent Roll'!$O$28-1+'Rent Roll'!$V$28)),-AP243,0)</f>
        <v>0</v>
      </c>
      <c r="AQ244" s="49">
        <f>IF(AND(AQ$4&gt;=EOMONTH(CloseDate,'Rent Roll'!$O$28-1),AQ$4&lt;EOMONTH(CloseDate,'Rent Roll'!$O$28-1+'Rent Roll'!$V$28)),-AQ243,0)</f>
        <v>0</v>
      </c>
      <c r="AR244" s="49">
        <f>IF(AND(AR$4&gt;=EOMONTH(CloseDate,'Rent Roll'!$O$28-1),AR$4&lt;EOMONTH(CloseDate,'Rent Roll'!$O$28-1+'Rent Roll'!$V$28)),-AR243,0)</f>
        <v>0</v>
      </c>
      <c r="AS244" s="49">
        <f>IF(AND(AS$4&gt;=EOMONTH(CloseDate,'Rent Roll'!$O$28-1),AS$4&lt;EOMONTH(CloseDate,'Rent Roll'!$O$28-1+'Rent Roll'!$V$28)),-AS243,0)</f>
        <v>0</v>
      </c>
      <c r="AT244" s="49">
        <f>IF(AND(AT$4&gt;=EOMONTH(CloseDate,'Rent Roll'!$O$28-1),AT$4&lt;EOMONTH(CloseDate,'Rent Roll'!$O$28-1+'Rent Roll'!$V$28)),-AT243,0)</f>
        <v>0</v>
      </c>
      <c r="AU244" s="49">
        <f>IF(AND(AU$4&gt;=EOMONTH(CloseDate,'Rent Roll'!$O$28-1),AU$4&lt;EOMONTH(CloseDate,'Rent Roll'!$O$28-1+'Rent Roll'!$V$28)),-AU243,0)</f>
        <v>0</v>
      </c>
      <c r="AV244" s="49">
        <f>IF(AND(AV$4&gt;=EOMONTH(CloseDate,'Rent Roll'!$O$28-1),AV$4&lt;EOMONTH(CloseDate,'Rent Roll'!$O$28-1+'Rent Roll'!$V$28)),-AV243,0)</f>
        <v>0</v>
      </c>
      <c r="AW244" s="49">
        <f>IF(AND(AW$4&gt;=EOMONTH(CloseDate,'Rent Roll'!$O$28-1),AW$4&lt;EOMONTH(CloseDate,'Rent Roll'!$O$28-1+'Rent Roll'!$V$28)),-AW243,0)</f>
        <v>0</v>
      </c>
      <c r="AX244" s="49">
        <f>IF(AND(AX$4&gt;=EOMONTH(CloseDate,'Rent Roll'!$O$28-1),AX$4&lt;EOMONTH(CloseDate,'Rent Roll'!$O$28-1+'Rent Roll'!$V$28)),-AX243,0)</f>
        <v>0</v>
      </c>
      <c r="AY244" s="49">
        <f>IF(AND(AY$4&gt;=EOMONTH(CloseDate,'Rent Roll'!$O$28-1),AY$4&lt;EOMONTH(CloseDate,'Rent Roll'!$O$28-1+'Rent Roll'!$V$28)),-AY243,0)</f>
        <v>0</v>
      </c>
      <c r="AZ244" s="49">
        <f>IF(AND(AZ$4&gt;=EOMONTH(CloseDate,'Rent Roll'!$O$28-1),AZ$4&lt;EOMONTH(CloseDate,'Rent Roll'!$O$28-1+'Rent Roll'!$V$28)),-AZ243,0)</f>
        <v>0</v>
      </c>
      <c r="BA244" s="49">
        <f>IF(AND(BA$4&gt;=EOMONTH(CloseDate,'Rent Roll'!$O$28-1),BA$4&lt;EOMONTH(CloseDate,'Rent Roll'!$O$28-1+'Rent Roll'!$V$28)),-BA243,0)</f>
        <v>0</v>
      </c>
      <c r="BB244" s="49">
        <f>IF(AND(BB$4&gt;=EOMONTH(CloseDate,'Rent Roll'!$O$28-1),BB$4&lt;EOMONTH(CloseDate,'Rent Roll'!$O$28-1+'Rent Roll'!$V$28)),-BB243,0)</f>
        <v>0</v>
      </c>
      <c r="BC244" s="49">
        <f>IF(AND(BC$4&gt;=EOMONTH(CloseDate,'Rent Roll'!$O$28-1),BC$4&lt;EOMONTH(CloseDate,'Rent Roll'!$O$28-1+'Rent Roll'!$V$28)),-BC243,0)</f>
        <v>0</v>
      </c>
      <c r="BD244" s="49">
        <f>IF(AND(BD$4&gt;=EOMONTH(CloseDate,'Rent Roll'!$O$28-1),BD$4&lt;EOMONTH(CloseDate,'Rent Roll'!$O$28-1+'Rent Roll'!$V$28)),-BD243,0)</f>
        <v>0</v>
      </c>
      <c r="BE244" s="49">
        <f>IF(AND(BE$4&gt;=EOMONTH(CloseDate,'Rent Roll'!$O$28-1),BE$4&lt;EOMONTH(CloseDate,'Rent Roll'!$O$28-1+'Rent Roll'!$V$28)),-BE243,0)</f>
        <v>0</v>
      </c>
      <c r="BF244" s="49">
        <f>IF(AND(BF$4&gt;=EOMONTH(CloseDate,'Rent Roll'!$O$28-1),BF$4&lt;EOMONTH(CloseDate,'Rent Roll'!$O$28-1+'Rent Roll'!$V$28)),-BF243,0)</f>
        <v>0</v>
      </c>
      <c r="BG244" s="49">
        <f>IF(AND(BG$4&gt;=EOMONTH(CloseDate,'Rent Roll'!$O$28-1),BG$4&lt;EOMONTH(CloseDate,'Rent Roll'!$O$28-1+'Rent Roll'!$V$28)),-BG243,0)</f>
        <v>0</v>
      </c>
      <c r="BH244" s="49">
        <f>IF(AND(BH$4&gt;=EOMONTH(CloseDate,'Rent Roll'!$O$28-1),BH$4&lt;EOMONTH(CloseDate,'Rent Roll'!$O$28-1+'Rent Roll'!$V$28)),-BH243,0)</f>
        <v>0</v>
      </c>
      <c r="BI244" s="49">
        <f>IF(AND(BI$4&gt;=EOMONTH(CloseDate,'Rent Roll'!$O$28-1),BI$4&lt;EOMONTH(CloseDate,'Rent Roll'!$O$28-1+'Rent Roll'!$V$28)),-BI243,0)</f>
        <v>0</v>
      </c>
      <c r="BJ244" s="49">
        <f>IF(AND(BJ$4&gt;=EOMONTH(CloseDate,'Rent Roll'!$O$28-1),BJ$4&lt;EOMONTH(CloseDate,'Rent Roll'!$O$28-1+'Rent Roll'!$V$28)),-BJ243,0)</f>
        <v>0</v>
      </c>
      <c r="BK244" s="49">
        <f>IF(AND(BK$4&gt;=EOMONTH(CloseDate,'Rent Roll'!$O$28-1),BK$4&lt;EOMONTH(CloseDate,'Rent Roll'!$O$28-1+'Rent Roll'!$V$28)),-BK243,0)</f>
        <v>0</v>
      </c>
      <c r="BL244" s="49">
        <f>IF(AND(BL$4&gt;=EOMONTH(CloseDate,'Rent Roll'!$O$28-1),BL$4&lt;EOMONTH(CloseDate,'Rent Roll'!$O$28-1+'Rent Roll'!$V$28)),-BL243,0)</f>
        <v>0</v>
      </c>
      <c r="BM244" s="49">
        <f>IF(AND(BM$4&gt;=EOMONTH(CloseDate,'Rent Roll'!$O$28-1),BM$4&lt;EOMONTH(CloseDate,'Rent Roll'!$O$28-1+'Rent Roll'!$V$28)),-BM243,0)</f>
        <v>0</v>
      </c>
      <c r="BN244" s="49">
        <f>IF(AND(BN$4&gt;=EOMONTH(CloseDate,'Rent Roll'!$O$28-1),BN$4&lt;EOMONTH(CloseDate,'Rent Roll'!$O$28-1+'Rent Roll'!$V$28)),-BN243,0)</f>
        <v>0</v>
      </c>
      <c r="BO244" s="49">
        <f>IF(AND(BO$4&gt;=EOMONTH(CloseDate,'Rent Roll'!$O$28-1),BO$4&lt;EOMONTH(CloseDate,'Rent Roll'!$O$28-1+'Rent Roll'!$V$28)),-BO243,0)</f>
        <v>0</v>
      </c>
      <c r="BP244" s="49">
        <f>IF(AND(BP$4&gt;=EOMONTH(CloseDate,'Rent Roll'!$O$28-1),BP$4&lt;EOMONTH(CloseDate,'Rent Roll'!$O$28-1+'Rent Roll'!$V$28)),-BP243,0)</f>
        <v>0</v>
      </c>
      <c r="BQ244" s="49">
        <f>IF(AND(BQ$4&gt;=EOMONTH(CloseDate,'Rent Roll'!$O$28-1),BQ$4&lt;EOMONTH(CloseDate,'Rent Roll'!$O$28-1+'Rent Roll'!$V$28)),-BQ243,0)</f>
        <v>0</v>
      </c>
      <c r="BR244" s="49">
        <f>IF(AND(BR$4&gt;=EOMONTH(CloseDate,'Rent Roll'!$O$28-1),BR$4&lt;EOMONTH(CloseDate,'Rent Roll'!$O$28-1+'Rent Roll'!$V$28)),-BR243,0)</f>
        <v>0</v>
      </c>
      <c r="BS244" s="49">
        <f>IF(AND(BS$4&gt;=EOMONTH(CloseDate,'Rent Roll'!$O$28-1),BS$4&lt;EOMONTH(CloseDate,'Rent Roll'!$O$28-1+'Rent Roll'!$V$28)),-BS243,0)</f>
        <v>0</v>
      </c>
      <c r="BT244" s="49">
        <f>IF(AND(BT$4&gt;=EOMONTH(CloseDate,'Rent Roll'!$O$28-1),BT$4&lt;EOMONTH(CloseDate,'Rent Roll'!$O$28-1+'Rent Roll'!$V$28)),-BT243,0)</f>
        <v>0</v>
      </c>
      <c r="BU244" s="49">
        <f>IF(AND(BU$4&gt;=EOMONTH(CloseDate,'Rent Roll'!$O$28-1),BU$4&lt;EOMONTH(CloseDate,'Rent Roll'!$O$28-1+'Rent Roll'!$V$28)),-BU243,0)</f>
        <v>0</v>
      </c>
      <c r="BV244" s="49">
        <f>IF(AND(BV$4&gt;=EOMONTH(CloseDate,'Rent Roll'!$O$28-1),BV$4&lt;EOMONTH(CloseDate,'Rent Roll'!$O$28-1+'Rent Roll'!$V$28)),-BV243,0)</f>
        <v>0</v>
      </c>
      <c r="BW244" s="49">
        <f>IF(AND(BW$4&gt;=EOMONTH(CloseDate,'Rent Roll'!$O$28-1),BW$4&lt;EOMONTH(CloseDate,'Rent Roll'!$O$28-1+'Rent Roll'!$V$28)),-BW243,0)</f>
        <v>0</v>
      </c>
      <c r="BX244" s="49">
        <f>IF(AND(BX$4&gt;=EOMONTH(CloseDate,'Rent Roll'!$O$28-1),BX$4&lt;EOMONTH(CloseDate,'Rent Roll'!$O$28-1+'Rent Roll'!$V$28)),-BX243,0)</f>
        <v>0</v>
      </c>
    </row>
    <row r="245" spans="1:76" hidden="1" outlineLevel="1">
      <c r="B245" t="s">
        <v>84</v>
      </c>
      <c r="D245" s="49">
        <f>D241+D243+D244</f>
        <v>0</v>
      </c>
      <c r="E245" s="49">
        <f t="shared" ref="E245:BJ245" si="80">E241+E243+E244</f>
        <v>0</v>
      </c>
      <c r="F245" s="49">
        <f t="shared" si="80"/>
        <v>0</v>
      </c>
      <c r="G245" s="49">
        <f t="shared" si="80"/>
        <v>0</v>
      </c>
      <c r="H245" s="49">
        <f t="shared" si="80"/>
        <v>0</v>
      </c>
      <c r="I245" s="49">
        <f t="shared" si="80"/>
        <v>0</v>
      </c>
      <c r="J245" s="49">
        <f t="shared" si="80"/>
        <v>0</v>
      </c>
      <c r="K245" s="49">
        <f t="shared" si="80"/>
        <v>19425.319874999994</v>
      </c>
      <c r="L245" s="49">
        <f t="shared" si="80"/>
        <v>19425.319874999994</v>
      </c>
      <c r="M245" s="49">
        <f t="shared" si="80"/>
        <v>19425.319874999994</v>
      </c>
      <c r="N245" s="49">
        <f t="shared" si="80"/>
        <v>19425.319874999994</v>
      </c>
      <c r="O245" s="49">
        <f t="shared" si="80"/>
        <v>19425.319874999994</v>
      </c>
      <c r="P245" s="49">
        <f t="shared" si="80"/>
        <v>19425.319874999994</v>
      </c>
      <c r="Q245" s="49">
        <f t="shared" si="80"/>
        <v>19425.319874999994</v>
      </c>
      <c r="R245" s="49">
        <f t="shared" si="80"/>
        <v>19425.319874999994</v>
      </c>
      <c r="S245" s="49">
        <f t="shared" si="80"/>
        <v>19425.319874999994</v>
      </c>
      <c r="T245" s="49">
        <f t="shared" si="80"/>
        <v>19425.319874999994</v>
      </c>
      <c r="U245" s="49">
        <f t="shared" si="80"/>
        <v>19949.803511624992</v>
      </c>
      <c r="V245" s="49">
        <f t="shared" si="80"/>
        <v>19949.803511624992</v>
      </c>
      <c r="W245" s="49">
        <f t="shared" si="80"/>
        <v>19949.803511624992</v>
      </c>
      <c r="X245" s="49">
        <f t="shared" si="80"/>
        <v>19949.803511624992</v>
      </c>
      <c r="Y245" s="49">
        <f t="shared" si="80"/>
        <v>19949.803511624992</v>
      </c>
      <c r="Z245" s="49">
        <f t="shared" si="80"/>
        <v>19949.803511624992</v>
      </c>
      <c r="AA245" s="49">
        <f t="shared" si="80"/>
        <v>19949.803511624992</v>
      </c>
      <c r="AB245" s="49">
        <f t="shared" si="80"/>
        <v>19949.803511624992</v>
      </c>
      <c r="AC245" s="49">
        <f t="shared" si="80"/>
        <v>19949.803511624992</v>
      </c>
      <c r="AD245" s="49">
        <f t="shared" si="80"/>
        <v>19949.803511624992</v>
      </c>
      <c r="AE245" s="49">
        <f t="shared" si="80"/>
        <v>19949.803511624992</v>
      </c>
      <c r="AF245" s="49">
        <f t="shared" si="80"/>
        <v>19949.803511624992</v>
      </c>
      <c r="AG245" s="49">
        <f t="shared" si="80"/>
        <v>20488.448206438869</v>
      </c>
      <c r="AH245" s="49">
        <f t="shared" si="80"/>
        <v>20488.448206438869</v>
      </c>
      <c r="AI245" s="49">
        <f t="shared" si="80"/>
        <v>20488.448206438869</v>
      </c>
      <c r="AJ245" s="49">
        <f t="shared" si="80"/>
        <v>20488.448206438869</v>
      </c>
      <c r="AK245" s="49">
        <f t="shared" si="80"/>
        <v>20488.448206438869</v>
      </c>
      <c r="AL245" s="49">
        <f t="shared" si="80"/>
        <v>20488.448206438869</v>
      </c>
      <c r="AM245" s="49">
        <f t="shared" si="80"/>
        <v>20488.448206438869</v>
      </c>
      <c r="AN245" s="49">
        <f t="shared" si="80"/>
        <v>20488.448206438869</v>
      </c>
      <c r="AO245" s="49">
        <f t="shared" si="80"/>
        <v>20488.448206438869</v>
      </c>
      <c r="AP245" s="49">
        <f t="shared" si="80"/>
        <v>20488.448206438869</v>
      </c>
      <c r="AQ245" s="49">
        <f t="shared" si="80"/>
        <v>20488.448206438869</v>
      </c>
      <c r="AR245" s="49">
        <f t="shared" si="80"/>
        <v>20488.448206438869</v>
      </c>
      <c r="AS245" s="49">
        <f t="shared" si="80"/>
        <v>21041.636308012712</v>
      </c>
      <c r="AT245" s="49">
        <f t="shared" si="80"/>
        <v>21041.636308012712</v>
      </c>
      <c r="AU245" s="49">
        <f t="shared" si="80"/>
        <v>21041.636308012712</v>
      </c>
      <c r="AV245" s="49">
        <f t="shared" si="80"/>
        <v>21041.636308012712</v>
      </c>
      <c r="AW245" s="49">
        <f t="shared" si="80"/>
        <v>21041.636308012712</v>
      </c>
      <c r="AX245" s="49">
        <f t="shared" si="80"/>
        <v>21041.636308012712</v>
      </c>
      <c r="AY245" s="49">
        <f t="shared" si="80"/>
        <v>21041.636308012712</v>
      </c>
      <c r="AZ245" s="49">
        <f t="shared" si="80"/>
        <v>21041.636308012712</v>
      </c>
      <c r="BA245" s="49">
        <f t="shared" si="80"/>
        <v>21041.636308012712</v>
      </c>
      <c r="BB245" s="49">
        <f t="shared" si="80"/>
        <v>21041.636308012712</v>
      </c>
      <c r="BC245" s="49">
        <f t="shared" si="80"/>
        <v>21041.636308012712</v>
      </c>
      <c r="BD245" s="49">
        <f t="shared" si="80"/>
        <v>21041.636308012712</v>
      </c>
      <c r="BE245" s="49">
        <f t="shared" si="80"/>
        <v>21609.760488329055</v>
      </c>
      <c r="BF245" s="49">
        <f t="shared" si="80"/>
        <v>21609.760488329055</v>
      </c>
      <c r="BG245" s="49">
        <f t="shared" si="80"/>
        <v>21609.760488329055</v>
      </c>
      <c r="BH245" s="49">
        <f t="shared" si="80"/>
        <v>21609.760488329055</v>
      </c>
      <c r="BI245" s="49">
        <f t="shared" si="80"/>
        <v>21609.760488329055</v>
      </c>
      <c r="BJ245" s="49">
        <f t="shared" si="80"/>
        <v>21609.760488329055</v>
      </c>
      <c r="BK245" s="49">
        <f t="shared" ref="BK245" si="81">BK241+BK243+BK244</f>
        <v>21609.760488329055</v>
      </c>
      <c r="BL245" s="49">
        <f t="shared" ref="BL245:BX245" si="82">BL241+BL243+BL244</f>
        <v>21609.760488329055</v>
      </c>
      <c r="BM245" s="49">
        <f t="shared" si="82"/>
        <v>21609.760488329055</v>
      </c>
      <c r="BN245" s="49">
        <f t="shared" si="82"/>
        <v>21609.760488329055</v>
      </c>
      <c r="BO245" s="49">
        <f t="shared" si="82"/>
        <v>21609.760488329055</v>
      </c>
      <c r="BP245" s="49">
        <f t="shared" si="82"/>
        <v>21609.760488329055</v>
      </c>
      <c r="BQ245" s="49">
        <f t="shared" si="82"/>
        <v>22193.224021513935</v>
      </c>
      <c r="BR245" s="49">
        <f t="shared" si="82"/>
        <v>22193.224021513935</v>
      </c>
      <c r="BS245" s="49">
        <f t="shared" si="82"/>
        <v>22193.224021513935</v>
      </c>
      <c r="BT245" s="49">
        <f t="shared" si="82"/>
        <v>22193.224021513935</v>
      </c>
      <c r="BU245" s="49">
        <f t="shared" si="82"/>
        <v>22193.224021513935</v>
      </c>
      <c r="BV245" s="49">
        <f t="shared" si="82"/>
        <v>22193.224021513935</v>
      </c>
      <c r="BW245" s="49">
        <f t="shared" si="82"/>
        <v>22193.224021513935</v>
      </c>
      <c r="BX245" s="49">
        <f t="shared" si="82"/>
        <v>22193.224021513935</v>
      </c>
    </row>
    <row r="246" spans="1:76" hidden="1" outlineLevel="1">
      <c r="B246" t="s">
        <v>85</v>
      </c>
      <c r="D246" s="49">
        <f>IF(D242=1,'Rent Roll'!$F$28/BldgSF*ReimbPool/12*D$7,0)</f>
        <v>0</v>
      </c>
      <c r="E246" s="49">
        <f>IF(E242=1,'Rent Roll'!$F$28/BldgSF*ReimbPool/12*E$7,0)</f>
        <v>0</v>
      </c>
      <c r="F246" s="49">
        <f>IF(F242=1,'Rent Roll'!$F$28/BldgSF*ReimbPool/12*F$7,0)</f>
        <v>0</v>
      </c>
      <c r="G246" s="49">
        <f>IF(G242=1,'Rent Roll'!$F$28/BldgSF*ReimbPool/12*G$7,0)</f>
        <v>0</v>
      </c>
      <c r="H246" s="49">
        <f>IF(H242=1,'Rent Roll'!$F$28/BldgSF*ReimbPool/12*H$7,0)</f>
        <v>0</v>
      </c>
      <c r="I246" s="49">
        <f>IF(I242=1,'Rent Roll'!$F$28/BldgSF*ReimbPool/12*I$7,0)</f>
        <v>8243.7289999999994</v>
      </c>
      <c r="J246" s="49">
        <f>IF(J242=1,'Rent Roll'!$F$28/BldgSF*ReimbPool/12*J$7,0)</f>
        <v>8243.7289999999994</v>
      </c>
      <c r="K246" s="49">
        <f>IF(K242=1,'Rent Roll'!$F$28/BldgSF*ReimbPool/12*K$7,0)</f>
        <v>8243.7289999999994</v>
      </c>
      <c r="L246" s="49">
        <f>IF(L242=1,'Rent Roll'!$F$28/BldgSF*ReimbPool/12*L$7,0)</f>
        <v>8243.7289999999994</v>
      </c>
      <c r="M246" s="49">
        <f>IF(M242=1,'Rent Roll'!$F$28/BldgSF*ReimbPool/12*M$7,0)</f>
        <v>8243.7289999999994</v>
      </c>
      <c r="N246" s="49">
        <f>IF(N242=1,'Rent Roll'!$F$28/BldgSF*ReimbPool/12*N$7,0)</f>
        <v>8243.7289999999994</v>
      </c>
      <c r="O246" s="49">
        <f>IF(O242=1,'Rent Roll'!$F$28/BldgSF*ReimbPool/12*O$7,0)</f>
        <v>8243.7289999999994</v>
      </c>
      <c r="P246" s="49">
        <f>IF(P242=1,'Rent Roll'!$F$28/BldgSF*ReimbPool/12*P$7,0)</f>
        <v>8243.7289999999994</v>
      </c>
      <c r="Q246" s="49">
        <f>IF(Q242=1,'Rent Roll'!$F$28/BldgSF*ReimbPool/12*Q$7,0)</f>
        <v>8243.7289999999994</v>
      </c>
      <c r="R246" s="49">
        <f>IF(R242=1,'Rent Roll'!$F$28/BldgSF*ReimbPool/12*R$7,0)</f>
        <v>8243.7289999999994</v>
      </c>
      <c r="S246" s="49">
        <f>IF(S242=1,'Rent Roll'!$F$28/BldgSF*ReimbPool/12*S$7,0)</f>
        <v>8243.7289999999994</v>
      </c>
      <c r="T246" s="49">
        <f>IF(T242=1,'Rent Roll'!$F$28/BldgSF*ReimbPool/12*T$7,0)</f>
        <v>8243.7289999999994</v>
      </c>
      <c r="U246" s="49">
        <f>IF(U242=1,'Rent Roll'!$F$28/BldgSF*ReimbPool/12*U$7,0)</f>
        <v>8466.3096829999977</v>
      </c>
      <c r="V246" s="49">
        <f>IF(V242=1,'Rent Roll'!$F$28/BldgSF*ReimbPool/12*V$7,0)</f>
        <v>8466.3096829999977</v>
      </c>
      <c r="W246" s="49">
        <f>IF(W242=1,'Rent Roll'!$F$28/BldgSF*ReimbPool/12*W$7,0)</f>
        <v>8466.3096829999977</v>
      </c>
      <c r="X246" s="49">
        <f>IF(X242=1,'Rent Roll'!$F$28/BldgSF*ReimbPool/12*X$7,0)</f>
        <v>8466.3096829999977</v>
      </c>
      <c r="Y246" s="49">
        <f>IF(Y242=1,'Rent Roll'!$F$28/BldgSF*ReimbPool/12*Y$7,0)</f>
        <v>8466.3096829999977</v>
      </c>
      <c r="Z246" s="49">
        <f>IF(Z242=1,'Rent Roll'!$F$28/BldgSF*ReimbPool/12*Z$7,0)</f>
        <v>8466.3096829999977</v>
      </c>
      <c r="AA246" s="49">
        <f>IF(AA242=1,'Rent Roll'!$F$28/BldgSF*ReimbPool/12*AA$7,0)</f>
        <v>8466.3096829999977</v>
      </c>
      <c r="AB246" s="49">
        <f>IF(AB242=1,'Rent Roll'!$F$28/BldgSF*ReimbPool/12*AB$7,0)</f>
        <v>8466.3096829999977</v>
      </c>
      <c r="AC246" s="49">
        <f>IF(AC242=1,'Rent Roll'!$F$28/BldgSF*ReimbPool/12*AC$7,0)</f>
        <v>8466.3096829999977</v>
      </c>
      <c r="AD246" s="49">
        <f>IF(AD242=1,'Rent Roll'!$F$28/BldgSF*ReimbPool/12*AD$7,0)</f>
        <v>8466.3096829999977</v>
      </c>
      <c r="AE246" s="49">
        <f>IF(AE242=1,'Rent Roll'!$F$28/BldgSF*ReimbPool/12*AE$7,0)</f>
        <v>8466.3096829999977</v>
      </c>
      <c r="AF246" s="49">
        <f>IF(AF242=1,'Rent Roll'!$F$28/BldgSF*ReimbPool/12*AF$7,0)</f>
        <v>8466.3096829999977</v>
      </c>
      <c r="AG246" s="49">
        <f>IF(AG242=1,'Rent Roll'!$F$28/BldgSF*ReimbPool/12*AG$7,0)</f>
        <v>8694.9000444409976</v>
      </c>
      <c r="AH246" s="49">
        <f>IF(AH242=1,'Rent Roll'!$F$28/BldgSF*ReimbPool/12*AH$7,0)</f>
        <v>8694.9000444409976</v>
      </c>
      <c r="AI246" s="49">
        <f>IF(AI242=1,'Rent Roll'!$F$28/BldgSF*ReimbPool/12*AI$7,0)</f>
        <v>8694.9000444409976</v>
      </c>
      <c r="AJ246" s="49">
        <f>IF(AJ242=1,'Rent Roll'!$F$28/BldgSF*ReimbPool/12*AJ$7,0)</f>
        <v>8694.9000444409976</v>
      </c>
      <c r="AK246" s="49">
        <f>IF(AK242=1,'Rent Roll'!$F$28/BldgSF*ReimbPool/12*AK$7,0)</f>
        <v>8694.9000444409976</v>
      </c>
      <c r="AL246" s="49">
        <f>IF(AL242=1,'Rent Roll'!$F$28/BldgSF*ReimbPool/12*AL$7,0)</f>
        <v>8694.9000444409976</v>
      </c>
      <c r="AM246" s="49">
        <f>IF(AM242=1,'Rent Roll'!$F$28/BldgSF*ReimbPool/12*AM$7,0)</f>
        <v>8694.9000444409976</v>
      </c>
      <c r="AN246" s="49">
        <f>IF(AN242=1,'Rent Roll'!$F$28/BldgSF*ReimbPool/12*AN$7,0)</f>
        <v>8694.9000444409976</v>
      </c>
      <c r="AO246" s="49">
        <f>IF(AO242=1,'Rent Roll'!$F$28/BldgSF*ReimbPool/12*AO$7,0)</f>
        <v>8694.9000444409976</v>
      </c>
      <c r="AP246" s="49">
        <f>IF(AP242=1,'Rent Roll'!$F$28/BldgSF*ReimbPool/12*AP$7,0)</f>
        <v>8694.9000444409976</v>
      </c>
      <c r="AQ246" s="49">
        <f>IF(AQ242=1,'Rent Roll'!$F$28/BldgSF*ReimbPool/12*AQ$7,0)</f>
        <v>8694.9000444409976</v>
      </c>
      <c r="AR246" s="49">
        <f>IF(AR242=1,'Rent Roll'!$F$28/BldgSF*ReimbPool/12*AR$7,0)</f>
        <v>8694.9000444409976</v>
      </c>
      <c r="AS246" s="49">
        <f>IF(AS242=1,'Rent Roll'!$F$28/BldgSF*ReimbPool/12*AS$7,0)</f>
        <v>8929.6623456409034</v>
      </c>
      <c r="AT246" s="49">
        <f>IF(AT242=1,'Rent Roll'!$F$28/BldgSF*ReimbPool/12*AT$7,0)</f>
        <v>8929.6623456409034</v>
      </c>
      <c r="AU246" s="49">
        <f>IF(AU242=1,'Rent Roll'!$F$28/BldgSF*ReimbPool/12*AU$7,0)</f>
        <v>8929.6623456409034</v>
      </c>
      <c r="AV246" s="49">
        <f>IF(AV242=1,'Rent Roll'!$F$28/BldgSF*ReimbPool/12*AV$7,0)</f>
        <v>8929.6623456409034</v>
      </c>
      <c r="AW246" s="49">
        <f>IF(AW242=1,'Rent Roll'!$F$28/BldgSF*ReimbPool/12*AW$7,0)</f>
        <v>8929.6623456409034</v>
      </c>
      <c r="AX246" s="49">
        <f>IF(AX242=1,'Rent Roll'!$F$28/BldgSF*ReimbPool/12*AX$7,0)</f>
        <v>8929.6623456409034</v>
      </c>
      <c r="AY246" s="49">
        <f>IF(AY242=1,'Rent Roll'!$F$28/BldgSF*ReimbPool/12*AY$7,0)</f>
        <v>8929.6623456409034</v>
      </c>
      <c r="AZ246" s="49">
        <f>IF(AZ242=1,'Rent Roll'!$F$28/BldgSF*ReimbPool/12*AZ$7,0)</f>
        <v>8929.6623456409034</v>
      </c>
      <c r="BA246" s="49">
        <f>IF(BA242=1,'Rent Roll'!$F$28/BldgSF*ReimbPool/12*BA$7,0)</f>
        <v>8929.6623456409034</v>
      </c>
      <c r="BB246" s="49">
        <f>IF(BB242=1,'Rent Roll'!$F$28/BldgSF*ReimbPool/12*BB$7,0)</f>
        <v>8929.6623456409034</v>
      </c>
      <c r="BC246" s="49">
        <f>IF(BC242=1,'Rent Roll'!$F$28/BldgSF*ReimbPool/12*BC$7,0)</f>
        <v>8929.6623456409034</v>
      </c>
      <c r="BD246" s="49">
        <f>IF(BD242=1,'Rent Roll'!$F$28/BldgSF*ReimbPool/12*BD$7,0)</f>
        <v>8929.6623456409034</v>
      </c>
      <c r="BE246" s="49">
        <f>IF(BE242=1,'Rent Roll'!$F$28/BldgSF*ReimbPool/12*BE$7,0)</f>
        <v>9170.7632289732082</v>
      </c>
      <c r="BF246" s="49">
        <f>IF(BF242=1,'Rent Roll'!$F$28/BldgSF*ReimbPool/12*BF$7,0)</f>
        <v>9170.7632289732082</v>
      </c>
      <c r="BG246" s="49">
        <f>IF(BG242=1,'Rent Roll'!$F$28/BldgSF*ReimbPool/12*BG$7,0)</f>
        <v>9170.7632289732082</v>
      </c>
      <c r="BH246" s="49">
        <f>IF(BH242=1,'Rent Roll'!$F$28/BldgSF*ReimbPool/12*BH$7,0)</f>
        <v>9170.7632289732082</v>
      </c>
      <c r="BI246" s="49">
        <f>IF(BI242=1,'Rent Roll'!$F$28/BldgSF*ReimbPool/12*BI$7,0)</f>
        <v>9170.7632289732082</v>
      </c>
      <c r="BJ246" s="49">
        <f>IF(BJ242=1,'Rent Roll'!$F$28/BldgSF*ReimbPool/12*BJ$7,0)</f>
        <v>9170.7632289732082</v>
      </c>
      <c r="BK246" s="49">
        <f>IF(BK242=1,'Rent Roll'!$F$28/BldgSF*ReimbPool/12*BK$7,0)</f>
        <v>9170.7632289732082</v>
      </c>
      <c r="BL246" s="49">
        <f>IF(BL242=1,'Rent Roll'!$F$28/BldgSF*ReimbPool/12*BL$7,0)</f>
        <v>9170.7632289732082</v>
      </c>
      <c r="BM246" s="49">
        <f>IF(BM242=1,'Rent Roll'!$F$28/BldgSF*ReimbPool/12*BM$7,0)</f>
        <v>9170.7632289732082</v>
      </c>
      <c r="BN246" s="49">
        <f>IF(BN242=1,'Rent Roll'!$F$28/BldgSF*ReimbPool/12*BN$7,0)</f>
        <v>9170.7632289732082</v>
      </c>
      <c r="BO246" s="49">
        <f>IF(BO242=1,'Rent Roll'!$F$28/BldgSF*ReimbPool/12*BO$7,0)</f>
        <v>9170.7632289732082</v>
      </c>
      <c r="BP246" s="49">
        <f>IF(BP242=1,'Rent Roll'!$F$28/BldgSF*ReimbPool/12*BP$7,0)</f>
        <v>9170.7632289732082</v>
      </c>
      <c r="BQ246" s="49">
        <f>IF(BQ242=1,'Rent Roll'!$F$28/BldgSF*ReimbPool/12*BQ$7,0)</f>
        <v>9418.3738361554824</v>
      </c>
      <c r="BR246" s="49">
        <f>IF(BR242=1,'Rent Roll'!$F$28/BldgSF*ReimbPool/12*BR$7,0)</f>
        <v>9418.3738361554824</v>
      </c>
      <c r="BS246" s="49">
        <f>IF(BS242=1,'Rent Roll'!$F$28/BldgSF*ReimbPool/12*BS$7,0)</f>
        <v>9418.3738361554824</v>
      </c>
      <c r="BT246" s="49">
        <f>IF(BT242=1,'Rent Roll'!$F$28/BldgSF*ReimbPool/12*BT$7,0)</f>
        <v>9418.3738361554824</v>
      </c>
      <c r="BU246" s="49">
        <f>IF(BU242=1,'Rent Roll'!$F$28/BldgSF*ReimbPool/12*BU$7,0)</f>
        <v>9418.3738361554824</v>
      </c>
      <c r="BV246" s="49">
        <f>IF(BV242=1,'Rent Roll'!$F$28/BldgSF*ReimbPool/12*BV$7,0)</f>
        <v>9418.3738361554824</v>
      </c>
      <c r="BW246" s="49">
        <f>IF(BW242=1,'Rent Roll'!$F$28/BldgSF*ReimbPool/12*BW$7,0)</f>
        <v>9418.3738361554824</v>
      </c>
      <c r="BX246" s="49">
        <f>IF(BX242=1,'Rent Roll'!$F$28/BldgSF*ReimbPool/12*BX$7,0)</f>
        <v>9418.3738361554824</v>
      </c>
    </row>
    <row r="247" spans="1:76" hidden="1" outlineLevel="1">
      <c r="B247" t="s">
        <v>86</v>
      </c>
      <c r="D247" s="49">
        <f>IF(D$4=EOMONTH(CloseDate,'Rent Roll'!$O$28-1),-'Rent Roll'!$F$28*'Rent Roll'!$T$28,0)</f>
        <v>0</v>
      </c>
      <c r="E247" s="49">
        <f>IF(E$4=EOMONTH(CloseDate,'Rent Roll'!$O$28-1),-'Rent Roll'!$F$28*'Rent Roll'!$T$28,0)</f>
        <v>0</v>
      </c>
      <c r="F247" s="49">
        <f>IF(F$4=EOMONTH(CloseDate,'Rent Roll'!$O$28-1),-'Rent Roll'!$F$28*'Rent Roll'!$T$28,0)</f>
        <v>0</v>
      </c>
      <c r="G247" s="49">
        <f>IF(G$4=EOMONTH(CloseDate,'Rent Roll'!$O$28-1),-'Rent Roll'!$F$28*'Rent Roll'!$T$28,0)</f>
        <v>0</v>
      </c>
      <c r="H247" s="49">
        <f>IF(H$4=EOMONTH(CloseDate,'Rent Roll'!$O$28-1),-'Rent Roll'!$F$28*'Rent Roll'!$T$28,0)</f>
        <v>0</v>
      </c>
      <c r="I247" s="49">
        <f>IF(I$4=EOMONTH(CloseDate,'Rent Roll'!$O$28-1),-'Rent Roll'!$F$28*'Rent Roll'!$T$28,0)</f>
        <v>-331200</v>
      </c>
      <c r="J247" s="49">
        <f>IF(J$4=EOMONTH(CloseDate,'Rent Roll'!$O$28-1),-'Rent Roll'!$F$28*'Rent Roll'!$T$28,0)</f>
        <v>0</v>
      </c>
      <c r="K247" s="49">
        <f>IF(K$4=EOMONTH(CloseDate,'Rent Roll'!$O$28-1),-'Rent Roll'!$F$28*'Rent Roll'!$T$28,0)</f>
        <v>0</v>
      </c>
      <c r="L247" s="49">
        <f>IF(L$4=EOMONTH(CloseDate,'Rent Roll'!$O$28-1),-'Rent Roll'!$F$28*'Rent Roll'!$T$28,0)</f>
        <v>0</v>
      </c>
      <c r="M247" s="49">
        <f>IF(M$4=EOMONTH(CloseDate,'Rent Roll'!$O$28-1),-'Rent Roll'!$F$28*'Rent Roll'!$T$28,0)</f>
        <v>0</v>
      </c>
      <c r="N247" s="49">
        <f>IF(N$4=EOMONTH(CloseDate,'Rent Roll'!$O$28-1),-'Rent Roll'!$F$28*'Rent Roll'!$T$28,0)</f>
        <v>0</v>
      </c>
      <c r="O247" s="49">
        <f>IF(O$4=EOMONTH(CloseDate,'Rent Roll'!$O$28-1),-'Rent Roll'!$F$28*'Rent Roll'!$T$28,0)</f>
        <v>0</v>
      </c>
      <c r="P247" s="49">
        <f>IF(P$4=EOMONTH(CloseDate,'Rent Roll'!$O$28-1),-'Rent Roll'!$F$28*'Rent Roll'!$T$28,0)</f>
        <v>0</v>
      </c>
      <c r="Q247" s="49">
        <f>IF(Q$4=EOMONTH(CloseDate,'Rent Roll'!$O$28-1),-'Rent Roll'!$F$28*'Rent Roll'!$T$28,0)</f>
        <v>0</v>
      </c>
      <c r="R247" s="49">
        <f>IF(R$4=EOMONTH(CloseDate,'Rent Roll'!$O$28-1),-'Rent Roll'!$F$28*'Rent Roll'!$T$28,0)</f>
        <v>0</v>
      </c>
      <c r="S247" s="49">
        <f>IF(S$4=EOMONTH(CloseDate,'Rent Roll'!$O$28-1),-'Rent Roll'!$F$28*'Rent Roll'!$T$28,0)</f>
        <v>0</v>
      </c>
      <c r="T247" s="49">
        <f>IF(T$4=EOMONTH(CloseDate,'Rent Roll'!$O$28-1),-'Rent Roll'!$F$28*'Rent Roll'!$T$28,0)</f>
        <v>0</v>
      </c>
      <c r="U247" s="49">
        <f>IF(U$4=EOMONTH(CloseDate,'Rent Roll'!$O$28-1),-'Rent Roll'!$F$28*'Rent Roll'!$T$28,0)</f>
        <v>0</v>
      </c>
      <c r="V247" s="49">
        <f>IF(V$4=EOMONTH(CloseDate,'Rent Roll'!$O$28-1),-'Rent Roll'!$F$28*'Rent Roll'!$T$28,0)</f>
        <v>0</v>
      </c>
      <c r="W247" s="49">
        <f>IF(W$4=EOMONTH(CloseDate,'Rent Roll'!$O$28-1),-'Rent Roll'!$F$28*'Rent Roll'!$T$28,0)</f>
        <v>0</v>
      </c>
      <c r="X247" s="49">
        <f>IF(X$4=EOMONTH(CloseDate,'Rent Roll'!$O$28-1),-'Rent Roll'!$F$28*'Rent Roll'!$T$28,0)</f>
        <v>0</v>
      </c>
      <c r="Y247" s="49">
        <f>IF(Y$4=EOMONTH(CloseDate,'Rent Roll'!$O$28-1),-'Rent Roll'!$F$28*'Rent Roll'!$T$28,0)</f>
        <v>0</v>
      </c>
      <c r="Z247" s="49">
        <f>IF(Z$4=EOMONTH(CloseDate,'Rent Roll'!$O$28-1),-'Rent Roll'!$F$28*'Rent Roll'!$T$28,0)</f>
        <v>0</v>
      </c>
      <c r="AA247" s="49">
        <f>IF(AA$4=EOMONTH(CloseDate,'Rent Roll'!$O$28-1),-'Rent Roll'!$F$28*'Rent Roll'!$T$28,0)</f>
        <v>0</v>
      </c>
      <c r="AB247" s="49">
        <f>IF(AB$4=EOMONTH(CloseDate,'Rent Roll'!$O$28-1),-'Rent Roll'!$F$28*'Rent Roll'!$T$28,0)</f>
        <v>0</v>
      </c>
      <c r="AC247" s="49">
        <f>IF(AC$4=EOMONTH(CloseDate,'Rent Roll'!$O$28-1),-'Rent Roll'!$F$28*'Rent Roll'!$T$28,0)</f>
        <v>0</v>
      </c>
      <c r="AD247" s="49">
        <f>IF(AD$4=EOMONTH(CloseDate,'Rent Roll'!$O$28-1),-'Rent Roll'!$F$28*'Rent Roll'!$T$28,0)</f>
        <v>0</v>
      </c>
      <c r="AE247" s="49">
        <f>IF(AE$4=EOMONTH(CloseDate,'Rent Roll'!$O$28-1),-'Rent Roll'!$F$28*'Rent Roll'!$T$28,0)</f>
        <v>0</v>
      </c>
      <c r="AF247" s="49">
        <f>IF(AF$4=EOMONTH(CloseDate,'Rent Roll'!$O$28-1),-'Rent Roll'!$F$28*'Rent Roll'!$T$28,0)</f>
        <v>0</v>
      </c>
      <c r="AG247" s="49">
        <f>IF(AG$4=EOMONTH(CloseDate,'Rent Roll'!$O$28-1),-'Rent Roll'!$F$28*'Rent Roll'!$T$28,0)</f>
        <v>0</v>
      </c>
      <c r="AH247" s="49">
        <f>IF(AH$4=EOMONTH(CloseDate,'Rent Roll'!$O$28-1),-'Rent Roll'!$F$28*'Rent Roll'!$T$28,0)</f>
        <v>0</v>
      </c>
      <c r="AI247" s="49">
        <f>IF(AI$4=EOMONTH(CloseDate,'Rent Roll'!$O$28-1),-'Rent Roll'!$F$28*'Rent Roll'!$T$28,0)</f>
        <v>0</v>
      </c>
      <c r="AJ247" s="49">
        <f>IF(AJ$4=EOMONTH(CloseDate,'Rent Roll'!$O$28-1),-'Rent Roll'!$F$28*'Rent Roll'!$T$28,0)</f>
        <v>0</v>
      </c>
      <c r="AK247" s="49">
        <f>IF(AK$4=EOMONTH(CloseDate,'Rent Roll'!$O$28-1),-'Rent Roll'!$F$28*'Rent Roll'!$T$28,0)</f>
        <v>0</v>
      </c>
      <c r="AL247" s="49">
        <f>IF(AL$4=EOMONTH(CloseDate,'Rent Roll'!$O$28-1),-'Rent Roll'!$F$28*'Rent Roll'!$T$28,0)</f>
        <v>0</v>
      </c>
      <c r="AM247" s="49">
        <f>IF(AM$4=EOMONTH(CloseDate,'Rent Roll'!$O$28-1),-'Rent Roll'!$F$28*'Rent Roll'!$T$28,0)</f>
        <v>0</v>
      </c>
      <c r="AN247" s="49">
        <f>IF(AN$4=EOMONTH(CloseDate,'Rent Roll'!$O$28-1),-'Rent Roll'!$F$28*'Rent Roll'!$T$28,0)</f>
        <v>0</v>
      </c>
      <c r="AO247" s="49">
        <f>IF(AO$4=EOMONTH(CloseDate,'Rent Roll'!$O$28-1),-'Rent Roll'!$F$28*'Rent Roll'!$T$28,0)</f>
        <v>0</v>
      </c>
      <c r="AP247" s="49">
        <f>IF(AP$4=EOMONTH(CloseDate,'Rent Roll'!$O$28-1),-'Rent Roll'!$F$28*'Rent Roll'!$T$28,0)</f>
        <v>0</v>
      </c>
      <c r="AQ247" s="49">
        <f>IF(AQ$4=EOMONTH(CloseDate,'Rent Roll'!$O$28-1),-'Rent Roll'!$F$28*'Rent Roll'!$T$28,0)</f>
        <v>0</v>
      </c>
      <c r="AR247" s="49">
        <f>IF(AR$4=EOMONTH(CloseDate,'Rent Roll'!$O$28-1),-'Rent Roll'!$F$28*'Rent Roll'!$T$28,0)</f>
        <v>0</v>
      </c>
      <c r="AS247" s="49">
        <f>IF(AS$4=EOMONTH(CloseDate,'Rent Roll'!$O$28-1),-'Rent Roll'!$F$28*'Rent Roll'!$T$28,0)</f>
        <v>0</v>
      </c>
      <c r="AT247" s="49">
        <f>IF(AT$4=EOMONTH(CloseDate,'Rent Roll'!$O$28-1),-'Rent Roll'!$F$28*'Rent Roll'!$T$28,0)</f>
        <v>0</v>
      </c>
      <c r="AU247" s="49">
        <f>IF(AU$4=EOMONTH(CloseDate,'Rent Roll'!$O$28-1),-'Rent Roll'!$F$28*'Rent Roll'!$T$28,0)</f>
        <v>0</v>
      </c>
      <c r="AV247" s="49">
        <f>IF(AV$4=EOMONTH(CloseDate,'Rent Roll'!$O$28-1),-'Rent Roll'!$F$28*'Rent Roll'!$T$28,0)</f>
        <v>0</v>
      </c>
      <c r="AW247" s="49">
        <f>IF(AW$4=EOMONTH(CloseDate,'Rent Roll'!$O$28-1),-'Rent Roll'!$F$28*'Rent Roll'!$T$28,0)</f>
        <v>0</v>
      </c>
      <c r="AX247" s="49">
        <f>IF(AX$4=EOMONTH(CloseDate,'Rent Roll'!$O$28-1),-'Rent Roll'!$F$28*'Rent Roll'!$T$28,0)</f>
        <v>0</v>
      </c>
      <c r="AY247" s="49">
        <f>IF(AY$4=EOMONTH(CloseDate,'Rent Roll'!$O$28-1),-'Rent Roll'!$F$28*'Rent Roll'!$T$28,0)</f>
        <v>0</v>
      </c>
      <c r="AZ247" s="49">
        <f>IF(AZ$4=EOMONTH(CloseDate,'Rent Roll'!$O$28-1),-'Rent Roll'!$F$28*'Rent Roll'!$T$28,0)</f>
        <v>0</v>
      </c>
      <c r="BA247" s="49">
        <f>IF(BA$4=EOMONTH(CloseDate,'Rent Roll'!$O$28-1),-'Rent Roll'!$F$28*'Rent Roll'!$T$28,0)</f>
        <v>0</v>
      </c>
      <c r="BB247" s="49">
        <f>IF(BB$4=EOMONTH(CloseDate,'Rent Roll'!$O$28-1),-'Rent Roll'!$F$28*'Rent Roll'!$T$28,0)</f>
        <v>0</v>
      </c>
      <c r="BC247" s="49">
        <f>IF(BC$4=EOMONTH(CloseDate,'Rent Roll'!$O$28-1),-'Rent Roll'!$F$28*'Rent Roll'!$T$28,0)</f>
        <v>0</v>
      </c>
      <c r="BD247" s="49">
        <f>IF(BD$4=EOMONTH(CloseDate,'Rent Roll'!$O$28-1),-'Rent Roll'!$F$28*'Rent Roll'!$T$28,0)</f>
        <v>0</v>
      </c>
      <c r="BE247" s="49">
        <f>IF(BE$4=EOMONTH(CloseDate,'Rent Roll'!$O$28-1),-'Rent Roll'!$F$28*'Rent Roll'!$T$28,0)</f>
        <v>0</v>
      </c>
      <c r="BF247" s="49">
        <f>IF(BF$4=EOMONTH(CloseDate,'Rent Roll'!$O$28-1),-'Rent Roll'!$F$28*'Rent Roll'!$T$28,0)</f>
        <v>0</v>
      </c>
      <c r="BG247" s="49">
        <f>IF(BG$4=EOMONTH(CloseDate,'Rent Roll'!$O$28-1),-'Rent Roll'!$F$28*'Rent Roll'!$T$28,0)</f>
        <v>0</v>
      </c>
      <c r="BH247" s="49">
        <f>IF(BH$4=EOMONTH(CloseDate,'Rent Roll'!$O$28-1),-'Rent Roll'!$F$28*'Rent Roll'!$T$28,0)</f>
        <v>0</v>
      </c>
      <c r="BI247" s="49">
        <f>IF(BI$4=EOMONTH(CloseDate,'Rent Roll'!$O$28-1),-'Rent Roll'!$F$28*'Rent Roll'!$T$28,0)</f>
        <v>0</v>
      </c>
      <c r="BJ247" s="49">
        <f>IF(BJ$4=EOMONTH(CloseDate,'Rent Roll'!$O$28-1),-'Rent Roll'!$F$28*'Rent Roll'!$T$28,0)</f>
        <v>0</v>
      </c>
      <c r="BK247" s="49">
        <f>IF(BK$4=EOMONTH(CloseDate,'Rent Roll'!$O$28-1),-'Rent Roll'!$F$28*'Rent Roll'!$T$28,0)</f>
        <v>0</v>
      </c>
      <c r="BL247" s="49">
        <f>IF(BL$4=EOMONTH(CloseDate,'Rent Roll'!$O$28-1),-'Rent Roll'!$F$28*'Rent Roll'!$T$28,0)</f>
        <v>0</v>
      </c>
      <c r="BM247" s="49">
        <f>IF(BM$4=EOMONTH(CloseDate,'Rent Roll'!$O$28-1),-'Rent Roll'!$F$28*'Rent Roll'!$T$28,0)</f>
        <v>0</v>
      </c>
      <c r="BN247" s="49">
        <f>IF(BN$4=EOMONTH(CloseDate,'Rent Roll'!$O$28-1),-'Rent Roll'!$F$28*'Rent Roll'!$T$28,0)</f>
        <v>0</v>
      </c>
      <c r="BO247" s="49">
        <f>IF(BO$4=EOMONTH(CloseDate,'Rent Roll'!$O$28-1),-'Rent Roll'!$F$28*'Rent Roll'!$T$28,0)</f>
        <v>0</v>
      </c>
      <c r="BP247" s="49">
        <f>IF(BP$4=EOMONTH(CloseDate,'Rent Roll'!$O$28-1),-'Rent Roll'!$F$28*'Rent Roll'!$T$28,0)</f>
        <v>0</v>
      </c>
      <c r="BQ247" s="49">
        <f>IF(BQ$4=EOMONTH(CloseDate,'Rent Roll'!$O$28-1),-'Rent Roll'!$F$28*'Rent Roll'!$T$28,0)</f>
        <v>0</v>
      </c>
      <c r="BR247" s="49">
        <f>IF(BR$4=EOMONTH(CloseDate,'Rent Roll'!$O$28-1),-'Rent Roll'!$F$28*'Rent Roll'!$T$28,0)</f>
        <v>0</v>
      </c>
      <c r="BS247" s="49">
        <f>IF(BS$4=EOMONTH(CloseDate,'Rent Roll'!$O$28-1),-'Rent Roll'!$F$28*'Rent Roll'!$T$28,0)</f>
        <v>0</v>
      </c>
      <c r="BT247" s="49">
        <f>IF(BT$4=EOMONTH(CloseDate,'Rent Roll'!$O$28-1),-'Rent Roll'!$F$28*'Rent Roll'!$T$28,0)</f>
        <v>0</v>
      </c>
      <c r="BU247" s="49">
        <f>IF(BU$4=EOMONTH(CloseDate,'Rent Roll'!$O$28-1),-'Rent Roll'!$F$28*'Rent Roll'!$T$28,0)</f>
        <v>0</v>
      </c>
      <c r="BV247" s="49">
        <f>IF(BV$4=EOMONTH(CloseDate,'Rent Roll'!$O$28-1),-'Rent Roll'!$F$28*'Rent Roll'!$T$28,0)</f>
        <v>0</v>
      </c>
      <c r="BW247" s="49">
        <f>IF(BW$4=EOMONTH(CloseDate,'Rent Roll'!$O$28-1),-'Rent Roll'!$F$28*'Rent Roll'!$T$28,0)</f>
        <v>0</v>
      </c>
      <c r="BX247" s="49">
        <f>IF(BX$4=EOMONTH(CloseDate,'Rent Roll'!$O$28-1),-'Rent Roll'!$F$28*'Rent Roll'!$T$28,0)</f>
        <v>0</v>
      </c>
    </row>
    <row r="248" spans="1:76" hidden="1" outlineLevel="1">
      <c r="B248" t="s">
        <v>87</v>
      </c>
      <c r="D248" s="49">
        <f>IF(D$4=EOMONTH(CloseDate,'Rent Roll'!$O$28-1),-'Rent Roll'!$U$28*'Rent Roll'!$F$28*'Rent Roll'!$X$28,0)</f>
        <v>0</v>
      </c>
      <c r="E248" s="49">
        <f>IF(E$4=EOMONTH(CloseDate,'Rent Roll'!$O$28-1),-'Rent Roll'!$U$28*'Rent Roll'!$F$28*'Rent Roll'!$X$28,0)</f>
        <v>0</v>
      </c>
      <c r="F248" s="49">
        <f>IF(F$4=EOMONTH(CloseDate,'Rent Roll'!$O$28-1),-'Rent Roll'!$U$28*'Rent Roll'!$F$28*'Rent Roll'!$X$28,0)</f>
        <v>0</v>
      </c>
      <c r="G248" s="49">
        <f>IF(G$4=EOMONTH(CloseDate,'Rent Roll'!$O$28-1),-'Rent Roll'!$U$28*'Rent Roll'!$F$28*'Rent Roll'!$X$28,0)</f>
        <v>0</v>
      </c>
      <c r="H248" s="49">
        <f>IF(H$4=EOMONTH(CloseDate,'Rent Roll'!$O$28-1),-'Rent Roll'!$U$28*'Rent Roll'!$F$28*'Rent Roll'!$X$28,0)</f>
        <v>0</v>
      </c>
      <c r="I248" s="49">
        <f>IF(I$4=EOMONTH(CloseDate,'Rent Roll'!$O$28-1),-'Rent Roll'!$U$28*'Rent Roll'!$F$28*'Rent Roll'!$X$28,0)</f>
        <v>-11348.774999999998</v>
      </c>
      <c r="J248" s="49">
        <f>IF(J$4=EOMONTH(CloseDate,'Rent Roll'!$O$28-1),-'Rent Roll'!$U$28*'Rent Roll'!$F$28*'Rent Roll'!$X$28,0)</f>
        <v>0</v>
      </c>
      <c r="K248" s="49">
        <f>IF(K$4=EOMONTH(CloseDate,'Rent Roll'!$O$28-1),-'Rent Roll'!$U$28*'Rent Roll'!$F$28*'Rent Roll'!$X$28,0)</f>
        <v>0</v>
      </c>
      <c r="L248" s="49">
        <f>IF(L$4=EOMONTH(CloseDate,'Rent Roll'!$O$28-1),-'Rent Roll'!$U$28*'Rent Roll'!$F$28*'Rent Roll'!$X$28,0)</f>
        <v>0</v>
      </c>
      <c r="M248" s="49">
        <f>IF(M$4=EOMONTH(CloseDate,'Rent Roll'!$O$28-1),-'Rent Roll'!$U$28*'Rent Roll'!$F$28*'Rent Roll'!$X$28,0)</f>
        <v>0</v>
      </c>
      <c r="N248" s="49">
        <f>IF(N$4=EOMONTH(CloseDate,'Rent Roll'!$O$28-1),-'Rent Roll'!$U$28*'Rent Roll'!$F$28*'Rent Roll'!$X$28,0)</f>
        <v>0</v>
      </c>
      <c r="O248" s="49">
        <f>IF(O$4=EOMONTH(CloseDate,'Rent Roll'!$O$28-1),-'Rent Roll'!$U$28*'Rent Roll'!$F$28*'Rent Roll'!$X$28,0)</f>
        <v>0</v>
      </c>
      <c r="P248" s="49">
        <f>IF(P$4=EOMONTH(CloseDate,'Rent Roll'!$O$28-1),-'Rent Roll'!$U$28*'Rent Roll'!$F$28*'Rent Roll'!$X$28,0)</f>
        <v>0</v>
      </c>
      <c r="Q248" s="49">
        <f>IF(Q$4=EOMONTH(CloseDate,'Rent Roll'!$O$28-1),-'Rent Roll'!$U$28*'Rent Roll'!$F$28*'Rent Roll'!$X$28,0)</f>
        <v>0</v>
      </c>
      <c r="R248" s="49">
        <f>IF(R$4=EOMONTH(CloseDate,'Rent Roll'!$O$28-1),-'Rent Roll'!$U$28*'Rent Roll'!$F$28*'Rent Roll'!$X$28,0)</f>
        <v>0</v>
      </c>
      <c r="S248" s="49">
        <f>IF(S$4=EOMONTH(CloseDate,'Rent Roll'!$O$28-1),-'Rent Roll'!$U$28*'Rent Roll'!$F$28*'Rent Roll'!$X$28,0)</f>
        <v>0</v>
      </c>
      <c r="T248" s="49">
        <f>IF(T$4=EOMONTH(CloseDate,'Rent Roll'!$O$28-1),-'Rent Roll'!$U$28*'Rent Roll'!$F$28*'Rent Roll'!$X$28,0)</f>
        <v>0</v>
      </c>
      <c r="U248" s="49">
        <f>IF(U$4=EOMONTH(CloseDate,'Rent Roll'!$O$28-1),-'Rent Roll'!$U$28*'Rent Roll'!$F$28*'Rent Roll'!$X$28,0)</f>
        <v>0</v>
      </c>
      <c r="V248" s="49">
        <f>IF(V$4=EOMONTH(CloseDate,'Rent Roll'!$O$28-1),-'Rent Roll'!$U$28*'Rent Roll'!$F$28*'Rent Roll'!$X$28,0)</f>
        <v>0</v>
      </c>
      <c r="W248" s="49">
        <f>IF(W$4=EOMONTH(CloseDate,'Rent Roll'!$O$28-1),-'Rent Roll'!$U$28*'Rent Roll'!$F$28*'Rent Roll'!$X$28,0)</f>
        <v>0</v>
      </c>
      <c r="X248" s="49">
        <f>IF(X$4=EOMONTH(CloseDate,'Rent Roll'!$O$28-1),-'Rent Roll'!$U$28*'Rent Roll'!$F$28*'Rent Roll'!$X$28,0)</f>
        <v>0</v>
      </c>
      <c r="Y248" s="49">
        <f>IF(Y$4=EOMONTH(CloseDate,'Rent Roll'!$O$28-1),-'Rent Roll'!$U$28*'Rent Roll'!$F$28*'Rent Roll'!$X$28,0)</f>
        <v>0</v>
      </c>
      <c r="Z248" s="49">
        <f>IF(Z$4=EOMONTH(CloseDate,'Rent Roll'!$O$28-1),-'Rent Roll'!$U$28*'Rent Roll'!$F$28*'Rent Roll'!$X$28,0)</f>
        <v>0</v>
      </c>
      <c r="AA248" s="49">
        <f>IF(AA$4=EOMONTH(CloseDate,'Rent Roll'!$O$28-1),-'Rent Roll'!$U$28*'Rent Roll'!$F$28*'Rent Roll'!$X$28,0)</f>
        <v>0</v>
      </c>
      <c r="AB248" s="49">
        <f>IF(AB$4=EOMONTH(CloseDate,'Rent Roll'!$O$28-1),-'Rent Roll'!$U$28*'Rent Roll'!$F$28*'Rent Roll'!$X$28,0)</f>
        <v>0</v>
      </c>
      <c r="AC248" s="49">
        <f>IF(AC$4=EOMONTH(CloseDate,'Rent Roll'!$O$28-1),-'Rent Roll'!$U$28*'Rent Roll'!$F$28*'Rent Roll'!$X$28,0)</f>
        <v>0</v>
      </c>
      <c r="AD248" s="49">
        <f>IF(AD$4=EOMONTH(CloseDate,'Rent Roll'!$O$28-1),-'Rent Roll'!$U$28*'Rent Roll'!$F$28*'Rent Roll'!$X$28,0)</f>
        <v>0</v>
      </c>
      <c r="AE248" s="49">
        <f>IF(AE$4=EOMONTH(CloseDate,'Rent Roll'!$O$28-1),-'Rent Roll'!$U$28*'Rent Roll'!$F$28*'Rent Roll'!$X$28,0)</f>
        <v>0</v>
      </c>
      <c r="AF248" s="49">
        <f>IF(AF$4=EOMONTH(CloseDate,'Rent Roll'!$O$28-1),-'Rent Roll'!$U$28*'Rent Roll'!$F$28*'Rent Roll'!$X$28,0)</f>
        <v>0</v>
      </c>
      <c r="AG248" s="49">
        <f>IF(AG$4=EOMONTH(CloseDate,'Rent Roll'!$O$28-1),-'Rent Roll'!$U$28*'Rent Roll'!$F$28*'Rent Roll'!$X$28,0)</f>
        <v>0</v>
      </c>
      <c r="AH248" s="49">
        <f>IF(AH$4=EOMONTH(CloseDate,'Rent Roll'!$O$28-1),-'Rent Roll'!$U$28*'Rent Roll'!$F$28*'Rent Roll'!$X$28,0)</f>
        <v>0</v>
      </c>
      <c r="AI248" s="49">
        <f>IF(AI$4=EOMONTH(CloseDate,'Rent Roll'!$O$28-1),-'Rent Roll'!$U$28*'Rent Roll'!$F$28*'Rent Roll'!$X$28,0)</f>
        <v>0</v>
      </c>
      <c r="AJ248" s="49">
        <f>IF(AJ$4=EOMONTH(CloseDate,'Rent Roll'!$O$28-1),-'Rent Roll'!$U$28*'Rent Roll'!$F$28*'Rent Roll'!$X$28,0)</f>
        <v>0</v>
      </c>
      <c r="AK248" s="49">
        <f>IF(AK$4=EOMONTH(CloseDate,'Rent Roll'!$O$28-1),-'Rent Roll'!$U$28*'Rent Roll'!$F$28*'Rent Roll'!$X$28,0)</f>
        <v>0</v>
      </c>
      <c r="AL248" s="49">
        <f>IF(AL$4=EOMONTH(CloseDate,'Rent Roll'!$O$28-1),-'Rent Roll'!$U$28*'Rent Roll'!$F$28*'Rent Roll'!$X$28,0)</f>
        <v>0</v>
      </c>
      <c r="AM248" s="49">
        <f>IF(AM$4=EOMONTH(CloseDate,'Rent Roll'!$O$28-1),-'Rent Roll'!$U$28*'Rent Roll'!$F$28*'Rent Roll'!$X$28,0)</f>
        <v>0</v>
      </c>
      <c r="AN248" s="49">
        <f>IF(AN$4=EOMONTH(CloseDate,'Rent Roll'!$O$28-1),-'Rent Roll'!$U$28*'Rent Roll'!$F$28*'Rent Roll'!$X$28,0)</f>
        <v>0</v>
      </c>
      <c r="AO248" s="49">
        <f>IF(AO$4=EOMONTH(CloseDate,'Rent Roll'!$O$28-1),-'Rent Roll'!$U$28*'Rent Roll'!$F$28*'Rent Roll'!$X$28,0)</f>
        <v>0</v>
      </c>
      <c r="AP248" s="49">
        <f>IF(AP$4=EOMONTH(CloseDate,'Rent Roll'!$O$28-1),-'Rent Roll'!$U$28*'Rent Roll'!$F$28*'Rent Roll'!$X$28,0)</f>
        <v>0</v>
      </c>
      <c r="AQ248" s="49">
        <f>IF(AQ$4=EOMONTH(CloseDate,'Rent Roll'!$O$28-1),-'Rent Roll'!$U$28*'Rent Roll'!$F$28*'Rent Roll'!$X$28,0)</f>
        <v>0</v>
      </c>
      <c r="AR248" s="49">
        <f>IF(AR$4=EOMONTH(CloseDate,'Rent Roll'!$O$28-1),-'Rent Roll'!$U$28*'Rent Roll'!$F$28*'Rent Roll'!$X$28,0)</f>
        <v>0</v>
      </c>
      <c r="AS248" s="49">
        <f>IF(AS$4=EOMONTH(CloseDate,'Rent Roll'!$O$28-1),-'Rent Roll'!$U$28*'Rent Roll'!$F$28*'Rent Roll'!$X$28,0)</f>
        <v>0</v>
      </c>
      <c r="AT248" s="49">
        <f>IF(AT$4=EOMONTH(CloseDate,'Rent Roll'!$O$28-1),-'Rent Roll'!$U$28*'Rent Roll'!$F$28*'Rent Roll'!$X$28,0)</f>
        <v>0</v>
      </c>
      <c r="AU248" s="49">
        <f>IF(AU$4=EOMONTH(CloseDate,'Rent Roll'!$O$28-1),-'Rent Roll'!$U$28*'Rent Roll'!$F$28*'Rent Roll'!$X$28,0)</f>
        <v>0</v>
      </c>
      <c r="AV248" s="49">
        <f>IF(AV$4=EOMONTH(CloseDate,'Rent Roll'!$O$28-1),-'Rent Roll'!$U$28*'Rent Roll'!$F$28*'Rent Roll'!$X$28,0)</f>
        <v>0</v>
      </c>
      <c r="AW248" s="49">
        <f>IF(AW$4=EOMONTH(CloseDate,'Rent Roll'!$O$28-1),-'Rent Roll'!$U$28*'Rent Roll'!$F$28*'Rent Roll'!$X$28,0)</f>
        <v>0</v>
      </c>
      <c r="AX248" s="49">
        <f>IF(AX$4=EOMONTH(CloseDate,'Rent Roll'!$O$28-1),-'Rent Roll'!$U$28*'Rent Roll'!$F$28*'Rent Roll'!$X$28,0)</f>
        <v>0</v>
      </c>
      <c r="AY248" s="49">
        <f>IF(AY$4=EOMONTH(CloseDate,'Rent Roll'!$O$28-1),-'Rent Roll'!$U$28*'Rent Roll'!$F$28*'Rent Roll'!$X$28,0)</f>
        <v>0</v>
      </c>
      <c r="AZ248" s="49">
        <f>IF(AZ$4=EOMONTH(CloseDate,'Rent Roll'!$O$28-1),-'Rent Roll'!$U$28*'Rent Roll'!$F$28*'Rent Roll'!$X$28,0)</f>
        <v>0</v>
      </c>
      <c r="BA248" s="49">
        <f>IF(BA$4=EOMONTH(CloseDate,'Rent Roll'!$O$28-1),-'Rent Roll'!$U$28*'Rent Roll'!$F$28*'Rent Roll'!$X$28,0)</f>
        <v>0</v>
      </c>
      <c r="BB248" s="49">
        <f>IF(BB$4=EOMONTH(CloseDate,'Rent Roll'!$O$28-1),-'Rent Roll'!$U$28*'Rent Roll'!$F$28*'Rent Roll'!$X$28,0)</f>
        <v>0</v>
      </c>
      <c r="BC248" s="49">
        <f>IF(BC$4=EOMONTH(CloseDate,'Rent Roll'!$O$28-1),-'Rent Roll'!$U$28*'Rent Roll'!$F$28*'Rent Roll'!$X$28,0)</f>
        <v>0</v>
      </c>
      <c r="BD248" s="49">
        <f>IF(BD$4=EOMONTH(CloseDate,'Rent Roll'!$O$28-1),-'Rent Roll'!$U$28*'Rent Roll'!$F$28*'Rent Roll'!$X$28,0)</f>
        <v>0</v>
      </c>
      <c r="BE248" s="49">
        <f>IF(BE$4=EOMONTH(CloseDate,'Rent Roll'!$O$28-1),-'Rent Roll'!$U$28*'Rent Roll'!$F$28*'Rent Roll'!$X$28,0)</f>
        <v>0</v>
      </c>
      <c r="BF248" s="49">
        <f>IF(BF$4=EOMONTH(CloseDate,'Rent Roll'!$O$28-1),-'Rent Roll'!$U$28*'Rent Roll'!$F$28*'Rent Roll'!$X$28,0)</f>
        <v>0</v>
      </c>
      <c r="BG248" s="49">
        <f>IF(BG$4=EOMONTH(CloseDate,'Rent Roll'!$O$28-1),-'Rent Roll'!$U$28*'Rent Roll'!$F$28*'Rent Roll'!$X$28,0)</f>
        <v>0</v>
      </c>
      <c r="BH248" s="49">
        <f>IF(BH$4=EOMONTH(CloseDate,'Rent Roll'!$O$28-1),-'Rent Roll'!$U$28*'Rent Roll'!$F$28*'Rent Roll'!$X$28,0)</f>
        <v>0</v>
      </c>
      <c r="BI248" s="49">
        <f>IF(BI$4=EOMONTH(CloseDate,'Rent Roll'!$O$28-1),-'Rent Roll'!$U$28*'Rent Roll'!$F$28*'Rent Roll'!$X$28,0)</f>
        <v>0</v>
      </c>
      <c r="BJ248" s="49">
        <f>IF(BJ$4=EOMONTH(CloseDate,'Rent Roll'!$O$28-1),-'Rent Roll'!$U$28*'Rent Roll'!$F$28*'Rent Roll'!$X$28,0)</f>
        <v>0</v>
      </c>
      <c r="BK248" s="49">
        <f>IF(BK$4=EOMONTH(CloseDate,'Rent Roll'!$O$28-1),-'Rent Roll'!$U$28*'Rent Roll'!$F$28*'Rent Roll'!$X$28,0)</f>
        <v>0</v>
      </c>
      <c r="BL248" s="49">
        <f>IF(BL$4=EOMONTH(CloseDate,'Rent Roll'!$O$28-1),-'Rent Roll'!$U$28*'Rent Roll'!$F$28*'Rent Roll'!$X$28,0)</f>
        <v>0</v>
      </c>
      <c r="BM248" s="49">
        <f>IF(BM$4=EOMONTH(CloseDate,'Rent Roll'!$O$28-1),-'Rent Roll'!$U$28*'Rent Roll'!$F$28*'Rent Roll'!$X$28,0)</f>
        <v>0</v>
      </c>
      <c r="BN248" s="49">
        <f>IF(BN$4=EOMONTH(CloseDate,'Rent Roll'!$O$28-1),-'Rent Roll'!$U$28*'Rent Roll'!$F$28*'Rent Roll'!$X$28,0)</f>
        <v>0</v>
      </c>
      <c r="BO248" s="49">
        <f>IF(BO$4=EOMONTH(CloseDate,'Rent Roll'!$O$28-1),-'Rent Roll'!$U$28*'Rent Roll'!$F$28*'Rent Roll'!$X$28,0)</f>
        <v>0</v>
      </c>
      <c r="BP248" s="49">
        <f>IF(BP$4=EOMONTH(CloseDate,'Rent Roll'!$O$28-1),-'Rent Roll'!$U$28*'Rent Roll'!$F$28*'Rent Roll'!$X$28,0)</f>
        <v>0</v>
      </c>
      <c r="BQ248" s="49">
        <f>IF(BQ$4=EOMONTH(CloseDate,'Rent Roll'!$O$28-1),-'Rent Roll'!$U$28*'Rent Roll'!$F$28*'Rent Roll'!$X$28,0)</f>
        <v>0</v>
      </c>
      <c r="BR248" s="49">
        <f>IF(BR$4=EOMONTH(CloseDate,'Rent Roll'!$O$28-1),-'Rent Roll'!$U$28*'Rent Roll'!$F$28*'Rent Roll'!$X$28,0)</f>
        <v>0</v>
      </c>
      <c r="BS248" s="49">
        <f>IF(BS$4=EOMONTH(CloseDate,'Rent Roll'!$O$28-1),-'Rent Roll'!$U$28*'Rent Roll'!$F$28*'Rent Roll'!$X$28,0)</f>
        <v>0</v>
      </c>
      <c r="BT248" s="49">
        <f>IF(BT$4=EOMONTH(CloseDate,'Rent Roll'!$O$28-1),-'Rent Roll'!$U$28*'Rent Roll'!$F$28*'Rent Roll'!$X$28,0)</f>
        <v>0</v>
      </c>
      <c r="BU248" s="49">
        <f>IF(BU$4=EOMONTH(CloseDate,'Rent Roll'!$O$28-1),-'Rent Roll'!$U$28*'Rent Roll'!$F$28*'Rent Roll'!$X$28,0)</f>
        <v>0</v>
      </c>
      <c r="BV248" s="49">
        <f>IF(BV$4=EOMONTH(CloseDate,'Rent Roll'!$O$28-1),-'Rent Roll'!$U$28*'Rent Roll'!$F$28*'Rent Roll'!$X$28,0)</f>
        <v>0</v>
      </c>
      <c r="BW248" s="49">
        <f>IF(BW$4=EOMONTH(CloseDate,'Rent Roll'!$O$28-1),-'Rent Roll'!$U$28*'Rent Roll'!$F$28*'Rent Roll'!$X$28,0)</f>
        <v>0</v>
      </c>
      <c r="BX248" s="49">
        <f>IF(BX$4=EOMONTH(CloseDate,'Rent Roll'!$O$28-1),-'Rent Roll'!$U$28*'Rent Roll'!$F$28*'Rent Roll'!$X$28,0)</f>
        <v>0</v>
      </c>
    </row>
    <row r="249" spans="1:76" hidden="1" outlineLevel="1">
      <c r="A249" s="46" t="str">
        <f>'Rent Roll'!C29</f>
        <v>Vacant — Suite 460</v>
      </c>
      <c r="B249" s="57">
        <f>INDEX('Rent Roll'!$F$5:$F$46,MATCH('Rent Roll Calc'!A249,'Rent Roll'!$C$5:$C$46,0))</f>
        <v>7500</v>
      </c>
      <c r="D249" s="49"/>
      <c r="E249" s="49"/>
      <c r="F249" s="49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  <c r="AA249" s="49"/>
      <c r="AB249" s="49"/>
      <c r="AC249" s="49"/>
      <c r="AD249" s="49"/>
      <c r="AE249" s="49"/>
      <c r="AF249" s="49"/>
      <c r="AG249" s="49"/>
      <c r="AH249" s="49"/>
      <c r="AI249" s="49"/>
      <c r="AJ249" s="49"/>
      <c r="AK249" s="49"/>
      <c r="AL249" s="49"/>
      <c r="AM249" s="49"/>
      <c r="AN249" s="49"/>
      <c r="AO249" s="49"/>
      <c r="AP249" s="49"/>
      <c r="AQ249" s="49"/>
      <c r="AR249" s="49"/>
      <c r="AS249" s="49"/>
      <c r="AT249" s="49"/>
      <c r="AU249" s="49"/>
      <c r="AV249" s="49"/>
      <c r="AW249" s="49"/>
      <c r="AX249" s="49"/>
      <c r="AY249" s="49"/>
      <c r="AZ249" s="49"/>
      <c r="BA249" s="49"/>
      <c r="BB249" s="49"/>
      <c r="BC249" s="49"/>
      <c r="BD249" s="49"/>
      <c r="BE249" s="49"/>
      <c r="BF249" s="49"/>
      <c r="BG249" s="49"/>
      <c r="BH249" s="49"/>
      <c r="BI249" s="49"/>
      <c r="BJ249" s="49"/>
      <c r="BK249" s="49"/>
      <c r="BL249" s="49"/>
      <c r="BM249" s="49"/>
      <c r="BN249" s="49"/>
      <c r="BO249" s="49"/>
      <c r="BP249" s="49"/>
      <c r="BQ249" s="49"/>
      <c r="BR249" s="49"/>
      <c r="BS249" s="49"/>
      <c r="BT249" s="49"/>
      <c r="BU249" s="49"/>
      <c r="BV249" s="49"/>
      <c r="BW249" s="49"/>
      <c r="BX249" s="49"/>
    </row>
    <row r="250" spans="1:76" hidden="1" outlineLevel="1">
      <c r="B250" t="s">
        <v>83</v>
      </c>
      <c r="D250" s="49">
        <f>0</f>
        <v>0</v>
      </c>
      <c r="E250" s="49">
        <f>0</f>
        <v>0</v>
      </c>
      <c r="F250" s="49">
        <f>0</f>
        <v>0</v>
      </c>
      <c r="G250" s="49">
        <f>0</f>
        <v>0</v>
      </c>
      <c r="H250" s="49">
        <f>0</f>
        <v>0</v>
      </c>
      <c r="I250" s="49">
        <f>0</f>
        <v>0</v>
      </c>
      <c r="J250" s="49">
        <f>0</f>
        <v>0</v>
      </c>
      <c r="K250" s="49">
        <f>0</f>
        <v>0</v>
      </c>
      <c r="L250" s="49">
        <f>0</f>
        <v>0</v>
      </c>
      <c r="M250" s="49">
        <f>0</f>
        <v>0</v>
      </c>
      <c r="N250" s="49">
        <f>0</f>
        <v>0</v>
      </c>
      <c r="O250" s="49">
        <f>0</f>
        <v>0</v>
      </c>
      <c r="P250" s="49">
        <f>0</f>
        <v>0</v>
      </c>
      <c r="Q250" s="49">
        <f>0</f>
        <v>0</v>
      </c>
      <c r="R250" s="49">
        <f>0</f>
        <v>0</v>
      </c>
      <c r="S250" s="49">
        <f>0</f>
        <v>0</v>
      </c>
      <c r="T250" s="49">
        <f>0</f>
        <v>0</v>
      </c>
      <c r="U250" s="49">
        <f>0</f>
        <v>0</v>
      </c>
      <c r="V250" s="49">
        <f>0</f>
        <v>0</v>
      </c>
      <c r="W250" s="49">
        <f>0</f>
        <v>0</v>
      </c>
      <c r="X250" s="49">
        <f>0</f>
        <v>0</v>
      </c>
      <c r="Y250" s="49">
        <f>0</f>
        <v>0</v>
      </c>
      <c r="Z250" s="49">
        <f>0</f>
        <v>0</v>
      </c>
      <c r="AA250" s="49">
        <f>0</f>
        <v>0</v>
      </c>
      <c r="AB250" s="49">
        <f>0</f>
        <v>0</v>
      </c>
      <c r="AC250" s="49">
        <f>0</f>
        <v>0</v>
      </c>
      <c r="AD250" s="49">
        <f>0</f>
        <v>0</v>
      </c>
      <c r="AE250" s="49">
        <f>0</f>
        <v>0</v>
      </c>
      <c r="AF250" s="49">
        <f>0</f>
        <v>0</v>
      </c>
      <c r="AG250" s="49">
        <f>0</f>
        <v>0</v>
      </c>
      <c r="AH250" s="49">
        <f>0</f>
        <v>0</v>
      </c>
      <c r="AI250" s="49">
        <f>0</f>
        <v>0</v>
      </c>
      <c r="AJ250" s="49">
        <f>0</f>
        <v>0</v>
      </c>
      <c r="AK250" s="49">
        <f>0</f>
        <v>0</v>
      </c>
      <c r="AL250" s="49">
        <f>0</f>
        <v>0</v>
      </c>
      <c r="AM250" s="49">
        <f>0</f>
        <v>0</v>
      </c>
      <c r="AN250" s="49">
        <f>0</f>
        <v>0</v>
      </c>
      <c r="AO250" s="49">
        <f>0</f>
        <v>0</v>
      </c>
      <c r="AP250" s="49">
        <f>0</f>
        <v>0</v>
      </c>
      <c r="AQ250" s="49">
        <f>0</f>
        <v>0</v>
      </c>
      <c r="AR250" s="49">
        <f>0</f>
        <v>0</v>
      </c>
      <c r="AS250" s="49">
        <f>0</f>
        <v>0</v>
      </c>
      <c r="AT250" s="49">
        <f>0</f>
        <v>0</v>
      </c>
      <c r="AU250" s="49">
        <f>0</f>
        <v>0</v>
      </c>
      <c r="AV250" s="49">
        <f>0</f>
        <v>0</v>
      </c>
      <c r="AW250" s="49">
        <f>0</f>
        <v>0</v>
      </c>
      <c r="AX250" s="49">
        <f>0</f>
        <v>0</v>
      </c>
      <c r="AY250" s="49">
        <f>0</f>
        <v>0</v>
      </c>
      <c r="AZ250" s="49">
        <f>0</f>
        <v>0</v>
      </c>
      <c r="BA250" s="49">
        <f>0</f>
        <v>0</v>
      </c>
      <c r="BB250" s="49">
        <f>0</f>
        <v>0</v>
      </c>
      <c r="BC250" s="49">
        <f>0</f>
        <v>0</v>
      </c>
      <c r="BD250" s="49">
        <f>0</f>
        <v>0</v>
      </c>
      <c r="BE250" s="49">
        <f>0</f>
        <v>0</v>
      </c>
      <c r="BF250" s="49">
        <f>0</f>
        <v>0</v>
      </c>
      <c r="BG250" s="49">
        <f>0</f>
        <v>0</v>
      </c>
      <c r="BH250" s="49">
        <f>0</f>
        <v>0</v>
      </c>
      <c r="BI250" s="49">
        <f>0</f>
        <v>0</v>
      </c>
      <c r="BJ250" s="49">
        <f>0</f>
        <v>0</v>
      </c>
      <c r="BK250" s="49">
        <f>0</f>
        <v>0</v>
      </c>
      <c r="BL250" s="49">
        <f>0</f>
        <v>0</v>
      </c>
      <c r="BM250" s="49">
        <f>0</f>
        <v>0</v>
      </c>
      <c r="BN250" s="49">
        <f>0</f>
        <v>0</v>
      </c>
      <c r="BO250" s="49">
        <f>0</f>
        <v>0</v>
      </c>
      <c r="BP250" s="49">
        <f>0</f>
        <v>0</v>
      </c>
      <c r="BQ250" s="49">
        <f>0</f>
        <v>0</v>
      </c>
      <c r="BR250" s="49">
        <f>0</f>
        <v>0</v>
      </c>
      <c r="BS250" s="49">
        <f>0</f>
        <v>0</v>
      </c>
      <c r="BT250" s="49">
        <f>0</f>
        <v>0</v>
      </c>
      <c r="BU250" s="49">
        <f>0</f>
        <v>0</v>
      </c>
      <c r="BV250" s="49">
        <f>0</f>
        <v>0</v>
      </c>
      <c r="BW250" s="49">
        <f>0</f>
        <v>0</v>
      </c>
      <c r="BX250" s="49">
        <f>0</f>
        <v>0</v>
      </c>
    </row>
    <row r="251" spans="1:76" hidden="1" outlineLevel="1">
      <c r="B251" t="s">
        <v>159</v>
      </c>
      <c r="D251" s="49">
        <f>0</f>
        <v>0</v>
      </c>
      <c r="E251" s="49">
        <f>0</f>
        <v>0</v>
      </c>
      <c r="F251" s="49">
        <f>0</f>
        <v>0</v>
      </c>
      <c r="G251" s="49">
        <f>0</f>
        <v>0</v>
      </c>
      <c r="H251" s="49">
        <f>0</f>
        <v>0</v>
      </c>
      <c r="I251" s="49">
        <f>0</f>
        <v>0</v>
      </c>
      <c r="J251" s="49">
        <f>0</f>
        <v>0</v>
      </c>
      <c r="K251" s="49">
        <f>0</f>
        <v>0</v>
      </c>
      <c r="L251" s="49">
        <f>0</f>
        <v>0</v>
      </c>
      <c r="M251" s="49">
        <f>0</f>
        <v>0</v>
      </c>
      <c r="N251" s="49">
        <f>0</f>
        <v>0</v>
      </c>
      <c r="O251" s="49">
        <f>0</f>
        <v>0</v>
      </c>
      <c r="P251" s="49">
        <f>0</f>
        <v>0</v>
      </c>
      <c r="Q251" s="49">
        <f>0</f>
        <v>0</v>
      </c>
      <c r="R251" s="49">
        <f>0</f>
        <v>0</v>
      </c>
      <c r="S251" s="49">
        <f>0</f>
        <v>0</v>
      </c>
      <c r="T251" s="49">
        <f>0</f>
        <v>0</v>
      </c>
      <c r="U251" s="49">
        <f>0</f>
        <v>0</v>
      </c>
      <c r="V251" s="49">
        <f>0</f>
        <v>0</v>
      </c>
      <c r="W251" s="49">
        <f>0</f>
        <v>0</v>
      </c>
      <c r="X251" s="49">
        <f>0</f>
        <v>0</v>
      </c>
      <c r="Y251" s="49">
        <f>0</f>
        <v>0</v>
      </c>
      <c r="Z251" s="49">
        <f>0</f>
        <v>0</v>
      </c>
      <c r="AA251" s="49">
        <f>0</f>
        <v>0</v>
      </c>
      <c r="AB251" s="49">
        <f>0</f>
        <v>0</v>
      </c>
      <c r="AC251" s="49">
        <f>0</f>
        <v>0</v>
      </c>
      <c r="AD251" s="49">
        <f>0</f>
        <v>0</v>
      </c>
      <c r="AE251" s="49">
        <f>0</f>
        <v>0</v>
      </c>
      <c r="AF251" s="49">
        <f>0</f>
        <v>0</v>
      </c>
      <c r="AG251" s="49">
        <f>0</f>
        <v>0</v>
      </c>
      <c r="AH251" s="49">
        <f>0</f>
        <v>0</v>
      </c>
      <c r="AI251" s="49">
        <f>0</f>
        <v>0</v>
      </c>
      <c r="AJ251" s="49">
        <f>0</f>
        <v>0</v>
      </c>
      <c r="AK251" s="49">
        <f>0</f>
        <v>0</v>
      </c>
      <c r="AL251" s="49">
        <f>0</f>
        <v>0</v>
      </c>
      <c r="AM251" s="49">
        <f>0</f>
        <v>0</v>
      </c>
      <c r="AN251" s="49">
        <f>0</f>
        <v>0</v>
      </c>
      <c r="AO251" s="49">
        <f>0</f>
        <v>0</v>
      </c>
      <c r="AP251" s="49">
        <f>0</f>
        <v>0</v>
      </c>
      <c r="AQ251" s="49">
        <f>0</f>
        <v>0</v>
      </c>
      <c r="AR251" s="49">
        <f>0</f>
        <v>0</v>
      </c>
      <c r="AS251" s="49">
        <f>0</f>
        <v>0</v>
      </c>
      <c r="AT251" s="49">
        <f>0</f>
        <v>0</v>
      </c>
      <c r="AU251" s="49">
        <f>0</f>
        <v>0</v>
      </c>
      <c r="AV251" s="49">
        <f>0</f>
        <v>0</v>
      </c>
      <c r="AW251" s="49">
        <f>0</f>
        <v>0</v>
      </c>
      <c r="AX251" s="49">
        <f>0</f>
        <v>0</v>
      </c>
      <c r="AY251" s="49">
        <f>0</f>
        <v>0</v>
      </c>
      <c r="AZ251" s="49">
        <f>0</f>
        <v>0</v>
      </c>
      <c r="BA251" s="49">
        <f>0</f>
        <v>0</v>
      </c>
      <c r="BB251" s="49">
        <f>0</f>
        <v>0</v>
      </c>
      <c r="BC251" s="49">
        <f>0</f>
        <v>0</v>
      </c>
      <c r="BD251" s="49">
        <f>0</f>
        <v>0</v>
      </c>
      <c r="BE251" s="49">
        <f>0</f>
        <v>0</v>
      </c>
      <c r="BF251" s="49">
        <f>0</f>
        <v>0</v>
      </c>
      <c r="BG251" s="49">
        <f>0</f>
        <v>0</v>
      </c>
      <c r="BH251" s="49">
        <f>0</f>
        <v>0</v>
      </c>
      <c r="BI251" s="49">
        <f>0</f>
        <v>0</v>
      </c>
      <c r="BJ251" s="49">
        <f>0</f>
        <v>0</v>
      </c>
      <c r="BK251" s="49">
        <f>0</f>
        <v>0</v>
      </c>
      <c r="BL251" s="49">
        <f>0</f>
        <v>0</v>
      </c>
      <c r="BM251" s="49">
        <f>0</f>
        <v>0</v>
      </c>
      <c r="BN251" s="49">
        <f>0</f>
        <v>0</v>
      </c>
      <c r="BO251" s="49">
        <f>0</f>
        <v>0</v>
      </c>
      <c r="BP251" s="49">
        <f>0</f>
        <v>0</v>
      </c>
      <c r="BQ251" s="49">
        <f>0</f>
        <v>0</v>
      </c>
      <c r="BR251" s="49">
        <f>0</f>
        <v>0</v>
      </c>
      <c r="BS251" s="49">
        <f>0</f>
        <v>0</v>
      </c>
      <c r="BT251" s="49">
        <f>0</f>
        <v>0</v>
      </c>
      <c r="BU251" s="49">
        <f>0</f>
        <v>0</v>
      </c>
      <c r="BV251" s="49">
        <f>0</f>
        <v>0</v>
      </c>
      <c r="BW251" s="49">
        <f>0</f>
        <v>0</v>
      </c>
      <c r="BX251" s="49">
        <f>0</f>
        <v>0</v>
      </c>
    </row>
    <row r="252" spans="1:76" collapsed="1">
      <c r="B252" t="s">
        <v>160</v>
      </c>
      <c r="D252" s="49">
        <f>IF(D$4&gt;=EOMONTH(CloseDate,'Rent Roll'!$O$29-1),1,0)</f>
        <v>0</v>
      </c>
      <c r="E252" s="49">
        <f>IF(E$4&gt;=EOMONTH(CloseDate,'Rent Roll'!$O$29-1),1,0)</f>
        <v>0</v>
      </c>
      <c r="F252" s="49">
        <f>IF(F$4&gt;=EOMONTH(CloseDate,'Rent Roll'!$O$29-1),1,0)</f>
        <v>0</v>
      </c>
      <c r="G252" s="49">
        <f>IF(G$4&gt;=EOMONTH(CloseDate,'Rent Roll'!$O$29-1),1,0)</f>
        <v>0</v>
      </c>
      <c r="H252" s="49">
        <f>IF(H$4&gt;=EOMONTH(CloseDate,'Rent Roll'!$O$29-1),1,0)</f>
        <v>0</v>
      </c>
      <c r="I252" s="49">
        <f>IF(I$4&gt;=EOMONTH(CloseDate,'Rent Roll'!$O$29-1),1,0)</f>
        <v>0</v>
      </c>
      <c r="J252" s="49">
        <f>IF(J$4&gt;=EOMONTH(CloseDate,'Rent Roll'!$O$29-1),1,0)</f>
        <v>1</v>
      </c>
      <c r="K252" s="49">
        <f>IF(K$4&gt;=EOMONTH(CloseDate,'Rent Roll'!$O$29-1),1,0)</f>
        <v>1</v>
      </c>
      <c r="L252" s="49">
        <f>IF(L$4&gt;=EOMONTH(CloseDate,'Rent Roll'!$O$29-1),1,0)</f>
        <v>1</v>
      </c>
      <c r="M252" s="49">
        <f>IF(M$4&gt;=EOMONTH(CloseDate,'Rent Roll'!$O$29-1),1,0)</f>
        <v>1</v>
      </c>
      <c r="N252" s="49">
        <f>IF(N$4&gt;=EOMONTH(CloseDate,'Rent Roll'!$O$29-1),1,0)</f>
        <v>1</v>
      </c>
      <c r="O252" s="49">
        <f>IF(O$4&gt;=EOMONTH(CloseDate,'Rent Roll'!$O$29-1),1,0)</f>
        <v>1</v>
      </c>
      <c r="P252" s="49">
        <f>IF(P$4&gt;=EOMONTH(CloseDate,'Rent Roll'!$O$29-1),1,0)</f>
        <v>1</v>
      </c>
      <c r="Q252" s="49">
        <f>IF(Q$4&gt;=EOMONTH(CloseDate,'Rent Roll'!$O$29-1),1,0)</f>
        <v>1</v>
      </c>
      <c r="R252" s="49">
        <f>IF(R$4&gt;=EOMONTH(CloseDate,'Rent Roll'!$O$29-1),1,0)</f>
        <v>1</v>
      </c>
      <c r="S252" s="49">
        <f>IF(S$4&gt;=EOMONTH(CloseDate,'Rent Roll'!$O$29-1),1,0)</f>
        <v>1</v>
      </c>
      <c r="T252" s="49">
        <f>IF(T$4&gt;=EOMONTH(CloseDate,'Rent Roll'!$O$29-1),1,0)</f>
        <v>1</v>
      </c>
      <c r="U252" s="49">
        <f>IF(U$4&gt;=EOMONTH(CloseDate,'Rent Roll'!$O$29-1),1,0)</f>
        <v>1</v>
      </c>
      <c r="V252" s="49">
        <f>IF(V$4&gt;=EOMONTH(CloseDate,'Rent Roll'!$O$29-1),1,0)</f>
        <v>1</v>
      </c>
      <c r="W252" s="49">
        <f>IF(W$4&gt;=EOMONTH(CloseDate,'Rent Roll'!$O$29-1),1,0)</f>
        <v>1</v>
      </c>
      <c r="X252" s="49">
        <f>IF(X$4&gt;=EOMONTH(CloseDate,'Rent Roll'!$O$29-1),1,0)</f>
        <v>1</v>
      </c>
      <c r="Y252" s="49">
        <f>IF(Y$4&gt;=EOMONTH(CloseDate,'Rent Roll'!$O$29-1),1,0)</f>
        <v>1</v>
      </c>
      <c r="Z252" s="49">
        <f>IF(Z$4&gt;=EOMONTH(CloseDate,'Rent Roll'!$O$29-1),1,0)</f>
        <v>1</v>
      </c>
      <c r="AA252" s="49">
        <f>IF(AA$4&gt;=EOMONTH(CloseDate,'Rent Roll'!$O$29-1),1,0)</f>
        <v>1</v>
      </c>
      <c r="AB252" s="49">
        <f>IF(AB$4&gt;=EOMONTH(CloseDate,'Rent Roll'!$O$29-1),1,0)</f>
        <v>1</v>
      </c>
      <c r="AC252" s="49">
        <f>IF(AC$4&gt;=EOMONTH(CloseDate,'Rent Roll'!$O$29-1),1,0)</f>
        <v>1</v>
      </c>
      <c r="AD252" s="49">
        <f>IF(AD$4&gt;=EOMONTH(CloseDate,'Rent Roll'!$O$29-1),1,0)</f>
        <v>1</v>
      </c>
      <c r="AE252" s="49">
        <f>IF(AE$4&gt;=EOMONTH(CloseDate,'Rent Roll'!$O$29-1),1,0)</f>
        <v>1</v>
      </c>
      <c r="AF252" s="49">
        <f>IF(AF$4&gt;=EOMONTH(CloseDate,'Rent Roll'!$O$29-1),1,0)</f>
        <v>1</v>
      </c>
      <c r="AG252" s="49">
        <f>IF(AG$4&gt;=EOMONTH(CloseDate,'Rent Roll'!$O$29-1),1,0)</f>
        <v>1</v>
      </c>
      <c r="AH252" s="49">
        <f>IF(AH$4&gt;=EOMONTH(CloseDate,'Rent Roll'!$O$29-1),1,0)</f>
        <v>1</v>
      </c>
      <c r="AI252" s="49">
        <f>IF(AI$4&gt;=EOMONTH(CloseDate,'Rent Roll'!$O$29-1),1,0)</f>
        <v>1</v>
      </c>
      <c r="AJ252" s="49">
        <f>IF(AJ$4&gt;=EOMONTH(CloseDate,'Rent Roll'!$O$29-1),1,0)</f>
        <v>1</v>
      </c>
      <c r="AK252" s="49">
        <f>IF(AK$4&gt;=EOMONTH(CloseDate,'Rent Roll'!$O$29-1),1,0)</f>
        <v>1</v>
      </c>
      <c r="AL252" s="49">
        <f>IF(AL$4&gt;=EOMONTH(CloseDate,'Rent Roll'!$O$29-1),1,0)</f>
        <v>1</v>
      </c>
      <c r="AM252" s="49">
        <f>IF(AM$4&gt;=EOMONTH(CloseDate,'Rent Roll'!$O$29-1),1,0)</f>
        <v>1</v>
      </c>
      <c r="AN252" s="49">
        <f>IF(AN$4&gt;=EOMONTH(CloseDate,'Rent Roll'!$O$29-1),1,0)</f>
        <v>1</v>
      </c>
      <c r="AO252" s="49">
        <f>IF(AO$4&gt;=EOMONTH(CloseDate,'Rent Roll'!$O$29-1),1,0)</f>
        <v>1</v>
      </c>
      <c r="AP252" s="49">
        <f>IF(AP$4&gt;=EOMONTH(CloseDate,'Rent Roll'!$O$29-1),1,0)</f>
        <v>1</v>
      </c>
      <c r="AQ252" s="49">
        <f>IF(AQ$4&gt;=EOMONTH(CloseDate,'Rent Roll'!$O$29-1),1,0)</f>
        <v>1</v>
      </c>
      <c r="AR252" s="49">
        <f>IF(AR$4&gt;=EOMONTH(CloseDate,'Rent Roll'!$O$29-1),1,0)</f>
        <v>1</v>
      </c>
      <c r="AS252" s="49">
        <f>IF(AS$4&gt;=EOMONTH(CloseDate,'Rent Roll'!$O$29-1),1,0)</f>
        <v>1</v>
      </c>
      <c r="AT252" s="49">
        <f>IF(AT$4&gt;=EOMONTH(CloseDate,'Rent Roll'!$O$29-1),1,0)</f>
        <v>1</v>
      </c>
      <c r="AU252" s="49">
        <f>IF(AU$4&gt;=EOMONTH(CloseDate,'Rent Roll'!$O$29-1),1,0)</f>
        <v>1</v>
      </c>
      <c r="AV252" s="49">
        <f>IF(AV$4&gt;=EOMONTH(CloseDate,'Rent Roll'!$O$29-1),1,0)</f>
        <v>1</v>
      </c>
      <c r="AW252" s="49">
        <f>IF(AW$4&gt;=EOMONTH(CloseDate,'Rent Roll'!$O$29-1),1,0)</f>
        <v>1</v>
      </c>
      <c r="AX252" s="49">
        <f>IF(AX$4&gt;=EOMONTH(CloseDate,'Rent Roll'!$O$29-1),1,0)</f>
        <v>1</v>
      </c>
      <c r="AY252" s="49">
        <f>IF(AY$4&gt;=EOMONTH(CloseDate,'Rent Roll'!$O$29-1),1,0)</f>
        <v>1</v>
      </c>
      <c r="AZ252" s="49">
        <f>IF(AZ$4&gt;=EOMONTH(CloseDate,'Rent Roll'!$O$29-1),1,0)</f>
        <v>1</v>
      </c>
      <c r="BA252" s="49">
        <f>IF(BA$4&gt;=EOMONTH(CloseDate,'Rent Roll'!$O$29-1),1,0)</f>
        <v>1</v>
      </c>
      <c r="BB252" s="49">
        <f>IF(BB$4&gt;=EOMONTH(CloseDate,'Rent Roll'!$O$29-1),1,0)</f>
        <v>1</v>
      </c>
      <c r="BC252" s="49">
        <f>IF(BC$4&gt;=EOMONTH(CloseDate,'Rent Roll'!$O$29-1),1,0)</f>
        <v>1</v>
      </c>
      <c r="BD252" s="49">
        <f>IF(BD$4&gt;=EOMONTH(CloseDate,'Rent Roll'!$O$29-1),1,0)</f>
        <v>1</v>
      </c>
      <c r="BE252" s="49">
        <f>IF(BE$4&gt;=EOMONTH(CloseDate,'Rent Roll'!$O$29-1),1,0)</f>
        <v>1</v>
      </c>
      <c r="BF252" s="49">
        <f>IF(BF$4&gt;=EOMONTH(CloseDate,'Rent Roll'!$O$29-1),1,0)</f>
        <v>1</v>
      </c>
      <c r="BG252" s="49">
        <f>IF(BG$4&gt;=EOMONTH(CloseDate,'Rent Roll'!$O$29-1),1,0)</f>
        <v>1</v>
      </c>
      <c r="BH252" s="49">
        <f>IF(BH$4&gt;=EOMONTH(CloseDate,'Rent Roll'!$O$29-1),1,0)</f>
        <v>1</v>
      </c>
      <c r="BI252" s="49">
        <f>IF(BI$4&gt;=EOMONTH(CloseDate,'Rent Roll'!$O$29-1),1,0)</f>
        <v>1</v>
      </c>
      <c r="BJ252" s="49">
        <f>IF(BJ$4&gt;=EOMONTH(CloseDate,'Rent Roll'!$O$29-1),1,0)</f>
        <v>1</v>
      </c>
      <c r="BK252" s="49">
        <f>IF(BK$4&gt;=EOMONTH(CloseDate,'Rent Roll'!$O$29-1),1,0)</f>
        <v>1</v>
      </c>
      <c r="BL252" s="49">
        <f>IF(BL$4&gt;=EOMONTH(CloseDate,'Rent Roll'!$O$29-1),1,0)</f>
        <v>1</v>
      </c>
      <c r="BM252" s="49">
        <f>IF(BM$4&gt;=EOMONTH(CloseDate,'Rent Roll'!$O$29-1),1,0)</f>
        <v>1</v>
      </c>
      <c r="BN252" s="49">
        <f>IF(BN$4&gt;=EOMONTH(CloseDate,'Rent Roll'!$O$29-1),1,0)</f>
        <v>1</v>
      </c>
      <c r="BO252" s="49">
        <f>IF(BO$4&gt;=EOMONTH(CloseDate,'Rent Roll'!$O$29-1),1,0)</f>
        <v>1</v>
      </c>
      <c r="BP252" s="49">
        <f>IF(BP$4&gt;=EOMONTH(CloseDate,'Rent Roll'!$O$29-1),1,0)</f>
        <v>1</v>
      </c>
      <c r="BQ252" s="49">
        <f>IF(BQ$4&gt;=EOMONTH(CloseDate,'Rent Roll'!$O$29-1),1,0)</f>
        <v>1</v>
      </c>
      <c r="BR252" s="49">
        <f>IF(BR$4&gt;=EOMONTH(CloseDate,'Rent Roll'!$O$29-1),1,0)</f>
        <v>1</v>
      </c>
      <c r="BS252" s="49">
        <f>IF(BS$4&gt;=EOMONTH(CloseDate,'Rent Roll'!$O$29-1),1,0)</f>
        <v>1</v>
      </c>
      <c r="BT252" s="49">
        <f>IF(BT$4&gt;=EOMONTH(CloseDate,'Rent Roll'!$O$29-1),1,0)</f>
        <v>1</v>
      </c>
      <c r="BU252" s="49">
        <f>IF(BU$4&gt;=EOMONTH(CloseDate,'Rent Roll'!$O$29-1),1,0)</f>
        <v>1</v>
      </c>
      <c r="BV252" s="49">
        <f>IF(BV$4&gt;=EOMONTH(CloseDate,'Rent Roll'!$O$29-1),1,0)</f>
        <v>1</v>
      </c>
      <c r="BW252" s="49">
        <f>IF(BW$4&gt;=EOMONTH(CloseDate,'Rent Roll'!$O$29-1),1,0)</f>
        <v>1</v>
      </c>
      <c r="BX252" s="49">
        <f>IF(BX$4&gt;=EOMONTH(CloseDate,'Rent Roll'!$O$29-1),1,0)</f>
        <v>1</v>
      </c>
    </row>
    <row r="253" spans="1:76">
      <c r="B253" t="s">
        <v>162</v>
      </c>
      <c r="D253" s="49">
        <f>IF(D252=1,'Rent Roll'!$F$29*'Rent Roll'!$X$29/12*D$6,0)</f>
        <v>0</v>
      </c>
      <c r="E253" s="49">
        <f>IF(E252=1,'Rent Roll'!$F$29*'Rent Roll'!$X$29/12*E$6,0)</f>
        <v>0</v>
      </c>
      <c r="F253" s="49">
        <f>IF(F252=1,'Rent Roll'!$F$29*'Rent Roll'!$X$29/12*F$6,0)</f>
        <v>0</v>
      </c>
      <c r="G253" s="49">
        <f>IF(G252=1,'Rent Roll'!$F$29*'Rent Roll'!$X$29/12*G$6,0)</f>
        <v>0</v>
      </c>
      <c r="H253" s="49">
        <f>IF(H252=1,'Rent Roll'!$F$29*'Rent Roll'!$X$29/12*H$6,0)</f>
        <v>0</v>
      </c>
      <c r="I253" s="49">
        <f>IF(I252=1,'Rent Roll'!$F$29*'Rent Roll'!$X$29/12*I$6,0)</f>
        <v>0</v>
      </c>
      <c r="J253" s="49">
        <f>IF(J252=1,'Rent Roll'!$F$29*'Rent Roll'!$X$29/12*J$6,0)</f>
        <v>15835.858593749997</v>
      </c>
      <c r="K253" s="49">
        <f>IF(K252=1,'Rent Roll'!$F$29*'Rent Roll'!$X$29/12*K$6,0)</f>
        <v>15835.858593749997</v>
      </c>
      <c r="L253" s="49">
        <f>IF(L252=1,'Rent Roll'!$F$29*'Rent Roll'!$X$29/12*L$6,0)</f>
        <v>15835.858593749997</v>
      </c>
      <c r="M253" s="49">
        <f>IF(M252=1,'Rent Roll'!$F$29*'Rent Roll'!$X$29/12*M$6,0)</f>
        <v>15835.858593749997</v>
      </c>
      <c r="N253" s="49">
        <f>IF(N252=1,'Rent Roll'!$F$29*'Rent Roll'!$X$29/12*N$6,0)</f>
        <v>15835.858593749997</v>
      </c>
      <c r="O253" s="49">
        <f>IF(O252=1,'Rent Roll'!$F$29*'Rent Roll'!$X$29/12*O$6,0)</f>
        <v>15835.858593749997</v>
      </c>
      <c r="P253" s="49">
        <f>IF(P252=1,'Rent Roll'!$F$29*'Rent Roll'!$X$29/12*P$6,0)</f>
        <v>15835.858593749997</v>
      </c>
      <c r="Q253" s="49">
        <f>IF(Q252=1,'Rent Roll'!$F$29*'Rent Roll'!$X$29/12*Q$6,0)</f>
        <v>15835.858593749997</v>
      </c>
      <c r="R253" s="49">
        <f>IF(R252=1,'Rent Roll'!$F$29*'Rent Roll'!$X$29/12*R$6,0)</f>
        <v>15835.858593749997</v>
      </c>
      <c r="S253" s="49">
        <f>IF(S252=1,'Rent Roll'!$F$29*'Rent Roll'!$X$29/12*S$6,0)</f>
        <v>15835.858593749997</v>
      </c>
      <c r="T253" s="49">
        <f>IF(T252=1,'Rent Roll'!$F$29*'Rent Roll'!$X$29/12*T$6,0)</f>
        <v>15835.858593749997</v>
      </c>
      <c r="U253" s="49">
        <f>IF(U252=1,'Rent Roll'!$F$29*'Rent Roll'!$X$29/12*U$6,0)</f>
        <v>16263.426775781245</v>
      </c>
      <c r="V253" s="49">
        <f>IF(V252=1,'Rent Roll'!$F$29*'Rent Roll'!$X$29/12*V$6,0)</f>
        <v>16263.426775781245</v>
      </c>
      <c r="W253" s="49">
        <f>IF(W252=1,'Rent Roll'!$F$29*'Rent Roll'!$X$29/12*W$6,0)</f>
        <v>16263.426775781245</v>
      </c>
      <c r="X253" s="49">
        <f>IF(X252=1,'Rent Roll'!$F$29*'Rent Roll'!$X$29/12*X$6,0)</f>
        <v>16263.426775781245</v>
      </c>
      <c r="Y253" s="49">
        <f>IF(Y252=1,'Rent Roll'!$F$29*'Rent Roll'!$X$29/12*Y$6,0)</f>
        <v>16263.426775781245</v>
      </c>
      <c r="Z253" s="49">
        <f>IF(Z252=1,'Rent Roll'!$F$29*'Rent Roll'!$X$29/12*Z$6,0)</f>
        <v>16263.426775781245</v>
      </c>
      <c r="AA253" s="49">
        <f>IF(AA252=1,'Rent Roll'!$F$29*'Rent Roll'!$X$29/12*AA$6,0)</f>
        <v>16263.426775781245</v>
      </c>
      <c r="AB253" s="49">
        <f>IF(AB252=1,'Rent Roll'!$F$29*'Rent Roll'!$X$29/12*AB$6,0)</f>
        <v>16263.426775781245</v>
      </c>
      <c r="AC253" s="49">
        <f>IF(AC252=1,'Rent Roll'!$F$29*'Rent Roll'!$X$29/12*AC$6,0)</f>
        <v>16263.426775781245</v>
      </c>
      <c r="AD253" s="49">
        <f>IF(AD252=1,'Rent Roll'!$F$29*'Rent Roll'!$X$29/12*AD$6,0)</f>
        <v>16263.426775781245</v>
      </c>
      <c r="AE253" s="49">
        <f>IF(AE252=1,'Rent Roll'!$F$29*'Rent Roll'!$X$29/12*AE$6,0)</f>
        <v>16263.426775781245</v>
      </c>
      <c r="AF253" s="49">
        <f>IF(AF252=1,'Rent Roll'!$F$29*'Rent Roll'!$X$29/12*AF$6,0)</f>
        <v>16263.426775781245</v>
      </c>
      <c r="AG253" s="49">
        <f>IF(AG252=1,'Rent Roll'!$F$29*'Rent Roll'!$X$29/12*AG$6,0)</f>
        <v>16702.539298727337</v>
      </c>
      <c r="AH253" s="49">
        <f>IF(AH252=1,'Rent Roll'!$F$29*'Rent Roll'!$X$29/12*AH$6,0)</f>
        <v>16702.539298727337</v>
      </c>
      <c r="AI253" s="49">
        <f>IF(AI252=1,'Rent Roll'!$F$29*'Rent Roll'!$X$29/12*AI$6,0)</f>
        <v>16702.539298727337</v>
      </c>
      <c r="AJ253" s="49">
        <f>IF(AJ252=1,'Rent Roll'!$F$29*'Rent Roll'!$X$29/12*AJ$6,0)</f>
        <v>16702.539298727337</v>
      </c>
      <c r="AK253" s="49">
        <f>IF(AK252=1,'Rent Roll'!$F$29*'Rent Roll'!$X$29/12*AK$6,0)</f>
        <v>16702.539298727337</v>
      </c>
      <c r="AL253" s="49">
        <f>IF(AL252=1,'Rent Roll'!$F$29*'Rent Roll'!$X$29/12*AL$6,0)</f>
        <v>16702.539298727337</v>
      </c>
      <c r="AM253" s="49">
        <f>IF(AM252=1,'Rent Roll'!$F$29*'Rent Roll'!$X$29/12*AM$6,0)</f>
        <v>16702.539298727337</v>
      </c>
      <c r="AN253" s="49">
        <f>IF(AN252=1,'Rent Roll'!$F$29*'Rent Roll'!$X$29/12*AN$6,0)</f>
        <v>16702.539298727337</v>
      </c>
      <c r="AO253" s="49">
        <f>IF(AO252=1,'Rent Roll'!$F$29*'Rent Roll'!$X$29/12*AO$6,0)</f>
        <v>16702.539298727337</v>
      </c>
      <c r="AP253" s="49">
        <f>IF(AP252=1,'Rent Roll'!$F$29*'Rent Roll'!$X$29/12*AP$6,0)</f>
        <v>16702.539298727337</v>
      </c>
      <c r="AQ253" s="49">
        <f>IF(AQ252=1,'Rent Roll'!$F$29*'Rent Roll'!$X$29/12*AQ$6,0)</f>
        <v>16702.539298727337</v>
      </c>
      <c r="AR253" s="49">
        <f>IF(AR252=1,'Rent Roll'!$F$29*'Rent Roll'!$X$29/12*AR$6,0)</f>
        <v>16702.539298727337</v>
      </c>
      <c r="AS253" s="49">
        <f>IF(AS252=1,'Rent Roll'!$F$29*'Rent Roll'!$X$29/12*AS$6,0)</f>
        <v>17153.507859792975</v>
      </c>
      <c r="AT253" s="49">
        <f>IF(AT252=1,'Rent Roll'!$F$29*'Rent Roll'!$X$29/12*AT$6,0)</f>
        <v>17153.507859792975</v>
      </c>
      <c r="AU253" s="49">
        <f>IF(AU252=1,'Rent Roll'!$F$29*'Rent Roll'!$X$29/12*AU$6,0)</f>
        <v>17153.507859792975</v>
      </c>
      <c r="AV253" s="49">
        <f>IF(AV252=1,'Rent Roll'!$F$29*'Rent Roll'!$X$29/12*AV$6,0)</f>
        <v>17153.507859792975</v>
      </c>
      <c r="AW253" s="49">
        <f>IF(AW252=1,'Rent Roll'!$F$29*'Rent Roll'!$X$29/12*AW$6,0)</f>
        <v>17153.507859792975</v>
      </c>
      <c r="AX253" s="49">
        <f>IF(AX252=1,'Rent Roll'!$F$29*'Rent Roll'!$X$29/12*AX$6,0)</f>
        <v>17153.507859792975</v>
      </c>
      <c r="AY253" s="49">
        <f>IF(AY252=1,'Rent Roll'!$F$29*'Rent Roll'!$X$29/12*AY$6,0)</f>
        <v>17153.507859792975</v>
      </c>
      <c r="AZ253" s="49">
        <f>IF(AZ252=1,'Rent Roll'!$F$29*'Rent Roll'!$X$29/12*AZ$6,0)</f>
        <v>17153.507859792975</v>
      </c>
      <c r="BA253" s="49">
        <f>IF(BA252=1,'Rent Roll'!$F$29*'Rent Roll'!$X$29/12*BA$6,0)</f>
        <v>17153.507859792975</v>
      </c>
      <c r="BB253" s="49">
        <f>IF(BB252=1,'Rent Roll'!$F$29*'Rent Roll'!$X$29/12*BB$6,0)</f>
        <v>17153.507859792975</v>
      </c>
      <c r="BC253" s="49">
        <f>IF(BC252=1,'Rent Roll'!$F$29*'Rent Roll'!$X$29/12*BC$6,0)</f>
        <v>17153.507859792975</v>
      </c>
      <c r="BD253" s="49">
        <f>IF(BD252=1,'Rent Roll'!$F$29*'Rent Roll'!$X$29/12*BD$6,0)</f>
        <v>17153.507859792975</v>
      </c>
      <c r="BE253" s="49">
        <f>IF(BE252=1,'Rent Roll'!$F$29*'Rent Roll'!$X$29/12*BE$6,0)</f>
        <v>17616.652572007384</v>
      </c>
      <c r="BF253" s="49">
        <f>IF(BF252=1,'Rent Roll'!$F$29*'Rent Roll'!$X$29/12*BF$6,0)</f>
        <v>17616.652572007384</v>
      </c>
      <c r="BG253" s="49">
        <f>IF(BG252=1,'Rent Roll'!$F$29*'Rent Roll'!$X$29/12*BG$6,0)</f>
        <v>17616.652572007384</v>
      </c>
      <c r="BH253" s="49">
        <f>IF(BH252=1,'Rent Roll'!$F$29*'Rent Roll'!$X$29/12*BH$6,0)</f>
        <v>17616.652572007384</v>
      </c>
      <c r="BI253" s="49">
        <f>IF(BI252=1,'Rent Roll'!$F$29*'Rent Roll'!$X$29/12*BI$6,0)</f>
        <v>17616.652572007384</v>
      </c>
      <c r="BJ253" s="49">
        <f>IF(BJ252=1,'Rent Roll'!$F$29*'Rent Roll'!$X$29/12*BJ$6,0)</f>
        <v>17616.652572007384</v>
      </c>
      <c r="BK253" s="49">
        <f>IF(BK252=1,'Rent Roll'!$F$29*'Rent Roll'!$X$29/12*BK$6,0)</f>
        <v>17616.652572007384</v>
      </c>
      <c r="BL253" s="49">
        <f>IF(BL252=1,'Rent Roll'!$F$29*'Rent Roll'!$X$29/12*BL$6,0)</f>
        <v>17616.652572007384</v>
      </c>
      <c r="BM253" s="49">
        <f>IF(BM252=1,'Rent Roll'!$F$29*'Rent Roll'!$X$29/12*BM$6,0)</f>
        <v>17616.652572007384</v>
      </c>
      <c r="BN253" s="49">
        <f>IF(BN252=1,'Rent Roll'!$F$29*'Rent Roll'!$X$29/12*BN$6,0)</f>
        <v>17616.652572007384</v>
      </c>
      <c r="BO253" s="49">
        <f>IF(BO252=1,'Rent Roll'!$F$29*'Rent Roll'!$X$29/12*BO$6,0)</f>
        <v>17616.652572007384</v>
      </c>
      <c r="BP253" s="49">
        <f>IF(BP252=1,'Rent Roll'!$F$29*'Rent Roll'!$X$29/12*BP$6,0)</f>
        <v>17616.652572007384</v>
      </c>
      <c r="BQ253" s="49">
        <f>IF(BQ252=1,'Rent Roll'!$F$29*'Rent Roll'!$X$29/12*BQ$6,0)</f>
        <v>18092.302191451581</v>
      </c>
      <c r="BR253" s="49">
        <f>IF(BR252=1,'Rent Roll'!$F$29*'Rent Roll'!$X$29/12*BR$6,0)</f>
        <v>18092.302191451581</v>
      </c>
      <c r="BS253" s="49">
        <f>IF(BS252=1,'Rent Roll'!$F$29*'Rent Roll'!$X$29/12*BS$6,0)</f>
        <v>18092.302191451581</v>
      </c>
      <c r="BT253" s="49">
        <f>IF(BT252=1,'Rent Roll'!$F$29*'Rent Roll'!$X$29/12*BT$6,0)</f>
        <v>18092.302191451581</v>
      </c>
      <c r="BU253" s="49">
        <f>IF(BU252=1,'Rent Roll'!$F$29*'Rent Roll'!$X$29/12*BU$6,0)</f>
        <v>18092.302191451581</v>
      </c>
      <c r="BV253" s="49">
        <f>IF(BV252=1,'Rent Roll'!$F$29*'Rent Roll'!$X$29/12*BV$6,0)</f>
        <v>18092.302191451581</v>
      </c>
      <c r="BW253" s="49">
        <f>IF(BW252=1,'Rent Roll'!$F$29*'Rent Roll'!$X$29/12*BW$6,0)</f>
        <v>18092.302191451581</v>
      </c>
      <c r="BX253" s="49">
        <f>IF(BX252=1,'Rent Roll'!$F$29*'Rent Roll'!$X$29/12*BX$6,0)</f>
        <v>18092.302191451581</v>
      </c>
    </row>
    <row r="254" spans="1:76" hidden="1" outlineLevel="1">
      <c r="B254" t="s">
        <v>163</v>
      </c>
      <c r="D254" s="49">
        <f>IF(AND(D$4&gt;=EOMONTH(CloseDate,'Rent Roll'!$O$29-1),D$4&lt;EOMONTH(CloseDate,'Rent Roll'!$O$29-1+'Rent Roll'!$V$29)),-D253,0)</f>
        <v>0</v>
      </c>
      <c r="E254" s="49">
        <f>IF(AND(E$4&gt;=EOMONTH(CloseDate,'Rent Roll'!$O$29-1),E$4&lt;EOMONTH(CloseDate,'Rent Roll'!$O$29-1+'Rent Roll'!$V$29)),-E253,0)</f>
        <v>0</v>
      </c>
      <c r="F254" s="49">
        <f>IF(AND(F$4&gt;=EOMONTH(CloseDate,'Rent Roll'!$O$29-1),F$4&lt;EOMONTH(CloseDate,'Rent Roll'!$O$29-1+'Rent Roll'!$V$29)),-F253,0)</f>
        <v>0</v>
      </c>
      <c r="G254" s="49">
        <f>IF(AND(G$4&gt;=EOMONTH(CloseDate,'Rent Roll'!$O$29-1),G$4&lt;EOMONTH(CloseDate,'Rent Roll'!$O$29-1+'Rent Roll'!$V$29)),-G253,0)</f>
        <v>0</v>
      </c>
      <c r="H254" s="49">
        <f>IF(AND(H$4&gt;=EOMONTH(CloseDate,'Rent Roll'!$O$29-1),H$4&lt;EOMONTH(CloseDate,'Rent Roll'!$O$29-1+'Rent Roll'!$V$29)),-H253,0)</f>
        <v>0</v>
      </c>
      <c r="I254" s="49">
        <f>IF(AND(I$4&gt;=EOMONTH(CloseDate,'Rent Roll'!$O$29-1),I$4&lt;EOMONTH(CloseDate,'Rent Roll'!$O$29-1+'Rent Roll'!$V$29)),-I253,0)</f>
        <v>0</v>
      </c>
      <c r="J254" s="49">
        <f>IF(AND(J$4&gt;=EOMONTH(CloseDate,'Rent Roll'!$O$29-1),J$4&lt;EOMONTH(CloseDate,'Rent Roll'!$O$29-1+'Rent Roll'!$V$29)),-J253,0)</f>
        <v>-15835.858593749997</v>
      </c>
      <c r="K254" s="49">
        <f>IF(AND(K$4&gt;=EOMONTH(CloseDate,'Rent Roll'!$O$29-1),K$4&lt;EOMONTH(CloseDate,'Rent Roll'!$O$29-1+'Rent Roll'!$V$29)),-K253,0)</f>
        <v>-15835.858593749997</v>
      </c>
      <c r="L254" s="49">
        <f>IF(AND(L$4&gt;=EOMONTH(CloseDate,'Rent Roll'!$O$29-1),L$4&lt;EOMONTH(CloseDate,'Rent Roll'!$O$29-1+'Rent Roll'!$V$29)),-L253,0)</f>
        <v>0</v>
      </c>
      <c r="M254" s="49">
        <f>IF(AND(M$4&gt;=EOMONTH(CloseDate,'Rent Roll'!$O$29-1),M$4&lt;EOMONTH(CloseDate,'Rent Roll'!$O$29-1+'Rent Roll'!$V$29)),-M253,0)</f>
        <v>0</v>
      </c>
      <c r="N254" s="49">
        <f>IF(AND(N$4&gt;=EOMONTH(CloseDate,'Rent Roll'!$O$29-1),N$4&lt;EOMONTH(CloseDate,'Rent Roll'!$O$29-1+'Rent Roll'!$V$29)),-N253,0)</f>
        <v>0</v>
      </c>
      <c r="O254" s="49">
        <f>IF(AND(O$4&gt;=EOMONTH(CloseDate,'Rent Roll'!$O$29-1),O$4&lt;EOMONTH(CloseDate,'Rent Roll'!$O$29-1+'Rent Roll'!$V$29)),-O253,0)</f>
        <v>0</v>
      </c>
      <c r="P254" s="49">
        <f>IF(AND(P$4&gt;=EOMONTH(CloseDate,'Rent Roll'!$O$29-1),P$4&lt;EOMONTH(CloseDate,'Rent Roll'!$O$29-1+'Rent Roll'!$V$29)),-P253,0)</f>
        <v>0</v>
      </c>
      <c r="Q254" s="49">
        <f>IF(AND(Q$4&gt;=EOMONTH(CloseDate,'Rent Roll'!$O$29-1),Q$4&lt;EOMONTH(CloseDate,'Rent Roll'!$O$29-1+'Rent Roll'!$V$29)),-Q253,0)</f>
        <v>0</v>
      </c>
      <c r="R254" s="49">
        <f>IF(AND(R$4&gt;=EOMONTH(CloseDate,'Rent Roll'!$O$29-1),R$4&lt;EOMONTH(CloseDate,'Rent Roll'!$O$29-1+'Rent Roll'!$V$29)),-R253,0)</f>
        <v>0</v>
      </c>
      <c r="S254" s="49">
        <f>IF(AND(S$4&gt;=EOMONTH(CloseDate,'Rent Roll'!$O$29-1),S$4&lt;EOMONTH(CloseDate,'Rent Roll'!$O$29-1+'Rent Roll'!$V$29)),-S253,0)</f>
        <v>0</v>
      </c>
      <c r="T254" s="49">
        <f>IF(AND(T$4&gt;=EOMONTH(CloseDate,'Rent Roll'!$O$29-1),T$4&lt;EOMONTH(CloseDate,'Rent Roll'!$O$29-1+'Rent Roll'!$V$29)),-T253,0)</f>
        <v>0</v>
      </c>
      <c r="U254" s="49">
        <f>IF(AND(U$4&gt;=EOMONTH(CloseDate,'Rent Roll'!$O$29-1),U$4&lt;EOMONTH(CloseDate,'Rent Roll'!$O$29-1+'Rent Roll'!$V$29)),-U253,0)</f>
        <v>0</v>
      </c>
      <c r="V254" s="49">
        <f>IF(AND(V$4&gt;=EOMONTH(CloseDate,'Rent Roll'!$O$29-1),V$4&lt;EOMONTH(CloseDate,'Rent Roll'!$O$29-1+'Rent Roll'!$V$29)),-V253,0)</f>
        <v>0</v>
      </c>
      <c r="W254" s="49">
        <f>IF(AND(W$4&gt;=EOMONTH(CloseDate,'Rent Roll'!$O$29-1),W$4&lt;EOMONTH(CloseDate,'Rent Roll'!$O$29-1+'Rent Roll'!$V$29)),-W253,0)</f>
        <v>0</v>
      </c>
      <c r="X254" s="49">
        <f>IF(AND(X$4&gt;=EOMONTH(CloseDate,'Rent Roll'!$O$29-1),X$4&lt;EOMONTH(CloseDate,'Rent Roll'!$O$29-1+'Rent Roll'!$V$29)),-X253,0)</f>
        <v>0</v>
      </c>
      <c r="Y254" s="49">
        <f>IF(AND(Y$4&gt;=EOMONTH(CloseDate,'Rent Roll'!$O$29-1),Y$4&lt;EOMONTH(CloseDate,'Rent Roll'!$O$29-1+'Rent Roll'!$V$29)),-Y253,0)</f>
        <v>0</v>
      </c>
      <c r="Z254" s="49">
        <f>IF(AND(Z$4&gt;=EOMONTH(CloseDate,'Rent Roll'!$O$29-1),Z$4&lt;EOMONTH(CloseDate,'Rent Roll'!$O$29-1+'Rent Roll'!$V$29)),-Z253,0)</f>
        <v>0</v>
      </c>
      <c r="AA254" s="49">
        <f>IF(AND(AA$4&gt;=EOMONTH(CloseDate,'Rent Roll'!$O$29-1),AA$4&lt;EOMONTH(CloseDate,'Rent Roll'!$O$29-1+'Rent Roll'!$V$29)),-AA253,0)</f>
        <v>0</v>
      </c>
      <c r="AB254" s="49">
        <f>IF(AND(AB$4&gt;=EOMONTH(CloseDate,'Rent Roll'!$O$29-1),AB$4&lt;EOMONTH(CloseDate,'Rent Roll'!$O$29-1+'Rent Roll'!$V$29)),-AB253,0)</f>
        <v>0</v>
      </c>
      <c r="AC254" s="49">
        <f>IF(AND(AC$4&gt;=EOMONTH(CloseDate,'Rent Roll'!$O$29-1),AC$4&lt;EOMONTH(CloseDate,'Rent Roll'!$O$29-1+'Rent Roll'!$V$29)),-AC253,0)</f>
        <v>0</v>
      </c>
      <c r="AD254" s="49">
        <f>IF(AND(AD$4&gt;=EOMONTH(CloseDate,'Rent Roll'!$O$29-1),AD$4&lt;EOMONTH(CloseDate,'Rent Roll'!$O$29-1+'Rent Roll'!$V$29)),-AD253,0)</f>
        <v>0</v>
      </c>
      <c r="AE254" s="49">
        <f>IF(AND(AE$4&gt;=EOMONTH(CloseDate,'Rent Roll'!$O$29-1),AE$4&lt;EOMONTH(CloseDate,'Rent Roll'!$O$29-1+'Rent Roll'!$V$29)),-AE253,0)</f>
        <v>0</v>
      </c>
      <c r="AF254" s="49">
        <f>IF(AND(AF$4&gt;=EOMONTH(CloseDate,'Rent Roll'!$O$29-1),AF$4&lt;EOMONTH(CloseDate,'Rent Roll'!$O$29-1+'Rent Roll'!$V$29)),-AF253,0)</f>
        <v>0</v>
      </c>
      <c r="AG254" s="49">
        <f>IF(AND(AG$4&gt;=EOMONTH(CloseDate,'Rent Roll'!$O$29-1),AG$4&lt;EOMONTH(CloseDate,'Rent Roll'!$O$29-1+'Rent Roll'!$V$29)),-AG253,0)</f>
        <v>0</v>
      </c>
      <c r="AH254" s="49">
        <f>IF(AND(AH$4&gt;=EOMONTH(CloseDate,'Rent Roll'!$O$29-1),AH$4&lt;EOMONTH(CloseDate,'Rent Roll'!$O$29-1+'Rent Roll'!$V$29)),-AH253,0)</f>
        <v>0</v>
      </c>
      <c r="AI254" s="49">
        <f>IF(AND(AI$4&gt;=EOMONTH(CloseDate,'Rent Roll'!$O$29-1),AI$4&lt;EOMONTH(CloseDate,'Rent Roll'!$O$29-1+'Rent Roll'!$V$29)),-AI253,0)</f>
        <v>0</v>
      </c>
      <c r="AJ254" s="49">
        <f>IF(AND(AJ$4&gt;=EOMONTH(CloseDate,'Rent Roll'!$O$29-1),AJ$4&lt;EOMONTH(CloseDate,'Rent Roll'!$O$29-1+'Rent Roll'!$V$29)),-AJ253,0)</f>
        <v>0</v>
      </c>
      <c r="AK254" s="49">
        <f>IF(AND(AK$4&gt;=EOMONTH(CloseDate,'Rent Roll'!$O$29-1),AK$4&lt;EOMONTH(CloseDate,'Rent Roll'!$O$29-1+'Rent Roll'!$V$29)),-AK253,0)</f>
        <v>0</v>
      </c>
      <c r="AL254" s="49">
        <f>IF(AND(AL$4&gt;=EOMONTH(CloseDate,'Rent Roll'!$O$29-1),AL$4&lt;EOMONTH(CloseDate,'Rent Roll'!$O$29-1+'Rent Roll'!$V$29)),-AL253,0)</f>
        <v>0</v>
      </c>
      <c r="AM254" s="49">
        <f>IF(AND(AM$4&gt;=EOMONTH(CloseDate,'Rent Roll'!$O$29-1),AM$4&lt;EOMONTH(CloseDate,'Rent Roll'!$O$29-1+'Rent Roll'!$V$29)),-AM253,0)</f>
        <v>0</v>
      </c>
      <c r="AN254" s="49">
        <f>IF(AND(AN$4&gt;=EOMONTH(CloseDate,'Rent Roll'!$O$29-1),AN$4&lt;EOMONTH(CloseDate,'Rent Roll'!$O$29-1+'Rent Roll'!$V$29)),-AN253,0)</f>
        <v>0</v>
      </c>
      <c r="AO254" s="49">
        <f>IF(AND(AO$4&gt;=EOMONTH(CloseDate,'Rent Roll'!$O$29-1),AO$4&lt;EOMONTH(CloseDate,'Rent Roll'!$O$29-1+'Rent Roll'!$V$29)),-AO253,0)</f>
        <v>0</v>
      </c>
      <c r="AP254" s="49">
        <f>IF(AND(AP$4&gt;=EOMONTH(CloseDate,'Rent Roll'!$O$29-1),AP$4&lt;EOMONTH(CloseDate,'Rent Roll'!$O$29-1+'Rent Roll'!$V$29)),-AP253,0)</f>
        <v>0</v>
      </c>
      <c r="AQ254" s="49">
        <f>IF(AND(AQ$4&gt;=EOMONTH(CloseDate,'Rent Roll'!$O$29-1),AQ$4&lt;EOMONTH(CloseDate,'Rent Roll'!$O$29-1+'Rent Roll'!$V$29)),-AQ253,0)</f>
        <v>0</v>
      </c>
      <c r="AR254" s="49">
        <f>IF(AND(AR$4&gt;=EOMONTH(CloseDate,'Rent Roll'!$O$29-1),AR$4&lt;EOMONTH(CloseDate,'Rent Roll'!$O$29-1+'Rent Roll'!$V$29)),-AR253,0)</f>
        <v>0</v>
      </c>
      <c r="AS254" s="49">
        <f>IF(AND(AS$4&gt;=EOMONTH(CloseDate,'Rent Roll'!$O$29-1),AS$4&lt;EOMONTH(CloseDate,'Rent Roll'!$O$29-1+'Rent Roll'!$V$29)),-AS253,0)</f>
        <v>0</v>
      </c>
      <c r="AT254" s="49">
        <f>IF(AND(AT$4&gt;=EOMONTH(CloseDate,'Rent Roll'!$O$29-1),AT$4&lt;EOMONTH(CloseDate,'Rent Roll'!$O$29-1+'Rent Roll'!$V$29)),-AT253,0)</f>
        <v>0</v>
      </c>
      <c r="AU254" s="49">
        <f>IF(AND(AU$4&gt;=EOMONTH(CloseDate,'Rent Roll'!$O$29-1),AU$4&lt;EOMONTH(CloseDate,'Rent Roll'!$O$29-1+'Rent Roll'!$V$29)),-AU253,0)</f>
        <v>0</v>
      </c>
      <c r="AV254" s="49">
        <f>IF(AND(AV$4&gt;=EOMONTH(CloseDate,'Rent Roll'!$O$29-1),AV$4&lt;EOMONTH(CloseDate,'Rent Roll'!$O$29-1+'Rent Roll'!$V$29)),-AV253,0)</f>
        <v>0</v>
      </c>
      <c r="AW254" s="49">
        <f>IF(AND(AW$4&gt;=EOMONTH(CloseDate,'Rent Roll'!$O$29-1),AW$4&lt;EOMONTH(CloseDate,'Rent Roll'!$O$29-1+'Rent Roll'!$V$29)),-AW253,0)</f>
        <v>0</v>
      </c>
      <c r="AX254" s="49">
        <f>IF(AND(AX$4&gt;=EOMONTH(CloseDate,'Rent Roll'!$O$29-1),AX$4&lt;EOMONTH(CloseDate,'Rent Roll'!$O$29-1+'Rent Roll'!$V$29)),-AX253,0)</f>
        <v>0</v>
      </c>
      <c r="AY254" s="49">
        <f>IF(AND(AY$4&gt;=EOMONTH(CloseDate,'Rent Roll'!$O$29-1),AY$4&lt;EOMONTH(CloseDate,'Rent Roll'!$O$29-1+'Rent Roll'!$V$29)),-AY253,0)</f>
        <v>0</v>
      </c>
      <c r="AZ254" s="49">
        <f>IF(AND(AZ$4&gt;=EOMONTH(CloseDate,'Rent Roll'!$O$29-1),AZ$4&lt;EOMONTH(CloseDate,'Rent Roll'!$O$29-1+'Rent Roll'!$V$29)),-AZ253,0)</f>
        <v>0</v>
      </c>
      <c r="BA254" s="49">
        <f>IF(AND(BA$4&gt;=EOMONTH(CloseDate,'Rent Roll'!$O$29-1),BA$4&lt;EOMONTH(CloseDate,'Rent Roll'!$O$29-1+'Rent Roll'!$V$29)),-BA253,0)</f>
        <v>0</v>
      </c>
      <c r="BB254" s="49">
        <f>IF(AND(BB$4&gt;=EOMONTH(CloseDate,'Rent Roll'!$O$29-1),BB$4&lt;EOMONTH(CloseDate,'Rent Roll'!$O$29-1+'Rent Roll'!$V$29)),-BB253,0)</f>
        <v>0</v>
      </c>
      <c r="BC254" s="49">
        <f>IF(AND(BC$4&gt;=EOMONTH(CloseDate,'Rent Roll'!$O$29-1),BC$4&lt;EOMONTH(CloseDate,'Rent Roll'!$O$29-1+'Rent Roll'!$V$29)),-BC253,0)</f>
        <v>0</v>
      </c>
      <c r="BD254" s="49">
        <f>IF(AND(BD$4&gt;=EOMONTH(CloseDate,'Rent Roll'!$O$29-1),BD$4&lt;EOMONTH(CloseDate,'Rent Roll'!$O$29-1+'Rent Roll'!$V$29)),-BD253,0)</f>
        <v>0</v>
      </c>
      <c r="BE254" s="49">
        <f>IF(AND(BE$4&gt;=EOMONTH(CloseDate,'Rent Roll'!$O$29-1),BE$4&lt;EOMONTH(CloseDate,'Rent Roll'!$O$29-1+'Rent Roll'!$V$29)),-BE253,0)</f>
        <v>0</v>
      </c>
      <c r="BF254" s="49">
        <f>IF(AND(BF$4&gt;=EOMONTH(CloseDate,'Rent Roll'!$O$29-1),BF$4&lt;EOMONTH(CloseDate,'Rent Roll'!$O$29-1+'Rent Roll'!$V$29)),-BF253,0)</f>
        <v>0</v>
      </c>
      <c r="BG254" s="49">
        <f>IF(AND(BG$4&gt;=EOMONTH(CloseDate,'Rent Roll'!$O$29-1),BG$4&lt;EOMONTH(CloseDate,'Rent Roll'!$O$29-1+'Rent Roll'!$V$29)),-BG253,0)</f>
        <v>0</v>
      </c>
      <c r="BH254" s="49">
        <f>IF(AND(BH$4&gt;=EOMONTH(CloseDate,'Rent Roll'!$O$29-1),BH$4&lt;EOMONTH(CloseDate,'Rent Roll'!$O$29-1+'Rent Roll'!$V$29)),-BH253,0)</f>
        <v>0</v>
      </c>
      <c r="BI254" s="49">
        <f>IF(AND(BI$4&gt;=EOMONTH(CloseDate,'Rent Roll'!$O$29-1),BI$4&lt;EOMONTH(CloseDate,'Rent Roll'!$O$29-1+'Rent Roll'!$V$29)),-BI253,0)</f>
        <v>0</v>
      </c>
      <c r="BJ254" s="49">
        <f>IF(AND(BJ$4&gt;=EOMONTH(CloseDate,'Rent Roll'!$O$29-1),BJ$4&lt;EOMONTH(CloseDate,'Rent Roll'!$O$29-1+'Rent Roll'!$V$29)),-BJ253,0)</f>
        <v>0</v>
      </c>
      <c r="BK254" s="49">
        <f>IF(AND(BK$4&gt;=EOMONTH(CloseDate,'Rent Roll'!$O$29-1),BK$4&lt;EOMONTH(CloseDate,'Rent Roll'!$O$29-1+'Rent Roll'!$V$29)),-BK253,0)</f>
        <v>0</v>
      </c>
      <c r="BL254" s="49">
        <f>IF(AND(BL$4&gt;=EOMONTH(CloseDate,'Rent Roll'!$O$29-1),BL$4&lt;EOMONTH(CloseDate,'Rent Roll'!$O$29-1+'Rent Roll'!$V$29)),-BL253,0)</f>
        <v>0</v>
      </c>
      <c r="BM254" s="49">
        <f>IF(AND(BM$4&gt;=EOMONTH(CloseDate,'Rent Roll'!$O$29-1),BM$4&lt;EOMONTH(CloseDate,'Rent Roll'!$O$29-1+'Rent Roll'!$V$29)),-BM253,0)</f>
        <v>0</v>
      </c>
      <c r="BN254" s="49">
        <f>IF(AND(BN$4&gt;=EOMONTH(CloseDate,'Rent Roll'!$O$29-1),BN$4&lt;EOMONTH(CloseDate,'Rent Roll'!$O$29-1+'Rent Roll'!$V$29)),-BN253,0)</f>
        <v>0</v>
      </c>
      <c r="BO254" s="49">
        <f>IF(AND(BO$4&gt;=EOMONTH(CloseDate,'Rent Roll'!$O$29-1),BO$4&lt;EOMONTH(CloseDate,'Rent Roll'!$O$29-1+'Rent Roll'!$V$29)),-BO253,0)</f>
        <v>0</v>
      </c>
      <c r="BP254" s="49">
        <f>IF(AND(BP$4&gt;=EOMONTH(CloseDate,'Rent Roll'!$O$29-1),BP$4&lt;EOMONTH(CloseDate,'Rent Roll'!$O$29-1+'Rent Roll'!$V$29)),-BP253,0)</f>
        <v>0</v>
      </c>
      <c r="BQ254" s="49">
        <f>IF(AND(BQ$4&gt;=EOMONTH(CloseDate,'Rent Roll'!$O$29-1),BQ$4&lt;EOMONTH(CloseDate,'Rent Roll'!$O$29-1+'Rent Roll'!$V$29)),-BQ253,0)</f>
        <v>0</v>
      </c>
      <c r="BR254" s="49">
        <f>IF(AND(BR$4&gt;=EOMONTH(CloseDate,'Rent Roll'!$O$29-1),BR$4&lt;EOMONTH(CloseDate,'Rent Roll'!$O$29-1+'Rent Roll'!$V$29)),-BR253,0)</f>
        <v>0</v>
      </c>
      <c r="BS254" s="49">
        <f>IF(AND(BS$4&gt;=EOMONTH(CloseDate,'Rent Roll'!$O$29-1),BS$4&lt;EOMONTH(CloseDate,'Rent Roll'!$O$29-1+'Rent Roll'!$V$29)),-BS253,0)</f>
        <v>0</v>
      </c>
      <c r="BT254" s="49">
        <f>IF(AND(BT$4&gt;=EOMONTH(CloseDate,'Rent Roll'!$O$29-1),BT$4&lt;EOMONTH(CloseDate,'Rent Roll'!$O$29-1+'Rent Roll'!$V$29)),-BT253,0)</f>
        <v>0</v>
      </c>
      <c r="BU254" s="49">
        <f>IF(AND(BU$4&gt;=EOMONTH(CloseDate,'Rent Roll'!$O$29-1),BU$4&lt;EOMONTH(CloseDate,'Rent Roll'!$O$29-1+'Rent Roll'!$V$29)),-BU253,0)</f>
        <v>0</v>
      </c>
      <c r="BV254" s="49">
        <f>IF(AND(BV$4&gt;=EOMONTH(CloseDate,'Rent Roll'!$O$29-1),BV$4&lt;EOMONTH(CloseDate,'Rent Roll'!$O$29-1+'Rent Roll'!$V$29)),-BV253,0)</f>
        <v>0</v>
      </c>
      <c r="BW254" s="49">
        <f>IF(AND(BW$4&gt;=EOMONTH(CloseDate,'Rent Roll'!$O$29-1),BW$4&lt;EOMONTH(CloseDate,'Rent Roll'!$O$29-1+'Rent Roll'!$V$29)),-BW253,0)</f>
        <v>0</v>
      </c>
      <c r="BX254" s="49">
        <f>IF(AND(BX$4&gt;=EOMONTH(CloseDate,'Rent Roll'!$O$29-1),BX$4&lt;EOMONTH(CloseDate,'Rent Roll'!$O$29-1+'Rent Roll'!$V$29)),-BX253,0)</f>
        <v>0</v>
      </c>
    </row>
    <row r="255" spans="1:76" hidden="1" outlineLevel="1">
      <c r="B255" t="s">
        <v>84</v>
      </c>
      <c r="D255" s="49">
        <f>D251+D253+D254</f>
        <v>0</v>
      </c>
      <c r="E255" s="49">
        <f t="shared" ref="E255:BJ255" si="83">E251+E253+E254</f>
        <v>0</v>
      </c>
      <c r="F255" s="49">
        <f t="shared" si="83"/>
        <v>0</v>
      </c>
      <c r="G255" s="49">
        <f t="shared" si="83"/>
        <v>0</v>
      </c>
      <c r="H255" s="49">
        <f t="shared" si="83"/>
        <v>0</v>
      </c>
      <c r="I255" s="49">
        <f t="shared" si="83"/>
        <v>0</v>
      </c>
      <c r="J255" s="49">
        <f t="shared" si="83"/>
        <v>0</v>
      </c>
      <c r="K255" s="49">
        <f t="shared" si="83"/>
        <v>0</v>
      </c>
      <c r="L255" s="49">
        <f t="shared" si="83"/>
        <v>15835.858593749997</v>
      </c>
      <c r="M255" s="49">
        <f t="shared" si="83"/>
        <v>15835.858593749997</v>
      </c>
      <c r="N255" s="49">
        <f t="shared" si="83"/>
        <v>15835.858593749997</v>
      </c>
      <c r="O255" s="49">
        <f t="shared" si="83"/>
        <v>15835.858593749997</v>
      </c>
      <c r="P255" s="49">
        <f t="shared" si="83"/>
        <v>15835.858593749997</v>
      </c>
      <c r="Q255" s="49">
        <f t="shared" si="83"/>
        <v>15835.858593749997</v>
      </c>
      <c r="R255" s="49">
        <f t="shared" si="83"/>
        <v>15835.858593749997</v>
      </c>
      <c r="S255" s="49">
        <f t="shared" si="83"/>
        <v>15835.858593749997</v>
      </c>
      <c r="T255" s="49">
        <f t="shared" si="83"/>
        <v>15835.858593749997</v>
      </c>
      <c r="U255" s="49">
        <f t="shared" si="83"/>
        <v>16263.426775781245</v>
      </c>
      <c r="V255" s="49">
        <f t="shared" si="83"/>
        <v>16263.426775781245</v>
      </c>
      <c r="W255" s="49">
        <f t="shared" si="83"/>
        <v>16263.426775781245</v>
      </c>
      <c r="X255" s="49">
        <f t="shared" si="83"/>
        <v>16263.426775781245</v>
      </c>
      <c r="Y255" s="49">
        <f t="shared" si="83"/>
        <v>16263.426775781245</v>
      </c>
      <c r="Z255" s="49">
        <f t="shared" si="83"/>
        <v>16263.426775781245</v>
      </c>
      <c r="AA255" s="49">
        <f t="shared" si="83"/>
        <v>16263.426775781245</v>
      </c>
      <c r="AB255" s="49">
        <f t="shared" si="83"/>
        <v>16263.426775781245</v>
      </c>
      <c r="AC255" s="49">
        <f t="shared" si="83"/>
        <v>16263.426775781245</v>
      </c>
      <c r="AD255" s="49">
        <f t="shared" si="83"/>
        <v>16263.426775781245</v>
      </c>
      <c r="AE255" s="49">
        <f t="shared" si="83"/>
        <v>16263.426775781245</v>
      </c>
      <c r="AF255" s="49">
        <f t="shared" si="83"/>
        <v>16263.426775781245</v>
      </c>
      <c r="AG255" s="49">
        <f t="shared" si="83"/>
        <v>16702.539298727337</v>
      </c>
      <c r="AH255" s="49">
        <f t="shared" si="83"/>
        <v>16702.539298727337</v>
      </c>
      <c r="AI255" s="49">
        <f t="shared" si="83"/>
        <v>16702.539298727337</v>
      </c>
      <c r="AJ255" s="49">
        <f t="shared" si="83"/>
        <v>16702.539298727337</v>
      </c>
      <c r="AK255" s="49">
        <f t="shared" si="83"/>
        <v>16702.539298727337</v>
      </c>
      <c r="AL255" s="49">
        <f t="shared" si="83"/>
        <v>16702.539298727337</v>
      </c>
      <c r="AM255" s="49">
        <f t="shared" si="83"/>
        <v>16702.539298727337</v>
      </c>
      <c r="AN255" s="49">
        <f t="shared" si="83"/>
        <v>16702.539298727337</v>
      </c>
      <c r="AO255" s="49">
        <f t="shared" si="83"/>
        <v>16702.539298727337</v>
      </c>
      <c r="AP255" s="49">
        <f t="shared" si="83"/>
        <v>16702.539298727337</v>
      </c>
      <c r="AQ255" s="49">
        <f t="shared" si="83"/>
        <v>16702.539298727337</v>
      </c>
      <c r="AR255" s="49">
        <f t="shared" si="83"/>
        <v>16702.539298727337</v>
      </c>
      <c r="AS255" s="49">
        <f t="shared" si="83"/>
        <v>17153.507859792975</v>
      </c>
      <c r="AT255" s="49">
        <f t="shared" si="83"/>
        <v>17153.507859792975</v>
      </c>
      <c r="AU255" s="49">
        <f t="shared" si="83"/>
        <v>17153.507859792975</v>
      </c>
      <c r="AV255" s="49">
        <f t="shared" si="83"/>
        <v>17153.507859792975</v>
      </c>
      <c r="AW255" s="49">
        <f t="shared" si="83"/>
        <v>17153.507859792975</v>
      </c>
      <c r="AX255" s="49">
        <f t="shared" si="83"/>
        <v>17153.507859792975</v>
      </c>
      <c r="AY255" s="49">
        <f t="shared" si="83"/>
        <v>17153.507859792975</v>
      </c>
      <c r="AZ255" s="49">
        <f t="shared" si="83"/>
        <v>17153.507859792975</v>
      </c>
      <c r="BA255" s="49">
        <f t="shared" si="83"/>
        <v>17153.507859792975</v>
      </c>
      <c r="BB255" s="49">
        <f t="shared" si="83"/>
        <v>17153.507859792975</v>
      </c>
      <c r="BC255" s="49">
        <f t="shared" si="83"/>
        <v>17153.507859792975</v>
      </c>
      <c r="BD255" s="49">
        <f t="shared" si="83"/>
        <v>17153.507859792975</v>
      </c>
      <c r="BE255" s="49">
        <f t="shared" si="83"/>
        <v>17616.652572007384</v>
      </c>
      <c r="BF255" s="49">
        <f t="shared" si="83"/>
        <v>17616.652572007384</v>
      </c>
      <c r="BG255" s="49">
        <f t="shared" si="83"/>
        <v>17616.652572007384</v>
      </c>
      <c r="BH255" s="49">
        <f t="shared" si="83"/>
        <v>17616.652572007384</v>
      </c>
      <c r="BI255" s="49">
        <f t="shared" si="83"/>
        <v>17616.652572007384</v>
      </c>
      <c r="BJ255" s="49">
        <f t="shared" si="83"/>
        <v>17616.652572007384</v>
      </c>
      <c r="BK255" s="49">
        <f t="shared" ref="BK255" si="84">BK251+BK253+BK254</f>
        <v>17616.652572007384</v>
      </c>
      <c r="BL255" s="49">
        <f t="shared" ref="BL255:BX255" si="85">BL251+BL253+BL254</f>
        <v>17616.652572007384</v>
      </c>
      <c r="BM255" s="49">
        <f t="shared" si="85"/>
        <v>17616.652572007384</v>
      </c>
      <c r="BN255" s="49">
        <f t="shared" si="85"/>
        <v>17616.652572007384</v>
      </c>
      <c r="BO255" s="49">
        <f t="shared" si="85"/>
        <v>17616.652572007384</v>
      </c>
      <c r="BP255" s="49">
        <f t="shared" si="85"/>
        <v>17616.652572007384</v>
      </c>
      <c r="BQ255" s="49">
        <f t="shared" si="85"/>
        <v>18092.302191451581</v>
      </c>
      <c r="BR255" s="49">
        <f t="shared" si="85"/>
        <v>18092.302191451581</v>
      </c>
      <c r="BS255" s="49">
        <f t="shared" si="85"/>
        <v>18092.302191451581</v>
      </c>
      <c r="BT255" s="49">
        <f t="shared" si="85"/>
        <v>18092.302191451581</v>
      </c>
      <c r="BU255" s="49">
        <f t="shared" si="85"/>
        <v>18092.302191451581</v>
      </c>
      <c r="BV255" s="49">
        <f t="shared" si="85"/>
        <v>18092.302191451581</v>
      </c>
      <c r="BW255" s="49">
        <f t="shared" si="85"/>
        <v>18092.302191451581</v>
      </c>
      <c r="BX255" s="49">
        <f t="shared" si="85"/>
        <v>18092.302191451581</v>
      </c>
    </row>
    <row r="256" spans="1:76" hidden="1" outlineLevel="1">
      <c r="B256" t="s">
        <v>85</v>
      </c>
      <c r="D256" s="49">
        <f>IF(D252=1,'Rent Roll'!$F$29/BldgSF*ReimbPool/12*D$7,0)</f>
        <v>0</v>
      </c>
      <c r="E256" s="49">
        <f>IF(E252=1,'Rent Roll'!$F$29/BldgSF*ReimbPool/12*E$7,0)</f>
        <v>0</v>
      </c>
      <c r="F256" s="49">
        <f>IF(F252=1,'Rent Roll'!$F$29/BldgSF*ReimbPool/12*F$7,0)</f>
        <v>0</v>
      </c>
      <c r="G256" s="49">
        <f>IF(G252=1,'Rent Roll'!$F$29/BldgSF*ReimbPool/12*G$7,0)</f>
        <v>0</v>
      </c>
      <c r="H256" s="49">
        <f>IF(H252=1,'Rent Roll'!$F$29/BldgSF*ReimbPool/12*H$7,0)</f>
        <v>0</v>
      </c>
      <c r="I256" s="49">
        <f>IF(I252=1,'Rent Roll'!$F$29/BldgSF*ReimbPool/12*I$7,0)</f>
        <v>0</v>
      </c>
      <c r="J256" s="49">
        <f>IF(J252=1,'Rent Roll'!$F$29/BldgSF*ReimbPool/12*J$7,0)</f>
        <v>6720.4312499999996</v>
      </c>
      <c r="K256" s="49">
        <f>IF(K252=1,'Rent Roll'!$F$29/BldgSF*ReimbPool/12*K$7,0)</f>
        <v>6720.4312499999996</v>
      </c>
      <c r="L256" s="49">
        <f>IF(L252=1,'Rent Roll'!$F$29/BldgSF*ReimbPool/12*L$7,0)</f>
        <v>6720.4312499999996</v>
      </c>
      <c r="M256" s="49">
        <f>IF(M252=1,'Rent Roll'!$F$29/BldgSF*ReimbPool/12*M$7,0)</f>
        <v>6720.4312499999996</v>
      </c>
      <c r="N256" s="49">
        <f>IF(N252=1,'Rent Roll'!$F$29/BldgSF*ReimbPool/12*N$7,0)</f>
        <v>6720.4312499999996</v>
      </c>
      <c r="O256" s="49">
        <f>IF(O252=1,'Rent Roll'!$F$29/BldgSF*ReimbPool/12*O$7,0)</f>
        <v>6720.4312499999996</v>
      </c>
      <c r="P256" s="49">
        <f>IF(P252=1,'Rent Roll'!$F$29/BldgSF*ReimbPool/12*P$7,0)</f>
        <v>6720.4312499999996</v>
      </c>
      <c r="Q256" s="49">
        <f>IF(Q252=1,'Rent Roll'!$F$29/BldgSF*ReimbPool/12*Q$7,0)</f>
        <v>6720.4312499999996</v>
      </c>
      <c r="R256" s="49">
        <f>IF(R252=1,'Rent Roll'!$F$29/BldgSF*ReimbPool/12*R$7,0)</f>
        <v>6720.4312499999996</v>
      </c>
      <c r="S256" s="49">
        <f>IF(S252=1,'Rent Roll'!$F$29/BldgSF*ReimbPool/12*S$7,0)</f>
        <v>6720.4312499999996</v>
      </c>
      <c r="T256" s="49">
        <f>IF(T252=1,'Rent Roll'!$F$29/BldgSF*ReimbPool/12*T$7,0)</f>
        <v>6720.4312499999996</v>
      </c>
      <c r="U256" s="49">
        <f>IF(U252=1,'Rent Roll'!$F$29/BldgSF*ReimbPool/12*U$7,0)</f>
        <v>6901.8828937499984</v>
      </c>
      <c r="V256" s="49">
        <f>IF(V252=1,'Rent Roll'!$F$29/BldgSF*ReimbPool/12*V$7,0)</f>
        <v>6901.8828937499984</v>
      </c>
      <c r="W256" s="49">
        <f>IF(W252=1,'Rent Roll'!$F$29/BldgSF*ReimbPool/12*W$7,0)</f>
        <v>6901.8828937499984</v>
      </c>
      <c r="X256" s="49">
        <f>IF(X252=1,'Rent Roll'!$F$29/BldgSF*ReimbPool/12*X$7,0)</f>
        <v>6901.8828937499984</v>
      </c>
      <c r="Y256" s="49">
        <f>IF(Y252=1,'Rent Roll'!$F$29/BldgSF*ReimbPool/12*Y$7,0)</f>
        <v>6901.8828937499984</v>
      </c>
      <c r="Z256" s="49">
        <f>IF(Z252=1,'Rent Roll'!$F$29/BldgSF*ReimbPool/12*Z$7,0)</f>
        <v>6901.8828937499984</v>
      </c>
      <c r="AA256" s="49">
        <f>IF(AA252=1,'Rent Roll'!$F$29/BldgSF*ReimbPool/12*AA$7,0)</f>
        <v>6901.8828937499984</v>
      </c>
      <c r="AB256" s="49">
        <f>IF(AB252=1,'Rent Roll'!$F$29/BldgSF*ReimbPool/12*AB$7,0)</f>
        <v>6901.8828937499984</v>
      </c>
      <c r="AC256" s="49">
        <f>IF(AC252=1,'Rent Roll'!$F$29/BldgSF*ReimbPool/12*AC$7,0)</f>
        <v>6901.8828937499984</v>
      </c>
      <c r="AD256" s="49">
        <f>IF(AD252=1,'Rent Roll'!$F$29/BldgSF*ReimbPool/12*AD$7,0)</f>
        <v>6901.8828937499984</v>
      </c>
      <c r="AE256" s="49">
        <f>IF(AE252=1,'Rent Roll'!$F$29/BldgSF*ReimbPool/12*AE$7,0)</f>
        <v>6901.8828937499984</v>
      </c>
      <c r="AF256" s="49">
        <f>IF(AF252=1,'Rent Roll'!$F$29/BldgSF*ReimbPool/12*AF$7,0)</f>
        <v>6901.8828937499984</v>
      </c>
      <c r="AG256" s="49">
        <f>IF(AG252=1,'Rent Roll'!$F$29/BldgSF*ReimbPool/12*AG$7,0)</f>
        <v>7088.2337318812488</v>
      </c>
      <c r="AH256" s="49">
        <f>IF(AH252=1,'Rent Roll'!$F$29/BldgSF*ReimbPool/12*AH$7,0)</f>
        <v>7088.2337318812488</v>
      </c>
      <c r="AI256" s="49">
        <f>IF(AI252=1,'Rent Roll'!$F$29/BldgSF*ReimbPool/12*AI$7,0)</f>
        <v>7088.2337318812488</v>
      </c>
      <c r="AJ256" s="49">
        <f>IF(AJ252=1,'Rent Roll'!$F$29/BldgSF*ReimbPool/12*AJ$7,0)</f>
        <v>7088.2337318812488</v>
      </c>
      <c r="AK256" s="49">
        <f>IF(AK252=1,'Rent Roll'!$F$29/BldgSF*ReimbPool/12*AK$7,0)</f>
        <v>7088.2337318812488</v>
      </c>
      <c r="AL256" s="49">
        <f>IF(AL252=1,'Rent Roll'!$F$29/BldgSF*ReimbPool/12*AL$7,0)</f>
        <v>7088.2337318812488</v>
      </c>
      <c r="AM256" s="49">
        <f>IF(AM252=1,'Rent Roll'!$F$29/BldgSF*ReimbPool/12*AM$7,0)</f>
        <v>7088.2337318812488</v>
      </c>
      <c r="AN256" s="49">
        <f>IF(AN252=1,'Rent Roll'!$F$29/BldgSF*ReimbPool/12*AN$7,0)</f>
        <v>7088.2337318812488</v>
      </c>
      <c r="AO256" s="49">
        <f>IF(AO252=1,'Rent Roll'!$F$29/BldgSF*ReimbPool/12*AO$7,0)</f>
        <v>7088.2337318812488</v>
      </c>
      <c r="AP256" s="49">
        <f>IF(AP252=1,'Rent Roll'!$F$29/BldgSF*ReimbPool/12*AP$7,0)</f>
        <v>7088.2337318812488</v>
      </c>
      <c r="AQ256" s="49">
        <f>IF(AQ252=1,'Rent Roll'!$F$29/BldgSF*ReimbPool/12*AQ$7,0)</f>
        <v>7088.2337318812488</v>
      </c>
      <c r="AR256" s="49">
        <f>IF(AR252=1,'Rent Roll'!$F$29/BldgSF*ReimbPool/12*AR$7,0)</f>
        <v>7088.2337318812488</v>
      </c>
      <c r="AS256" s="49">
        <f>IF(AS252=1,'Rent Roll'!$F$29/BldgSF*ReimbPool/12*AS$7,0)</f>
        <v>7279.6160426420411</v>
      </c>
      <c r="AT256" s="49">
        <f>IF(AT252=1,'Rent Roll'!$F$29/BldgSF*ReimbPool/12*AT$7,0)</f>
        <v>7279.6160426420411</v>
      </c>
      <c r="AU256" s="49">
        <f>IF(AU252=1,'Rent Roll'!$F$29/BldgSF*ReimbPool/12*AU$7,0)</f>
        <v>7279.6160426420411</v>
      </c>
      <c r="AV256" s="49">
        <f>IF(AV252=1,'Rent Roll'!$F$29/BldgSF*ReimbPool/12*AV$7,0)</f>
        <v>7279.6160426420411</v>
      </c>
      <c r="AW256" s="49">
        <f>IF(AW252=1,'Rent Roll'!$F$29/BldgSF*ReimbPool/12*AW$7,0)</f>
        <v>7279.6160426420411</v>
      </c>
      <c r="AX256" s="49">
        <f>IF(AX252=1,'Rent Roll'!$F$29/BldgSF*ReimbPool/12*AX$7,0)</f>
        <v>7279.6160426420411</v>
      </c>
      <c r="AY256" s="49">
        <f>IF(AY252=1,'Rent Roll'!$F$29/BldgSF*ReimbPool/12*AY$7,0)</f>
        <v>7279.6160426420411</v>
      </c>
      <c r="AZ256" s="49">
        <f>IF(AZ252=1,'Rent Roll'!$F$29/BldgSF*ReimbPool/12*AZ$7,0)</f>
        <v>7279.6160426420411</v>
      </c>
      <c r="BA256" s="49">
        <f>IF(BA252=1,'Rent Roll'!$F$29/BldgSF*ReimbPool/12*BA$7,0)</f>
        <v>7279.6160426420411</v>
      </c>
      <c r="BB256" s="49">
        <f>IF(BB252=1,'Rent Roll'!$F$29/BldgSF*ReimbPool/12*BB$7,0)</f>
        <v>7279.6160426420411</v>
      </c>
      <c r="BC256" s="49">
        <f>IF(BC252=1,'Rent Roll'!$F$29/BldgSF*ReimbPool/12*BC$7,0)</f>
        <v>7279.6160426420411</v>
      </c>
      <c r="BD256" s="49">
        <f>IF(BD252=1,'Rent Roll'!$F$29/BldgSF*ReimbPool/12*BD$7,0)</f>
        <v>7279.6160426420411</v>
      </c>
      <c r="BE256" s="49">
        <f>IF(BE252=1,'Rent Roll'!$F$29/BldgSF*ReimbPool/12*BE$7,0)</f>
        <v>7476.1656757933761</v>
      </c>
      <c r="BF256" s="49">
        <f>IF(BF252=1,'Rent Roll'!$F$29/BldgSF*ReimbPool/12*BF$7,0)</f>
        <v>7476.1656757933761</v>
      </c>
      <c r="BG256" s="49">
        <f>IF(BG252=1,'Rent Roll'!$F$29/BldgSF*ReimbPool/12*BG$7,0)</f>
        <v>7476.1656757933761</v>
      </c>
      <c r="BH256" s="49">
        <f>IF(BH252=1,'Rent Roll'!$F$29/BldgSF*ReimbPool/12*BH$7,0)</f>
        <v>7476.1656757933761</v>
      </c>
      <c r="BI256" s="49">
        <f>IF(BI252=1,'Rent Roll'!$F$29/BldgSF*ReimbPool/12*BI$7,0)</f>
        <v>7476.1656757933761</v>
      </c>
      <c r="BJ256" s="49">
        <f>IF(BJ252=1,'Rent Roll'!$F$29/BldgSF*ReimbPool/12*BJ$7,0)</f>
        <v>7476.1656757933761</v>
      </c>
      <c r="BK256" s="49">
        <f>IF(BK252=1,'Rent Roll'!$F$29/BldgSF*ReimbPool/12*BK$7,0)</f>
        <v>7476.1656757933761</v>
      </c>
      <c r="BL256" s="49">
        <f>IF(BL252=1,'Rent Roll'!$F$29/BldgSF*ReimbPool/12*BL$7,0)</f>
        <v>7476.1656757933761</v>
      </c>
      <c r="BM256" s="49">
        <f>IF(BM252=1,'Rent Roll'!$F$29/BldgSF*ReimbPool/12*BM$7,0)</f>
        <v>7476.1656757933761</v>
      </c>
      <c r="BN256" s="49">
        <f>IF(BN252=1,'Rent Roll'!$F$29/BldgSF*ReimbPool/12*BN$7,0)</f>
        <v>7476.1656757933761</v>
      </c>
      <c r="BO256" s="49">
        <f>IF(BO252=1,'Rent Roll'!$F$29/BldgSF*ReimbPool/12*BO$7,0)</f>
        <v>7476.1656757933761</v>
      </c>
      <c r="BP256" s="49">
        <f>IF(BP252=1,'Rent Roll'!$F$29/BldgSF*ReimbPool/12*BP$7,0)</f>
        <v>7476.1656757933761</v>
      </c>
      <c r="BQ256" s="49">
        <f>IF(BQ252=1,'Rent Roll'!$F$29/BldgSF*ReimbPool/12*BQ$7,0)</f>
        <v>7678.0221490397962</v>
      </c>
      <c r="BR256" s="49">
        <f>IF(BR252=1,'Rent Roll'!$F$29/BldgSF*ReimbPool/12*BR$7,0)</f>
        <v>7678.0221490397962</v>
      </c>
      <c r="BS256" s="49">
        <f>IF(BS252=1,'Rent Roll'!$F$29/BldgSF*ReimbPool/12*BS$7,0)</f>
        <v>7678.0221490397962</v>
      </c>
      <c r="BT256" s="49">
        <f>IF(BT252=1,'Rent Roll'!$F$29/BldgSF*ReimbPool/12*BT$7,0)</f>
        <v>7678.0221490397962</v>
      </c>
      <c r="BU256" s="49">
        <f>IF(BU252=1,'Rent Roll'!$F$29/BldgSF*ReimbPool/12*BU$7,0)</f>
        <v>7678.0221490397962</v>
      </c>
      <c r="BV256" s="49">
        <f>IF(BV252=1,'Rent Roll'!$F$29/BldgSF*ReimbPool/12*BV$7,0)</f>
        <v>7678.0221490397962</v>
      </c>
      <c r="BW256" s="49">
        <f>IF(BW252=1,'Rent Roll'!$F$29/BldgSF*ReimbPool/12*BW$7,0)</f>
        <v>7678.0221490397962</v>
      </c>
      <c r="BX256" s="49">
        <f>IF(BX252=1,'Rent Roll'!$F$29/BldgSF*ReimbPool/12*BX$7,0)</f>
        <v>7678.0221490397962</v>
      </c>
    </row>
    <row r="257" spans="1:76" hidden="1" outlineLevel="1">
      <c r="B257" t="s">
        <v>86</v>
      </c>
      <c r="D257" s="49">
        <f>IF(D$4=EOMONTH(CloseDate,'Rent Roll'!$O$29-1),-'Rent Roll'!$F$29*'Rent Roll'!$T$29,0)</f>
        <v>0</v>
      </c>
      <c r="E257" s="49">
        <f>IF(E$4=EOMONTH(CloseDate,'Rent Roll'!$O$29-1),-'Rent Roll'!$F$29*'Rent Roll'!$T$29,0)</f>
        <v>0</v>
      </c>
      <c r="F257" s="49">
        <f>IF(F$4=EOMONTH(CloseDate,'Rent Roll'!$O$29-1),-'Rent Roll'!$F$29*'Rent Roll'!$T$29,0)</f>
        <v>0</v>
      </c>
      <c r="G257" s="49">
        <f>IF(G$4=EOMONTH(CloseDate,'Rent Roll'!$O$29-1),-'Rent Roll'!$F$29*'Rent Roll'!$T$29,0)</f>
        <v>0</v>
      </c>
      <c r="H257" s="49">
        <f>IF(H$4=EOMONTH(CloseDate,'Rent Roll'!$O$29-1),-'Rent Roll'!$F$29*'Rent Roll'!$T$29,0)</f>
        <v>0</v>
      </c>
      <c r="I257" s="49">
        <f>IF(I$4=EOMONTH(CloseDate,'Rent Roll'!$O$29-1),-'Rent Roll'!$F$29*'Rent Roll'!$T$29,0)</f>
        <v>0</v>
      </c>
      <c r="J257" s="49">
        <f>IF(J$4=EOMONTH(CloseDate,'Rent Roll'!$O$29-1),-'Rent Roll'!$F$29*'Rent Roll'!$T$29,0)</f>
        <v>-270000</v>
      </c>
      <c r="K257" s="49">
        <f>IF(K$4=EOMONTH(CloseDate,'Rent Roll'!$O$29-1),-'Rent Roll'!$F$29*'Rent Roll'!$T$29,0)</f>
        <v>0</v>
      </c>
      <c r="L257" s="49">
        <f>IF(L$4=EOMONTH(CloseDate,'Rent Roll'!$O$29-1),-'Rent Roll'!$F$29*'Rent Roll'!$T$29,0)</f>
        <v>0</v>
      </c>
      <c r="M257" s="49">
        <f>IF(M$4=EOMONTH(CloseDate,'Rent Roll'!$O$29-1),-'Rent Roll'!$F$29*'Rent Roll'!$T$29,0)</f>
        <v>0</v>
      </c>
      <c r="N257" s="49">
        <f>IF(N$4=EOMONTH(CloseDate,'Rent Roll'!$O$29-1),-'Rent Roll'!$F$29*'Rent Roll'!$T$29,0)</f>
        <v>0</v>
      </c>
      <c r="O257" s="49">
        <f>IF(O$4=EOMONTH(CloseDate,'Rent Roll'!$O$29-1),-'Rent Roll'!$F$29*'Rent Roll'!$T$29,0)</f>
        <v>0</v>
      </c>
      <c r="P257" s="49">
        <f>IF(P$4=EOMONTH(CloseDate,'Rent Roll'!$O$29-1),-'Rent Roll'!$F$29*'Rent Roll'!$T$29,0)</f>
        <v>0</v>
      </c>
      <c r="Q257" s="49">
        <f>IF(Q$4=EOMONTH(CloseDate,'Rent Roll'!$O$29-1),-'Rent Roll'!$F$29*'Rent Roll'!$T$29,0)</f>
        <v>0</v>
      </c>
      <c r="R257" s="49">
        <f>IF(R$4=EOMONTH(CloseDate,'Rent Roll'!$O$29-1),-'Rent Roll'!$F$29*'Rent Roll'!$T$29,0)</f>
        <v>0</v>
      </c>
      <c r="S257" s="49">
        <f>IF(S$4=EOMONTH(CloseDate,'Rent Roll'!$O$29-1),-'Rent Roll'!$F$29*'Rent Roll'!$T$29,0)</f>
        <v>0</v>
      </c>
      <c r="T257" s="49">
        <f>IF(T$4=EOMONTH(CloseDate,'Rent Roll'!$O$29-1),-'Rent Roll'!$F$29*'Rent Roll'!$T$29,0)</f>
        <v>0</v>
      </c>
      <c r="U257" s="49">
        <f>IF(U$4=EOMONTH(CloseDate,'Rent Roll'!$O$29-1),-'Rent Roll'!$F$29*'Rent Roll'!$T$29,0)</f>
        <v>0</v>
      </c>
      <c r="V257" s="49">
        <f>IF(V$4=EOMONTH(CloseDate,'Rent Roll'!$O$29-1),-'Rent Roll'!$F$29*'Rent Roll'!$T$29,0)</f>
        <v>0</v>
      </c>
      <c r="W257" s="49">
        <f>IF(W$4=EOMONTH(CloseDate,'Rent Roll'!$O$29-1),-'Rent Roll'!$F$29*'Rent Roll'!$T$29,0)</f>
        <v>0</v>
      </c>
      <c r="X257" s="49">
        <f>IF(X$4=EOMONTH(CloseDate,'Rent Roll'!$O$29-1),-'Rent Roll'!$F$29*'Rent Roll'!$T$29,0)</f>
        <v>0</v>
      </c>
      <c r="Y257" s="49">
        <f>IF(Y$4=EOMONTH(CloseDate,'Rent Roll'!$O$29-1),-'Rent Roll'!$F$29*'Rent Roll'!$T$29,0)</f>
        <v>0</v>
      </c>
      <c r="Z257" s="49">
        <f>IF(Z$4=EOMONTH(CloseDate,'Rent Roll'!$O$29-1),-'Rent Roll'!$F$29*'Rent Roll'!$T$29,0)</f>
        <v>0</v>
      </c>
      <c r="AA257" s="49">
        <f>IF(AA$4=EOMONTH(CloseDate,'Rent Roll'!$O$29-1),-'Rent Roll'!$F$29*'Rent Roll'!$T$29,0)</f>
        <v>0</v>
      </c>
      <c r="AB257" s="49">
        <f>IF(AB$4=EOMONTH(CloseDate,'Rent Roll'!$O$29-1),-'Rent Roll'!$F$29*'Rent Roll'!$T$29,0)</f>
        <v>0</v>
      </c>
      <c r="AC257" s="49">
        <f>IF(AC$4=EOMONTH(CloseDate,'Rent Roll'!$O$29-1),-'Rent Roll'!$F$29*'Rent Roll'!$T$29,0)</f>
        <v>0</v>
      </c>
      <c r="AD257" s="49">
        <f>IF(AD$4=EOMONTH(CloseDate,'Rent Roll'!$O$29-1),-'Rent Roll'!$F$29*'Rent Roll'!$T$29,0)</f>
        <v>0</v>
      </c>
      <c r="AE257" s="49">
        <f>IF(AE$4=EOMONTH(CloseDate,'Rent Roll'!$O$29-1),-'Rent Roll'!$F$29*'Rent Roll'!$T$29,0)</f>
        <v>0</v>
      </c>
      <c r="AF257" s="49">
        <f>IF(AF$4=EOMONTH(CloseDate,'Rent Roll'!$O$29-1),-'Rent Roll'!$F$29*'Rent Roll'!$T$29,0)</f>
        <v>0</v>
      </c>
      <c r="AG257" s="49">
        <f>IF(AG$4=EOMONTH(CloseDate,'Rent Roll'!$O$29-1),-'Rent Roll'!$F$29*'Rent Roll'!$T$29,0)</f>
        <v>0</v>
      </c>
      <c r="AH257" s="49">
        <f>IF(AH$4=EOMONTH(CloseDate,'Rent Roll'!$O$29-1),-'Rent Roll'!$F$29*'Rent Roll'!$T$29,0)</f>
        <v>0</v>
      </c>
      <c r="AI257" s="49">
        <f>IF(AI$4=EOMONTH(CloseDate,'Rent Roll'!$O$29-1),-'Rent Roll'!$F$29*'Rent Roll'!$T$29,0)</f>
        <v>0</v>
      </c>
      <c r="AJ257" s="49">
        <f>IF(AJ$4=EOMONTH(CloseDate,'Rent Roll'!$O$29-1),-'Rent Roll'!$F$29*'Rent Roll'!$T$29,0)</f>
        <v>0</v>
      </c>
      <c r="AK257" s="49">
        <f>IF(AK$4=EOMONTH(CloseDate,'Rent Roll'!$O$29-1),-'Rent Roll'!$F$29*'Rent Roll'!$T$29,0)</f>
        <v>0</v>
      </c>
      <c r="AL257" s="49">
        <f>IF(AL$4=EOMONTH(CloseDate,'Rent Roll'!$O$29-1),-'Rent Roll'!$F$29*'Rent Roll'!$T$29,0)</f>
        <v>0</v>
      </c>
      <c r="AM257" s="49">
        <f>IF(AM$4=EOMONTH(CloseDate,'Rent Roll'!$O$29-1),-'Rent Roll'!$F$29*'Rent Roll'!$T$29,0)</f>
        <v>0</v>
      </c>
      <c r="AN257" s="49">
        <f>IF(AN$4=EOMONTH(CloseDate,'Rent Roll'!$O$29-1),-'Rent Roll'!$F$29*'Rent Roll'!$T$29,0)</f>
        <v>0</v>
      </c>
      <c r="AO257" s="49">
        <f>IF(AO$4=EOMONTH(CloseDate,'Rent Roll'!$O$29-1),-'Rent Roll'!$F$29*'Rent Roll'!$T$29,0)</f>
        <v>0</v>
      </c>
      <c r="AP257" s="49">
        <f>IF(AP$4=EOMONTH(CloseDate,'Rent Roll'!$O$29-1),-'Rent Roll'!$F$29*'Rent Roll'!$T$29,0)</f>
        <v>0</v>
      </c>
      <c r="AQ257" s="49">
        <f>IF(AQ$4=EOMONTH(CloseDate,'Rent Roll'!$O$29-1),-'Rent Roll'!$F$29*'Rent Roll'!$T$29,0)</f>
        <v>0</v>
      </c>
      <c r="AR257" s="49">
        <f>IF(AR$4=EOMONTH(CloseDate,'Rent Roll'!$O$29-1),-'Rent Roll'!$F$29*'Rent Roll'!$T$29,0)</f>
        <v>0</v>
      </c>
      <c r="AS257" s="49">
        <f>IF(AS$4=EOMONTH(CloseDate,'Rent Roll'!$O$29-1),-'Rent Roll'!$F$29*'Rent Roll'!$T$29,0)</f>
        <v>0</v>
      </c>
      <c r="AT257" s="49">
        <f>IF(AT$4=EOMONTH(CloseDate,'Rent Roll'!$O$29-1),-'Rent Roll'!$F$29*'Rent Roll'!$T$29,0)</f>
        <v>0</v>
      </c>
      <c r="AU257" s="49">
        <f>IF(AU$4=EOMONTH(CloseDate,'Rent Roll'!$O$29-1),-'Rent Roll'!$F$29*'Rent Roll'!$T$29,0)</f>
        <v>0</v>
      </c>
      <c r="AV257" s="49">
        <f>IF(AV$4=EOMONTH(CloseDate,'Rent Roll'!$O$29-1),-'Rent Roll'!$F$29*'Rent Roll'!$T$29,0)</f>
        <v>0</v>
      </c>
      <c r="AW257" s="49">
        <f>IF(AW$4=EOMONTH(CloseDate,'Rent Roll'!$O$29-1),-'Rent Roll'!$F$29*'Rent Roll'!$T$29,0)</f>
        <v>0</v>
      </c>
      <c r="AX257" s="49">
        <f>IF(AX$4=EOMONTH(CloseDate,'Rent Roll'!$O$29-1),-'Rent Roll'!$F$29*'Rent Roll'!$T$29,0)</f>
        <v>0</v>
      </c>
      <c r="AY257" s="49">
        <f>IF(AY$4=EOMONTH(CloseDate,'Rent Roll'!$O$29-1),-'Rent Roll'!$F$29*'Rent Roll'!$T$29,0)</f>
        <v>0</v>
      </c>
      <c r="AZ257" s="49">
        <f>IF(AZ$4=EOMONTH(CloseDate,'Rent Roll'!$O$29-1),-'Rent Roll'!$F$29*'Rent Roll'!$T$29,0)</f>
        <v>0</v>
      </c>
      <c r="BA257" s="49">
        <f>IF(BA$4=EOMONTH(CloseDate,'Rent Roll'!$O$29-1),-'Rent Roll'!$F$29*'Rent Roll'!$T$29,0)</f>
        <v>0</v>
      </c>
      <c r="BB257" s="49">
        <f>IF(BB$4=EOMONTH(CloseDate,'Rent Roll'!$O$29-1),-'Rent Roll'!$F$29*'Rent Roll'!$T$29,0)</f>
        <v>0</v>
      </c>
      <c r="BC257" s="49">
        <f>IF(BC$4=EOMONTH(CloseDate,'Rent Roll'!$O$29-1),-'Rent Roll'!$F$29*'Rent Roll'!$T$29,0)</f>
        <v>0</v>
      </c>
      <c r="BD257" s="49">
        <f>IF(BD$4=EOMONTH(CloseDate,'Rent Roll'!$O$29-1),-'Rent Roll'!$F$29*'Rent Roll'!$T$29,0)</f>
        <v>0</v>
      </c>
      <c r="BE257" s="49">
        <f>IF(BE$4=EOMONTH(CloseDate,'Rent Roll'!$O$29-1),-'Rent Roll'!$F$29*'Rent Roll'!$T$29,0)</f>
        <v>0</v>
      </c>
      <c r="BF257" s="49">
        <f>IF(BF$4=EOMONTH(CloseDate,'Rent Roll'!$O$29-1),-'Rent Roll'!$F$29*'Rent Roll'!$T$29,0)</f>
        <v>0</v>
      </c>
      <c r="BG257" s="49">
        <f>IF(BG$4=EOMONTH(CloseDate,'Rent Roll'!$O$29-1),-'Rent Roll'!$F$29*'Rent Roll'!$T$29,0)</f>
        <v>0</v>
      </c>
      <c r="BH257" s="49">
        <f>IF(BH$4=EOMONTH(CloseDate,'Rent Roll'!$O$29-1),-'Rent Roll'!$F$29*'Rent Roll'!$T$29,0)</f>
        <v>0</v>
      </c>
      <c r="BI257" s="49">
        <f>IF(BI$4=EOMONTH(CloseDate,'Rent Roll'!$O$29-1),-'Rent Roll'!$F$29*'Rent Roll'!$T$29,0)</f>
        <v>0</v>
      </c>
      <c r="BJ257" s="49">
        <f>IF(BJ$4=EOMONTH(CloseDate,'Rent Roll'!$O$29-1),-'Rent Roll'!$F$29*'Rent Roll'!$T$29,0)</f>
        <v>0</v>
      </c>
      <c r="BK257" s="49">
        <f>IF(BK$4=EOMONTH(CloseDate,'Rent Roll'!$O$29-1),-'Rent Roll'!$F$29*'Rent Roll'!$T$29,0)</f>
        <v>0</v>
      </c>
      <c r="BL257" s="49">
        <f>IF(BL$4=EOMONTH(CloseDate,'Rent Roll'!$O$29-1),-'Rent Roll'!$F$29*'Rent Roll'!$T$29,0)</f>
        <v>0</v>
      </c>
      <c r="BM257" s="49">
        <f>IF(BM$4=EOMONTH(CloseDate,'Rent Roll'!$O$29-1),-'Rent Roll'!$F$29*'Rent Roll'!$T$29,0)</f>
        <v>0</v>
      </c>
      <c r="BN257" s="49">
        <f>IF(BN$4=EOMONTH(CloseDate,'Rent Roll'!$O$29-1),-'Rent Roll'!$F$29*'Rent Roll'!$T$29,0)</f>
        <v>0</v>
      </c>
      <c r="BO257" s="49">
        <f>IF(BO$4=EOMONTH(CloseDate,'Rent Roll'!$O$29-1),-'Rent Roll'!$F$29*'Rent Roll'!$T$29,0)</f>
        <v>0</v>
      </c>
      <c r="BP257" s="49">
        <f>IF(BP$4=EOMONTH(CloseDate,'Rent Roll'!$O$29-1),-'Rent Roll'!$F$29*'Rent Roll'!$T$29,0)</f>
        <v>0</v>
      </c>
      <c r="BQ257" s="49">
        <f>IF(BQ$4=EOMONTH(CloseDate,'Rent Roll'!$O$29-1),-'Rent Roll'!$F$29*'Rent Roll'!$T$29,0)</f>
        <v>0</v>
      </c>
      <c r="BR257" s="49">
        <f>IF(BR$4=EOMONTH(CloseDate,'Rent Roll'!$O$29-1),-'Rent Roll'!$F$29*'Rent Roll'!$T$29,0)</f>
        <v>0</v>
      </c>
      <c r="BS257" s="49">
        <f>IF(BS$4=EOMONTH(CloseDate,'Rent Roll'!$O$29-1),-'Rent Roll'!$F$29*'Rent Roll'!$T$29,0)</f>
        <v>0</v>
      </c>
      <c r="BT257" s="49">
        <f>IF(BT$4=EOMONTH(CloseDate,'Rent Roll'!$O$29-1),-'Rent Roll'!$F$29*'Rent Roll'!$T$29,0)</f>
        <v>0</v>
      </c>
      <c r="BU257" s="49">
        <f>IF(BU$4=EOMONTH(CloseDate,'Rent Roll'!$O$29-1),-'Rent Roll'!$F$29*'Rent Roll'!$T$29,0)</f>
        <v>0</v>
      </c>
      <c r="BV257" s="49">
        <f>IF(BV$4=EOMONTH(CloseDate,'Rent Roll'!$O$29-1),-'Rent Roll'!$F$29*'Rent Roll'!$T$29,0)</f>
        <v>0</v>
      </c>
      <c r="BW257" s="49">
        <f>IF(BW$4=EOMONTH(CloseDate,'Rent Roll'!$O$29-1),-'Rent Roll'!$F$29*'Rent Roll'!$T$29,0)</f>
        <v>0</v>
      </c>
      <c r="BX257" s="49">
        <f>IF(BX$4=EOMONTH(CloseDate,'Rent Roll'!$O$29-1),-'Rent Roll'!$F$29*'Rent Roll'!$T$29,0)</f>
        <v>0</v>
      </c>
    </row>
    <row r="258" spans="1:76" hidden="1" outlineLevel="1">
      <c r="B258" t="s">
        <v>87</v>
      </c>
      <c r="D258" s="49">
        <f>IF(D$4=EOMONTH(CloseDate,'Rent Roll'!$O$29-1),-'Rent Roll'!$U$29*'Rent Roll'!$F$29*'Rent Roll'!$X$29,0)</f>
        <v>0</v>
      </c>
      <c r="E258" s="49">
        <f>IF(E$4=EOMONTH(CloseDate,'Rent Roll'!$O$29-1),-'Rent Roll'!$U$29*'Rent Roll'!$F$29*'Rent Roll'!$X$29,0)</f>
        <v>0</v>
      </c>
      <c r="F258" s="49">
        <f>IF(F$4=EOMONTH(CloseDate,'Rent Roll'!$O$29-1),-'Rent Roll'!$U$29*'Rent Roll'!$F$29*'Rent Roll'!$X$29,0)</f>
        <v>0</v>
      </c>
      <c r="G258" s="49">
        <f>IF(G$4=EOMONTH(CloseDate,'Rent Roll'!$O$29-1),-'Rent Roll'!$U$29*'Rent Roll'!$F$29*'Rent Roll'!$X$29,0)</f>
        <v>0</v>
      </c>
      <c r="H258" s="49">
        <f>IF(H$4=EOMONTH(CloseDate,'Rent Roll'!$O$29-1),-'Rent Roll'!$U$29*'Rent Roll'!$F$29*'Rent Roll'!$X$29,0)</f>
        <v>0</v>
      </c>
      <c r="I258" s="49">
        <f>IF(I$4=EOMONTH(CloseDate,'Rent Roll'!$O$29-1),-'Rent Roll'!$U$29*'Rent Roll'!$F$29*'Rent Roll'!$X$29,0)</f>
        <v>0</v>
      </c>
      <c r="J258" s="49">
        <f>IF(J$4=EOMONTH(CloseDate,'Rent Roll'!$O$29-1),-'Rent Roll'!$U$29*'Rent Roll'!$F$29*'Rent Roll'!$X$29,0)</f>
        <v>-9251.7187499999982</v>
      </c>
      <c r="K258" s="49">
        <f>IF(K$4=EOMONTH(CloseDate,'Rent Roll'!$O$29-1),-'Rent Roll'!$U$29*'Rent Roll'!$F$29*'Rent Roll'!$X$29,0)</f>
        <v>0</v>
      </c>
      <c r="L258" s="49">
        <f>IF(L$4=EOMONTH(CloseDate,'Rent Roll'!$O$29-1),-'Rent Roll'!$U$29*'Rent Roll'!$F$29*'Rent Roll'!$X$29,0)</f>
        <v>0</v>
      </c>
      <c r="M258" s="49">
        <f>IF(M$4=EOMONTH(CloseDate,'Rent Roll'!$O$29-1),-'Rent Roll'!$U$29*'Rent Roll'!$F$29*'Rent Roll'!$X$29,0)</f>
        <v>0</v>
      </c>
      <c r="N258" s="49">
        <f>IF(N$4=EOMONTH(CloseDate,'Rent Roll'!$O$29-1),-'Rent Roll'!$U$29*'Rent Roll'!$F$29*'Rent Roll'!$X$29,0)</f>
        <v>0</v>
      </c>
      <c r="O258" s="49">
        <f>IF(O$4=EOMONTH(CloseDate,'Rent Roll'!$O$29-1),-'Rent Roll'!$U$29*'Rent Roll'!$F$29*'Rent Roll'!$X$29,0)</f>
        <v>0</v>
      </c>
      <c r="P258" s="49">
        <f>IF(P$4=EOMONTH(CloseDate,'Rent Roll'!$O$29-1),-'Rent Roll'!$U$29*'Rent Roll'!$F$29*'Rent Roll'!$X$29,0)</f>
        <v>0</v>
      </c>
      <c r="Q258" s="49">
        <f>IF(Q$4=EOMONTH(CloseDate,'Rent Roll'!$O$29-1),-'Rent Roll'!$U$29*'Rent Roll'!$F$29*'Rent Roll'!$X$29,0)</f>
        <v>0</v>
      </c>
      <c r="R258" s="49">
        <f>IF(R$4=EOMONTH(CloseDate,'Rent Roll'!$O$29-1),-'Rent Roll'!$U$29*'Rent Roll'!$F$29*'Rent Roll'!$X$29,0)</f>
        <v>0</v>
      </c>
      <c r="S258" s="49">
        <f>IF(S$4=EOMONTH(CloseDate,'Rent Roll'!$O$29-1),-'Rent Roll'!$U$29*'Rent Roll'!$F$29*'Rent Roll'!$X$29,0)</f>
        <v>0</v>
      </c>
      <c r="T258" s="49">
        <f>IF(T$4=EOMONTH(CloseDate,'Rent Roll'!$O$29-1),-'Rent Roll'!$U$29*'Rent Roll'!$F$29*'Rent Roll'!$X$29,0)</f>
        <v>0</v>
      </c>
      <c r="U258" s="49">
        <f>IF(U$4=EOMONTH(CloseDate,'Rent Roll'!$O$29-1),-'Rent Roll'!$U$29*'Rent Roll'!$F$29*'Rent Roll'!$X$29,0)</f>
        <v>0</v>
      </c>
      <c r="V258" s="49">
        <f>IF(V$4=EOMONTH(CloseDate,'Rent Roll'!$O$29-1),-'Rent Roll'!$U$29*'Rent Roll'!$F$29*'Rent Roll'!$X$29,0)</f>
        <v>0</v>
      </c>
      <c r="W258" s="49">
        <f>IF(W$4=EOMONTH(CloseDate,'Rent Roll'!$O$29-1),-'Rent Roll'!$U$29*'Rent Roll'!$F$29*'Rent Roll'!$X$29,0)</f>
        <v>0</v>
      </c>
      <c r="X258" s="49">
        <f>IF(X$4=EOMONTH(CloseDate,'Rent Roll'!$O$29-1),-'Rent Roll'!$U$29*'Rent Roll'!$F$29*'Rent Roll'!$X$29,0)</f>
        <v>0</v>
      </c>
      <c r="Y258" s="49">
        <f>IF(Y$4=EOMONTH(CloseDate,'Rent Roll'!$O$29-1),-'Rent Roll'!$U$29*'Rent Roll'!$F$29*'Rent Roll'!$X$29,0)</f>
        <v>0</v>
      </c>
      <c r="Z258" s="49">
        <f>IF(Z$4=EOMONTH(CloseDate,'Rent Roll'!$O$29-1),-'Rent Roll'!$U$29*'Rent Roll'!$F$29*'Rent Roll'!$X$29,0)</f>
        <v>0</v>
      </c>
      <c r="AA258" s="49">
        <f>IF(AA$4=EOMONTH(CloseDate,'Rent Roll'!$O$29-1),-'Rent Roll'!$U$29*'Rent Roll'!$F$29*'Rent Roll'!$X$29,0)</f>
        <v>0</v>
      </c>
      <c r="AB258" s="49">
        <f>IF(AB$4=EOMONTH(CloseDate,'Rent Roll'!$O$29-1),-'Rent Roll'!$U$29*'Rent Roll'!$F$29*'Rent Roll'!$X$29,0)</f>
        <v>0</v>
      </c>
      <c r="AC258" s="49">
        <f>IF(AC$4=EOMONTH(CloseDate,'Rent Roll'!$O$29-1),-'Rent Roll'!$U$29*'Rent Roll'!$F$29*'Rent Roll'!$X$29,0)</f>
        <v>0</v>
      </c>
      <c r="AD258" s="49">
        <f>IF(AD$4=EOMONTH(CloseDate,'Rent Roll'!$O$29-1),-'Rent Roll'!$U$29*'Rent Roll'!$F$29*'Rent Roll'!$X$29,0)</f>
        <v>0</v>
      </c>
      <c r="AE258" s="49">
        <f>IF(AE$4=EOMONTH(CloseDate,'Rent Roll'!$O$29-1),-'Rent Roll'!$U$29*'Rent Roll'!$F$29*'Rent Roll'!$X$29,0)</f>
        <v>0</v>
      </c>
      <c r="AF258" s="49">
        <f>IF(AF$4=EOMONTH(CloseDate,'Rent Roll'!$O$29-1),-'Rent Roll'!$U$29*'Rent Roll'!$F$29*'Rent Roll'!$X$29,0)</f>
        <v>0</v>
      </c>
      <c r="AG258" s="49">
        <f>IF(AG$4=EOMONTH(CloseDate,'Rent Roll'!$O$29-1),-'Rent Roll'!$U$29*'Rent Roll'!$F$29*'Rent Roll'!$X$29,0)</f>
        <v>0</v>
      </c>
      <c r="AH258" s="49">
        <f>IF(AH$4=EOMONTH(CloseDate,'Rent Roll'!$O$29-1),-'Rent Roll'!$U$29*'Rent Roll'!$F$29*'Rent Roll'!$X$29,0)</f>
        <v>0</v>
      </c>
      <c r="AI258" s="49">
        <f>IF(AI$4=EOMONTH(CloseDate,'Rent Roll'!$O$29-1),-'Rent Roll'!$U$29*'Rent Roll'!$F$29*'Rent Roll'!$X$29,0)</f>
        <v>0</v>
      </c>
      <c r="AJ258" s="49">
        <f>IF(AJ$4=EOMONTH(CloseDate,'Rent Roll'!$O$29-1),-'Rent Roll'!$U$29*'Rent Roll'!$F$29*'Rent Roll'!$X$29,0)</f>
        <v>0</v>
      </c>
      <c r="AK258" s="49">
        <f>IF(AK$4=EOMONTH(CloseDate,'Rent Roll'!$O$29-1),-'Rent Roll'!$U$29*'Rent Roll'!$F$29*'Rent Roll'!$X$29,0)</f>
        <v>0</v>
      </c>
      <c r="AL258" s="49">
        <f>IF(AL$4=EOMONTH(CloseDate,'Rent Roll'!$O$29-1),-'Rent Roll'!$U$29*'Rent Roll'!$F$29*'Rent Roll'!$X$29,0)</f>
        <v>0</v>
      </c>
      <c r="AM258" s="49">
        <f>IF(AM$4=EOMONTH(CloseDate,'Rent Roll'!$O$29-1),-'Rent Roll'!$U$29*'Rent Roll'!$F$29*'Rent Roll'!$X$29,0)</f>
        <v>0</v>
      </c>
      <c r="AN258" s="49">
        <f>IF(AN$4=EOMONTH(CloseDate,'Rent Roll'!$O$29-1),-'Rent Roll'!$U$29*'Rent Roll'!$F$29*'Rent Roll'!$X$29,0)</f>
        <v>0</v>
      </c>
      <c r="AO258" s="49">
        <f>IF(AO$4=EOMONTH(CloseDate,'Rent Roll'!$O$29-1),-'Rent Roll'!$U$29*'Rent Roll'!$F$29*'Rent Roll'!$X$29,0)</f>
        <v>0</v>
      </c>
      <c r="AP258" s="49">
        <f>IF(AP$4=EOMONTH(CloseDate,'Rent Roll'!$O$29-1),-'Rent Roll'!$U$29*'Rent Roll'!$F$29*'Rent Roll'!$X$29,0)</f>
        <v>0</v>
      </c>
      <c r="AQ258" s="49">
        <f>IF(AQ$4=EOMONTH(CloseDate,'Rent Roll'!$O$29-1),-'Rent Roll'!$U$29*'Rent Roll'!$F$29*'Rent Roll'!$X$29,0)</f>
        <v>0</v>
      </c>
      <c r="AR258" s="49">
        <f>IF(AR$4=EOMONTH(CloseDate,'Rent Roll'!$O$29-1),-'Rent Roll'!$U$29*'Rent Roll'!$F$29*'Rent Roll'!$X$29,0)</f>
        <v>0</v>
      </c>
      <c r="AS258" s="49">
        <f>IF(AS$4=EOMONTH(CloseDate,'Rent Roll'!$O$29-1),-'Rent Roll'!$U$29*'Rent Roll'!$F$29*'Rent Roll'!$X$29,0)</f>
        <v>0</v>
      </c>
      <c r="AT258" s="49">
        <f>IF(AT$4=EOMONTH(CloseDate,'Rent Roll'!$O$29-1),-'Rent Roll'!$U$29*'Rent Roll'!$F$29*'Rent Roll'!$X$29,0)</f>
        <v>0</v>
      </c>
      <c r="AU258" s="49">
        <f>IF(AU$4=EOMONTH(CloseDate,'Rent Roll'!$O$29-1),-'Rent Roll'!$U$29*'Rent Roll'!$F$29*'Rent Roll'!$X$29,0)</f>
        <v>0</v>
      </c>
      <c r="AV258" s="49">
        <f>IF(AV$4=EOMONTH(CloseDate,'Rent Roll'!$O$29-1),-'Rent Roll'!$U$29*'Rent Roll'!$F$29*'Rent Roll'!$X$29,0)</f>
        <v>0</v>
      </c>
      <c r="AW258" s="49">
        <f>IF(AW$4=EOMONTH(CloseDate,'Rent Roll'!$O$29-1),-'Rent Roll'!$U$29*'Rent Roll'!$F$29*'Rent Roll'!$X$29,0)</f>
        <v>0</v>
      </c>
      <c r="AX258" s="49">
        <f>IF(AX$4=EOMONTH(CloseDate,'Rent Roll'!$O$29-1),-'Rent Roll'!$U$29*'Rent Roll'!$F$29*'Rent Roll'!$X$29,0)</f>
        <v>0</v>
      </c>
      <c r="AY258" s="49">
        <f>IF(AY$4=EOMONTH(CloseDate,'Rent Roll'!$O$29-1),-'Rent Roll'!$U$29*'Rent Roll'!$F$29*'Rent Roll'!$X$29,0)</f>
        <v>0</v>
      </c>
      <c r="AZ258" s="49">
        <f>IF(AZ$4=EOMONTH(CloseDate,'Rent Roll'!$O$29-1),-'Rent Roll'!$U$29*'Rent Roll'!$F$29*'Rent Roll'!$X$29,0)</f>
        <v>0</v>
      </c>
      <c r="BA258" s="49">
        <f>IF(BA$4=EOMONTH(CloseDate,'Rent Roll'!$O$29-1),-'Rent Roll'!$U$29*'Rent Roll'!$F$29*'Rent Roll'!$X$29,0)</f>
        <v>0</v>
      </c>
      <c r="BB258" s="49">
        <f>IF(BB$4=EOMONTH(CloseDate,'Rent Roll'!$O$29-1),-'Rent Roll'!$U$29*'Rent Roll'!$F$29*'Rent Roll'!$X$29,0)</f>
        <v>0</v>
      </c>
      <c r="BC258" s="49">
        <f>IF(BC$4=EOMONTH(CloseDate,'Rent Roll'!$O$29-1),-'Rent Roll'!$U$29*'Rent Roll'!$F$29*'Rent Roll'!$X$29,0)</f>
        <v>0</v>
      </c>
      <c r="BD258" s="49">
        <f>IF(BD$4=EOMONTH(CloseDate,'Rent Roll'!$O$29-1),-'Rent Roll'!$U$29*'Rent Roll'!$F$29*'Rent Roll'!$X$29,0)</f>
        <v>0</v>
      </c>
      <c r="BE258" s="49">
        <f>IF(BE$4=EOMONTH(CloseDate,'Rent Roll'!$O$29-1),-'Rent Roll'!$U$29*'Rent Roll'!$F$29*'Rent Roll'!$X$29,0)</f>
        <v>0</v>
      </c>
      <c r="BF258" s="49">
        <f>IF(BF$4=EOMONTH(CloseDate,'Rent Roll'!$O$29-1),-'Rent Roll'!$U$29*'Rent Roll'!$F$29*'Rent Roll'!$X$29,0)</f>
        <v>0</v>
      </c>
      <c r="BG258" s="49">
        <f>IF(BG$4=EOMONTH(CloseDate,'Rent Roll'!$O$29-1),-'Rent Roll'!$U$29*'Rent Roll'!$F$29*'Rent Roll'!$X$29,0)</f>
        <v>0</v>
      </c>
      <c r="BH258" s="49">
        <f>IF(BH$4=EOMONTH(CloseDate,'Rent Roll'!$O$29-1),-'Rent Roll'!$U$29*'Rent Roll'!$F$29*'Rent Roll'!$X$29,0)</f>
        <v>0</v>
      </c>
      <c r="BI258" s="49">
        <f>IF(BI$4=EOMONTH(CloseDate,'Rent Roll'!$O$29-1),-'Rent Roll'!$U$29*'Rent Roll'!$F$29*'Rent Roll'!$X$29,0)</f>
        <v>0</v>
      </c>
      <c r="BJ258" s="49">
        <f>IF(BJ$4=EOMONTH(CloseDate,'Rent Roll'!$O$29-1),-'Rent Roll'!$U$29*'Rent Roll'!$F$29*'Rent Roll'!$X$29,0)</f>
        <v>0</v>
      </c>
      <c r="BK258" s="49">
        <f>IF(BK$4=EOMONTH(CloseDate,'Rent Roll'!$O$29-1),-'Rent Roll'!$U$29*'Rent Roll'!$F$29*'Rent Roll'!$X$29,0)</f>
        <v>0</v>
      </c>
      <c r="BL258" s="49">
        <f>IF(BL$4=EOMONTH(CloseDate,'Rent Roll'!$O$29-1),-'Rent Roll'!$U$29*'Rent Roll'!$F$29*'Rent Roll'!$X$29,0)</f>
        <v>0</v>
      </c>
      <c r="BM258" s="49">
        <f>IF(BM$4=EOMONTH(CloseDate,'Rent Roll'!$O$29-1),-'Rent Roll'!$U$29*'Rent Roll'!$F$29*'Rent Roll'!$X$29,0)</f>
        <v>0</v>
      </c>
      <c r="BN258" s="49">
        <f>IF(BN$4=EOMONTH(CloseDate,'Rent Roll'!$O$29-1),-'Rent Roll'!$U$29*'Rent Roll'!$F$29*'Rent Roll'!$X$29,0)</f>
        <v>0</v>
      </c>
      <c r="BO258" s="49">
        <f>IF(BO$4=EOMONTH(CloseDate,'Rent Roll'!$O$29-1),-'Rent Roll'!$U$29*'Rent Roll'!$F$29*'Rent Roll'!$X$29,0)</f>
        <v>0</v>
      </c>
      <c r="BP258" s="49">
        <f>IF(BP$4=EOMONTH(CloseDate,'Rent Roll'!$O$29-1),-'Rent Roll'!$U$29*'Rent Roll'!$F$29*'Rent Roll'!$X$29,0)</f>
        <v>0</v>
      </c>
      <c r="BQ258" s="49">
        <f>IF(BQ$4=EOMONTH(CloseDate,'Rent Roll'!$O$29-1),-'Rent Roll'!$U$29*'Rent Roll'!$F$29*'Rent Roll'!$X$29,0)</f>
        <v>0</v>
      </c>
      <c r="BR258" s="49">
        <f>IF(BR$4=EOMONTH(CloseDate,'Rent Roll'!$O$29-1),-'Rent Roll'!$U$29*'Rent Roll'!$F$29*'Rent Roll'!$X$29,0)</f>
        <v>0</v>
      </c>
      <c r="BS258" s="49">
        <f>IF(BS$4=EOMONTH(CloseDate,'Rent Roll'!$O$29-1),-'Rent Roll'!$U$29*'Rent Roll'!$F$29*'Rent Roll'!$X$29,0)</f>
        <v>0</v>
      </c>
      <c r="BT258" s="49">
        <f>IF(BT$4=EOMONTH(CloseDate,'Rent Roll'!$O$29-1),-'Rent Roll'!$U$29*'Rent Roll'!$F$29*'Rent Roll'!$X$29,0)</f>
        <v>0</v>
      </c>
      <c r="BU258" s="49">
        <f>IF(BU$4=EOMONTH(CloseDate,'Rent Roll'!$O$29-1),-'Rent Roll'!$U$29*'Rent Roll'!$F$29*'Rent Roll'!$X$29,0)</f>
        <v>0</v>
      </c>
      <c r="BV258" s="49">
        <f>IF(BV$4=EOMONTH(CloseDate,'Rent Roll'!$O$29-1),-'Rent Roll'!$U$29*'Rent Roll'!$F$29*'Rent Roll'!$X$29,0)</f>
        <v>0</v>
      </c>
      <c r="BW258" s="49">
        <f>IF(BW$4=EOMONTH(CloseDate,'Rent Roll'!$O$29-1),-'Rent Roll'!$U$29*'Rent Roll'!$F$29*'Rent Roll'!$X$29,0)</f>
        <v>0</v>
      </c>
      <c r="BX258" s="49">
        <f>IF(BX$4=EOMONTH(CloseDate,'Rent Roll'!$O$29-1),-'Rent Roll'!$U$29*'Rent Roll'!$F$29*'Rent Roll'!$X$29,0)</f>
        <v>0</v>
      </c>
    </row>
    <row r="259" spans="1:76" hidden="1" outlineLevel="1">
      <c r="A259" s="46" t="str">
        <f>'Rent Roll'!C30</f>
        <v>Vacant — Suite 540</v>
      </c>
      <c r="B259" s="57">
        <f>INDEX('Rent Roll'!$F$5:$F$46,MATCH('Rent Roll Calc'!A259,'Rent Roll'!$C$5:$C$46,0))</f>
        <v>8800</v>
      </c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  <c r="AA259" s="49"/>
      <c r="AB259" s="49"/>
      <c r="AC259" s="49"/>
      <c r="AD259" s="49"/>
      <c r="AE259" s="49"/>
      <c r="AF259" s="49"/>
      <c r="AG259" s="49"/>
      <c r="AH259" s="49"/>
      <c r="AI259" s="49"/>
      <c r="AJ259" s="49"/>
      <c r="AK259" s="49"/>
      <c r="AL259" s="49"/>
      <c r="AM259" s="49"/>
      <c r="AN259" s="49"/>
      <c r="AO259" s="49"/>
      <c r="AP259" s="49"/>
      <c r="AQ259" s="49"/>
      <c r="AR259" s="49"/>
      <c r="AS259" s="49"/>
      <c r="AT259" s="49"/>
      <c r="AU259" s="49"/>
      <c r="AV259" s="49"/>
      <c r="AW259" s="49"/>
      <c r="AX259" s="49"/>
      <c r="AY259" s="49"/>
      <c r="AZ259" s="49"/>
      <c r="BA259" s="49"/>
      <c r="BB259" s="49"/>
      <c r="BC259" s="49"/>
      <c r="BD259" s="49"/>
      <c r="BE259" s="49"/>
      <c r="BF259" s="49"/>
      <c r="BG259" s="49"/>
      <c r="BH259" s="49"/>
      <c r="BI259" s="49"/>
      <c r="BJ259" s="49"/>
      <c r="BK259" s="49"/>
      <c r="BL259" s="49"/>
      <c r="BM259" s="49"/>
      <c r="BN259" s="49"/>
      <c r="BO259" s="49"/>
      <c r="BP259" s="49"/>
      <c r="BQ259" s="49"/>
      <c r="BR259" s="49"/>
      <c r="BS259" s="49"/>
      <c r="BT259" s="49"/>
      <c r="BU259" s="49"/>
      <c r="BV259" s="49"/>
      <c r="BW259" s="49"/>
      <c r="BX259" s="49"/>
    </row>
    <row r="260" spans="1:76" hidden="1" outlineLevel="1">
      <c r="B260" t="s">
        <v>83</v>
      </c>
      <c r="D260" s="49">
        <f>0</f>
        <v>0</v>
      </c>
      <c r="E260" s="49">
        <f>0</f>
        <v>0</v>
      </c>
      <c r="F260" s="49">
        <f>0</f>
        <v>0</v>
      </c>
      <c r="G260" s="49">
        <f>0</f>
        <v>0</v>
      </c>
      <c r="H260" s="49">
        <f>0</f>
        <v>0</v>
      </c>
      <c r="I260" s="49">
        <f>0</f>
        <v>0</v>
      </c>
      <c r="J260" s="49">
        <f>0</f>
        <v>0</v>
      </c>
      <c r="K260" s="49">
        <f>0</f>
        <v>0</v>
      </c>
      <c r="L260" s="49">
        <f>0</f>
        <v>0</v>
      </c>
      <c r="M260" s="49">
        <f>0</f>
        <v>0</v>
      </c>
      <c r="N260" s="49">
        <f>0</f>
        <v>0</v>
      </c>
      <c r="O260" s="49">
        <f>0</f>
        <v>0</v>
      </c>
      <c r="P260" s="49">
        <f>0</f>
        <v>0</v>
      </c>
      <c r="Q260" s="49">
        <f>0</f>
        <v>0</v>
      </c>
      <c r="R260" s="49">
        <f>0</f>
        <v>0</v>
      </c>
      <c r="S260" s="49">
        <f>0</f>
        <v>0</v>
      </c>
      <c r="T260" s="49">
        <f>0</f>
        <v>0</v>
      </c>
      <c r="U260" s="49">
        <f>0</f>
        <v>0</v>
      </c>
      <c r="V260" s="49">
        <f>0</f>
        <v>0</v>
      </c>
      <c r="W260" s="49">
        <f>0</f>
        <v>0</v>
      </c>
      <c r="X260" s="49">
        <f>0</f>
        <v>0</v>
      </c>
      <c r="Y260" s="49">
        <f>0</f>
        <v>0</v>
      </c>
      <c r="Z260" s="49">
        <f>0</f>
        <v>0</v>
      </c>
      <c r="AA260" s="49">
        <f>0</f>
        <v>0</v>
      </c>
      <c r="AB260" s="49">
        <f>0</f>
        <v>0</v>
      </c>
      <c r="AC260" s="49">
        <f>0</f>
        <v>0</v>
      </c>
      <c r="AD260" s="49">
        <f>0</f>
        <v>0</v>
      </c>
      <c r="AE260" s="49">
        <f>0</f>
        <v>0</v>
      </c>
      <c r="AF260" s="49">
        <f>0</f>
        <v>0</v>
      </c>
      <c r="AG260" s="49">
        <f>0</f>
        <v>0</v>
      </c>
      <c r="AH260" s="49">
        <f>0</f>
        <v>0</v>
      </c>
      <c r="AI260" s="49">
        <f>0</f>
        <v>0</v>
      </c>
      <c r="AJ260" s="49">
        <f>0</f>
        <v>0</v>
      </c>
      <c r="AK260" s="49">
        <f>0</f>
        <v>0</v>
      </c>
      <c r="AL260" s="49">
        <f>0</f>
        <v>0</v>
      </c>
      <c r="AM260" s="49">
        <f>0</f>
        <v>0</v>
      </c>
      <c r="AN260" s="49">
        <f>0</f>
        <v>0</v>
      </c>
      <c r="AO260" s="49">
        <f>0</f>
        <v>0</v>
      </c>
      <c r="AP260" s="49">
        <f>0</f>
        <v>0</v>
      </c>
      <c r="AQ260" s="49">
        <f>0</f>
        <v>0</v>
      </c>
      <c r="AR260" s="49">
        <f>0</f>
        <v>0</v>
      </c>
      <c r="AS260" s="49">
        <f>0</f>
        <v>0</v>
      </c>
      <c r="AT260" s="49">
        <f>0</f>
        <v>0</v>
      </c>
      <c r="AU260" s="49">
        <f>0</f>
        <v>0</v>
      </c>
      <c r="AV260" s="49">
        <f>0</f>
        <v>0</v>
      </c>
      <c r="AW260" s="49">
        <f>0</f>
        <v>0</v>
      </c>
      <c r="AX260" s="49">
        <f>0</f>
        <v>0</v>
      </c>
      <c r="AY260" s="49">
        <f>0</f>
        <v>0</v>
      </c>
      <c r="AZ260" s="49">
        <f>0</f>
        <v>0</v>
      </c>
      <c r="BA260" s="49">
        <f>0</f>
        <v>0</v>
      </c>
      <c r="BB260" s="49">
        <f>0</f>
        <v>0</v>
      </c>
      <c r="BC260" s="49">
        <f>0</f>
        <v>0</v>
      </c>
      <c r="BD260" s="49">
        <f>0</f>
        <v>0</v>
      </c>
      <c r="BE260" s="49">
        <f>0</f>
        <v>0</v>
      </c>
      <c r="BF260" s="49">
        <f>0</f>
        <v>0</v>
      </c>
      <c r="BG260" s="49">
        <f>0</f>
        <v>0</v>
      </c>
      <c r="BH260" s="49">
        <f>0</f>
        <v>0</v>
      </c>
      <c r="BI260" s="49">
        <f>0</f>
        <v>0</v>
      </c>
      <c r="BJ260" s="49">
        <f>0</f>
        <v>0</v>
      </c>
      <c r="BK260" s="49">
        <f>0</f>
        <v>0</v>
      </c>
      <c r="BL260" s="49">
        <f>0</f>
        <v>0</v>
      </c>
      <c r="BM260" s="49">
        <f>0</f>
        <v>0</v>
      </c>
      <c r="BN260" s="49">
        <f>0</f>
        <v>0</v>
      </c>
      <c r="BO260" s="49">
        <f>0</f>
        <v>0</v>
      </c>
      <c r="BP260" s="49">
        <f>0</f>
        <v>0</v>
      </c>
      <c r="BQ260" s="49">
        <f>0</f>
        <v>0</v>
      </c>
      <c r="BR260" s="49">
        <f>0</f>
        <v>0</v>
      </c>
      <c r="BS260" s="49">
        <f>0</f>
        <v>0</v>
      </c>
      <c r="BT260" s="49">
        <f>0</f>
        <v>0</v>
      </c>
      <c r="BU260" s="49">
        <f>0</f>
        <v>0</v>
      </c>
      <c r="BV260" s="49">
        <f>0</f>
        <v>0</v>
      </c>
      <c r="BW260" s="49">
        <f>0</f>
        <v>0</v>
      </c>
      <c r="BX260" s="49">
        <f>0</f>
        <v>0</v>
      </c>
    </row>
    <row r="261" spans="1:76" hidden="1" outlineLevel="1">
      <c r="B261" t="s">
        <v>159</v>
      </c>
      <c r="D261" s="49">
        <f>0</f>
        <v>0</v>
      </c>
      <c r="E261" s="49">
        <f>0</f>
        <v>0</v>
      </c>
      <c r="F261" s="49">
        <f>0</f>
        <v>0</v>
      </c>
      <c r="G261" s="49">
        <f>0</f>
        <v>0</v>
      </c>
      <c r="H261" s="49">
        <f>0</f>
        <v>0</v>
      </c>
      <c r="I261" s="49">
        <f>0</f>
        <v>0</v>
      </c>
      <c r="J261" s="49">
        <f>0</f>
        <v>0</v>
      </c>
      <c r="K261" s="49">
        <f>0</f>
        <v>0</v>
      </c>
      <c r="L261" s="49">
        <f>0</f>
        <v>0</v>
      </c>
      <c r="M261" s="49">
        <f>0</f>
        <v>0</v>
      </c>
      <c r="N261" s="49">
        <f>0</f>
        <v>0</v>
      </c>
      <c r="O261" s="49">
        <f>0</f>
        <v>0</v>
      </c>
      <c r="P261" s="49">
        <f>0</f>
        <v>0</v>
      </c>
      <c r="Q261" s="49">
        <f>0</f>
        <v>0</v>
      </c>
      <c r="R261" s="49">
        <f>0</f>
        <v>0</v>
      </c>
      <c r="S261" s="49">
        <f>0</f>
        <v>0</v>
      </c>
      <c r="T261" s="49">
        <f>0</f>
        <v>0</v>
      </c>
      <c r="U261" s="49">
        <f>0</f>
        <v>0</v>
      </c>
      <c r="V261" s="49">
        <f>0</f>
        <v>0</v>
      </c>
      <c r="W261" s="49">
        <f>0</f>
        <v>0</v>
      </c>
      <c r="X261" s="49">
        <f>0</f>
        <v>0</v>
      </c>
      <c r="Y261" s="49">
        <f>0</f>
        <v>0</v>
      </c>
      <c r="Z261" s="49">
        <f>0</f>
        <v>0</v>
      </c>
      <c r="AA261" s="49">
        <f>0</f>
        <v>0</v>
      </c>
      <c r="AB261" s="49">
        <f>0</f>
        <v>0</v>
      </c>
      <c r="AC261" s="49">
        <f>0</f>
        <v>0</v>
      </c>
      <c r="AD261" s="49">
        <f>0</f>
        <v>0</v>
      </c>
      <c r="AE261" s="49">
        <f>0</f>
        <v>0</v>
      </c>
      <c r="AF261" s="49">
        <f>0</f>
        <v>0</v>
      </c>
      <c r="AG261" s="49">
        <f>0</f>
        <v>0</v>
      </c>
      <c r="AH261" s="49">
        <f>0</f>
        <v>0</v>
      </c>
      <c r="AI261" s="49">
        <f>0</f>
        <v>0</v>
      </c>
      <c r="AJ261" s="49">
        <f>0</f>
        <v>0</v>
      </c>
      <c r="AK261" s="49">
        <f>0</f>
        <v>0</v>
      </c>
      <c r="AL261" s="49">
        <f>0</f>
        <v>0</v>
      </c>
      <c r="AM261" s="49">
        <f>0</f>
        <v>0</v>
      </c>
      <c r="AN261" s="49">
        <f>0</f>
        <v>0</v>
      </c>
      <c r="AO261" s="49">
        <f>0</f>
        <v>0</v>
      </c>
      <c r="AP261" s="49">
        <f>0</f>
        <v>0</v>
      </c>
      <c r="AQ261" s="49">
        <f>0</f>
        <v>0</v>
      </c>
      <c r="AR261" s="49">
        <f>0</f>
        <v>0</v>
      </c>
      <c r="AS261" s="49">
        <f>0</f>
        <v>0</v>
      </c>
      <c r="AT261" s="49">
        <f>0</f>
        <v>0</v>
      </c>
      <c r="AU261" s="49">
        <f>0</f>
        <v>0</v>
      </c>
      <c r="AV261" s="49">
        <f>0</f>
        <v>0</v>
      </c>
      <c r="AW261" s="49">
        <f>0</f>
        <v>0</v>
      </c>
      <c r="AX261" s="49">
        <f>0</f>
        <v>0</v>
      </c>
      <c r="AY261" s="49">
        <f>0</f>
        <v>0</v>
      </c>
      <c r="AZ261" s="49">
        <f>0</f>
        <v>0</v>
      </c>
      <c r="BA261" s="49">
        <f>0</f>
        <v>0</v>
      </c>
      <c r="BB261" s="49">
        <f>0</f>
        <v>0</v>
      </c>
      <c r="BC261" s="49">
        <f>0</f>
        <v>0</v>
      </c>
      <c r="BD261" s="49">
        <f>0</f>
        <v>0</v>
      </c>
      <c r="BE261" s="49">
        <f>0</f>
        <v>0</v>
      </c>
      <c r="BF261" s="49">
        <f>0</f>
        <v>0</v>
      </c>
      <c r="BG261" s="49">
        <f>0</f>
        <v>0</v>
      </c>
      <c r="BH261" s="49">
        <f>0</f>
        <v>0</v>
      </c>
      <c r="BI261" s="49">
        <f>0</f>
        <v>0</v>
      </c>
      <c r="BJ261" s="49">
        <f>0</f>
        <v>0</v>
      </c>
      <c r="BK261" s="49">
        <f>0</f>
        <v>0</v>
      </c>
      <c r="BL261" s="49">
        <f>0</f>
        <v>0</v>
      </c>
      <c r="BM261" s="49">
        <f>0</f>
        <v>0</v>
      </c>
      <c r="BN261" s="49">
        <f>0</f>
        <v>0</v>
      </c>
      <c r="BO261" s="49">
        <f>0</f>
        <v>0</v>
      </c>
      <c r="BP261" s="49">
        <f>0</f>
        <v>0</v>
      </c>
      <c r="BQ261" s="49">
        <f>0</f>
        <v>0</v>
      </c>
      <c r="BR261" s="49">
        <f>0</f>
        <v>0</v>
      </c>
      <c r="BS261" s="49">
        <f>0</f>
        <v>0</v>
      </c>
      <c r="BT261" s="49">
        <f>0</f>
        <v>0</v>
      </c>
      <c r="BU261" s="49">
        <f>0</f>
        <v>0</v>
      </c>
      <c r="BV261" s="49">
        <f>0</f>
        <v>0</v>
      </c>
      <c r="BW261" s="49">
        <f>0</f>
        <v>0</v>
      </c>
      <c r="BX261" s="49">
        <f>0</f>
        <v>0</v>
      </c>
    </row>
    <row r="262" spans="1:76" hidden="1" outlineLevel="1">
      <c r="B262" t="s">
        <v>160</v>
      </c>
      <c r="D262" s="49">
        <f>IF(D$4&gt;=EOMONTH(CloseDate,'Rent Roll'!$O$30-1),1,0)</f>
        <v>0</v>
      </c>
      <c r="E262" s="49">
        <f>IF(E$4&gt;=EOMONTH(CloseDate,'Rent Roll'!$O$30-1),1,0)</f>
        <v>0</v>
      </c>
      <c r="F262" s="49">
        <f>IF(F$4&gt;=EOMONTH(CloseDate,'Rent Roll'!$O$30-1),1,0)</f>
        <v>0</v>
      </c>
      <c r="G262" s="49">
        <f>IF(G$4&gt;=EOMONTH(CloseDate,'Rent Roll'!$O$30-1),1,0)</f>
        <v>0</v>
      </c>
      <c r="H262" s="49">
        <f>IF(H$4&gt;=EOMONTH(CloseDate,'Rent Roll'!$O$30-1),1,0)</f>
        <v>0</v>
      </c>
      <c r="I262" s="49">
        <f>IF(I$4&gt;=EOMONTH(CloseDate,'Rent Roll'!$O$30-1),1,0)</f>
        <v>0</v>
      </c>
      <c r="J262" s="49">
        <f>IF(J$4&gt;=EOMONTH(CloseDate,'Rent Roll'!$O$30-1),1,0)</f>
        <v>0</v>
      </c>
      <c r="K262" s="49">
        <f>IF(K$4&gt;=EOMONTH(CloseDate,'Rent Roll'!$O$30-1),1,0)</f>
        <v>0</v>
      </c>
      <c r="L262" s="49">
        <f>IF(L$4&gt;=EOMONTH(CloseDate,'Rent Roll'!$O$30-1),1,0)</f>
        <v>1</v>
      </c>
      <c r="M262" s="49">
        <f>IF(M$4&gt;=EOMONTH(CloseDate,'Rent Roll'!$O$30-1),1,0)</f>
        <v>1</v>
      </c>
      <c r="N262" s="49">
        <f>IF(N$4&gt;=EOMONTH(CloseDate,'Rent Roll'!$O$30-1),1,0)</f>
        <v>1</v>
      </c>
      <c r="O262" s="49">
        <f>IF(O$4&gt;=EOMONTH(CloseDate,'Rent Roll'!$O$30-1),1,0)</f>
        <v>1</v>
      </c>
      <c r="P262" s="49">
        <f>IF(P$4&gt;=EOMONTH(CloseDate,'Rent Roll'!$O$30-1),1,0)</f>
        <v>1</v>
      </c>
      <c r="Q262" s="49">
        <f>IF(Q$4&gt;=EOMONTH(CloseDate,'Rent Roll'!$O$30-1),1,0)</f>
        <v>1</v>
      </c>
      <c r="R262" s="49">
        <f>IF(R$4&gt;=EOMONTH(CloseDate,'Rent Roll'!$O$30-1),1,0)</f>
        <v>1</v>
      </c>
      <c r="S262" s="49">
        <f>IF(S$4&gt;=EOMONTH(CloseDate,'Rent Roll'!$O$30-1),1,0)</f>
        <v>1</v>
      </c>
      <c r="T262" s="49">
        <f>IF(T$4&gt;=EOMONTH(CloseDate,'Rent Roll'!$O$30-1),1,0)</f>
        <v>1</v>
      </c>
      <c r="U262" s="49">
        <f>IF(U$4&gt;=EOMONTH(CloseDate,'Rent Roll'!$O$30-1),1,0)</f>
        <v>1</v>
      </c>
      <c r="V262" s="49">
        <f>IF(V$4&gt;=EOMONTH(CloseDate,'Rent Roll'!$O$30-1),1,0)</f>
        <v>1</v>
      </c>
      <c r="W262" s="49">
        <f>IF(W$4&gt;=EOMONTH(CloseDate,'Rent Roll'!$O$30-1),1,0)</f>
        <v>1</v>
      </c>
      <c r="X262" s="49">
        <f>IF(X$4&gt;=EOMONTH(CloseDate,'Rent Roll'!$O$30-1),1,0)</f>
        <v>1</v>
      </c>
      <c r="Y262" s="49">
        <f>IF(Y$4&gt;=EOMONTH(CloseDate,'Rent Roll'!$O$30-1),1,0)</f>
        <v>1</v>
      </c>
      <c r="Z262" s="49">
        <f>IF(Z$4&gt;=EOMONTH(CloseDate,'Rent Roll'!$O$30-1),1,0)</f>
        <v>1</v>
      </c>
      <c r="AA262" s="49">
        <f>IF(AA$4&gt;=EOMONTH(CloseDate,'Rent Roll'!$O$30-1),1,0)</f>
        <v>1</v>
      </c>
      <c r="AB262" s="49">
        <f>IF(AB$4&gt;=EOMONTH(CloseDate,'Rent Roll'!$O$30-1),1,0)</f>
        <v>1</v>
      </c>
      <c r="AC262" s="49">
        <f>IF(AC$4&gt;=EOMONTH(CloseDate,'Rent Roll'!$O$30-1),1,0)</f>
        <v>1</v>
      </c>
      <c r="AD262" s="49">
        <f>IF(AD$4&gt;=EOMONTH(CloseDate,'Rent Roll'!$O$30-1),1,0)</f>
        <v>1</v>
      </c>
      <c r="AE262" s="49">
        <f>IF(AE$4&gt;=EOMONTH(CloseDate,'Rent Roll'!$O$30-1),1,0)</f>
        <v>1</v>
      </c>
      <c r="AF262" s="49">
        <f>IF(AF$4&gt;=EOMONTH(CloseDate,'Rent Roll'!$O$30-1),1,0)</f>
        <v>1</v>
      </c>
      <c r="AG262" s="49">
        <f>IF(AG$4&gt;=EOMONTH(CloseDate,'Rent Roll'!$O$30-1),1,0)</f>
        <v>1</v>
      </c>
      <c r="AH262" s="49">
        <f>IF(AH$4&gt;=EOMONTH(CloseDate,'Rent Roll'!$O$30-1),1,0)</f>
        <v>1</v>
      </c>
      <c r="AI262" s="49">
        <f>IF(AI$4&gt;=EOMONTH(CloseDate,'Rent Roll'!$O$30-1),1,0)</f>
        <v>1</v>
      </c>
      <c r="AJ262" s="49">
        <f>IF(AJ$4&gt;=EOMONTH(CloseDate,'Rent Roll'!$O$30-1),1,0)</f>
        <v>1</v>
      </c>
      <c r="AK262" s="49">
        <f>IF(AK$4&gt;=EOMONTH(CloseDate,'Rent Roll'!$O$30-1),1,0)</f>
        <v>1</v>
      </c>
      <c r="AL262" s="49">
        <f>IF(AL$4&gt;=EOMONTH(CloseDate,'Rent Roll'!$O$30-1),1,0)</f>
        <v>1</v>
      </c>
      <c r="AM262" s="49">
        <f>IF(AM$4&gt;=EOMONTH(CloseDate,'Rent Roll'!$O$30-1),1,0)</f>
        <v>1</v>
      </c>
      <c r="AN262" s="49">
        <f>IF(AN$4&gt;=EOMONTH(CloseDate,'Rent Roll'!$O$30-1),1,0)</f>
        <v>1</v>
      </c>
      <c r="AO262" s="49">
        <f>IF(AO$4&gt;=EOMONTH(CloseDate,'Rent Roll'!$O$30-1),1,0)</f>
        <v>1</v>
      </c>
      <c r="AP262" s="49">
        <f>IF(AP$4&gt;=EOMONTH(CloseDate,'Rent Roll'!$O$30-1),1,0)</f>
        <v>1</v>
      </c>
      <c r="AQ262" s="49">
        <f>IF(AQ$4&gt;=EOMONTH(CloseDate,'Rent Roll'!$O$30-1),1,0)</f>
        <v>1</v>
      </c>
      <c r="AR262" s="49">
        <f>IF(AR$4&gt;=EOMONTH(CloseDate,'Rent Roll'!$O$30-1),1,0)</f>
        <v>1</v>
      </c>
      <c r="AS262" s="49">
        <f>IF(AS$4&gt;=EOMONTH(CloseDate,'Rent Roll'!$O$30-1),1,0)</f>
        <v>1</v>
      </c>
      <c r="AT262" s="49">
        <f>IF(AT$4&gt;=EOMONTH(CloseDate,'Rent Roll'!$O$30-1),1,0)</f>
        <v>1</v>
      </c>
      <c r="AU262" s="49">
        <f>IF(AU$4&gt;=EOMONTH(CloseDate,'Rent Roll'!$O$30-1),1,0)</f>
        <v>1</v>
      </c>
      <c r="AV262" s="49">
        <f>IF(AV$4&gt;=EOMONTH(CloseDate,'Rent Roll'!$O$30-1),1,0)</f>
        <v>1</v>
      </c>
      <c r="AW262" s="49">
        <f>IF(AW$4&gt;=EOMONTH(CloseDate,'Rent Roll'!$O$30-1),1,0)</f>
        <v>1</v>
      </c>
      <c r="AX262" s="49">
        <f>IF(AX$4&gt;=EOMONTH(CloseDate,'Rent Roll'!$O$30-1),1,0)</f>
        <v>1</v>
      </c>
      <c r="AY262" s="49">
        <f>IF(AY$4&gt;=EOMONTH(CloseDate,'Rent Roll'!$O$30-1),1,0)</f>
        <v>1</v>
      </c>
      <c r="AZ262" s="49">
        <f>IF(AZ$4&gt;=EOMONTH(CloseDate,'Rent Roll'!$O$30-1),1,0)</f>
        <v>1</v>
      </c>
      <c r="BA262" s="49">
        <f>IF(BA$4&gt;=EOMONTH(CloseDate,'Rent Roll'!$O$30-1),1,0)</f>
        <v>1</v>
      </c>
      <c r="BB262" s="49">
        <f>IF(BB$4&gt;=EOMONTH(CloseDate,'Rent Roll'!$O$30-1),1,0)</f>
        <v>1</v>
      </c>
      <c r="BC262" s="49">
        <f>IF(BC$4&gt;=EOMONTH(CloseDate,'Rent Roll'!$O$30-1),1,0)</f>
        <v>1</v>
      </c>
      <c r="BD262" s="49">
        <f>IF(BD$4&gt;=EOMONTH(CloseDate,'Rent Roll'!$O$30-1),1,0)</f>
        <v>1</v>
      </c>
      <c r="BE262" s="49">
        <f>IF(BE$4&gt;=EOMONTH(CloseDate,'Rent Roll'!$O$30-1),1,0)</f>
        <v>1</v>
      </c>
      <c r="BF262" s="49">
        <f>IF(BF$4&gt;=EOMONTH(CloseDate,'Rent Roll'!$O$30-1),1,0)</f>
        <v>1</v>
      </c>
      <c r="BG262" s="49">
        <f>IF(BG$4&gt;=EOMONTH(CloseDate,'Rent Roll'!$O$30-1),1,0)</f>
        <v>1</v>
      </c>
      <c r="BH262" s="49">
        <f>IF(BH$4&gt;=EOMONTH(CloseDate,'Rent Roll'!$O$30-1),1,0)</f>
        <v>1</v>
      </c>
      <c r="BI262" s="49">
        <f>IF(BI$4&gt;=EOMONTH(CloseDate,'Rent Roll'!$O$30-1),1,0)</f>
        <v>1</v>
      </c>
      <c r="BJ262" s="49">
        <f>IF(BJ$4&gt;=EOMONTH(CloseDate,'Rent Roll'!$O$30-1),1,0)</f>
        <v>1</v>
      </c>
      <c r="BK262" s="49">
        <f>IF(BK$4&gt;=EOMONTH(CloseDate,'Rent Roll'!$O$30-1),1,0)</f>
        <v>1</v>
      </c>
      <c r="BL262" s="49">
        <f>IF(BL$4&gt;=EOMONTH(CloseDate,'Rent Roll'!$O$30-1),1,0)</f>
        <v>1</v>
      </c>
      <c r="BM262" s="49">
        <f>IF(BM$4&gt;=EOMONTH(CloseDate,'Rent Roll'!$O$30-1),1,0)</f>
        <v>1</v>
      </c>
      <c r="BN262" s="49">
        <f>IF(BN$4&gt;=EOMONTH(CloseDate,'Rent Roll'!$O$30-1),1,0)</f>
        <v>1</v>
      </c>
      <c r="BO262" s="49">
        <f>IF(BO$4&gt;=EOMONTH(CloseDate,'Rent Roll'!$O$30-1),1,0)</f>
        <v>1</v>
      </c>
      <c r="BP262" s="49">
        <f>IF(BP$4&gt;=EOMONTH(CloseDate,'Rent Roll'!$O$30-1),1,0)</f>
        <v>1</v>
      </c>
      <c r="BQ262" s="49">
        <f>IF(BQ$4&gt;=EOMONTH(CloseDate,'Rent Roll'!$O$30-1),1,0)</f>
        <v>1</v>
      </c>
      <c r="BR262" s="49">
        <f>IF(BR$4&gt;=EOMONTH(CloseDate,'Rent Roll'!$O$30-1),1,0)</f>
        <v>1</v>
      </c>
      <c r="BS262" s="49">
        <f>IF(BS$4&gt;=EOMONTH(CloseDate,'Rent Roll'!$O$30-1),1,0)</f>
        <v>1</v>
      </c>
      <c r="BT262" s="49">
        <f>IF(BT$4&gt;=EOMONTH(CloseDate,'Rent Roll'!$O$30-1),1,0)</f>
        <v>1</v>
      </c>
      <c r="BU262" s="49">
        <f>IF(BU$4&gt;=EOMONTH(CloseDate,'Rent Roll'!$O$30-1),1,0)</f>
        <v>1</v>
      </c>
      <c r="BV262" s="49">
        <f>IF(BV$4&gt;=EOMONTH(CloseDate,'Rent Roll'!$O$30-1),1,0)</f>
        <v>1</v>
      </c>
      <c r="BW262" s="49">
        <f>IF(BW$4&gt;=EOMONTH(CloseDate,'Rent Roll'!$O$30-1),1,0)</f>
        <v>1</v>
      </c>
      <c r="BX262" s="49">
        <f>IF(BX$4&gt;=EOMONTH(CloseDate,'Rent Roll'!$O$30-1),1,0)</f>
        <v>1</v>
      </c>
    </row>
    <row r="263" spans="1:76" hidden="1" outlineLevel="1">
      <c r="B263" t="s">
        <v>162</v>
      </c>
      <c r="D263" s="49">
        <f>IF(D262=1,'Rent Roll'!$F$30*'Rent Roll'!$X$30/12*D$6,0)</f>
        <v>0</v>
      </c>
      <c r="E263" s="49">
        <f>IF(E262=1,'Rent Roll'!$F$30*'Rent Roll'!$X$30/12*E$6,0)</f>
        <v>0</v>
      </c>
      <c r="F263" s="49">
        <f>IF(F262=1,'Rent Roll'!$F$30*'Rent Roll'!$X$30/12*F$6,0)</f>
        <v>0</v>
      </c>
      <c r="G263" s="49">
        <f>IF(G262=1,'Rent Roll'!$F$30*'Rent Roll'!$X$30/12*G$6,0)</f>
        <v>0</v>
      </c>
      <c r="H263" s="49">
        <f>IF(H262=1,'Rent Roll'!$F$30*'Rent Roll'!$X$30/12*H$6,0)</f>
        <v>0</v>
      </c>
      <c r="I263" s="49">
        <f>IF(I262=1,'Rent Roll'!$F$30*'Rent Roll'!$X$30/12*I$6,0)</f>
        <v>0</v>
      </c>
      <c r="J263" s="49">
        <f>IF(J262=1,'Rent Roll'!$F$30*'Rent Roll'!$X$30/12*J$6,0)</f>
        <v>0</v>
      </c>
      <c r="K263" s="49">
        <f>IF(K262=1,'Rent Roll'!$F$30*'Rent Roll'!$X$30/12*K$6,0)</f>
        <v>0</v>
      </c>
      <c r="L263" s="49">
        <f>IF(L262=1,'Rent Roll'!$F$30*'Rent Roll'!$X$30/12*L$6,0)</f>
        <v>18580.740749999994</v>
      </c>
      <c r="M263" s="49">
        <f>IF(M262=1,'Rent Roll'!$F$30*'Rent Roll'!$X$30/12*M$6,0)</f>
        <v>18580.740749999994</v>
      </c>
      <c r="N263" s="49">
        <f>IF(N262=1,'Rent Roll'!$F$30*'Rent Roll'!$X$30/12*N$6,0)</f>
        <v>18580.740749999994</v>
      </c>
      <c r="O263" s="49">
        <f>IF(O262=1,'Rent Roll'!$F$30*'Rent Roll'!$X$30/12*O$6,0)</f>
        <v>18580.740749999994</v>
      </c>
      <c r="P263" s="49">
        <f>IF(P262=1,'Rent Roll'!$F$30*'Rent Roll'!$X$30/12*P$6,0)</f>
        <v>18580.740749999994</v>
      </c>
      <c r="Q263" s="49">
        <f>IF(Q262=1,'Rent Roll'!$F$30*'Rent Roll'!$X$30/12*Q$6,0)</f>
        <v>18580.740749999994</v>
      </c>
      <c r="R263" s="49">
        <f>IF(R262=1,'Rent Roll'!$F$30*'Rent Roll'!$X$30/12*R$6,0)</f>
        <v>18580.740749999994</v>
      </c>
      <c r="S263" s="49">
        <f>IF(S262=1,'Rent Roll'!$F$30*'Rent Roll'!$X$30/12*S$6,0)</f>
        <v>18580.740749999994</v>
      </c>
      <c r="T263" s="49">
        <f>IF(T262=1,'Rent Roll'!$F$30*'Rent Roll'!$X$30/12*T$6,0)</f>
        <v>18580.740749999994</v>
      </c>
      <c r="U263" s="49">
        <f>IF(U262=1,'Rent Roll'!$F$30*'Rent Roll'!$X$30/12*U$6,0)</f>
        <v>19082.420750249992</v>
      </c>
      <c r="V263" s="49">
        <f>IF(V262=1,'Rent Roll'!$F$30*'Rent Roll'!$X$30/12*V$6,0)</f>
        <v>19082.420750249992</v>
      </c>
      <c r="W263" s="49">
        <f>IF(W262=1,'Rent Roll'!$F$30*'Rent Roll'!$X$30/12*W$6,0)</f>
        <v>19082.420750249992</v>
      </c>
      <c r="X263" s="49">
        <f>IF(X262=1,'Rent Roll'!$F$30*'Rent Roll'!$X$30/12*X$6,0)</f>
        <v>19082.420750249992</v>
      </c>
      <c r="Y263" s="49">
        <f>IF(Y262=1,'Rent Roll'!$F$30*'Rent Roll'!$X$30/12*Y$6,0)</f>
        <v>19082.420750249992</v>
      </c>
      <c r="Z263" s="49">
        <f>IF(Z262=1,'Rent Roll'!$F$30*'Rent Roll'!$X$30/12*Z$6,0)</f>
        <v>19082.420750249992</v>
      </c>
      <c r="AA263" s="49">
        <f>IF(AA262=1,'Rent Roll'!$F$30*'Rent Roll'!$X$30/12*AA$6,0)</f>
        <v>19082.420750249992</v>
      </c>
      <c r="AB263" s="49">
        <f>IF(AB262=1,'Rent Roll'!$F$30*'Rent Roll'!$X$30/12*AB$6,0)</f>
        <v>19082.420750249992</v>
      </c>
      <c r="AC263" s="49">
        <f>IF(AC262=1,'Rent Roll'!$F$30*'Rent Roll'!$X$30/12*AC$6,0)</f>
        <v>19082.420750249992</v>
      </c>
      <c r="AD263" s="49">
        <f>IF(AD262=1,'Rent Roll'!$F$30*'Rent Roll'!$X$30/12*AD$6,0)</f>
        <v>19082.420750249992</v>
      </c>
      <c r="AE263" s="49">
        <f>IF(AE262=1,'Rent Roll'!$F$30*'Rent Roll'!$X$30/12*AE$6,0)</f>
        <v>19082.420750249992</v>
      </c>
      <c r="AF263" s="49">
        <f>IF(AF262=1,'Rent Roll'!$F$30*'Rent Roll'!$X$30/12*AF$6,0)</f>
        <v>19082.420750249992</v>
      </c>
      <c r="AG263" s="49">
        <f>IF(AG262=1,'Rent Roll'!$F$30*'Rent Roll'!$X$30/12*AG$6,0)</f>
        <v>19597.646110506743</v>
      </c>
      <c r="AH263" s="49">
        <f>IF(AH262=1,'Rent Roll'!$F$30*'Rent Roll'!$X$30/12*AH$6,0)</f>
        <v>19597.646110506743</v>
      </c>
      <c r="AI263" s="49">
        <f>IF(AI262=1,'Rent Roll'!$F$30*'Rent Roll'!$X$30/12*AI$6,0)</f>
        <v>19597.646110506743</v>
      </c>
      <c r="AJ263" s="49">
        <f>IF(AJ262=1,'Rent Roll'!$F$30*'Rent Roll'!$X$30/12*AJ$6,0)</f>
        <v>19597.646110506743</v>
      </c>
      <c r="AK263" s="49">
        <f>IF(AK262=1,'Rent Roll'!$F$30*'Rent Roll'!$X$30/12*AK$6,0)</f>
        <v>19597.646110506743</v>
      </c>
      <c r="AL263" s="49">
        <f>IF(AL262=1,'Rent Roll'!$F$30*'Rent Roll'!$X$30/12*AL$6,0)</f>
        <v>19597.646110506743</v>
      </c>
      <c r="AM263" s="49">
        <f>IF(AM262=1,'Rent Roll'!$F$30*'Rent Roll'!$X$30/12*AM$6,0)</f>
        <v>19597.646110506743</v>
      </c>
      <c r="AN263" s="49">
        <f>IF(AN262=1,'Rent Roll'!$F$30*'Rent Roll'!$X$30/12*AN$6,0)</f>
        <v>19597.646110506743</v>
      </c>
      <c r="AO263" s="49">
        <f>IF(AO262=1,'Rent Roll'!$F$30*'Rent Roll'!$X$30/12*AO$6,0)</f>
        <v>19597.646110506743</v>
      </c>
      <c r="AP263" s="49">
        <f>IF(AP262=1,'Rent Roll'!$F$30*'Rent Roll'!$X$30/12*AP$6,0)</f>
        <v>19597.646110506743</v>
      </c>
      <c r="AQ263" s="49">
        <f>IF(AQ262=1,'Rent Roll'!$F$30*'Rent Roll'!$X$30/12*AQ$6,0)</f>
        <v>19597.646110506743</v>
      </c>
      <c r="AR263" s="49">
        <f>IF(AR262=1,'Rent Roll'!$F$30*'Rent Roll'!$X$30/12*AR$6,0)</f>
        <v>19597.646110506743</v>
      </c>
      <c r="AS263" s="49">
        <f>IF(AS262=1,'Rent Roll'!$F$30*'Rent Roll'!$X$30/12*AS$6,0)</f>
        <v>20126.782555490419</v>
      </c>
      <c r="AT263" s="49">
        <f>IF(AT262=1,'Rent Roll'!$F$30*'Rent Roll'!$X$30/12*AT$6,0)</f>
        <v>20126.782555490419</v>
      </c>
      <c r="AU263" s="49">
        <f>IF(AU262=1,'Rent Roll'!$F$30*'Rent Roll'!$X$30/12*AU$6,0)</f>
        <v>20126.782555490419</v>
      </c>
      <c r="AV263" s="49">
        <f>IF(AV262=1,'Rent Roll'!$F$30*'Rent Roll'!$X$30/12*AV$6,0)</f>
        <v>20126.782555490419</v>
      </c>
      <c r="AW263" s="49">
        <f>IF(AW262=1,'Rent Roll'!$F$30*'Rent Roll'!$X$30/12*AW$6,0)</f>
        <v>20126.782555490419</v>
      </c>
      <c r="AX263" s="49">
        <f>IF(AX262=1,'Rent Roll'!$F$30*'Rent Roll'!$X$30/12*AX$6,0)</f>
        <v>20126.782555490419</v>
      </c>
      <c r="AY263" s="49">
        <f>IF(AY262=1,'Rent Roll'!$F$30*'Rent Roll'!$X$30/12*AY$6,0)</f>
        <v>20126.782555490419</v>
      </c>
      <c r="AZ263" s="49">
        <f>IF(AZ262=1,'Rent Roll'!$F$30*'Rent Roll'!$X$30/12*AZ$6,0)</f>
        <v>20126.782555490419</v>
      </c>
      <c r="BA263" s="49">
        <f>IF(BA262=1,'Rent Roll'!$F$30*'Rent Roll'!$X$30/12*BA$6,0)</f>
        <v>20126.782555490419</v>
      </c>
      <c r="BB263" s="49">
        <f>IF(BB262=1,'Rent Roll'!$F$30*'Rent Roll'!$X$30/12*BB$6,0)</f>
        <v>20126.782555490419</v>
      </c>
      <c r="BC263" s="49">
        <f>IF(BC262=1,'Rent Roll'!$F$30*'Rent Roll'!$X$30/12*BC$6,0)</f>
        <v>20126.782555490419</v>
      </c>
      <c r="BD263" s="49">
        <f>IF(BD262=1,'Rent Roll'!$F$30*'Rent Roll'!$X$30/12*BD$6,0)</f>
        <v>20126.782555490419</v>
      </c>
      <c r="BE263" s="49">
        <f>IF(BE262=1,'Rent Roll'!$F$30*'Rent Roll'!$X$30/12*BE$6,0)</f>
        <v>20670.205684488661</v>
      </c>
      <c r="BF263" s="49">
        <f>IF(BF262=1,'Rent Roll'!$F$30*'Rent Roll'!$X$30/12*BF$6,0)</f>
        <v>20670.205684488661</v>
      </c>
      <c r="BG263" s="49">
        <f>IF(BG262=1,'Rent Roll'!$F$30*'Rent Roll'!$X$30/12*BG$6,0)</f>
        <v>20670.205684488661</v>
      </c>
      <c r="BH263" s="49">
        <f>IF(BH262=1,'Rent Roll'!$F$30*'Rent Roll'!$X$30/12*BH$6,0)</f>
        <v>20670.205684488661</v>
      </c>
      <c r="BI263" s="49">
        <f>IF(BI262=1,'Rent Roll'!$F$30*'Rent Roll'!$X$30/12*BI$6,0)</f>
        <v>20670.205684488661</v>
      </c>
      <c r="BJ263" s="49">
        <f>IF(BJ262=1,'Rent Roll'!$F$30*'Rent Roll'!$X$30/12*BJ$6,0)</f>
        <v>20670.205684488661</v>
      </c>
      <c r="BK263" s="49">
        <f>IF(BK262=1,'Rent Roll'!$F$30*'Rent Roll'!$X$30/12*BK$6,0)</f>
        <v>20670.205684488661</v>
      </c>
      <c r="BL263" s="49">
        <f>IF(BL262=1,'Rent Roll'!$F$30*'Rent Roll'!$X$30/12*BL$6,0)</f>
        <v>20670.205684488661</v>
      </c>
      <c r="BM263" s="49">
        <f>IF(BM262=1,'Rent Roll'!$F$30*'Rent Roll'!$X$30/12*BM$6,0)</f>
        <v>20670.205684488661</v>
      </c>
      <c r="BN263" s="49">
        <f>IF(BN262=1,'Rent Roll'!$F$30*'Rent Roll'!$X$30/12*BN$6,0)</f>
        <v>20670.205684488661</v>
      </c>
      <c r="BO263" s="49">
        <f>IF(BO262=1,'Rent Roll'!$F$30*'Rent Roll'!$X$30/12*BO$6,0)</f>
        <v>20670.205684488661</v>
      </c>
      <c r="BP263" s="49">
        <f>IF(BP262=1,'Rent Roll'!$F$30*'Rent Roll'!$X$30/12*BP$6,0)</f>
        <v>20670.205684488661</v>
      </c>
      <c r="BQ263" s="49">
        <f>IF(BQ262=1,'Rent Roll'!$F$30*'Rent Roll'!$X$30/12*BQ$6,0)</f>
        <v>21228.301237969852</v>
      </c>
      <c r="BR263" s="49">
        <f>IF(BR262=1,'Rent Roll'!$F$30*'Rent Roll'!$X$30/12*BR$6,0)</f>
        <v>21228.301237969852</v>
      </c>
      <c r="BS263" s="49">
        <f>IF(BS262=1,'Rent Roll'!$F$30*'Rent Roll'!$X$30/12*BS$6,0)</f>
        <v>21228.301237969852</v>
      </c>
      <c r="BT263" s="49">
        <f>IF(BT262=1,'Rent Roll'!$F$30*'Rent Roll'!$X$30/12*BT$6,0)</f>
        <v>21228.301237969852</v>
      </c>
      <c r="BU263" s="49">
        <f>IF(BU262=1,'Rent Roll'!$F$30*'Rent Roll'!$X$30/12*BU$6,0)</f>
        <v>21228.301237969852</v>
      </c>
      <c r="BV263" s="49">
        <f>IF(BV262=1,'Rent Roll'!$F$30*'Rent Roll'!$X$30/12*BV$6,0)</f>
        <v>21228.301237969852</v>
      </c>
      <c r="BW263" s="49">
        <f>IF(BW262=1,'Rent Roll'!$F$30*'Rent Roll'!$X$30/12*BW$6,0)</f>
        <v>21228.301237969852</v>
      </c>
      <c r="BX263" s="49">
        <f>IF(BX262=1,'Rent Roll'!$F$30*'Rent Roll'!$X$30/12*BX$6,0)</f>
        <v>21228.301237969852</v>
      </c>
    </row>
    <row r="264" spans="1:76" hidden="1" outlineLevel="1">
      <c r="B264" t="s">
        <v>163</v>
      </c>
      <c r="D264" s="49">
        <f>IF(AND(D$4&gt;=EOMONTH(CloseDate,'Rent Roll'!$O$30-1),D$4&lt;EOMONTH(CloseDate,'Rent Roll'!$O$30-1+'Rent Roll'!$V$30)),-D263,0)</f>
        <v>0</v>
      </c>
      <c r="E264" s="49">
        <f>IF(AND(E$4&gt;=EOMONTH(CloseDate,'Rent Roll'!$O$30-1),E$4&lt;EOMONTH(CloseDate,'Rent Roll'!$O$30-1+'Rent Roll'!$V$30)),-E263,0)</f>
        <v>0</v>
      </c>
      <c r="F264" s="49">
        <f>IF(AND(F$4&gt;=EOMONTH(CloseDate,'Rent Roll'!$O$30-1),F$4&lt;EOMONTH(CloseDate,'Rent Roll'!$O$30-1+'Rent Roll'!$V$30)),-F263,0)</f>
        <v>0</v>
      </c>
      <c r="G264" s="49">
        <f>IF(AND(G$4&gt;=EOMONTH(CloseDate,'Rent Roll'!$O$30-1),G$4&lt;EOMONTH(CloseDate,'Rent Roll'!$O$30-1+'Rent Roll'!$V$30)),-G263,0)</f>
        <v>0</v>
      </c>
      <c r="H264" s="49">
        <f>IF(AND(H$4&gt;=EOMONTH(CloseDate,'Rent Roll'!$O$30-1),H$4&lt;EOMONTH(CloseDate,'Rent Roll'!$O$30-1+'Rent Roll'!$V$30)),-H263,0)</f>
        <v>0</v>
      </c>
      <c r="I264" s="49">
        <f>IF(AND(I$4&gt;=EOMONTH(CloseDate,'Rent Roll'!$O$30-1),I$4&lt;EOMONTH(CloseDate,'Rent Roll'!$O$30-1+'Rent Roll'!$V$30)),-I263,0)</f>
        <v>0</v>
      </c>
      <c r="J264" s="49">
        <f>IF(AND(J$4&gt;=EOMONTH(CloseDate,'Rent Roll'!$O$30-1),J$4&lt;EOMONTH(CloseDate,'Rent Roll'!$O$30-1+'Rent Roll'!$V$30)),-J263,0)</f>
        <v>0</v>
      </c>
      <c r="K264" s="49">
        <f>IF(AND(K$4&gt;=EOMONTH(CloseDate,'Rent Roll'!$O$30-1),K$4&lt;EOMONTH(CloseDate,'Rent Roll'!$O$30-1+'Rent Roll'!$V$30)),-K263,0)</f>
        <v>0</v>
      </c>
      <c r="L264" s="49">
        <f>IF(AND(L$4&gt;=EOMONTH(CloseDate,'Rent Roll'!$O$30-1),L$4&lt;EOMONTH(CloseDate,'Rent Roll'!$O$30-1+'Rent Roll'!$V$30)),-L263,0)</f>
        <v>-18580.740749999994</v>
      </c>
      <c r="M264" s="49">
        <f>IF(AND(M$4&gt;=EOMONTH(CloseDate,'Rent Roll'!$O$30-1),M$4&lt;EOMONTH(CloseDate,'Rent Roll'!$O$30-1+'Rent Roll'!$V$30)),-M263,0)</f>
        <v>-18580.740749999994</v>
      </c>
      <c r="N264" s="49">
        <f>IF(AND(N$4&gt;=EOMONTH(CloseDate,'Rent Roll'!$O$30-1),N$4&lt;EOMONTH(CloseDate,'Rent Roll'!$O$30-1+'Rent Roll'!$V$30)),-N263,0)</f>
        <v>0</v>
      </c>
      <c r="O264" s="49">
        <f>IF(AND(O$4&gt;=EOMONTH(CloseDate,'Rent Roll'!$O$30-1),O$4&lt;EOMONTH(CloseDate,'Rent Roll'!$O$30-1+'Rent Roll'!$V$30)),-O263,0)</f>
        <v>0</v>
      </c>
      <c r="P264" s="49">
        <f>IF(AND(P$4&gt;=EOMONTH(CloseDate,'Rent Roll'!$O$30-1),P$4&lt;EOMONTH(CloseDate,'Rent Roll'!$O$30-1+'Rent Roll'!$V$30)),-P263,0)</f>
        <v>0</v>
      </c>
      <c r="Q264" s="49">
        <f>IF(AND(Q$4&gt;=EOMONTH(CloseDate,'Rent Roll'!$O$30-1),Q$4&lt;EOMONTH(CloseDate,'Rent Roll'!$O$30-1+'Rent Roll'!$V$30)),-Q263,0)</f>
        <v>0</v>
      </c>
      <c r="R264" s="49">
        <f>IF(AND(R$4&gt;=EOMONTH(CloseDate,'Rent Roll'!$O$30-1),R$4&lt;EOMONTH(CloseDate,'Rent Roll'!$O$30-1+'Rent Roll'!$V$30)),-R263,0)</f>
        <v>0</v>
      </c>
      <c r="S264" s="49">
        <f>IF(AND(S$4&gt;=EOMONTH(CloseDate,'Rent Roll'!$O$30-1),S$4&lt;EOMONTH(CloseDate,'Rent Roll'!$O$30-1+'Rent Roll'!$V$30)),-S263,0)</f>
        <v>0</v>
      </c>
      <c r="T264" s="49">
        <f>IF(AND(T$4&gt;=EOMONTH(CloseDate,'Rent Roll'!$O$30-1),T$4&lt;EOMONTH(CloseDate,'Rent Roll'!$O$30-1+'Rent Roll'!$V$30)),-T263,0)</f>
        <v>0</v>
      </c>
      <c r="U264" s="49">
        <f>IF(AND(U$4&gt;=EOMONTH(CloseDate,'Rent Roll'!$O$30-1),U$4&lt;EOMONTH(CloseDate,'Rent Roll'!$O$30-1+'Rent Roll'!$V$30)),-U263,0)</f>
        <v>0</v>
      </c>
      <c r="V264" s="49">
        <f>IF(AND(V$4&gt;=EOMONTH(CloseDate,'Rent Roll'!$O$30-1),V$4&lt;EOMONTH(CloseDate,'Rent Roll'!$O$30-1+'Rent Roll'!$V$30)),-V263,0)</f>
        <v>0</v>
      </c>
      <c r="W264" s="49">
        <f>IF(AND(W$4&gt;=EOMONTH(CloseDate,'Rent Roll'!$O$30-1),W$4&lt;EOMONTH(CloseDate,'Rent Roll'!$O$30-1+'Rent Roll'!$V$30)),-W263,0)</f>
        <v>0</v>
      </c>
      <c r="X264" s="49">
        <f>IF(AND(X$4&gt;=EOMONTH(CloseDate,'Rent Roll'!$O$30-1),X$4&lt;EOMONTH(CloseDate,'Rent Roll'!$O$30-1+'Rent Roll'!$V$30)),-X263,0)</f>
        <v>0</v>
      </c>
      <c r="Y264" s="49">
        <f>IF(AND(Y$4&gt;=EOMONTH(CloseDate,'Rent Roll'!$O$30-1),Y$4&lt;EOMONTH(CloseDate,'Rent Roll'!$O$30-1+'Rent Roll'!$V$30)),-Y263,0)</f>
        <v>0</v>
      </c>
      <c r="Z264" s="49">
        <f>IF(AND(Z$4&gt;=EOMONTH(CloseDate,'Rent Roll'!$O$30-1),Z$4&lt;EOMONTH(CloseDate,'Rent Roll'!$O$30-1+'Rent Roll'!$V$30)),-Z263,0)</f>
        <v>0</v>
      </c>
      <c r="AA264" s="49">
        <f>IF(AND(AA$4&gt;=EOMONTH(CloseDate,'Rent Roll'!$O$30-1),AA$4&lt;EOMONTH(CloseDate,'Rent Roll'!$O$30-1+'Rent Roll'!$V$30)),-AA263,0)</f>
        <v>0</v>
      </c>
      <c r="AB264" s="49">
        <f>IF(AND(AB$4&gt;=EOMONTH(CloseDate,'Rent Roll'!$O$30-1),AB$4&lt;EOMONTH(CloseDate,'Rent Roll'!$O$30-1+'Rent Roll'!$V$30)),-AB263,0)</f>
        <v>0</v>
      </c>
      <c r="AC264" s="49">
        <f>IF(AND(AC$4&gt;=EOMONTH(CloseDate,'Rent Roll'!$O$30-1),AC$4&lt;EOMONTH(CloseDate,'Rent Roll'!$O$30-1+'Rent Roll'!$V$30)),-AC263,0)</f>
        <v>0</v>
      </c>
      <c r="AD264" s="49">
        <f>IF(AND(AD$4&gt;=EOMONTH(CloseDate,'Rent Roll'!$O$30-1),AD$4&lt;EOMONTH(CloseDate,'Rent Roll'!$O$30-1+'Rent Roll'!$V$30)),-AD263,0)</f>
        <v>0</v>
      </c>
      <c r="AE264" s="49">
        <f>IF(AND(AE$4&gt;=EOMONTH(CloseDate,'Rent Roll'!$O$30-1),AE$4&lt;EOMONTH(CloseDate,'Rent Roll'!$O$30-1+'Rent Roll'!$V$30)),-AE263,0)</f>
        <v>0</v>
      </c>
      <c r="AF264" s="49">
        <f>IF(AND(AF$4&gt;=EOMONTH(CloseDate,'Rent Roll'!$O$30-1),AF$4&lt;EOMONTH(CloseDate,'Rent Roll'!$O$30-1+'Rent Roll'!$V$30)),-AF263,0)</f>
        <v>0</v>
      </c>
      <c r="AG264" s="49">
        <f>IF(AND(AG$4&gt;=EOMONTH(CloseDate,'Rent Roll'!$O$30-1),AG$4&lt;EOMONTH(CloseDate,'Rent Roll'!$O$30-1+'Rent Roll'!$V$30)),-AG263,0)</f>
        <v>0</v>
      </c>
      <c r="AH264" s="49">
        <f>IF(AND(AH$4&gt;=EOMONTH(CloseDate,'Rent Roll'!$O$30-1),AH$4&lt;EOMONTH(CloseDate,'Rent Roll'!$O$30-1+'Rent Roll'!$V$30)),-AH263,0)</f>
        <v>0</v>
      </c>
      <c r="AI264" s="49">
        <f>IF(AND(AI$4&gt;=EOMONTH(CloseDate,'Rent Roll'!$O$30-1),AI$4&lt;EOMONTH(CloseDate,'Rent Roll'!$O$30-1+'Rent Roll'!$V$30)),-AI263,0)</f>
        <v>0</v>
      </c>
      <c r="AJ264" s="49">
        <f>IF(AND(AJ$4&gt;=EOMONTH(CloseDate,'Rent Roll'!$O$30-1),AJ$4&lt;EOMONTH(CloseDate,'Rent Roll'!$O$30-1+'Rent Roll'!$V$30)),-AJ263,0)</f>
        <v>0</v>
      </c>
      <c r="AK264" s="49">
        <f>IF(AND(AK$4&gt;=EOMONTH(CloseDate,'Rent Roll'!$O$30-1),AK$4&lt;EOMONTH(CloseDate,'Rent Roll'!$O$30-1+'Rent Roll'!$V$30)),-AK263,0)</f>
        <v>0</v>
      </c>
      <c r="AL264" s="49">
        <f>IF(AND(AL$4&gt;=EOMONTH(CloseDate,'Rent Roll'!$O$30-1),AL$4&lt;EOMONTH(CloseDate,'Rent Roll'!$O$30-1+'Rent Roll'!$V$30)),-AL263,0)</f>
        <v>0</v>
      </c>
      <c r="AM264" s="49">
        <f>IF(AND(AM$4&gt;=EOMONTH(CloseDate,'Rent Roll'!$O$30-1),AM$4&lt;EOMONTH(CloseDate,'Rent Roll'!$O$30-1+'Rent Roll'!$V$30)),-AM263,0)</f>
        <v>0</v>
      </c>
      <c r="AN264" s="49">
        <f>IF(AND(AN$4&gt;=EOMONTH(CloseDate,'Rent Roll'!$O$30-1),AN$4&lt;EOMONTH(CloseDate,'Rent Roll'!$O$30-1+'Rent Roll'!$V$30)),-AN263,0)</f>
        <v>0</v>
      </c>
      <c r="AO264" s="49">
        <f>IF(AND(AO$4&gt;=EOMONTH(CloseDate,'Rent Roll'!$O$30-1),AO$4&lt;EOMONTH(CloseDate,'Rent Roll'!$O$30-1+'Rent Roll'!$V$30)),-AO263,0)</f>
        <v>0</v>
      </c>
      <c r="AP264" s="49">
        <f>IF(AND(AP$4&gt;=EOMONTH(CloseDate,'Rent Roll'!$O$30-1),AP$4&lt;EOMONTH(CloseDate,'Rent Roll'!$O$30-1+'Rent Roll'!$V$30)),-AP263,0)</f>
        <v>0</v>
      </c>
      <c r="AQ264" s="49">
        <f>IF(AND(AQ$4&gt;=EOMONTH(CloseDate,'Rent Roll'!$O$30-1),AQ$4&lt;EOMONTH(CloseDate,'Rent Roll'!$O$30-1+'Rent Roll'!$V$30)),-AQ263,0)</f>
        <v>0</v>
      </c>
      <c r="AR264" s="49">
        <f>IF(AND(AR$4&gt;=EOMONTH(CloseDate,'Rent Roll'!$O$30-1),AR$4&lt;EOMONTH(CloseDate,'Rent Roll'!$O$30-1+'Rent Roll'!$V$30)),-AR263,0)</f>
        <v>0</v>
      </c>
      <c r="AS264" s="49">
        <f>IF(AND(AS$4&gt;=EOMONTH(CloseDate,'Rent Roll'!$O$30-1),AS$4&lt;EOMONTH(CloseDate,'Rent Roll'!$O$30-1+'Rent Roll'!$V$30)),-AS263,0)</f>
        <v>0</v>
      </c>
      <c r="AT264" s="49">
        <f>IF(AND(AT$4&gt;=EOMONTH(CloseDate,'Rent Roll'!$O$30-1),AT$4&lt;EOMONTH(CloseDate,'Rent Roll'!$O$30-1+'Rent Roll'!$V$30)),-AT263,0)</f>
        <v>0</v>
      </c>
      <c r="AU264" s="49">
        <f>IF(AND(AU$4&gt;=EOMONTH(CloseDate,'Rent Roll'!$O$30-1),AU$4&lt;EOMONTH(CloseDate,'Rent Roll'!$O$30-1+'Rent Roll'!$V$30)),-AU263,0)</f>
        <v>0</v>
      </c>
      <c r="AV264" s="49">
        <f>IF(AND(AV$4&gt;=EOMONTH(CloseDate,'Rent Roll'!$O$30-1),AV$4&lt;EOMONTH(CloseDate,'Rent Roll'!$O$30-1+'Rent Roll'!$V$30)),-AV263,0)</f>
        <v>0</v>
      </c>
      <c r="AW264" s="49">
        <f>IF(AND(AW$4&gt;=EOMONTH(CloseDate,'Rent Roll'!$O$30-1),AW$4&lt;EOMONTH(CloseDate,'Rent Roll'!$O$30-1+'Rent Roll'!$V$30)),-AW263,0)</f>
        <v>0</v>
      </c>
      <c r="AX264" s="49">
        <f>IF(AND(AX$4&gt;=EOMONTH(CloseDate,'Rent Roll'!$O$30-1),AX$4&lt;EOMONTH(CloseDate,'Rent Roll'!$O$30-1+'Rent Roll'!$V$30)),-AX263,0)</f>
        <v>0</v>
      </c>
      <c r="AY264" s="49">
        <f>IF(AND(AY$4&gt;=EOMONTH(CloseDate,'Rent Roll'!$O$30-1),AY$4&lt;EOMONTH(CloseDate,'Rent Roll'!$O$30-1+'Rent Roll'!$V$30)),-AY263,0)</f>
        <v>0</v>
      </c>
      <c r="AZ264" s="49">
        <f>IF(AND(AZ$4&gt;=EOMONTH(CloseDate,'Rent Roll'!$O$30-1),AZ$4&lt;EOMONTH(CloseDate,'Rent Roll'!$O$30-1+'Rent Roll'!$V$30)),-AZ263,0)</f>
        <v>0</v>
      </c>
      <c r="BA264" s="49">
        <f>IF(AND(BA$4&gt;=EOMONTH(CloseDate,'Rent Roll'!$O$30-1),BA$4&lt;EOMONTH(CloseDate,'Rent Roll'!$O$30-1+'Rent Roll'!$V$30)),-BA263,0)</f>
        <v>0</v>
      </c>
      <c r="BB264" s="49">
        <f>IF(AND(BB$4&gt;=EOMONTH(CloseDate,'Rent Roll'!$O$30-1),BB$4&lt;EOMONTH(CloseDate,'Rent Roll'!$O$30-1+'Rent Roll'!$V$30)),-BB263,0)</f>
        <v>0</v>
      </c>
      <c r="BC264" s="49">
        <f>IF(AND(BC$4&gt;=EOMONTH(CloseDate,'Rent Roll'!$O$30-1),BC$4&lt;EOMONTH(CloseDate,'Rent Roll'!$O$30-1+'Rent Roll'!$V$30)),-BC263,0)</f>
        <v>0</v>
      </c>
      <c r="BD264" s="49">
        <f>IF(AND(BD$4&gt;=EOMONTH(CloseDate,'Rent Roll'!$O$30-1),BD$4&lt;EOMONTH(CloseDate,'Rent Roll'!$O$30-1+'Rent Roll'!$V$30)),-BD263,0)</f>
        <v>0</v>
      </c>
      <c r="BE264" s="49">
        <f>IF(AND(BE$4&gt;=EOMONTH(CloseDate,'Rent Roll'!$O$30-1),BE$4&lt;EOMONTH(CloseDate,'Rent Roll'!$O$30-1+'Rent Roll'!$V$30)),-BE263,0)</f>
        <v>0</v>
      </c>
      <c r="BF264" s="49">
        <f>IF(AND(BF$4&gt;=EOMONTH(CloseDate,'Rent Roll'!$O$30-1),BF$4&lt;EOMONTH(CloseDate,'Rent Roll'!$O$30-1+'Rent Roll'!$V$30)),-BF263,0)</f>
        <v>0</v>
      </c>
      <c r="BG264" s="49">
        <f>IF(AND(BG$4&gt;=EOMONTH(CloseDate,'Rent Roll'!$O$30-1),BG$4&lt;EOMONTH(CloseDate,'Rent Roll'!$O$30-1+'Rent Roll'!$V$30)),-BG263,0)</f>
        <v>0</v>
      </c>
      <c r="BH264" s="49">
        <f>IF(AND(BH$4&gt;=EOMONTH(CloseDate,'Rent Roll'!$O$30-1),BH$4&lt;EOMONTH(CloseDate,'Rent Roll'!$O$30-1+'Rent Roll'!$V$30)),-BH263,0)</f>
        <v>0</v>
      </c>
      <c r="BI264" s="49">
        <f>IF(AND(BI$4&gt;=EOMONTH(CloseDate,'Rent Roll'!$O$30-1),BI$4&lt;EOMONTH(CloseDate,'Rent Roll'!$O$30-1+'Rent Roll'!$V$30)),-BI263,0)</f>
        <v>0</v>
      </c>
      <c r="BJ264" s="49">
        <f>IF(AND(BJ$4&gt;=EOMONTH(CloseDate,'Rent Roll'!$O$30-1),BJ$4&lt;EOMONTH(CloseDate,'Rent Roll'!$O$30-1+'Rent Roll'!$V$30)),-BJ263,0)</f>
        <v>0</v>
      </c>
      <c r="BK264" s="49">
        <f>IF(AND(BK$4&gt;=EOMONTH(CloseDate,'Rent Roll'!$O$30-1),BK$4&lt;EOMONTH(CloseDate,'Rent Roll'!$O$30-1+'Rent Roll'!$V$30)),-BK263,0)</f>
        <v>0</v>
      </c>
      <c r="BL264" s="49">
        <f>IF(AND(BL$4&gt;=EOMONTH(CloseDate,'Rent Roll'!$O$30-1),BL$4&lt;EOMONTH(CloseDate,'Rent Roll'!$O$30-1+'Rent Roll'!$V$30)),-BL263,0)</f>
        <v>0</v>
      </c>
      <c r="BM264" s="49">
        <f>IF(AND(BM$4&gt;=EOMONTH(CloseDate,'Rent Roll'!$O$30-1),BM$4&lt;EOMONTH(CloseDate,'Rent Roll'!$O$30-1+'Rent Roll'!$V$30)),-BM263,0)</f>
        <v>0</v>
      </c>
      <c r="BN264" s="49">
        <f>IF(AND(BN$4&gt;=EOMONTH(CloseDate,'Rent Roll'!$O$30-1),BN$4&lt;EOMONTH(CloseDate,'Rent Roll'!$O$30-1+'Rent Roll'!$V$30)),-BN263,0)</f>
        <v>0</v>
      </c>
      <c r="BO264" s="49">
        <f>IF(AND(BO$4&gt;=EOMONTH(CloseDate,'Rent Roll'!$O$30-1),BO$4&lt;EOMONTH(CloseDate,'Rent Roll'!$O$30-1+'Rent Roll'!$V$30)),-BO263,0)</f>
        <v>0</v>
      </c>
      <c r="BP264" s="49">
        <f>IF(AND(BP$4&gt;=EOMONTH(CloseDate,'Rent Roll'!$O$30-1),BP$4&lt;EOMONTH(CloseDate,'Rent Roll'!$O$30-1+'Rent Roll'!$V$30)),-BP263,0)</f>
        <v>0</v>
      </c>
      <c r="BQ264" s="49">
        <f>IF(AND(BQ$4&gt;=EOMONTH(CloseDate,'Rent Roll'!$O$30-1),BQ$4&lt;EOMONTH(CloseDate,'Rent Roll'!$O$30-1+'Rent Roll'!$V$30)),-BQ263,0)</f>
        <v>0</v>
      </c>
      <c r="BR264" s="49">
        <f>IF(AND(BR$4&gt;=EOMONTH(CloseDate,'Rent Roll'!$O$30-1),BR$4&lt;EOMONTH(CloseDate,'Rent Roll'!$O$30-1+'Rent Roll'!$V$30)),-BR263,0)</f>
        <v>0</v>
      </c>
      <c r="BS264" s="49">
        <f>IF(AND(BS$4&gt;=EOMONTH(CloseDate,'Rent Roll'!$O$30-1),BS$4&lt;EOMONTH(CloseDate,'Rent Roll'!$O$30-1+'Rent Roll'!$V$30)),-BS263,0)</f>
        <v>0</v>
      </c>
      <c r="BT264" s="49">
        <f>IF(AND(BT$4&gt;=EOMONTH(CloseDate,'Rent Roll'!$O$30-1),BT$4&lt;EOMONTH(CloseDate,'Rent Roll'!$O$30-1+'Rent Roll'!$V$30)),-BT263,0)</f>
        <v>0</v>
      </c>
      <c r="BU264" s="49">
        <f>IF(AND(BU$4&gt;=EOMONTH(CloseDate,'Rent Roll'!$O$30-1),BU$4&lt;EOMONTH(CloseDate,'Rent Roll'!$O$30-1+'Rent Roll'!$V$30)),-BU263,0)</f>
        <v>0</v>
      </c>
      <c r="BV264" s="49">
        <f>IF(AND(BV$4&gt;=EOMONTH(CloseDate,'Rent Roll'!$O$30-1),BV$4&lt;EOMONTH(CloseDate,'Rent Roll'!$O$30-1+'Rent Roll'!$V$30)),-BV263,0)</f>
        <v>0</v>
      </c>
      <c r="BW264" s="49">
        <f>IF(AND(BW$4&gt;=EOMONTH(CloseDate,'Rent Roll'!$O$30-1),BW$4&lt;EOMONTH(CloseDate,'Rent Roll'!$O$30-1+'Rent Roll'!$V$30)),-BW263,0)</f>
        <v>0</v>
      </c>
      <c r="BX264" s="49">
        <f>IF(AND(BX$4&gt;=EOMONTH(CloseDate,'Rent Roll'!$O$30-1),BX$4&lt;EOMONTH(CloseDate,'Rent Roll'!$O$30-1+'Rent Roll'!$V$30)),-BX263,0)</f>
        <v>0</v>
      </c>
    </row>
    <row r="265" spans="1:76" collapsed="1">
      <c r="B265" t="s">
        <v>84</v>
      </c>
      <c r="D265" s="49">
        <f>D261+D263+D264</f>
        <v>0</v>
      </c>
      <c r="E265" s="49">
        <f t="shared" ref="E265:BJ265" si="86">E261+E263+E264</f>
        <v>0</v>
      </c>
      <c r="F265" s="49">
        <f t="shared" si="86"/>
        <v>0</v>
      </c>
      <c r="G265" s="49">
        <f t="shared" si="86"/>
        <v>0</v>
      </c>
      <c r="H265" s="49">
        <f t="shared" si="86"/>
        <v>0</v>
      </c>
      <c r="I265" s="49">
        <f t="shared" si="86"/>
        <v>0</v>
      </c>
      <c r="J265" s="49">
        <f t="shared" si="86"/>
        <v>0</v>
      </c>
      <c r="K265" s="49">
        <f t="shared" si="86"/>
        <v>0</v>
      </c>
      <c r="L265" s="49">
        <f t="shared" si="86"/>
        <v>0</v>
      </c>
      <c r="M265" s="49">
        <f t="shared" si="86"/>
        <v>0</v>
      </c>
      <c r="N265" s="49">
        <f t="shared" si="86"/>
        <v>18580.740749999994</v>
      </c>
      <c r="O265" s="49">
        <f t="shared" si="86"/>
        <v>18580.740749999994</v>
      </c>
      <c r="P265" s="49">
        <f t="shared" si="86"/>
        <v>18580.740749999994</v>
      </c>
      <c r="Q265" s="49">
        <f t="shared" si="86"/>
        <v>18580.740749999994</v>
      </c>
      <c r="R265" s="49">
        <f t="shared" si="86"/>
        <v>18580.740749999994</v>
      </c>
      <c r="S265" s="49">
        <f t="shared" si="86"/>
        <v>18580.740749999994</v>
      </c>
      <c r="T265" s="49">
        <f t="shared" si="86"/>
        <v>18580.740749999994</v>
      </c>
      <c r="U265" s="49">
        <f t="shared" si="86"/>
        <v>19082.420750249992</v>
      </c>
      <c r="V265" s="49">
        <f t="shared" si="86"/>
        <v>19082.420750249992</v>
      </c>
      <c r="W265" s="49">
        <f t="shared" si="86"/>
        <v>19082.420750249992</v>
      </c>
      <c r="X265" s="49">
        <f t="shared" si="86"/>
        <v>19082.420750249992</v>
      </c>
      <c r="Y265" s="49">
        <f t="shared" si="86"/>
        <v>19082.420750249992</v>
      </c>
      <c r="Z265" s="49">
        <f t="shared" si="86"/>
        <v>19082.420750249992</v>
      </c>
      <c r="AA265" s="49">
        <f t="shared" si="86"/>
        <v>19082.420750249992</v>
      </c>
      <c r="AB265" s="49">
        <f t="shared" si="86"/>
        <v>19082.420750249992</v>
      </c>
      <c r="AC265" s="49">
        <f t="shared" si="86"/>
        <v>19082.420750249992</v>
      </c>
      <c r="AD265" s="49">
        <f t="shared" si="86"/>
        <v>19082.420750249992</v>
      </c>
      <c r="AE265" s="49">
        <f t="shared" si="86"/>
        <v>19082.420750249992</v>
      </c>
      <c r="AF265" s="49">
        <f t="shared" si="86"/>
        <v>19082.420750249992</v>
      </c>
      <c r="AG265" s="49">
        <f t="shared" si="86"/>
        <v>19597.646110506743</v>
      </c>
      <c r="AH265" s="49">
        <f t="shared" si="86"/>
        <v>19597.646110506743</v>
      </c>
      <c r="AI265" s="49">
        <f t="shared" si="86"/>
        <v>19597.646110506743</v>
      </c>
      <c r="AJ265" s="49">
        <f t="shared" si="86"/>
        <v>19597.646110506743</v>
      </c>
      <c r="AK265" s="49">
        <f t="shared" si="86"/>
        <v>19597.646110506743</v>
      </c>
      <c r="AL265" s="49">
        <f t="shared" si="86"/>
        <v>19597.646110506743</v>
      </c>
      <c r="AM265" s="49">
        <f t="shared" si="86"/>
        <v>19597.646110506743</v>
      </c>
      <c r="AN265" s="49">
        <f t="shared" si="86"/>
        <v>19597.646110506743</v>
      </c>
      <c r="AO265" s="49">
        <f t="shared" si="86"/>
        <v>19597.646110506743</v>
      </c>
      <c r="AP265" s="49">
        <f t="shared" si="86"/>
        <v>19597.646110506743</v>
      </c>
      <c r="AQ265" s="49">
        <f t="shared" si="86"/>
        <v>19597.646110506743</v>
      </c>
      <c r="AR265" s="49">
        <f t="shared" si="86"/>
        <v>19597.646110506743</v>
      </c>
      <c r="AS265" s="49">
        <f t="shared" si="86"/>
        <v>20126.782555490419</v>
      </c>
      <c r="AT265" s="49">
        <f t="shared" si="86"/>
        <v>20126.782555490419</v>
      </c>
      <c r="AU265" s="49">
        <f t="shared" si="86"/>
        <v>20126.782555490419</v>
      </c>
      <c r="AV265" s="49">
        <f t="shared" si="86"/>
        <v>20126.782555490419</v>
      </c>
      <c r="AW265" s="49">
        <f t="shared" si="86"/>
        <v>20126.782555490419</v>
      </c>
      <c r="AX265" s="49">
        <f t="shared" si="86"/>
        <v>20126.782555490419</v>
      </c>
      <c r="AY265" s="49">
        <f t="shared" si="86"/>
        <v>20126.782555490419</v>
      </c>
      <c r="AZ265" s="49">
        <f t="shared" si="86"/>
        <v>20126.782555490419</v>
      </c>
      <c r="BA265" s="49">
        <f t="shared" si="86"/>
        <v>20126.782555490419</v>
      </c>
      <c r="BB265" s="49">
        <f t="shared" si="86"/>
        <v>20126.782555490419</v>
      </c>
      <c r="BC265" s="49">
        <f t="shared" si="86"/>
        <v>20126.782555490419</v>
      </c>
      <c r="BD265" s="49">
        <f t="shared" si="86"/>
        <v>20126.782555490419</v>
      </c>
      <c r="BE265" s="49">
        <f t="shared" si="86"/>
        <v>20670.205684488661</v>
      </c>
      <c r="BF265" s="49">
        <f t="shared" si="86"/>
        <v>20670.205684488661</v>
      </c>
      <c r="BG265" s="49">
        <f t="shared" si="86"/>
        <v>20670.205684488661</v>
      </c>
      <c r="BH265" s="49">
        <f t="shared" si="86"/>
        <v>20670.205684488661</v>
      </c>
      <c r="BI265" s="49">
        <f t="shared" si="86"/>
        <v>20670.205684488661</v>
      </c>
      <c r="BJ265" s="49">
        <f t="shared" si="86"/>
        <v>20670.205684488661</v>
      </c>
      <c r="BK265" s="49">
        <f t="shared" ref="BK265" si="87">BK261+BK263+BK264</f>
        <v>20670.205684488661</v>
      </c>
      <c r="BL265" s="49">
        <f t="shared" ref="BL265:BX265" si="88">BL261+BL263+BL264</f>
        <v>20670.205684488661</v>
      </c>
      <c r="BM265" s="49">
        <f t="shared" si="88"/>
        <v>20670.205684488661</v>
      </c>
      <c r="BN265" s="49">
        <f t="shared" si="88"/>
        <v>20670.205684488661</v>
      </c>
      <c r="BO265" s="49">
        <f t="shared" si="88"/>
        <v>20670.205684488661</v>
      </c>
      <c r="BP265" s="49">
        <f t="shared" si="88"/>
        <v>20670.205684488661</v>
      </c>
      <c r="BQ265" s="49">
        <f t="shared" si="88"/>
        <v>21228.301237969852</v>
      </c>
      <c r="BR265" s="49">
        <f t="shared" si="88"/>
        <v>21228.301237969852</v>
      </c>
      <c r="BS265" s="49">
        <f t="shared" si="88"/>
        <v>21228.301237969852</v>
      </c>
      <c r="BT265" s="49">
        <f t="shared" si="88"/>
        <v>21228.301237969852</v>
      </c>
      <c r="BU265" s="49">
        <f t="shared" si="88"/>
        <v>21228.301237969852</v>
      </c>
      <c r="BV265" s="49">
        <f t="shared" si="88"/>
        <v>21228.301237969852</v>
      </c>
      <c r="BW265" s="49">
        <f t="shared" si="88"/>
        <v>21228.301237969852</v>
      </c>
      <c r="BX265" s="49">
        <f t="shared" si="88"/>
        <v>21228.301237969852</v>
      </c>
    </row>
    <row r="266" spans="1:76">
      <c r="B266" t="s">
        <v>85</v>
      </c>
      <c r="D266" s="49">
        <f>IF(D262=1,'Rent Roll'!$F$30/BldgSF*ReimbPool/12*D$7,0)</f>
        <v>0</v>
      </c>
      <c r="E266" s="49">
        <f>IF(E262=1,'Rent Roll'!$F$30/BldgSF*ReimbPool/12*E$7,0)</f>
        <v>0</v>
      </c>
      <c r="F266" s="49">
        <f>IF(F262=1,'Rent Roll'!$F$30/BldgSF*ReimbPool/12*F$7,0)</f>
        <v>0</v>
      </c>
      <c r="G266" s="49">
        <f>IF(G262=1,'Rent Roll'!$F$30/BldgSF*ReimbPool/12*G$7,0)</f>
        <v>0</v>
      </c>
      <c r="H266" s="49">
        <f>IF(H262=1,'Rent Roll'!$F$30/BldgSF*ReimbPool/12*H$7,0)</f>
        <v>0</v>
      </c>
      <c r="I266" s="49">
        <f>IF(I262=1,'Rent Roll'!$F$30/BldgSF*ReimbPool/12*I$7,0)</f>
        <v>0</v>
      </c>
      <c r="J266" s="49">
        <f>IF(J262=1,'Rent Roll'!$F$30/BldgSF*ReimbPool/12*J$7,0)</f>
        <v>0</v>
      </c>
      <c r="K266" s="49">
        <f>IF(K262=1,'Rent Roll'!$F$30/BldgSF*ReimbPool/12*K$7,0)</f>
        <v>0</v>
      </c>
      <c r="L266" s="49">
        <f>IF(L262=1,'Rent Roll'!$F$30/BldgSF*ReimbPool/12*L$7,0)</f>
        <v>7885.3059999999996</v>
      </c>
      <c r="M266" s="49">
        <f>IF(M262=1,'Rent Roll'!$F$30/BldgSF*ReimbPool/12*M$7,0)</f>
        <v>7885.3059999999996</v>
      </c>
      <c r="N266" s="49">
        <f>IF(N262=1,'Rent Roll'!$F$30/BldgSF*ReimbPool/12*N$7,0)</f>
        <v>7885.3059999999996</v>
      </c>
      <c r="O266" s="49">
        <f>IF(O262=1,'Rent Roll'!$F$30/BldgSF*ReimbPool/12*O$7,0)</f>
        <v>7885.3059999999996</v>
      </c>
      <c r="P266" s="49">
        <f>IF(P262=1,'Rent Roll'!$F$30/BldgSF*ReimbPool/12*P$7,0)</f>
        <v>7885.3059999999996</v>
      </c>
      <c r="Q266" s="49">
        <f>IF(Q262=1,'Rent Roll'!$F$30/BldgSF*ReimbPool/12*Q$7,0)</f>
        <v>7885.3059999999996</v>
      </c>
      <c r="R266" s="49">
        <f>IF(R262=1,'Rent Roll'!$F$30/BldgSF*ReimbPool/12*R$7,0)</f>
        <v>7885.3059999999996</v>
      </c>
      <c r="S266" s="49">
        <f>IF(S262=1,'Rent Roll'!$F$30/BldgSF*ReimbPool/12*S$7,0)</f>
        <v>7885.3059999999996</v>
      </c>
      <c r="T266" s="49">
        <f>IF(T262=1,'Rent Roll'!$F$30/BldgSF*ReimbPool/12*T$7,0)</f>
        <v>7885.3059999999996</v>
      </c>
      <c r="U266" s="49">
        <f>IF(U262=1,'Rent Roll'!$F$30/BldgSF*ReimbPool/12*U$7,0)</f>
        <v>8098.2092619999985</v>
      </c>
      <c r="V266" s="49">
        <f>IF(V262=1,'Rent Roll'!$F$30/BldgSF*ReimbPool/12*V$7,0)</f>
        <v>8098.2092619999985</v>
      </c>
      <c r="W266" s="49">
        <f>IF(W262=1,'Rent Roll'!$F$30/BldgSF*ReimbPool/12*W$7,0)</f>
        <v>8098.2092619999985</v>
      </c>
      <c r="X266" s="49">
        <f>IF(X262=1,'Rent Roll'!$F$30/BldgSF*ReimbPool/12*X$7,0)</f>
        <v>8098.2092619999985</v>
      </c>
      <c r="Y266" s="49">
        <f>IF(Y262=1,'Rent Roll'!$F$30/BldgSF*ReimbPool/12*Y$7,0)</f>
        <v>8098.2092619999985</v>
      </c>
      <c r="Z266" s="49">
        <f>IF(Z262=1,'Rent Roll'!$F$30/BldgSF*ReimbPool/12*Z$7,0)</f>
        <v>8098.2092619999985</v>
      </c>
      <c r="AA266" s="49">
        <f>IF(AA262=1,'Rent Roll'!$F$30/BldgSF*ReimbPool/12*AA$7,0)</f>
        <v>8098.2092619999985</v>
      </c>
      <c r="AB266" s="49">
        <f>IF(AB262=1,'Rent Roll'!$F$30/BldgSF*ReimbPool/12*AB$7,0)</f>
        <v>8098.2092619999985</v>
      </c>
      <c r="AC266" s="49">
        <f>IF(AC262=1,'Rent Roll'!$F$30/BldgSF*ReimbPool/12*AC$7,0)</f>
        <v>8098.2092619999985</v>
      </c>
      <c r="AD266" s="49">
        <f>IF(AD262=1,'Rent Roll'!$F$30/BldgSF*ReimbPool/12*AD$7,0)</f>
        <v>8098.2092619999985</v>
      </c>
      <c r="AE266" s="49">
        <f>IF(AE262=1,'Rent Roll'!$F$30/BldgSF*ReimbPool/12*AE$7,0)</f>
        <v>8098.2092619999985</v>
      </c>
      <c r="AF266" s="49">
        <f>IF(AF262=1,'Rent Roll'!$F$30/BldgSF*ReimbPool/12*AF$7,0)</f>
        <v>8098.2092619999985</v>
      </c>
      <c r="AG266" s="49">
        <f>IF(AG262=1,'Rent Roll'!$F$30/BldgSF*ReimbPool/12*AG$7,0)</f>
        <v>8316.8609120739984</v>
      </c>
      <c r="AH266" s="49">
        <f>IF(AH262=1,'Rent Roll'!$F$30/BldgSF*ReimbPool/12*AH$7,0)</f>
        <v>8316.8609120739984</v>
      </c>
      <c r="AI266" s="49">
        <f>IF(AI262=1,'Rent Roll'!$F$30/BldgSF*ReimbPool/12*AI$7,0)</f>
        <v>8316.8609120739984</v>
      </c>
      <c r="AJ266" s="49">
        <f>IF(AJ262=1,'Rent Roll'!$F$30/BldgSF*ReimbPool/12*AJ$7,0)</f>
        <v>8316.8609120739984</v>
      </c>
      <c r="AK266" s="49">
        <f>IF(AK262=1,'Rent Roll'!$F$30/BldgSF*ReimbPool/12*AK$7,0)</f>
        <v>8316.8609120739984</v>
      </c>
      <c r="AL266" s="49">
        <f>IF(AL262=1,'Rent Roll'!$F$30/BldgSF*ReimbPool/12*AL$7,0)</f>
        <v>8316.8609120739984</v>
      </c>
      <c r="AM266" s="49">
        <f>IF(AM262=1,'Rent Roll'!$F$30/BldgSF*ReimbPool/12*AM$7,0)</f>
        <v>8316.8609120739984</v>
      </c>
      <c r="AN266" s="49">
        <f>IF(AN262=1,'Rent Roll'!$F$30/BldgSF*ReimbPool/12*AN$7,0)</f>
        <v>8316.8609120739984</v>
      </c>
      <c r="AO266" s="49">
        <f>IF(AO262=1,'Rent Roll'!$F$30/BldgSF*ReimbPool/12*AO$7,0)</f>
        <v>8316.8609120739984</v>
      </c>
      <c r="AP266" s="49">
        <f>IF(AP262=1,'Rent Roll'!$F$30/BldgSF*ReimbPool/12*AP$7,0)</f>
        <v>8316.8609120739984</v>
      </c>
      <c r="AQ266" s="49">
        <f>IF(AQ262=1,'Rent Roll'!$F$30/BldgSF*ReimbPool/12*AQ$7,0)</f>
        <v>8316.8609120739984</v>
      </c>
      <c r="AR266" s="49">
        <f>IF(AR262=1,'Rent Roll'!$F$30/BldgSF*ReimbPool/12*AR$7,0)</f>
        <v>8316.8609120739984</v>
      </c>
      <c r="AS266" s="49">
        <f>IF(AS262=1,'Rent Roll'!$F$30/BldgSF*ReimbPool/12*AS$7,0)</f>
        <v>8541.4161566999956</v>
      </c>
      <c r="AT266" s="49">
        <f>IF(AT262=1,'Rent Roll'!$F$30/BldgSF*ReimbPool/12*AT$7,0)</f>
        <v>8541.4161566999956</v>
      </c>
      <c r="AU266" s="49">
        <f>IF(AU262=1,'Rent Roll'!$F$30/BldgSF*ReimbPool/12*AU$7,0)</f>
        <v>8541.4161566999956</v>
      </c>
      <c r="AV266" s="49">
        <f>IF(AV262=1,'Rent Roll'!$F$30/BldgSF*ReimbPool/12*AV$7,0)</f>
        <v>8541.4161566999956</v>
      </c>
      <c r="AW266" s="49">
        <f>IF(AW262=1,'Rent Roll'!$F$30/BldgSF*ReimbPool/12*AW$7,0)</f>
        <v>8541.4161566999956</v>
      </c>
      <c r="AX266" s="49">
        <f>IF(AX262=1,'Rent Roll'!$F$30/BldgSF*ReimbPool/12*AX$7,0)</f>
        <v>8541.4161566999956</v>
      </c>
      <c r="AY266" s="49">
        <f>IF(AY262=1,'Rent Roll'!$F$30/BldgSF*ReimbPool/12*AY$7,0)</f>
        <v>8541.4161566999956</v>
      </c>
      <c r="AZ266" s="49">
        <f>IF(AZ262=1,'Rent Roll'!$F$30/BldgSF*ReimbPool/12*AZ$7,0)</f>
        <v>8541.4161566999956</v>
      </c>
      <c r="BA266" s="49">
        <f>IF(BA262=1,'Rent Roll'!$F$30/BldgSF*ReimbPool/12*BA$7,0)</f>
        <v>8541.4161566999956</v>
      </c>
      <c r="BB266" s="49">
        <f>IF(BB262=1,'Rent Roll'!$F$30/BldgSF*ReimbPool/12*BB$7,0)</f>
        <v>8541.4161566999956</v>
      </c>
      <c r="BC266" s="49">
        <f>IF(BC262=1,'Rent Roll'!$F$30/BldgSF*ReimbPool/12*BC$7,0)</f>
        <v>8541.4161566999956</v>
      </c>
      <c r="BD266" s="49">
        <f>IF(BD262=1,'Rent Roll'!$F$30/BldgSF*ReimbPool/12*BD$7,0)</f>
        <v>8541.4161566999956</v>
      </c>
      <c r="BE266" s="49">
        <f>IF(BE262=1,'Rent Roll'!$F$30/BldgSF*ReimbPool/12*BE$7,0)</f>
        <v>8772.0343929308947</v>
      </c>
      <c r="BF266" s="49">
        <f>IF(BF262=1,'Rent Roll'!$F$30/BldgSF*ReimbPool/12*BF$7,0)</f>
        <v>8772.0343929308947</v>
      </c>
      <c r="BG266" s="49">
        <f>IF(BG262=1,'Rent Roll'!$F$30/BldgSF*ReimbPool/12*BG$7,0)</f>
        <v>8772.0343929308947</v>
      </c>
      <c r="BH266" s="49">
        <f>IF(BH262=1,'Rent Roll'!$F$30/BldgSF*ReimbPool/12*BH$7,0)</f>
        <v>8772.0343929308947</v>
      </c>
      <c r="BI266" s="49">
        <f>IF(BI262=1,'Rent Roll'!$F$30/BldgSF*ReimbPool/12*BI$7,0)</f>
        <v>8772.0343929308947</v>
      </c>
      <c r="BJ266" s="49">
        <f>IF(BJ262=1,'Rent Roll'!$F$30/BldgSF*ReimbPool/12*BJ$7,0)</f>
        <v>8772.0343929308947</v>
      </c>
      <c r="BK266" s="49">
        <f>IF(BK262=1,'Rent Roll'!$F$30/BldgSF*ReimbPool/12*BK$7,0)</f>
        <v>8772.0343929308947</v>
      </c>
      <c r="BL266" s="49">
        <f>IF(BL262=1,'Rent Roll'!$F$30/BldgSF*ReimbPool/12*BL$7,0)</f>
        <v>8772.0343929308947</v>
      </c>
      <c r="BM266" s="49">
        <f>IF(BM262=1,'Rent Roll'!$F$30/BldgSF*ReimbPool/12*BM$7,0)</f>
        <v>8772.0343929308947</v>
      </c>
      <c r="BN266" s="49">
        <f>IF(BN262=1,'Rent Roll'!$F$30/BldgSF*ReimbPool/12*BN$7,0)</f>
        <v>8772.0343929308947</v>
      </c>
      <c r="BO266" s="49">
        <f>IF(BO262=1,'Rent Roll'!$F$30/BldgSF*ReimbPool/12*BO$7,0)</f>
        <v>8772.0343929308947</v>
      </c>
      <c r="BP266" s="49">
        <f>IF(BP262=1,'Rent Roll'!$F$30/BldgSF*ReimbPool/12*BP$7,0)</f>
        <v>8772.0343929308947</v>
      </c>
      <c r="BQ266" s="49">
        <f>IF(BQ262=1,'Rent Roll'!$F$30/BldgSF*ReimbPool/12*BQ$7,0)</f>
        <v>9008.8793215400274</v>
      </c>
      <c r="BR266" s="49">
        <f>IF(BR262=1,'Rent Roll'!$F$30/BldgSF*ReimbPool/12*BR$7,0)</f>
        <v>9008.8793215400274</v>
      </c>
      <c r="BS266" s="49">
        <f>IF(BS262=1,'Rent Roll'!$F$30/BldgSF*ReimbPool/12*BS$7,0)</f>
        <v>9008.8793215400274</v>
      </c>
      <c r="BT266" s="49">
        <f>IF(BT262=1,'Rent Roll'!$F$30/BldgSF*ReimbPool/12*BT$7,0)</f>
        <v>9008.8793215400274</v>
      </c>
      <c r="BU266" s="49">
        <f>IF(BU262=1,'Rent Roll'!$F$30/BldgSF*ReimbPool/12*BU$7,0)</f>
        <v>9008.8793215400274</v>
      </c>
      <c r="BV266" s="49">
        <f>IF(BV262=1,'Rent Roll'!$F$30/BldgSF*ReimbPool/12*BV$7,0)</f>
        <v>9008.8793215400274</v>
      </c>
      <c r="BW266" s="49">
        <f>IF(BW262=1,'Rent Roll'!$F$30/BldgSF*ReimbPool/12*BW$7,0)</f>
        <v>9008.8793215400274</v>
      </c>
      <c r="BX266" s="49">
        <f>IF(BX262=1,'Rent Roll'!$F$30/BldgSF*ReimbPool/12*BX$7,0)</f>
        <v>9008.8793215400274</v>
      </c>
    </row>
    <row r="267" spans="1:76" hidden="1" outlineLevel="1">
      <c r="B267" t="s">
        <v>86</v>
      </c>
      <c r="D267" s="49">
        <f>IF(D$4=EOMONTH(CloseDate,'Rent Roll'!$O$30-1),-'Rent Roll'!$F$30*'Rent Roll'!$T$30,0)</f>
        <v>0</v>
      </c>
      <c r="E267" s="49">
        <f>IF(E$4=EOMONTH(CloseDate,'Rent Roll'!$O$30-1),-'Rent Roll'!$F$30*'Rent Roll'!$T$30,0)</f>
        <v>0</v>
      </c>
      <c r="F267" s="49">
        <f>IF(F$4=EOMONTH(CloseDate,'Rent Roll'!$O$30-1),-'Rent Roll'!$F$30*'Rent Roll'!$T$30,0)</f>
        <v>0</v>
      </c>
      <c r="G267" s="49">
        <f>IF(G$4=EOMONTH(CloseDate,'Rent Roll'!$O$30-1),-'Rent Roll'!$F$30*'Rent Roll'!$T$30,0)</f>
        <v>0</v>
      </c>
      <c r="H267" s="49">
        <f>IF(H$4=EOMONTH(CloseDate,'Rent Roll'!$O$30-1),-'Rent Roll'!$F$30*'Rent Roll'!$T$30,0)</f>
        <v>0</v>
      </c>
      <c r="I267" s="49">
        <f>IF(I$4=EOMONTH(CloseDate,'Rent Roll'!$O$30-1),-'Rent Roll'!$F$30*'Rent Roll'!$T$30,0)</f>
        <v>0</v>
      </c>
      <c r="J267" s="49">
        <f>IF(J$4=EOMONTH(CloseDate,'Rent Roll'!$O$30-1),-'Rent Roll'!$F$30*'Rent Roll'!$T$30,0)</f>
        <v>0</v>
      </c>
      <c r="K267" s="49">
        <f>IF(K$4=EOMONTH(CloseDate,'Rent Roll'!$O$30-1),-'Rent Roll'!$F$30*'Rent Roll'!$T$30,0)</f>
        <v>0</v>
      </c>
      <c r="L267" s="49">
        <f>IF(L$4=EOMONTH(CloseDate,'Rent Roll'!$O$30-1),-'Rent Roll'!$F$30*'Rent Roll'!$T$30,0)</f>
        <v>-316800</v>
      </c>
      <c r="M267" s="49">
        <f>IF(M$4=EOMONTH(CloseDate,'Rent Roll'!$O$30-1),-'Rent Roll'!$F$30*'Rent Roll'!$T$30,0)</f>
        <v>0</v>
      </c>
      <c r="N267" s="49">
        <f>IF(N$4=EOMONTH(CloseDate,'Rent Roll'!$O$30-1),-'Rent Roll'!$F$30*'Rent Roll'!$T$30,0)</f>
        <v>0</v>
      </c>
      <c r="O267" s="49">
        <f>IF(O$4=EOMONTH(CloseDate,'Rent Roll'!$O$30-1),-'Rent Roll'!$F$30*'Rent Roll'!$T$30,0)</f>
        <v>0</v>
      </c>
      <c r="P267" s="49">
        <f>IF(P$4=EOMONTH(CloseDate,'Rent Roll'!$O$30-1),-'Rent Roll'!$F$30*'Rent Roll'!$T$30,0)</f>
        <v>0</v>
      </c>
      <c r="Q267" s="49">
        <f>IF(Q$4=EOMONTH(CloseDate,'Rent Roll'!$O$30-1),-'Rent Roll'!$F$30*'Rent Roll'!$T$30,0)</f>
        <v>0</v>
      </c>
      <c r="R267" s="49">
        <f>IF(R$4=EOMONTH(CloseDate,'Rent Roll'!$O$30-1),-'Rent Roll'!$F$30*'Rent Roll'!$T$30,0)</f>
        <v>0</v>
      </c>
      <c r="S267" s="49">
        <f>IF(S$4=EOMONTH(CloseDate,'Rent Roll'!$O$30-1),-'Rent Roll'!$F$30*'Rent Roll'!$T$30,0)</f>
        <v>0</v>
      </c>
      <c r="T267" s="49">
        <f>IF(T$4=EOMONTH(CloseDate,'Rent Roll'!$O$30-1),-'Rent Roll'!$F$30*'Rent Roll'!$T$30,0)</f>
        <v>0</v>
      </c>
      <c r="U267" s="49">
        <f>IF(U$4=EOMONTH(CloseDate,'Rent Roll'!$O$30-1),-'Rent Roll'!$F$30*'Rent Roll'!$T$30,0)</f>
        <v>0</v>
      </c>
      <c r="V267" s="49">
        <f>IF(V$4=EOMONTH(CloseDate,'Rent Roll'!$O$30-1),-'Rent Roll'!$F$30*'Rent Roll'!$T$30,0)</f>
        <v>0</v>
      </c>
      <c r="W267" s="49">
        <f>IF(W$4=EOMONTH(CloseDate,'Rent Roll'!$O$30-1),-'Rent Roll'!$F$30*'Rent Roll'!$T$30,0)</f>
        <v>0</v>
      </c>
      <c r="X267" s="49">
        <f>IF(X$4=EOMONTH(CloseDate,'Rent Roll'!$O$30-1),-'Rent Roll'!$F$30*'Rent Roll'!$T$30,0)</f>
        <v>0</v>
      </c>
      <c r="Y267" s="49">
        <f>IF(Y$4=EOMONTH(CloseDate,'Rent Roll'!$O$30-1),-'Rent Roll'!$F$30*'Rent Roll'!$T$30,0)</f>
        <v>0</v>
      </c>
      <c r="Z267" s="49">
        <f>IF(Z$4=EOMONTH(CloseDate,'Rent Roll'!$O$30-1),-'Rent Roll'!$F$30*'Rent Roll'!$T$30,0)</f>
        <v>0</v>
      </c>
      <c r="AA267" s="49">
        <f>IF(AA$4=EOMONTH(CloseDate,'Rent Roll'!$O$30-1),-'Rent Roll'!$F$30*'Rent Roll'!$T$30,0)</f>
        <v>0</v>
      </c>
      <c r="AB267" s="49">
        <f>IF(AB$4=EOMONTH(CloseDate,'Rent Roll'!$O$30-1),-'Rent Roll'!$F$30*'Rent Roll'!$T$30,0)</f>
        <v>0</v>
      </c>
      <c r="AC267" s="49">
        <f>IF(AC$4=EOMONTH(CloseDate,'Rent Roll'!$O$30-1),-'Rent Roll'!$F$30*'Rent Roll'!$T$30,0)</f>
        <v>0</v>
      </c>
      <c r="AD267" s="49">
        <f>IF(AD$4=EOMONTH(CloseDate,'Rent Roll'!$O$30-1),-'Rent Roll'!$F$30*'Rent Roll'!$T$30,0)</f>
        <v>0</v>
      </c>
      <c r="AE267" s="49">
        <f>IF(AE$4=EOMONTH(CloseDate,'Rent Roll'!$O$30-1),-'Rent Roll'!$F$30*'Rent Roll'!$T$30,0)</f>
        <v>0</v>
      </c>
      <c r="AF267" s="49">
        <f>IF(AF$4=EOMONTH(CloseDate,'Rent Roll'!$O$30-1),-'Rent Roll'!$F$30*'Rent Roll'!$T$30,0)</f>
        <v>0</v>
      </c>
      <c r="AG267" s="49">
        <f>IF(AG$4=EOMONTH(CloseDate,'Rent Roll'!$O$30-1),-'Rent Roll'!$F$30*'Rent Roll'!$T$30,0)</f>
        <v>0</v>
      </c>
      <c r="AH267" s="49">
        <f>IF(AH$4=EOMONTH(CloseDate,'Rent Roll'!$O$30-1),-'Rent Roll'!$F$30*'Rent Roll'!$T$30,0)</f>
        <v>0</v>
      </c>
      <c r="AI267" s="49">
        <f>IF(AI$4=EOMONTH(CloseDate,'Rent Roll'!$O$30-1),-'Rent Roll'!$F$30*'Rent Roll'!$T$30,0)</f>
        <v>0</v>
      </c>
      <c r="AJ267" s="49">
        <f>IF(AJ$4=EOMONTH(CloseDate,'Rent Roll'!$O$30-1),-'Rent Roll'!$F$30*'Rent Roll'!$T$30,0)</f>
        <v>0</v>
      </c>
      <c r="AK267" s="49">
        <f>IF(AK$4=EOMONTH(CloseDate,'Rent Roll'!$O$30-1),-'Rent Roll'!$F$30*'Rent Roll'!$T$30,0)</f>
        <v>0</v>
      </c>
      <c r="AL267" s="49">
        <f>IF(AL$4=EOMONTH(CloseDate,'Rent Roll'!$O$30-1),-'Rent Roll'!$F$30*'Rent Roll'!$T$30,0)</f>
        <v>0</v>
      </c>
      <c r="AM267" s="49">
        <f>IF(AM$4=EOMONTH(CloseDate,'Rent Roll'!$O$30-1),-'Rent Roll'!$F$30*'Rent Roll'!$T$30,0)</f>
        <v>0</v>
      </c>
      <c r="AN267" s="49">
        <f>IF(AN$4=EOMONTH(CloseDate,'Rent Roll'!$O$30-1),-'Rent Roll'!$F$30*'Rent Roll'!$T$30,0)</f>
        <v>0</v>
      </c>
      <c r="AO267" s="49">
        <f>IF(AO$4=EOMONTH(CloseDate,'Rent Roll'!$O$30-1),-'Rent Roll'!$F$30*'Rent Roll'!$T$30,0)</f>
        <v>0</v>
      </c>
      <c r="AP267" s="49">
        <f>IF(AP$4=EOMONTH(CloseDate,'Rent Roll'!$O$30-1),-'Rent Roll'!$F$30*'Rent Roll'!$T$30,0)</f>
        <v>0</v>
      </c>
      <c r="AQ267" s="49">
        <f>IF(AQ$4=EOMONTH(CloseDate,'Rent Roll'!$O$30-1),-'Rent Roll'!$F$30*'Rent Roll'!$T$30,0)</f>
        <v>0</v>
      </c>
      <c r="AR267" s="49">
        <f>IF(AR$4=EOMONTH(CloseDate,'Rent Roll'!$O$30-1),-'Rent Roll'!$F$30*'Rent Roll'!$T$30,0)</f>
        <v>0</v>
      </c>
      <c r="AS267" s="49">
        <f>IF(AS$4=EOMONTH(CloseDate,'Rent Roll'!$O$30-1),-'Rent Roll'!$F$30*'Rent Roll'!$T$30,0)</f>
        <v>0</v>
      </c>
      <c r="AT267" s="49">
        <f>IF(AT$4=EOMONTH(CloseDate,'Rent Roll'!$O$30-1),-'Rent Roll'!$F$30*'Rent Roll'!$T$30,0)</f>
        <v>0</v>
      </c>
      <c r="AU267" s="49">
        <f>IF(AU$4=EOMONTH(CloseDate,'Rent Roll'!$O$30-1),-'Rent Roll'!$F$30*'Rent Roll'!$T$30,0)</f>
        <v>0</v>
      </c>
      <c r="AV267" s="49">
        <f>IF(AV$4=EOMONTH(CloseDate,'Rent Roll'!$O$30-1),-'Rent Roll'!$F$30*'Rent Roll'!$T$30,0)</f>
        <v>0</v>
      </c>
      <c r="AW267" s="49">
        <f>IF(AW$4=EOMONTH(CloseDate,'Rent Roll'!$O$30-1),-'Rent Roll'!$F$30*'Rent Roll'!$T$30,0)</f>
        <v>0</v>
      </c>
      <c r="AX267" s="49">
        <f>IF(AX$4=EOMONTH(CloseDate,'Rent Roll'!$O$30-1),-'Rent Roll'!$F$30*'Rent Roll'!$T$30,0)</f>
        <v>0</v>
      </c>
      <c r="AY267" s="49">
        <f>IF(AY$4=EOMONTH(CloseDate,'Rent Roll'!$O$30-1),-'Rent Roll'!$F$30*'Rent Roll'!$T$30,0)</f>
        <v>0</v>
      </c>
      <c r="AZ267" s="49">
        <f>IF(AZ$4=EOMONTH(CloseDate,'Rent Roll'!$O$30-1),-'Rent Roll'!$F$30*'Rent Roll'!$T$30,0)</f>
        <v>0</v>
      </c>
      <c r="BA267" s="49">
        <f>IF(BA$4=EOMONTH(CloseDate,'Rent Roll'!$O$30-1),-'Rent Roll'!$F$30*'Rent Roll'!$T$30,0)</f>
        <v>0</v>
      </c>
      <c r="BB267" s="49">
        <f>IF(BB$4=EOMONTH(CloseDate,'Rent Roll'!$O$30-1),-'Rent Roll'!$F$30*'Rent Roll'!$T$30,0)</f>
        <v>0</v>
      </c>
      <c r="BC267" s="49">
        <f>IF(BC$4=EOMONTH(CloseDate,'Rent Roll'!$O$30-1),-'Rent Roll'!$F$30*'Rent Roll'!$T$30,0)</f>
        <v>0</v>
      </c>
      <c r="BD267" s="49">
        <f>IF(BD$4=EOMONTH(CloseDate,'Rent Roll'!$O$30-1),-'Rent Roll'!$F$30*'Rent Roll'!$T$30,0)</f>
        <v>0</v>
      </c>
      <c r="BE267" s="49">
        <f>IF(BE$4=EOMONTH(CloseDate,'Rent Roll'!$O$30-1),-'Rent Roll'!$F$30*'Rent Roll'!$T$30,0)</f>
        <v>0</v>
      </c>
      <c r="BF267" s="49">
        <f>IF(BF$4=EOMONTH(CloseDate,'Rent Roll'!$O$30-1),-'Rent Roll'!$F$30*'Rent Roll'!$T$30,0)</f>
        <v>0</v>
      </c>
      <c r="BG267" s="49">
        <f>IF(BG$4=EOMONTH(CloseDate,'Rent Roll'!$O$30-1),-'Rent Roll'!$F$30*'Rent Roll'!$T$30,0)</f>
        <v>0</v>
      </c>
      <c r="BH267" s="49">
        <f>IF(BH$4=EOMONTH(CloseDate,'Rent Roll'!$O$30-1),-'Rent Roll'!$F$30*'Rent Roll'!$T$30,0)</f>
        <v>0</v>
      </c>
      <c r="BI267" s="49">
        <f>IF(BI$4=EOMONTH(CloseDate,'Rent Roll'!$O$30-1),-'Rent Roll'!$F$30*'Rent Roll'!$T$30,0)</f>
        <v>0</v>
      </c>
      <c r="BJ267" s="49">
        <f>IF(BJ$4=EOMONTH(CloseDate,'Rent Roll'!$O$30-1),-'Rent Roll'!$F$30*'Rent Roll'!$T$30,0)</f>
        <v>0</v>
      </c>
      <c r="BK267" s="49">
        <f>IF(BK$4=EOMONTH(CloseDate,'Rent Roll'!$O$30-1),-'Rent Roll'!$F$30*'Rent Roll'!$T$30,0)</f>
        <v>0</v>
      </c>
      <c r="BL267" s="49">
        <f>IF(BL$4=EOMONTH(CloseDate,'Rent Roll'!$O$30-1),-'Rent Roll'!$F$30*'Rent Roll'!$T$30,0)</f>
        <v>0</v>
      </c>
      <c r="BM267" s="49">
        <f>IF(BM$4=EOMONTH(CloseDate,'Rent Roll'!$O$30-1),-'Rent Roll'!$F$30*'Rent Roll'!$T$30,0)</f>
        <v>0</v>
      </c>
      <c r="BN267" s="49">
        <f>IF(BN$4=EOMONTH(CloseDate,'Rent Roll'!$O$30-1),-'Rent Roll'!$F$30*'Rent Roll'!$T$30,0)</f>
        <v>0</v>
      </c>
      <c r="BO267" s="49">
        <f>IF(BO$4=EOMONTH(CloseDate,'Rent Roll'!$O$30-1),-'Rent Roll'!$F$30*'Rent Roll'!$T$30,0)</f>
        <v>0</v>
      </c>
      <c r="BP267" s="49">
        <f>IF(BP$4=EOMONTH(CloseDate,'Rent Roll'!$O$30-1),-'Rent Roll'!$F$30*'Rent Roll'!$T$30,0)</f>
        <v>0</v>
      </c>
      <c r="BQ267" s="49">
        <f>IF(BQ$4=EOMONTH(CloseDate,'Rent Roll'!$O$30-1),-'Rent Roll'!$F$30*'Rent Roll'!$T$30,0)</f>
        <v>0</v>
      </c>
      <c r="BR267" s="49">
        <f>IF(BR$4=EOMONTH(CloseDate,'Rent Roll'!$O$30-1),-'Rent Roll'!$F$30*'Rent Roll'!$T$30,0)</f>
        <v>0</v>
      </c>
      <c r="BS267" s="49">
        <f>IF(BS$4=EOMONTH(CloseDate,'Rent Roll'!$O$30-1),-'Rent Roll'!$F$30*'Rent Roll'!$T$30,0)</f>
        <v>0</v>
      </c>
      <c r="BT267" s="49">
        <f>IF(BT$4=EOMONTH(CloseDate,'Rent Roll'!$O$30-1),-'Rent Roll'!$F$30*'Rent Roll'!$T$30,0)</f>
        <v>0</v>
      </c>
      <c r="BU267" s="49">
        <f>IF(BU$4=EOMONTH(CloseDate,'Rent Roll'!$O$30-1),-'Rent Roll'!$F$30*'Rent Roll'!$T$30,0)</f>
        <v>0</v>
      </c>
      <c r="BV267" s="49">
        <f>IF(BV$4=EOMONTH(CloseDate,'Rent Roll'!$O$30-1),-'Rent Roll'!$F$30*'Rent Roll'!$T$30,0)</f>
        <v>0</v>
      </c>
      <c r="BW267" s="49">
        <f>IF(BW$4=EOMONTH(CloseDate,'Rent Roll'!$O$30-1),-'Rent Roll'!$F$30*'Rent Roll'!$T$30,0)</f>
        <v>0</v>
      </c>
      <c r="BX267" s="49">
        <f>IF(BX$4=EOMONTH(CloseDate,'Rent Roll'!$O$30-1),-'Rent Roll'!$F$30*'Rent Roll'!$T$30,0)</f>
        <v>0</v>
      </c>
    </row>
    <row r="268" spans="1:76" hidden="1" outlineLevel="1">
      <c r="B268" t="s">
        <v>87</v>
      </c>
      <c r="D268" s="49">
        <f>IF(D$4=EOMONTH(CloseDate,'Rent Roll'!$O$30-1),-'Rent Roll'!$U$30*'Rent Roll'!$F$30*'Rent Roll'!$X$30,0)</f>
        <v>0</v>
      </c>
      <c r="E268" s="49">
        <f>IF(E$4=EOMONTH(CloseDate,'Rent Roll'!$O$30-1),-'Rent Roll'!$U$30*'Rent Roll'!$F$30*'Rent Roll'!$X$30,0)</f>
        <v>0</v>
      </c>
      <c r="F268" s="49">
        <f>IF(F$4=EOMONTH(CloseDate,'Rent Roll'!$O$30-1),-'Rent Roll'!$U$30*'Rent Roll'!$F$30*'Rent Roll'!$X$30,0)</f>
        <v>0</v>
      </c>
      <c r="G268" s="49">
        <f>IF(G$4=EOMONTH(CloseDate,'Rent Roll'!$O$30-1),-'Rent Roll'!$U$30*'Rent Roll'!$F$30*'Rent Roll'!$X$30,0)</f>
        <v>0</v>
      </c>
      <c r="H268" s="49">
        <f>IF(H$4=EOMONTH(CloseDate,'Rent Roll'!$O$30-1),-'Rent Roll'!$U$30*'Rent Roll'!$F$30*'Rent Roll'!$X$30,0)</f>
        <v>0</v>
      </c>
      <c r="I268" s="49">
        <f>IF(I$4=EOMONTH(CloseDate,'Rent Roll'!$O$30-1),-'Rent Roll'!$U$30*'Rent Roll'!$F$30*'Rent Roll'!$X$30,0)</f>
        <v>0</v>
      </c>
      <c r="J268" s="49">
        <f>IF(J$4=EOMONTH(CloseDate,'Rent Roll'!$O$30-1),-'Rent Roll'!$U$30*'Rent Roll'!$F$30*'Rent Roll'!$X$30,0)</f>
        <v>0</v>
      </c>
      <c r="K268" s="49">
        <f>IF(K$4=EOMONTH(CloseDate,'Rent Roll'!$O$30-1),-'Rent Roll'!$U$30*'Rent Roll'!$F$30*'Rent Roll'!$X$30,0)</f>
        <v>0</v>
      </c>
      <c r="L268" s="49">
        <f>IF(L$4=EOMONTH(CloseDate,'Rent Roll'!$O$30-1),-'Rent Roll'!$U$30*'Rent Roll'!$F$30*'Rent Roll'!$X$30,0)</f>
        <v>-10855.349999999999</v>
      </c>
      <c r="M268" s="49">
        <f>IF(M$4=EOMONTH(CloseDate,'Rent Roll'!$O$30-1),-'Rent Roll'!$U$30*'Rent Roll'!$F$30*'Rent Roll'!$X$30,0)</f>
        <v>0</v>
      </c>
      <c r="N268" s="49">
        <f>IF(N$4=EOMONTH(CloseDate,'Rent Roll'!$O$30-1),-'Rent Roll'!$U$30*'Rent Roll'!$F$30*'Rent Roll'!$X$30,0)</f>
        <v>0</v>
      </c>
      <c r="O268" s="49">
        <f>IF(O$4=EOMONTH(CloseDate,'Rent Roll'!$O$30-1),-'Rent Roll'!$U$30*'Rent Roll'!$F$30*'Rent Roll'!$X$30,0)</f>
        <v>0</v>
      </c>
      <c r="P268" s="49">
        <f>IF(P$4=EOMONTH(CloseDate,'Rent Roll'!$O$30-1),-'Rent Roll'!$U$30*'Rent Roll'!$F$30*'Rent Roll'!$X$30,0)</f>
        <v>0</v>
      </c>
      <c r="Q268" s="49">
        <f>IF(Q$4=EOMONTH(CloseDate,'Rent Roll'!$O$30-1),-'Rent Roll'!$U$30*'Rent Roll'!$F$30*'Rent Roll'!$X$30,0)</f>
        <v>0</v>
      </c>
      <c r="R268" s="49">
        <f>IF(R$4=EOMONTH(CloseDate,'Rent Roll'!$O$30-1),-'Rent Roll'!$U$30*'Rent Roll'!$F$30*'Rent Roll'!$X$30,0)</f>
        <v>0</v>
      </c>
      <c r="S268" s="49">
        <f>IF(S$4=EOMONTH(CloseDate,'Rent Roll'!$O$30-1),-'Rent Roll'!$U$30*'Rent Roll'!$F$30*'Rent Roll'!$X$30,0)</f>
        <v>0</v>
      </c>
      <c r="T268" s="49">
        <f>IF(T$4=EOMONTH(CloseDate,'Rent Roll'!$O$30-1),-'Rent Roll'!$U$30*'Rent Roll'!$F$30*'Rent Roll'!$X$30,0)</f>
        <v>0</v>
      </c>
      <c r="U268" s="49">
        <f>IF(U$4=EOMONTH(CloseDate,'Rent Roll'!$O$30-1),-'Rent Roll'!$U$30*'Rent Roll'!$F$30*'Rent Roll'!$X$30,0)</f>
        <v>0</v>
      </c>
      <c r="V268" s="49">
        <f>IF(V$4=EOMONTH(CloseDate,'Rent Roll'!$O$30-1),-'Rent Roll'!$U$30*'Rent Roll'!$F$30*'Rent Roll'!$X$30,0)</f>
        <v>0</v>
      </c>
      <c r="W268" s="49">
        <f>IF(W$4=EOMONTH(CloseDate,'Rent Roll'!$O$30-1),-'Rent Roll'!$U$30*'Rent Roll'!$F$30*'Rent Roll'!$X$30,0)</f>
        <v>0</v>
      </c>
      <c r="X268" s="49">
        <f>IF(X$4=EOMONTH(CloseDate,'Rent Roll'!$O$30-1),-'Rent Roll'!$U$30*'Rent Roll'!$F$30*'Rent Roll'!$X$30,0)</f>
        <v>0</v>
      </c>
      <c r="Y268" s="49">
        <f>IF(Y$4=EOMONTH(CloseDate,'Rent Roll'!$O$30-1),-'Rent Roll'!$U$30*'Rent Roll'!$F$30*'Rent Roll'!$X$30,0)</f>
        <v>0</v>
      </c>
      <c r="Z268" s="49">
        <f>IF(Z$4=EOMONTH(CloseDate,'Rent Roll'!$O$30-1),-'Rent Roll'!$U$30*'Rent Roll'!$F$30*'Rent Roll'!$X$30,0)</f>
        <v>0</v>
      </c>
      <c r="AA268" s="49">
        <f>IF(AA$4=EOMONTH(CloseDate,'Rent Roll'!$O$30-1),-'Rent Roll'!$U$30*'Rent Roll'!$F$30*'Rent Roll'!$X$30,0)</f>
        <v>0</v>
      </c>
      <c r="AB268" s="49">
        <f>IF(AB$4=EOMONTH(CloseDate,'Rent Roll'!$O$30-1),-'Rent Roll'!$U$30*'Rent Roll'!$F$30*'Rent Roll'!$X$30,0)</f>
        <v>0</v>
      </c>
      <c r="AC268" s="49">
        <f>IF(AC$4=EOMONTH(CloseDate,'Rent Roll'!$O$30-1),-'Rent Roll'!$U$30*'Rent Roll'!$F$30*'Rent Roll'!$X$30,0)</f>
        <v>0</v>
      </c>
      <c r="AD268" s="49">
        <f>IF(AD$4=EOMONTH(CloseDate,'Rent Roll'!$O$30-1),-'Rent Roll'!$U$30*'Rent Roll'!$F$30*'Rent Roll'!$X$30,0)</f>
        <v>0</v>
      </c>
      <c r="AE268" s="49">
        <f>IF(AE$4=EOMONTH(CloseDate,'Rent Roll'!$O$30-1),-'Rent Roll'!$U$30*'Rent Roll'!$F$30*'Rent Roll'!$X$30,0)</f>
        <v>0</v>
      </c>
      <c r="AF268" s="49">
        <f>IF(AF$4=EOMONTH(CloseDate,'Rent Roll'!$O$30-1),-'Rent Roll'!$U$30*'Rent Roll'!$F$30*'Rent Roll'!$X$30,0)</f>
        <v>0</v>
      </c>
      <c r="AG268" s="49">
        <f>IF(AG$4=EOMONTH(CloseDate,'Rent Roll'!$O$30-1),-'Rent Roll'!$U$30*'Rent Roll'!$F$30*'Rent Roll'!$X$30,0)</f>
        <v>0</v>
      </c>
      <c r="AH268" s="49">
        <f>IF(AH$4=EOMONTH(CloseDate,'Rent Roll'!$O$30-1),-'Rent Roll'!$U$30*'Rent Roll'!$F$30*'Rent Roll'!$X$30,0)</f>
        <v>0</v>
      </c>
      <c r="AI268" s="49">
        <f>IF(AI$4=EOMONTH(CloseDate,'Rent Roll'!$O$30-1),-'Rent Roll'!$U$30*'Rent Roll'!$F$30*'Rent Roll'!$X$30,0)</f>
        <v>0</v>
      </c>
      <c r="AJ268" s="49">
        <f>IF(AJ$4=EOMONTH(CloseDate,'Rent Roll'!$O$30-1),-'Rent Roll'!$U$30*'Rent Roll'!$F$30*'Rent Roll'!$X$30,0)</f>
        <v>0</v>
      </c>
      <c r="AK268" s="49">
        <f>IF(AK$4=EOMONTH(CloseDate,'Rent Roll'!$O$30-1),-'Rent Roll'!$U$30*'Rent Roll'!$F$30*'Rent Roll'!$X$30,0)</f>
        <v>0</v>
      </c>
      <c r="AL268" s="49">
        <f>IF(AL$4=EOMONTH(CloseDate,'Rent Roll'!$O$30-1),-'Rent Roll'!$U$30*'Rent Roll'!$F$30*'Rent Roll'!$X$30,0)</f>
        <v>0</v>
      </c>
      <c r="AM268" s="49">
        <f>IF(AM$4=EOMONTH(CloseDate,'Rent Roll'!$O$30-1),-'Rent Roll'!$U$30*'Rent Roll'!$F$30*'Rent Roll'!$X$30,0)</f>
        <v>0</v>
      </c>
      <c r="AN268" s="49">
        <f>IF(AN$4=EOMONTH(CloseDate,'Rent Roll'!$O$30-1),-'Rent Roll'!$U$30*'Rent Roll'!$F$30*'Rent Roll'!$X$30,0)</f>
        <v>0</v>
      </c>
      <c r="AO268" s="49">
        <f>IF(AO$4=EOMONTH(CloseDate,'Rent Roll'!$O$30-1),-'Rent Roll'!$U$30*'Rent Roll'!$F$30*'Rent Roll'!$X$30,0)</f>
        <v>0</v>
      </c>
      <c r="AP268" s="49">
        <f>IF(AP$4=EOMONTH(CloseDate,'Rent Roll'!$O$30-1),-'Rent Roll'!$U$30*'Rent Roll'!$F$30*'Rent Roll'!$X$30,0)</f>
        <v>0</v>
      </c>
      <c r="AQ268" s="49">
        <f>IF(AQ$4=EOMONTH(CloseDate,'Rent Roll'!$O$30-1),-'Rent Roll'!$U$30*'Rent Roll'!$F$30*'Rent Roll'!$X$30,0)</f>
        <v>0</v>
      </c>
      <c r="AR268" s="49">
        <f>IF(AR$4=EOMONTH(CloseDate,'Rent Roll'!$O$30-1),-'Rent Roll'!$U$30*'Rent Roll'!$F$30*'Rent Roll'!$X$30,0)</f>
        <v>0</v>
      </c>
      <c r="AS268" s="49">
        <f>IF(AS$4=EOMONTH(CloseDate,'Rent Roll'!$O$30-1),-'Rent Roll'!$U$30*'Rent Roll'!$F$30*'Rent Roll'!$X$30,0)</f>
        <v>0</v>
      </c>
      <c r="AT268" s="49">
        <f>IF(AT$4=EOMONTH(CloseDate,'Rent Roll'!$O$30-1),-'Rent Roll'!$U$30*'Rent Roll'!$F$30*'Rent Roll'!$X$30,0)</f>
        <v>0</v>
      </c>
      <c r="AU268" s="49">
        <f>IF(AU$4=EOMONTH(CloseDate,'Rent Roll'!$O$30-1),-'Rent Roll'!$U$30*'Rent Roll'!$F$30*'Rent Roll'!$X$30,0)</f>
        <v>0</v>
      </c>
      <c r="AV268" s="49">
        <f>IF(AV$4=EOMONTH(CloseDate,'Rent Roll'!$O$30-1),-'Rent Roll'!$U$30*'Rent Roll'!$F$30*'Rent Roll'!$X$30,0)</f>
        <v>0</v>
      </c>
      <c r="AW268" s="49">
        <f>IF(AW$4=EOMONTH(CloseDate,'Rent Roll'!$O$30-1),-'Rent Roll'!$U$30*'Rent Roll'!$F$30*'Rent Roll'!$X$30,0)</f>
        <v>0</v>
      </c>
      <c r="AX268" s="49">
        <f>IF(AX$4=EOMONTH(CloseDate,'Rent Roll'!$O$30-1),-'Rent Roll'!$U$30*'Rent Roll'!$F$30*'Rent Roll'!$X$30,0)</f>
        <v>0</v>
      </c>
      <c r="AY268" s="49">
        <f>IF(AY$4=EOMONTH(CloseDate,'Rent Roll'!$O$30-1),-'Rent Roll'!$U$30*'Rent Roll'!$F$30*'Rent Roll'!$X$30,0)</f>
        <v>0</v>
      </c>
      <c r="AZ268" s="49">
        <f>IF(AZ$4=EOMONTH(CloseDate,'Rent Roll'!$O$30-1),-'Rent Roll'!$U$30*'Rent Roll'!$F$30*'Rent Roll'!$X$30,0)</f>
        <v>0</v>
      </c>
      <c r="BA268" s="49">
        <f>IF(BA$4=EOMONTH(CloseDate,'Rent Roll'!$O$30-1),-'Rent Roll'!$U$30*'Rent Roll'!$F$30*'Rent Roll'!$X$30,0)</f>
        <v>0</v>
      </c>
      <c r="BB268" s="49">
        <f>IF(BB$4=EOMONTH(CloseDate,'Rent Roll'!$O$30-1),-'Rent Roll'!$U$30*'Rent Roll'!$F$30*'Rent Roll'!$X$30,0)</f>
        <v>0</v>
      </c>
      <c r="BC268" s="49">
        <f>IF(BC$4=EOMONTH(CloseDate,'Rent Roll'!$O$30-1),-'Rent Roll'!$U$30*'Rent Roll'!$F$30*'Rent Roll'!$X$30,0)</f>
        <v>0</v>
      </c>
      <c r="BD268" s="49">
        <f>IF(BD$4=EOMONTH(CloseDate,'Rent Roll'!$O$30-1),-'Rent Roll'!$U$30*'Rent Roll'!$F$30*'Rent Roll'!$X$30,0)</f>
        <v>0</v>
      </c>
      <c r="BE268" s="49">
        <f>IF(BE$4=EOMONTH(CloseDate,'Rent Roll'!$O$30-1),-'Rent Roll'!$U$30*'Rent Roll'!$F$30*'Rent Roll'!$X$30,0)</f>
        <v>0</v>
      </c>
      <c r="BF268" s="49">
        <f>IF(BF$4=EOMONTH(CloseDate,'Rent Roll'!$O$30-1),-'Rent Roll'!$U$30*'Rent Roll'!$F$30*'Rent Roll'!$X$30,0)</f>
        <v>0</v>
      </c>
      <c r="BG268" s="49">
        <f>IF(BG$4=EOMONTH(CloseDate,'Rent Roll'!$O$30-1),-'Rent Roll'!$U$30*'Rent Roll'!$F$30*'Rent Roll'!$X$30,0)</f>
        <v>0</v>
      </c>
      <c r="BH268" s="49">
        <f>IF(BH$4=EOMONTH(CloseDate,'Rent Roll'!$O$30-1),-'Rent Roll'!$U$30*'Rent Roll'!$F$30*'Rent Roll'!$X$30,0)</f>
        <v>0</v>
      </c>
      <c r="BI268" s="49">
        <f>IF(BI$4=EOMONTH(CloseDate,'Rent Roll'!$O$30-1),-'Rent Roll'!$U$30*'Rent Roll'!$F$30*'Rent Roll'!$X$30,0)</f>
        <v>0</v>
      </c>
      <c r="BJ268" s="49">
        <f>IF(BJ$4=EOMONTH(CloseDate,'Rent Roll'!$O$30-1),-'Rent Roll'!$U$30*'Rent Roll'!$F$30*'Rent Roll'!$X$30,0)</f>
        <v>0</v>
      </c>
      <c r="BK268" s="49">
        <f>IF(BK$4=EOMONTH(CloseDate,'Rent Roll'!$O$30-1),-'Rent Roll'!$U$30*'Rent Roll'!$F$30*'Rent Roll'!$X$30,0)</f>
        <v>0</v>
      </c>
      <c r="BL268" s="49">
        <f>IF(BL$4=EOMONTH(CloseDate,'Rent Roll'!$O$30-1),-'Rent Roll'!$U$30*'Rent Roll'!$F$30*'Rent Roll'!$X$30,0)</f>
        <v>0</v>
      </c>
      <c r="BM268" s="49">
        <f>IF(BM$4=EOMONTH(CloseDate,'Rent Roll'!$O$30-1),-'Rent Roll'!$U$30*'Rent Roll'!$F$30*'Rent Roll'!$X$30,0)</f>
        <v>0</v>
      </c>
      <c r="BN268" s="49">
        <f>IF(BN$4=EOMONTH(CloseDate,'Rent Roll'!$O$30-1),-'Rent Roll'!$U$30*'Rent Roll'!$F$30*'Rent Roll'!$X$30,0)</f>
        <v>0</v>
      </c>
      <c r="BO268" s="49">
        <f>IF(BO$4=EOMONTH(CloseDate,'Rent Roll'!$O$30-1),-'Rent Roll'!$U$30*'Rent Roll'!$F$30*'Rent Roll'!$X$30,0)</f>
        <v>0</v>
      </c>
      <c r="BP268" s="49">
        <f>IF(BP$4=EOMONTH(CloseDate,'Rent Roll'!$O$30-1),-'Rent Roll'!$U$30*'Rent Roll'!$F$30*'Rent Roll'!$X$30,0)</f>
        <v>0</v>
      </c>
      <c r="BQ268" s="49">
        <f>IF(BQ$4=EOMONTH(CloseDate,'Rent Roll'!$O$30-1),-'Rent Roll'!$U$30*'Rent Roll'!$F$30*'Rent Roll'!$X$30,0)</f>
        <v>0</v>
      </c>
      <c r="BR268" s="49">
        <f>IF(BR$4=EOMONTH(CloseDate,'Rent Roll'!$O$30-1),-'Rent Roll'!$U$30*'Rent Roll'!$F$30*'Rent Roll'!$X$30,0)</f>
        <v>0</v>
      </c>
      <c r="BS268" s="49">
        <f>IF(BS$4=EOMONTH(CloseDate,'Rent Roll'!$O$30-1),-'Rent Roll'!$U$30*'Rent Roll'!$F$30*'Rent Roll'!$X$30,0)</f>
        <v>0</v>
      </c>
      <c r="BT268" s="49">
        <f>IF(BT$4=EOMONTH(CloseDate,'Rent Roll'!$O$30-1),-'Rent Roll'!$U$30*'Rent Roll'!$F$30*'Rent Roll'!$X$30,0)</f>
        <v>0</v>
      </c>
      <c r="BU268" s="49">
        <f>IF(BU$4=EOMONTH(CloseDate,'Rent Roll'!$O$30-1),-'Rent Roll'!$U$30*'Rent Roll'!$F$30*'Rent Roll'!$X$30,0)</f>
        <v>0</v>
      </c>
      <c r="BV268" s="49">
        <f>IF(BV$4=EOMONTH(CloseDate,'Rent Roll'!$O$30-1),-'Rent Roll'!$U$30*'Rent Roll'!$F$30*'Rent Roll'!$X$30,0)</f>
        <v>0</v>
      </c>
      <c r="BW268" s="49">
        <f>IF(BW$4=EOMONTH(CloseDate,'Rent Roll'!$O$30-1),-'Rent Roll'!$U$30*'Rent Roll'!$F$30*'Rent Roll'!$X$30,0)</f>
        <v>0</v>
      </c>
      <c r="BX268" s="49">
        <f>IF(BX$4=EOMONTH(CloseDate,'Rent Roll'!$O$30-1),-'Rent Roll'!$U$30*'Rent Roll'!$F$30*'Rent Roll'!$X$30,0)</f>
        <v>0</v>
      </c>
    </row>
    <row r="269" spans="1:76" hidden="1" outlineLevel="1">
      <c r="A269" s="46" t="str">
        <f>'Rent Roll'!C31</f>
        <v>Vacant — Suite 550</v>
      </c>
      <c r="B269" s="57">
        <f>INDEX('Rent Roll'!$F$5:$F$46,MATCH('Rent Roll Calc'!A269,'Rent Roll'!$C$5:$C$46,0))</f>
        <v>6200</v>
      </c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  <c r="AA269" s="49"/>
      <c r="AB269" s="49"/>
      <c r="AC269" s="49"/>
      <c r="AD269" s="49"/>
      <c r="AE269" s="49"/>
      <c r="AF269" s="49"/>
      <c r="AG269" s="49"/>
      <c r="AH269" s="49"/>
      <c r="AI269" s="49"/>
      <c r="AJ269" s="49"/>
      <c r="AK269" s="49"/>
      <c r="AL269" s="49"/>
      <c r="AM269" s="49"/>
      <c r="AN269" s="49"/>
      <c r="AO269" s="49"/>
      <c r="AP269" s="49"/>
      <c r="AQ269" s="49"/>
      <c r="AR269" s="49"/>
      <c r="AS269" s="49"/>
      <c r="AT269" s="49"/>
      <c r="AU269" s="49"/>
      <c r="AV269" s="49"/>
      <c r="AW269" s="49"/>
      <c r="AX269" s="49"/>
      <c r="AY269" s="49"/>
      <c r="AZ269" s="49"/>
      <c r="BA269" s="49"/>
      <c r="BB269" s="49"/>
      <c r="BC269" s="49"/>
      <c r="BD269" s="49"/>
      <c r="BE269" s="49"/>
      <c r="BF269" s="49"/>
      <c r="BG269" s="49"/>
      <c r="BH269" s="49"/>
      <c r="BI269" s="49"/>
      <c r="BJ269" s="49"/>
      <c r="BK269" s="49"/>
      <c r="BL269" s="49"/>
      <c r="BM269" s="49"/>
      <c r="BN269" s="49"/>
      <c r="BO269" s="49"/>
      <c r="BP269" s="49"/>
      <c r="BQ269" s="49"/>
      <c r="BR269" s="49"/>
      <c r="BS269" s="49"/>
      <c r="BT269" s="49"/>
      <c r="BU269" s="49"/>
      <c r="BV269" s="49"/>
      <c r="BW269" s="49"/>
      <c r="BX269" s="49"/>
    </row>
    <row r="270" spans="1:76" hidden="1" outlineLevel="1">
      <c r="B270" t="s">
        <v>83</v>
      </c>
      <c r="D270" s="49">
        <f>0</f>
        <v>0</v>
      </c>
      <c r="E270" s="49">
        <f>0</f>
        <v>0</v>
      </c>
      <c r="F270" s="49">
        <f>0</f>
        <v>0</v>
      </c>
      <c r="G270" s="49">
        <f>0</f>
        <v>0</v>
      </c>
      <c r="H270" s="49">
        <f>0</f>
        <v>0</v>
      </c>
      <c r="I270" s="49">
        <f>0</f>
        <v>0</v>
      </c>
      <c r="J270" s="49">
        <f>0</f>
        <v>0</v>
      </c>
      <c r="K270" s="49">
        <f>0</f>
        <v>0</v>
      </c>
      <c r="L270" s="49">
        <f>0</f>
        <v>0</v>
      </c>
      <c r="M270" s="49">
        <f>0</f>
        <v>0</v>
      </c>
      <c r="N270" s="49">
        <f>0</f>
        <v>0</v>
      </c>
      <c r="O270" s="49">
        <f>0</f>
        <v>0</v>
      </c>
      <c r="P270" s="49">
        <f>0</f>
        <v>0</v>
      </c>
      <c r="Q270" s="49">
        <f>0</f>
        <v>0</v>
      </c>
      <c r="R270" s="49">
        <f>0</f>
        <v>0</v>
      </c>
      <c r="S270" s="49">
        <f>0</f>
        <v>0</v>
      </c>
      <c r="T270" s="49">
        <f>0</f>
        <v>0</v>
      </c>
      <c r="U270" s="49">
        <f>0</f>
        <v>0</v>
      </c>
      <c r="V270" s="49">
        <f>0</f>
        <v>0</v>
      </c>
      <c r="W270" s="49">
        <f>0</f>
        <v>0</v>
      </c>
      <c r="X270" s="49">
        <f>0</f>
        <v>0</v>
      </c>
      <c r="Y270" s="49">
        <f>0</f>
        <v>0</v>
      </c>
      <c r="Z270" s="49">
        <f>0</f>
        <v>0</v>
      </c>
      <c r="AA270" s="49">
        <f>0</f>
        <v>0</v>
      </c>
      <c r="AB270" s="49">
        <f>0</f>
        <v>0</v>
      </c>
      <c r="AC270" s="49">
        <f>0</f>
        <v>0</v>
      </c>
      <c r="AD270" s="49">
        <f>0</f>
        <v>0</v>
      </c>
      <c r="AE270" s="49">
        <f>0</f>
        <v>0</v>
      </c>
      <c r="AF270" s="49">
        <f>0</f>
        <v>0</v>
      </c>
      <c r="AG270" s="49">
        <f>0</f>
        <v>0</v>
      </c>
      <c r="AH270" s="49">
        <f>0</f>
        <v>0</v>
      </c>
      <c r="AI270" s="49">
        <f>0</f>
        <v>0</v>
      </c>
      <c r="AJ270" s="49">
        <f>0</f>
        <v>0</v>
      </c>
      <c r="AK270" s="49">
        <f>0</f>
        <v>0</v>
      </c>
      <c r="AL270" s="49">
        <f>0</f>
        <v>0</v>
      </c>
      <c r="AM270" s="49">
        <f>0</f>
        <v>0</v>
      </c>
      <c r="AN270" s="49">
        <f>0</f>
        <v>0</v>
      </c>
      <c r="AO270" s="49">
        <f>0</f>
        <v>0</v>
      </c>
      <c r="AP270" s="49">
        <f>0</f>
        <v>0</v>
      </c>
      <c r="AQ270" s="49">
        <f>0</f>
        <v>0</v>
      </c>
      <c r="AR270" s="49">
        <f>0</f>
        <v>0</v>
      </c>
      <c r="AS270" s="49">
        <f>0</f>
        <v>0</v>
      </c>
      <c r="AT270" s="49">
        <f>0</f>
        <v>0</v>
      </c>
      <c r="AU270" s="49">
        <f>0</f>
        <v>0</v>
      </c>
      <c r="AV270" s="49">
        <f>0</f>
        <v>0</v>
      </c>
      <c r="AW270" s="49">
        <f>0</f>
        <v>0</v>
      </c>
      <c r="AX270" s="49">
        <f>0</f>
        <v>0</v>
      </c>
      <c r="AY270" s="49">
        <f>0</f>
        <v>0</v>
      </c>
      <c r="AZ270" s="49">
        <f>0</f>
        <v>0</v>
      </c>
      <c r="BA270" s="49">
        <f>0</f>
        <v>0</v>
      </c>
      <c r="BB270" s="49">
        <f>0</f>
        <v>0</v>
      </c>
      <c r="BC270" s="49">
        <f>0</f>
        <v>0</v>
      </c>
      <c r="BD270" s="49">
        <f>0</f>
        <v>0</v>
      </c>
      <c r="BE270" s="49">
        <f>0</f>
        <v>0</v>
      </c>
      <c r="BF270" s="49">
        <f>0</f>
        <v>0</v>
      </c>
      <c r="BG270" s="49">
        <f>0</f>
        <v>0</v>
      </c>
      <c r="BH270" s="49">
        <f>0</f>
        <v>0</v>
      </c>
      <c r="BI270" s="49">
        <f>0</f>
        <v>0</v>
      </c>
      <c r="BJ270" s="49">
        <f>0</f>
        <v>0</v>
      </c>
      <c r="BK270" s="49">
        <f>0</f>
        <v>0</v>
      </c>
      <c r="BL270" s="49">
        <f>0</f>
        <v>0</v>
      </c>
      <c r="BM270" s="49">
        <f>0</f>
        <v>0</v>
      </c>
      <c r="BN270" s="49">
        <f>0</f>
        <v>0</v>
      </c>
      <c r="BO270" s="49">
        <f>0</f>
        <v>0</v>
      </c>
      <c r="BP270" s="49">
        <f>0</f>
        <v>0</v>
      </c>
      <c r="BQ270" s="49">
        <f>0</f>
        <v>0</v>
      </c>
      <c r="BR270" s="49">
        <f>0</f>
        <v>0</v>
      </c>
      <c r="BS270" s="49">
        <f>0</f>
        <v>0</v>
      </c>
      <c r="BT270" s="49">
        <f>0</f>
        <v>0</v>
      </c>
      <c r="BU270" s="49">
        <f>0</f>
        <v>0</v>
      </c>
      <c r="BV270" s="49">
        <f>0</f>
        <v>0</v>
      </c>
      <c r="BW270" s="49">
        <f>0</f>
        <v>0</v>
      </c>
      <c r="BX270" s="49">
        <f>0</f>
        <v>0</v>
      </c>
    </row>
    <row r="271" spans="1:76" hidden="1" outlineLevel="1">
      <c r="B271" t="s">
        <v>159</v>
      </c>
      <c r="D271" s="49">
        <f>0</f>
        <v>0</v>
      </c>
      <c r="E271" s="49">
        <f>0</f>
        <v>0</v>
      </c>
      <c r="F271" s="49">
        <f>0</f>
        <v>0</v>
      </c>
      <c r="G271" s="49">
        <f>0</f>
        <v>0</v>
      </c>
      <c r="H271" s="49">
        <f>0</f>
        <v>0</v>
      </c>
      <c r="I271" s="49">
        <f>0</f>
        <v>0</v>
      </c>
      <c r="J271" s="49">
        <f>0</f>
        <v>0</v>
      </c>
      <c r="K271" s="49">
        <f>0</f>
        <v>0</v>
      </c>
      <c r="L271" s="49">
        <f>0</f>
        <v>0</v>
      </c>
      <c r="M271" s="49">
        <f>0</f>
        <v>0</v>
      </c>
      <c r="N271" s="49">
        <f>0</f>
        <v>0</v>
      </c>
      <c r="O271" s="49">
        <f>0</f>
        <v>0</v>
      </c>
      <c r="P271" s="49">
        <f>0</f>
        <v>0</v>
      </c>
      <c r="Q271" s="49">
        <f>0</f>
        <v>0</v>
      </c>
      <c r="R271" s="49">
        <f>0</f>
        <v>0</v>
      </c>
      <c r="S271" s="49">
        <f>0</f>
        <v>0</v>
      </c>
      <c r="T271" s="49">
        <f>0</f>
        <v>0</v>
      </c>
      <c r="U271" s="49">
        <f>0</f>
        <v>0</v>
      </c>
      <c r="V271" s="49">
        <f>0</f>
        <v>0</v>
      </c>
      <c r="W271" s="49">
        <f>0</f>
        <v>0</v>
      </c>
      <c r="X271" s="49">
        <f>0</f>
        <v>0</v>
      </c>
      <c r="Y271" s="49">
        <f>0</f>
        <v>0</v>
      </c>
      <c r="Z271" s="49">
        <f>0</f>
        <v>0</v>
      </c>
      <c r="AA271" s="49">
        <f>0</f>
        <v>0</v>
      </c>
      <c r="AB271" s="49">
        <f>0</f>
        <v>0</v>
      </c>
      <c r="AC271" s="49">
        <f>0</f>
        <v>0</v>
      </c>
      <c r="AD271" s="49">
        <f>0</f>
        <v>0</v>
      </c>
      <c r="AE271" s="49">
        <f>0</f>
        <v>0</v>
      </c>
      <c r="AF271" s="49">
        <f>0</f>
        <v>0</v>
      </c>
      <c r="AG271" s="49">
        <f>0</f>
        <v>0</v>
      </c>
      <c r="AH271" s="49">
        <f>0</f>
        <v>0</v>
      </c>
      <c r="AI271" s="49">
        <f>0</f>
        <v>0</v>
      </c>
      <c r="AJ271" s="49">
        <f>0</f>
        <v>0</v>
      </c>
      <c r="AK271" s="49">
        <f>0</f>
        <v>0</v>
      </c>
      <c r="AL271" s="49">
        <f>0</f>
        <v>0</v>
      </c>
      <c r="AM271" s="49">
        <f>0</f>
        <v>0</v>
      </c>
      <c r="AN271" s="49">
        <f>0</f>
        <v>0</v>
      </c>
      <c r="AO271" s="49">
        <f>0</f>
        <v>0</v>
      </c>
      <c r="AP271" s="49">
        <f>0</f>
        <v>0</v>
      </c>
      <c r="AQ271" s="49">
        <f>0</f>
        <v>0</v>
      </c>
      <c r="AR271" s="49">
        <f>0</f>
        <v>0</v>
      </c>
      <c r="AS271" s="49">
        <f>0</f>
        <v>0</v>
      </c>
      <c r="AT271" s="49">
        <f>0</f>
        <v>0</v>
      </c>
      <c r="AU271" s="49">
        <f>0</f>
        <v>0</v>
      </c>
      <c r="AV271" s="49">
        <f>0</f>
        <v>0</v>
      </c>
      <c r="AW271" s="49">
        <f>0</f>
        <v>0</v>
      </c>
      <c r="AX271" s="49">
        <f>0</f>
        <v>0</v>
      </c>
      <c r="AY271" s="49">
        <f>0</f>
        <v>0</v>
      </c>
      <c r="AZ271" s="49">
        <f>0</f>
        <v>0</v>
      </c>
      <c r="BA271" s="49">
        <f>0</f>
        <v>0</v>
      </c>
      <c r="BB271" s="49">
        <f>0</f>
        <v>0</v>
      </c>
      <c r="BC271" s="49">
        <f>0</f>
        <v>0</v>
      </c>
      <c r="BD271" s="49">
        <f>0</f>
        <v>0</v>
      </c>
      <c r="BE271" s="49">
        <f>0</f>
        <v>0</v>
      </c>
      <c r="BF271" s="49">
        <f>0</f>
        <v>0</v>
      </c>
      <c r="BG271" s="49">
        <f>0</f>
        <v>0</v>
      </c>
      <c r="BH271" s="49">
        <f>0</f>
        <v>0</v>
      </c>
      <c r="BI271" s="49">
        <f>0</f>
        <v>0</v>
      </c>
      <c r="BJ271" s="49">
        <f>0</f>
        <v>0</v>
      </c>
      <c r="BK271" s="49">
        <f>0</f>
        <v>0</v>
      </c>
      <c r="BL271" s="49">
        <f>0</f>
        <v>0</v>
      </c>
      <c r="BM271" s="49">
        <f>0</f>
        <v>0</v>
      </c>
      <c r="BN271" s="49">
        <f>0</f>
        <v>0</v>
      </c>
      <c r="BO271" s="49">
        <f>0</f>
        <v>0</v>
      </c>
      <c r="BP271" s="49">
        <f>0</f>
        <v>0</v>
      </c>
      <c r="BQ271" s="49">
        <f>0</f>
        <v>0</v>
      </c>
      <c r="BR271" s="49">
        <f>0</f>
        <v>0</v>
      </c>
      <c r="BS271" s="49">
        <f>0</f>
        <v>0</v>
      </c>
      <c r="BT271" s="49">
        <f>0</f>
        <v>0</v>
      </c>
      <c r="BU271" s="49">
        <f>0</f>
        <v>0</v>
      </c>
      <c r="BV271" s="49">
        <f>0</f>
        <v>0</v>
      </c>
      <c r="BW271" s="49">
        <f>0</f>
        <v>0</v>
      </c>
      <c r="BX271" s="49">
        <f>0</f>
        <v>0</v>
      </c>
    </row>
    <row r="272" spans="1:76" hidden="1" outlineLevel="1">
      <c r="B272" t="s">
        <v>160</v>
      </c>
      <c r="D272" s="49">
        <f>IF(D$4&gt;=EOMONTH(CloseDate,'Rent Roll'!$O$31-1),1,0)</f>
        <v>0</v>
      </c>
      <c r="E272" s="49">
        <f>IF(E$4&gt;=EOMONTH(CloseDate,'Rent Roll'!$O$31-1),1,0)</f>
        <v>0</v>
      </c>
      <c r="F272" s="49">
        <f>IF(F$4&gt;=EOMONTH(CloseDate,'Rent Roll'!$O$31-1),1,0)</f>
        <v>0</v>
      </c>
      <c r="G272" s="49">
        <f>IF(G$4&gt;=EOMONTH(CloseDate,'Rent Roll'!$O$31-1),1,0)</f>
        <v>0</v>
      </c>
      <c r="H272" s="49">
        <f>IF(H$4&gt;=EOMONTH(CloseDate,'Rent Roll'!$O$31-1),1,0)</f>
        <v>0</v>
      </c>
      <c r="I272" s="49">
        <f>IF(I$4&gt;=EOMONTH(CloseDate,'Rent Roll'!$O$31-1),1,0)</f>
        <v>0</v>
      </c>
      <c r="J272" s="49">
        <f>IF(J$4&gt;=EOMONTH(CloseDate,'Rent Roll'!$O$31-1),1,0)</f>
        <v>0</v>
      </c>
      <c r="K272" s="49">
        <f>IF(K$4&gt;=EOMONTH(CloseDate,'Rent Roll'!$O$31-1),1,0)</f>
        <v>0</v>
      </c>
      <c r="L272" s="49">
        <f>IF(L$4&gt;=EOMONTH(CloseDate,'Rent Roll'!$O$31-1),1,0)</f>
        <v>0</v>
      </c>
      <c r="M272" s="49">
        <f>IF(M$4&gt;=EOMONTH(CloseDate,'Rent Roll'!$O$31-1),1,0)</f>
        <v>1</v>
      </c>
      <c r="N272" s="49">
        <f>IF(N$4&gt;=EOMONTH(CloseDate,'Rent Roll'!$O$31-1),1,0)</f>
        <v>1</v>
      </c>
      <c r="O272" s="49">
        <f>IF(O$4&gt;=EOMONTH(CloseDate,'Rent Roll'!$O$31-1),1,0)</f>
        <v>1</v>
      </c>
      <c r="P272" s="49">
        <f>IF(P$4&gt;=EOMONTH(CloseDate,'Rent Roll'!$O$31-1),1,0)</f>
        <v>1</v>
      </c>
      <c r="Q272" s="49">
        <f>IF(Q$4&gt;=EOMONTH(CloseDate,'Rent Roll'!$O$31-1),1,0)</f>
        <v>1</v>
      </c>
      <c r="R272" s="49">
        <f>IF(R$4&gt;=EOMONTH(CloseDate,'Rent Roll'!$O$31-1),1,0)</f>
        <v>1</v>
      </c>
      <c r="S272" s="49">
        <f>IF(S$4&gt;=EOMONTH(CloseDate,'Rent Roll'!$O$31-1),1,0)</f>
        <v>1</v>
      </c>
      <c r="T272" s="49">
        <f>IF(T$4&gt;=EOMONTH(CloseDate,'Rent Roll'!$O$31-1),1,0)</f>
        <v>1</v>
      </c>
      <c r="U272" s="49">
        <f>IF(U$4&gt;=EOMONTH(CloseDate,'Rent Roll'!$O$31-1),1,0)</f>
        <v>1</v>
      </c>
      <c r="V272" s="49">
        <f>IF(V$4&gt;=EOMONTH(CloseDate,'Rent Roll'!$O$31-1),1,0)</f>
        <v>1</v>
      </c>
      <c r="W272" s="49">
        <f>IF(W$4&gt;=EOMONTH(CloseDate,'Rent Roll'!$O$31-1),1,0)</f>
        <v>1</v>
      </c>
      <c r="X272" s="49">
        <f>IF(X$4&gt;=EOMONTH(CloseDate,'Rent Roll'!$O$31-1),1,0)</f>
        <v>1</v>
      </c>
      <c r="Y272" s="49">
        <f>IF(Y$4&gt;=EOMONTH(CloseDate,'Rent Roll'!$O$31-1),1,0)</f>
        <v>1</v>
      </c>
      <c r="Z272" s="49">
        <f>IF(Z$4&gt;=EOMONTH(CloseDate,'Rent Roll'!$O$31-1),1,0)</f>
        <v>1</v>
      </c>
      <c r="AA272" s="49">
        <f>IF(AA$4&gt;=EOMONTH(CloseDate,'Rent Roll'!$O$31-1),1,0)</f>
        <v>1</v>
      </c>
      <c r="AB272" s="49">
        <f>IF(AB$4&gt;=EOMONTH(CloseDate,'Rent Roll'!$O$31-1),1,0)</f>
        <v>1</v>
      </c>
      <c r="AC272" s="49">
        <f>IF(AC$4&gt;=EOMONTH(CloseDate,'Rent Roll'!$O$31-1),1,0)</f>
        <v>1</v>
      </c>
      <c r="AD272" s="49">
        <f>IF(AD$4&gt;=EOMONTH(CloseDate,'Rent Roll'!$O$31-1),1,0)</f>
        <v>1</v>
      </c>
      <c r="AE272" s="49">
        <f>IF(AE$4&gt;=EOMONTH(CloseDate,'Rent Roll'!$O$31-1),1,0)</f>
        <v>1</v>
      </c>
      <c r="AF272" s="49">
        <f>IF(AF$4&gt;=EOMONTH(CloseDate,'Rent Roll'!$O$31-1),1,0)</f>
        <v>1</v>
      </c>
      <c r="AG272" s="49">
        <f>IF(AG$4&gt;=EOMONTH(CloseDate,'Rent Roll'!$O$31-1),1,0)</f>
        <v>1</v>
      </c>
      <c r="AH272" s="49">
        <f>IF(AH$4&gt;=EOMONTH(CloseDate,'Rent Roll'!$O$31-1),1,0)</f>
        <v>1</v>
      </c>
      <c r="AI272" s="49">
        <f>IF(AI$4&gt;=EOMONTH(CloseDate,'Rent Roll'!$O$31-1),1,0)</f>
        <v>1</v>
      </c>
      <c r="AJ272" s="49">
        <f>IF(AJ$4&gt;=EOMONTH(CloseDate,'Rent Roll'!$O$31-1),1,0)</f>
        <v>1</v>
      </c>
      <c r="AK272" s="49">
        <f>IF(AK$4&gt;=EOMONTH(CloseDate,'Rent Roll'!$O$31-1),1,0)</f>
        <v>1</v>
      </c>
      <c r="AL272" s="49">
        <f>IF(AL$4&gt;=EOMONTH(CloseDate,'Rent Roll'!$O$31-1),1,0)</f>
        <v>1</v>
      </c>
      <c r="AM272" s="49">
        <f>IF(AM$4&gt;=EOMONTH(CloseDate,'Rent Roll'!$O$31-1),1,0)</f>
        <v>1</v>
      </c>
      <c r="AN272" s="49">
        <f>IF(AN$4&gt;=EOMONTH(CloseDate,'Rent Roll'!$O$31-1),1,0)</f>
        <v>1</v>
      </c>
      <c r="AO272" s="49">
        <f>IF(AO$4&gt;=EOMONTH(CloseDate,'Rent Roll'!$O$31-1),1,0)</f>
        <v>1</v>
      </c>
      <c r="AP272" s="49">
        <f>IF(AP$4&gt;=EOMONTH(CloseDate,'Rent Roll'!$O$31-1),1,0)</f>
        <v>1</v>
      </c>
      <c r="AQ272" s="49">
        <f>IF(AQ$4&gt;=EOMONTH(CloseDate,'Rent Roll'!$O$31-1),1,0)</f>
        <v>1</v>
      </c>
      <c r="AR272" s="49">
        <f>IF(AR$4&gt;=EOMONTH(CloseDate,'Rent Roll'!$O$31-1),1,0)</f>
        <v>1</v>
      </c>
      <c r="AS272" s="49">
        <f>IF(AS$4&gt;=EOMONTH(CloseDate,'Rent Roll'!$O$31-1),1,0)</f>
        <v>1</v>
      </c>
      <c r="AT272" s="49">
        <f>IF(AT$4&gt;=EOMONTH(CloseDate,'Rent Roll'!$O$31-1),1,0)</f>
        <v>1</v>
      </c>
      <c r="AU272" s="49">
        <f>IF(AU$4&gt;=EOMONTH(CloseDate,'Rent Roll'!$O$31-1),1,0)</f>
        <v>1</v>
      </c>
      <c r="AV272" s="49">
        <f>IF(AV$4&gt;=EOMONTH(CloseDate,'Rent Roll'!$O$31-1),1,0)</f>
        <v>1</v>
      </c>
      <c r="AW272" s="49">
        <f>IF(AW$4&gt;=EOMONTH(CloseDate,'Rent Roll'!$O$31-1),1,0)</f>
        <v>1</v>
      </c>
      <c r="AX272" s="49">
        <f>IF(AX$4&gt;=EOMONTH(CloseDate,'Rent Roll'!$O$31-1),1,0)</f>
        <v>1</v>
      </c>
      <c r="AY272" s="49">
        <f>IF(AY$4&gt;=EOMONTH(CloseDate,'Rent Roll'!$O$31-1),1,0)</f>
        <v>1</v>
      </c>
      <c r="AZ272" s="49">
        <f>IF(AZ$4&gt;=EOMONTH(CloseDate,'Rent Roll'!$O$31-1),1,0)</f>
        <v>1</v>
      </c>
      <c r="BA272" s="49">
        <f>IF(BA$4&gt;=EOMONTH(CloseDate,'Rent Roll'!$O$31-1),1,0)</f>
        <v>1</v>
      </c>
      <c r="BB272" s="49">
        <f>IF(BB$4&gt;=EOMONTH(CloseDate,'Rent Roll'!$O$31-1),1,0)</f>
        <v>1</v>
      </c>
      <c r="BC272" s="49">
        <f>IF(BC$4&gt;=EOMONTH(CloseDate,'Rent Roll'!$O$31-1),1,0)</f>
        <v>1</v>
      </c>
      <c r="BD272" s="49">
        <f>IF(BD$4&gt;=EOMONTH(CloseDate,'Rent Roll'!$O$31-1),1,0)</f>
        <v>1</v>
      </c>
      <c r="BE272" s="49">
        <f>IF(BE$4&gt;=EOMONTH(CloseDate,'Rent Roll'!$O$31-1),1,0)</f>
        <v>1</v>
      </c>
      <c r="BF272" s="49">
        <f>IF(BF$4&gt;=EOMONTH(CloseDate,'Rent Roll'!$O$31-1),1,0)</f>
        <v>1</v>
      </c>
      <c r="BG272" s="49">
        <f>IF(BG$4&gt;=EOMONTH(CloseDate,'Rent Roll'!$O$31-1),1,0)</f>
        <v>1</v>
      </c>
      <c r="BH272" s="49">
        <f>IF(BH$4&gt;=EOMONTH(CloseDate,'Rent Roll'!$O$31-1),1,0)</f>
        <v>1</v>
      </c>
      <c r="BI272" s="49">
        <f>IF(BI$4&gt;=EOMONTH(CloseDate,'Rent Roll'!$O$31-1),1,0)</f>
        <v>1</v>
      </c>
      <c r="BJ272" s="49">
        <f>IF(BJ$4&gt;=EOMONTH(CloseDate,'Rent Roll'!$O$31-1),1,0)</f>
        <v>1</v>
      </c>
      <c r="BK272" s="49">
        <f>IF(BK$4&gt;=EOMONTH(CloseDate,'Rent Roll'!$O$31-1),1,0)</f>
        <v>1</v>
      </c>
      <c r="BL272" s="49">
        <f>IF(BL$4&gt;=EOMONTH(CloseDate,'Rent Roll'!$O$31-1),1,0)</f>
        <v>1</v>
      </c>
      <c r="BM272" s="49">
        <f>IF(BM$4&gt;=EOMONTH(CloseDate,'Rent Roll'!$O$31-1),1,0)</f>
        <v>1</v>
      </c>
      <c r="BN272" s="49">
        <f>IF(BN$4&gt;=EOMONTH(CloseDate,'Rent Roll'!$O$31-1),1,0)</f>
        <v>1</v>
      </c>
      <c r="BO272" s="49">
        <f>IF(BO$4&gt;=EOMONTH(CloseDate,'Rent Roll'!$O$31-1),1,0)</f>
        <v>1</v>
      </c>
      <c r="BP272" s="49">
        <f>IF(BP$4&gt;=EOMONTH(CloseDate,'Rent Roll'!$O$31-1),1,0)</f>
        <v>1</v>
      </c>
      <c r="BQ272" s="49">
        <f>IF(BQ$4&gt;=EOMONTH(CloseDate,'Rent Roll'!$O$31-1),1,0)</f>
        <v>1</v>
      </c>
      <c r="BR272" s="49">
        <f>IF(BR$4&gt;=EOMONTH(CloseDate,'Rent Roll'!$O$31-1),1,0)</f>
        <v>1</v>
      </c>
      <c r="BS272" s="49">
        <f>IF(BS$4&gt;=EOMONTH(CloseDate,'Rent Roll'!$O$31-1),1,0)</f>
        <v>1</v>
      </c>
      <c r="BT272" s="49">
        <f>IF(BT$4&gt;=EOMONTH(CloseDate,'Rent Roll'!$O$31-1),1,0)</f>
        <v>1</v>
      </c>
      <c r="BU272" s="49">
        <f>IF(BU$4&gt;=EOMONTH(CloseDate,'Rent Roll'!$O$31-1),1,0)</f>
        <v>1</v>
      </c>
      <c r="BV272" s="49">
        <f>IF(BV$4&gt;=EOMONTH(CloseDate,'Rent Roll'!$O$31-1),1,0)</f>
        <v>1</v>
      </c>
      <c r="BW272" s="49">
        <f>IF(BW$4&gt;=EOMONTH(CloseDate,'Rent Roll'!$O$31-1),1,0)</f>
        <v>1</v>
      </c>
      <c r="BX272" s="49">
        <f>IF(BX$4&gt;=EOMONTH(CloseDate,'Rent Roll'!$O$31-1),1,0)</f>
        <v>1</v>
      </c>
    </row>
    <row r="273" spans="1:76" hidden="1" outlineLevel="1">
      <c r="B273" t="s">
        <v>162</v>
      </c>
      <c r="D273" s="49">
        <f>IF(D272=1,'Rent Roll'!$F$31*'Rent Roll'!$X$31/12*D$6,0)</f>
        <v>0</v>
      </c>
      <c r="E273" s="49">
        <f>IF(E272=1,'Rent Roll'!$F$31*'Rent Roll'!$X$31/12*E$6,0)</f>
        <v>0</v>
      </c>
      <c r="F273" s="49">
        <f>IF(F272=1,'Rent Roll'!$F$31*'Rent Roll'!$X$31/12*F$6,0)</f>
        <v>0</v>
      </c>
      <c r="G273" s="49">
        <f>IF(G272=1,'Rent Roll'!$F$31*'Rent Roll'!$X$31/12*G$6,0)</f>
        <v>0</v>
      </c>
      <c r="H273" s="49">
        <f>IF(H272=1,'Rent Roll'!$F$31*'Rent Roll'!$X$31/12*H$6,0)</f>
        <v>0</v>
      </c>
      <c r="I273" s="49">
        <f>IF(I272=1,'Rent Roll'!$F$31*'Rent Roll'!$X$31/12*I$6,0)</f>
        <v>0</v>
      </c>
      <c r="J273" s="49">
        <f>IF(J272=1,'Rent Roll'!$F$31*'Rent Roll'!$X$31/12*J$6,0)</f>
        <v>0</v>
      </c>
      <c r="K273" s="49">
        <f>IF(K272=1,'Rent Roll'!$F$31*'Rent Roll'!$X$31/12*K$6,0)</f>
        <v>0</v>
      </c>
      <c r="L273" s="49">
        <f>IF(L272=1,'Rent Roll'!$F$31*'Rent Roll'!$X$31/12*L$6,0)</f>
        <v>0</v>
      </c>
      <c r="M273" s="49">
        <f>IF(M272=1,'Rent Roll'!$F$31*'Rent Roll'!$X$31/12*M$6,0)</f>
        <v>13090.976437499998</v>
      </c>
      <c r="N273" s="49">
        <f>IF(N272=1,'Rent Roll'!$F$31*'Rent Roll'!$X$31/12*N$6,0)</f>
        <v>13090.976437499998</v>
      </c>
      <c r="O273" s="49">
        <f>IF(O272=1,'Rent Roll'!$F$31*'Rent Roll'!$X$31/12*O$6,0)</f>
        <v>13090.976437499998</v>
      </c>
      <c r="P273" s="49">
        <f>IF(P272=1,'Rent Roll'!$F$31*'Rent Roll'!$X$31/12*P$6,0)</f>
        <v>13090.976437499998</v>
      </c>
      <c r="Q273" s="49">
        <f>IF(Q272=1,'Rent Roll'!$F$31*'Rent Roll'!$X$31/12*Q$6,0)</f>
        <v>13090.976437499998</v>
      </c>
      <c r="R273" s="49">
        <f>IF(R272=1,'Rent Roll'!$F$31*'Rent Roll'!$X$31/12*R$6,0)</f>
        <v>13090.976437499998</v>
      </c>
      <c r="S273" s="49">
        <f>IF(S272=1,'Rent Roll'!$F$31*'Rent Roll'!$X$31/12*S$6,0)</f>
        <v>13090.976437499998</v>
      </c>
      <c r="T273" s="49">
        <f>IF(T272=1,'Rent Roll'!$F$31*'Rent Roll'!$X$31/12*T$6,0)</f>
        <v>13090.976437499998</v>
      </c>
      <c r="U273" s="49">
        <f>IF(U272=1,'Rent Roll'!$F$31*'Rent Roll'!$X$31/12*U$6,0)</f>
        <v>13444.432801312496</v>
      </c>
      <c r="V273" s="49">
        <f>IF(V272=1,'Rent Roll'!$F$31*'Rent Roll'!$X$31/12*V$6,0)</f>
        <v>13444.432801312496</v>
      </c>
      <c r="W273" s="49">
        <f>IF(W272=1,'Rent Roll'!$F$31*'Rent Roll'!$X$31/12*W$6,0)</f>
        <v>13444.432801312496</v>
      </c>
      <c r="X273" s="49">
        <f>IF(X272=1,'Rent Roll'!$F$31*'Rent Roll'!$X$31/12*X$6,0)</f>
        <v>13444.432801312496</v>
      </c>
      <c r="Y273" s="49">
        <f>IF(Y272=1,'Rent Roll'!$F$31*'Rent Roll'!$X$31/12*Y$6,0)</f>
        <v>13444.432801312496</v>
      </c>
      <c r="Z273" s="49">
        <f>IF(Z272=1,'Rent Roll'!$F$31*'Rent Roll'!$X$31/12*Z$6,0)</f>
        <v>13444.432801312496</v>
      </c>
      <c r="AA273" s="49">
        <f>IF(AA272=1,'Rent Roll'!$F$31*'Rent Roll'!$X$31/12*AA$6,0)</f>
        <v>13444.432801312496</v>
      </c>
      <c r="AB273" s="49">
        <f>IF(AB272=1,'Rent Roll'!$F$31*'Rent Roll'!$X$31/12*AB$6,0)</f>
        <v>13444.432801312496</v>
      </c>
      <c r="AC273" s="49">
        <f>IF(AC272=1,'Rent Roll'!$F$31*'Rent Roll'!$X$31/12*AC$6,0)</f>
        <v>13444.432801312496</v>
      </c>
      <c r="AD273" s="49">
        <f>IF(AD272=1,'Rent Roll'!$F$31*'Rent Roll'!$X$31/12*AD$6,0)</f>
        <v>13444.432801312496</v>
      </c>
      <c r="AE273" s="49">
        <f>IF(AE272=1,'Rent Roll'!$F$31*'Rent Roll'!$X$31/12*AE$6,0)</f>
        <v>13444.432801312496</v>
      </c>
      <c r="AF273" s="49">
        <f>IF(AF272=1,'Rent Roll'!$F$31*'Rent Roll'!$X$31/12*AF$6,0)</f>
        <v>13444.432801312496</v>
      </c>
      <c r="AG273" s="49">
        <f>IF(AG272=1,'Rent Roll'!$F$31*'Rent Roll'!$X$31/12*AG$6,0)</f>
        <v>13807.432486947933</v>
      </c>
      <c r="AH273" s="49">
        <f>IF(AH272=1,'Rent Roll'!$F$31*'Rent Roll'!$X$31/12*AH$6,0)</f>
        <v>13807.432486947933</v>
      </c>
      <c r="AI273" s="49">
        <f>IF(AI272=1,'Rent Roll'!$F$31*'Rent Roll'!$X$31/12*AI$6,0)</f>
        <v>13807.432486947933</v>
      </c>
      <c r="AJ273" s="49">
        <f>IF(AJ272=1,'Rent Roll'!$F$31*'Rent Roll'!$X$31/12*AJ$6,0)</f>
        <v>13807.432486947933</v>
      </c>
      <c r="AK273" s="49">
        <f>IF(AK272=1,'Rent Roll'!$F$31*'Rent Roll'!$X$31/12*AK$6,0)</f>
        <v>13807.432486947933</v>
      </c>
      <c r="AL273" s="49">
        <f>IF(AL272=1,'Rent Roll'!$F$31*'Rent Roll'!$X$31/12*AL$6,0)</f>
        <v>13807.432486947933</v>
      </c>
      <c r="AM273" s="49">
        <f>IF(AM272=1,'Rent Roll'!$F$31*'Rent Roll'!$X$31/12*AM$6,0)</f>
        <v>13807.432486947933</v>
      </c>
      <c r="AN273" s="49">
        <f>IF(AN272=1,'Rent Roll'!$F$31*'Rent Roll'!$X$31/12*AN$6,0)</f>
        <v>13807.432486947933</v>
      </c>
      <c r="AO273" s="49">
        <f>IF(AO272=1,'Rent Roll'!$F$31*'Rent Roll'!$X$31/12*AO$6,0)</f>
        <v>13807.432486947933</v>
      </c>
      <c r="AP273" s="49">
        <f>IF(AP272=1,'Rent Roll'!$F$31*'Rent Roll'!$X$31/12*AP$6,0)</f>
        <v>13807.432486947933</v>
      </c>
      <c r="AQ273" s="49">
        <f>IF(AQ272=1,'Rent Roll'!$F$31*'Rent Roll'!$X$31/12*AQ$6,0)</f>
        <v>13807.432486947933</v>
      </c>
      <c r="AR273" s="49">
        <f>IF(AR272=1,'Rent Roll'!$F$31*'Rent Roll'!$X$31/12*AR$6,0)</f>
        <v>13807.432486947933</v>
      </c>
      <c r="AS273" s="49">
        <f>IF(AS272=1,'Rent Roll'!$F$31*'Rent Roll'!$X$31/12*AS$6,0)</f>
        <v>14180.233164095525</v>
      </c>
      <c r="AT273" s="49">
        <f>IF(AT272=1,'Rent Roll'!$F$31*'Rent Roll'!$X$31/12*AT$6,0)</f>
        <v>14180.233164095525</v>
      </c>
      <c r="AU273" s="49">
        <f>IF(AU272=1,'Rent Roll'!$F$31*'Rent Roll'!$X$31/12*AU$6,0)</f>
        <v>14180.233164095525</v>
      </c>
      <c r="AV273" s="49">
        <f>IF(AV272=1,'Rent Roll'!$F$31*'Rent Roll'!$X$31/12*AV$6,0)</f>
        <v>14180.233164095525</v>
      </c>
      <c r="AW273" s="49">
        <f>IF(AW272=1,'Rent Roll'!$F$31*'Rent Roll'!$X$31/12*AW$6,0)</f>
        <v>14180.233164095525</v>
      </c>
      <c r="AX273" s="49">
        <f>IF(AX272=1,'Rent Roll'!$F$31*'Rent Roll'!$X$31/12*AX$6,0)</f>
        <v>14180.233164095525</v>
      </c>
      <c r="AY273" s="49">
        <f>IF(AY272=1,'Rent Roll'!$F$31*'Rent Roll'!$X$31/12*AY$6,0)</f>
        <v>14180.233164095525</v>
      </c>
      <c r="AZ273" s="49">
        <f>IF(AZ272=1,'Rent Roll'!$F$31*'Rent Roll'!$X$31/12*AZ$6,0)</f>
        <v>14180.233164095525</v>
      </c>
      <c r="BA273" s="49">
        <f>IF(BA272=1,'Rent Roll'!$F$31*'Rent Roll'!$X$31/12*BA$6,0)</f>
        <v>14180.233164095525</v>
      </c>
      <c r="BB273" s="49">
        <f>IF(BB272=1,'Rent Roll'!$F$31*'Rent Roll'!$X$31/12*BB$6,0)</f>
        <v>14180.233164095525</v>
      </c>
      <c r="BC273" s="49">
        <f>IF(BC272=1,'Rent Roll'!$F$31*'Rent Roll'!$X$31/12*BC$6,0)</f>
        <v>14180.233164095525</v>
      </c>
      <c r="BD273" s="49">
        <f>IF(BD272=1,'Rent Roll'!$F$31*'Rent Roll'!$X$31/12*BD$6,0)</f>
        <v>14180.233164095525</v>
      </c>
      <c r="BE273" s="49">
        <f>IF(BE272=1,'Rent Roll'!$F$31*'Rent Roll'!$X$31/12*BE$6,0)</f>
        <v>14563.099459526102</v>
      </c>
      <c r="BF273" s="49">
        <f>IF(BF272=1,'Rent Roll'!$F$31*'Rent Roll'!$X$31/12*BF$6,0)</f>
        <v>14563.099459526102</v>
      </c>
      <c r="BG273" s="49">
        <f>IF(BG272=1,'Rent Roll'!$F$31*'Rent Roll'!$X$31/12*BG$6,0)</f>
        <v>14563.099459526102</v>
      </c>
      <c r="BH273" s="49">
        <f>IF(BH272=1,'Rent Roll'!$F$31*'Rent Roll'!$X$31/12*BH$6,0)</f>
        <v>14563.099459526102</v>
      </c>
      <c r="BI273" s="49">
        <f>IF(BI272=1,'Rent Roll'!$F$31*'Rent Roll'!$X$31/12*BI$6,0)</f>
        <v>14563.099459526102</v>
      </c>
      <c r="BJ273" s="49">
        <f>IF(BJ272=1,'Rent Roll'!$F$31*'Rent Roll'!$X$31/12*BJ$6,0)</f>
        <v>14563.099459526102</v>
      </c>
      <c r="BK273" s="49">
        <f>IF(BK272=1,'Rent Roll'!$F$31*'Rent Roll'!$X$31/12*BK$6,0)</f>
        <v>14563.099459526102</v>
      </c>
      <c r="BL273" s="49">
        <f>IF(BL272=1,'Rent Roll'!$F$31*'Rent Roll'!$X$31/12*BL$6,0)</f>
        <v>14563.099459526102</v>
      </c>
      <c r="BM273" s="49">
        <f>IF(BM272=1,'Rent Roll'!$F$31*'Rent Roll'!$X$31/12*BM$6,0)</f>
        <v>14563.099459526102</v>
      </c>
      <c r="BN273" s="49">
        <f>IF(BN272=1,'Rent Roll'!$F$31*'Rent Roll'!$X$31/12*BN$6,0)</f>
        <v>14563.099459526102</v>
      </c>
      <c r="BO273" s="49">
        <f>IF(BO272=1,'Rent Roll'!$F$31*'Rent Roll'!$X$31/12*BO$6,0)</f>
        <v>14563.099459526102</v>
      </c>
      <c r="BP273" s="49">
        <f>IF(BP272=1,'Rent Roll'!$F$31*'Rent Roll'!$X$31/12*BP$6,0)</f>
        <v>14563.099459526102</v>
      </c>
      <c r="BQ273" s="49">
        <f>IF(BQ272=1,'Rent Roll'!$F$31*'Rent Roll'!$X$31/12*BQ$6,0)</f>
        <v>14956.303144933305</v>
      </c>
      <c r="BR273" s="49">
        <f>IF(BR272=1,'Rent Roll'!$F$31*'Rent Roll'!$X$31/12*BR$6,0)</f>
        <v>14956.303144933305</v>
      </c>
      <c r="BS273" s="49">
        <f>IF(BS272=1,'Rent Roll'!$F$31*'Rent Roll'!$X$31/12*BS$6,0)</f>
        <v>14956.303144933305</v>
      </c>
      <c r="BT273" s="49">
        <f>IF(BT272=1,'Rent Roll'!$F$31*'Rent Roll'!$X$31/12*BT$6,0)</f>
        <v>14956.303144933305</v>
      </c>
      <c r="BU273" s="49">
        <f>IF(BU272=1,'Rent Roll'!$F$31*'Rent Roll'!$X$31/12*BU$6,0)</f>
        <v>14956.303144933305</v>
      </c>
      <c r="BV273" s="49">
        <f>IF(BV272=1,'Rent Roll'!$F$31*'Rent Roll'!$X$31/12*BV$6,0)</f>
        <v>14956.303144933305</v>
      </c>
      <c r="BW273" s="49">
        <f>IF(BW272=1,'Rent Roll'!$F$31*'Rent Roll'!$X$31/12*BW$6,0)</f>
        <v>14956.303144933305</v>
      </c>
      <c r="BX273" s="49">
        <f>IF(BX272=1,'Rent Roll'!$F$31*'Rent Roll'!$X$31/12*BX$6,0)</f>
        <v>14956.303144933305</v>
      </c>
    </row>
    <row r="274" spans="1:76" hidden="1" outlineLevel="1">
      <c r="B274" t="s">
        <v>163</v>
      </c>
      <c r="D274" s="49">
        <f>IF(AND(D$4&gt;=EOMONTH(CloseDate,'Rent Roll'!$O$31-1),D$4&lt;EOMONTH(CloseDate,'Rent Roll'!$O$31-1+'Rent Roll'!$V$31)),-D273,0)</f>
        <v>0</v>
      </c>
      <c r="E274" s="49">
        <f>IF(AND(E$4&gt;=EOMONTH(CloseDate,'Rent Roll'!$O$31-1),E$4&lt;EOMONTH(CloseDate,'Rent Roll'!$O$31-1+'Rent Roll'!$V$31)),-E273,0)</f>
        <v>0</v>
      </c>
      <c r="F274" s="49">
        <f>IF(AND(F$4&gt;=EOMONTH(CloseDate,'Rent Roll'!$O$31-1),F$4&lt;EOMONTH(CloseDate,'Rent Roll'!$O$31-1+'Rent Roll'!$V$31)),-F273,0)</f>
        <v>0</v>
      </c>
      <c r="G274" s="49">
        <f>IF(AND(G$4&gt;=EOMONTH(CloseDate,'Rent Roll'!$O$31-1),G$4&lt;EOMONTH(CloseDate,'Rent Roll'!$O$31-1+'Rent Roll'!$V$31)),-G273,0)</f>
        <v>0</v>
      </c>
      <c r="H274" s="49">
        <f>IF(AND(H$4&gt;=EOMONTH(CloseDate,'Rent Roll'!$O$31-1),H$4&lt;EOMONTH(CloseDate,'Rent Roll'!$O$31-1+'Rent Roll'!$V$31)),-H273,0)</f>
        <v>0</v>
      </c>
      <c r="I274" s="49">
        <f>IF(AND(I$4&gt;=EOMONTH(CloseDate,'Rent Roll'!$O$31-1),I$4&lt;EOMONTH(CloseDate,'Rent Roll'!$O$31-1+'Rent Roll'!$V$31)),-I273,0)</f>
        <v>0</v>
      </c>
      <c r="J274" s="49">
        <f>IF(AND(J$4&gt;=EOMONTH(CloseDate,'Rent Roll'!$O$31-1),J$4&lt;EOMONTH(CloseDate,'Rent Roll'!$O$31-1+'Rent Roll'!$V$31)),-J273,0)</f>
        <v>0</v>
      </c>
      <c r="K274" s="49">
        <f>IF(AND(K$4&gt;=EOMONTH(CloseDate,'Rent Roll'!$O$31-1),K$4&lt;EOMONTH(CloseDate,'Rent Roll'!$O$31-1+'Rent Roll'!$V$31)),-K273,0)</f>
        <v>0</v>
      </c>
      <c r="L274" s="49">
        <f>IF(AND(L$4&gt;=EOMONTH(CloseDate,'Rent Roll'!$O$31-1),L$4&lt;EOMONTH(CloseDate,'Rent Roll'!$O$31-1+'Rent Roll'!$V$31)),-L273,0)</f>
        <v>0</v>
      </c>
      <c r="M274" s="49">
        <f>IF(AND(M$4&gt;=EOMONTH(CloseDate,'Rent Roll'!$O$31-1),M$4&lt;EOMONTH(CloseDate,'Rent Roll'!$O$31-1+'Rent Roll'!$V$31)),-M273,0)</f>
        <v>-13090.976437499998</v>
      </c>
      <c r="N274" s="49">
        <f>IF(AND(N$4&gt;=EOMONTH(CloseDate,'Rent Roll'!$O$31-1),N$4&lt;EOMONTH(CloseDate,'Rent Roll'!$O$31-1+'Rent Roll'!$V$31)),-N273,0)</f>
        <v>-13090.976437499998</v>
      </c>
      <c r="O274" s="49">
        <f>IF(AND(O$4&gt;=EOMONTH(CloseDate,'Rent Roll'!$O$31-1),O$4&lt;EOMONTH(CloseDate,'Rent Roll'!$O$31-1+'Rent Roll'!$V$31)),-O273,0)</f>
        <v>0</v>
      </c>
      <c r="P274" s="49">
        <f>IF(AND(P$4&gt;=EOMONTH(CloseDate,'Rent Roll'!$O$31-1),P$4&lt;EOMONTH(CloseDate,'Rent Roll'!$O$31-1+'Rent Roll'!$V$31)),-P273,0)</f>
        <v>0</v>
      </c>
      <c r="Q274" s="49">
        <f>IF(AND(Q$4&gt;=EOMONTH(CloseDate,'Rent Roll'!$O$31-1),Q$4&lt;EOMONTH(CloseDate,'Rent Roll'!$O$31-1+'Rent Roll'!$V$31)),-Q273,0)</f>
        <v>0</v>
      </c>
      <c r="R274" s="49">
        <f>IF(AND(R$4&gt;=EOMONTH(CloseDate,'Rent Roll'!$O$31-1),R$4&lt;EOMONTH(CloseDate,'Rent Roll'!$O$31-1+'Rent Roll'!$V$31)),-R273,0)</f>
        <v>0</v>
      </c>
      <c r="S274" s="49">
        <f>IF(AND(S$4&gt;=EOMONTH(CloseDate,'Rent Roll'!$O$31-1),S$4&lt;EOMONTH(CloseDate,'Rent Roll'!$O$31-1+'Rent Roll'!$V$31)),-S273,0)</f>
        <v>0</v>
      </c>
      <c r="T274" s="49">
        <f>IF(AND(T$4&gt;=EOMONTH(CloseDate,'Rent Roll'!$O$31-1),T$4&lt;EOMONTH(CloseDate,'Rent Roll'!$O$31-1+'Rent Roll'!$V$31)),-T273,0)</f>
        <v>0</v>
      </c>
      <c r="U274" s="49">
        <f>IF(AND(U$4&gt;=EOMONTH(CloseDate,'Rent Roll'!$O$31-1),U$4&lt;EOMONTH(CloseDate,'Rent Roll'!$O$31-1+'Rent Roll'!$V$31)),-U273,0)</f>
        <v>0</v>
      </c>
      <c r="V274" s="49">
        <f>IF(AND(V$4&gt;=EOMONTH(CloseDate,'Rent Roll'!$O$31-1),V$4&lt;EOMONTH(CloseDate,'Rent Roll'!$O$31-1+'Rent Roll'!$V$31)),-V273,0)</f>
        <v>0</v>
      </c>
      <c r="W274" s="49">
        <f>IF(AND(W$4&gt;=EOMONTH(CloseDate,'Rent Roll'!$O$31-1),W$4&lt;EOMONTH(CloseDate,'Rent Roll'!$O$31-1+'Rent Roll'!$V$31)),-W273,0)</f>
        <v>0</v>
      </c>
      <c r="X274" s="49">
        <f>IF(AND(X$4&gt;=EOMONTH(CloseDate,'Rent Roll'!$O$31-1),X$4&lt;EOMONTH(CloseDate,'Rent Roll'!$O$31-1+'Rent Roll'!$V$31)),-X273,0)</f>
        <v>0</v>
      </c>
      <c r="Y274" s="49">
        <f>IF(AND(Y$4&gt;=EOMONTH(CloseDate,'Rent Roll'!$O$31-1),Y$4&lt;EOMONTH(CloseDate,'Rent Roll'!$O$31-1+'Rent Roll'!$V$31)),-Y273,0)</f>
        <v>0</v>
      </c>
      <c r="Z274" s="49">
        <f>IF(AND(Z$4&gt;=EOMONTH(CloseDate,'Rent Roll'!$O$31-1),Z$4&lt;EOMONTH(CloseDate,'Rent Roll'!$O$31-1+'Rent Roll'!$V$31)),-Z273,0)</f>
        <v>0</v>
      </c>
      <c r="AA274" s="49">
        <f>IF(AND(AA$4&gt;=EOMONTH(CloseDate,'Rent Roll'!$O$31-1),AA$4&lt;EOMONTH(CloseDate,'Rent Roll'!$O$31-1+'Rent Roll'!$V$31)),-AA273,0)</f>
        <v>0</v>
      </c>
      <c r="AB274" s="49">
        <f>IF(AND(AB$4&gt;=EOMONTH(CloseDate,'Rent Roll'!$O$31-1),AB$4&lt;EOMONTH(CloseDate,'Rent Roll'!$O$31-1+'Rent Roll'!$V$31)),-AB273,0)</f>
        <v>0</v>
      </c>
      <c r="AC274" s="49">
        <f>IF(AND(AC$4&gt;=EOMONTH(CloseDate,'Rent Roll'!$O$31-1),AC$4&lt;EOMONTH(CloseDate,'Rent Roll'!$O$31-1+'Rent Roll'!$V$31)),-AC273,0)</f>
        <v>0</v>
      </c>
      <c r="AD274" s="49">
        <f>IF(AND(AD$4&gt;=EOMONTH(CloseDate,'Rent Roll'!$O$31-1),AD$4&lt;EOMONTH(CloseDate,'Rent Roll'!$O$31-1+'Rent Roll'!$V$31)),-AD273,0)</f>
        <v>0</v>
      </c>
      <c r="AE274" s="49">
        <f>IF(AND(AE$4&gt;=EOMONTH(CloseDate,'Rent Roll'!$O$31-1),AE$4&lt;EOMONTH(CloseDate,'Rent Roll'!$O$31-1+'Rent Roll'!$V$31)),-AE273,0)</f>
        <v>0</v>
      </c>
      <c r="AF274" s="49">
        <f>IF(AND(AF$4&gt;=EOMONTH(CloseDate,'Rent Roll'!$O$31-1),AF$4&lt;EOMONTH(CloseDate,'Rent Roll'!$O$31-1+'Rent Roll'!$V$31)),-AF273,0)</f>
        <v>0</v>
      </c>
      <c r="AG274" s="49">
        <f>IF(AND(AG$4&gt;=EOMONTH(CloseDate,'Rent Roll'!$O$31-1),AG$4&lt;EOMONTH(CloseDate,'Rent Roll'!$O$31-1+'Rent Roll'!$V$31)),-AG273,0)</f>
        <v>0</v>
      </c>
      <c r="AH274" s="49">
        <f>IF(AND(AH$4&gt;=EOMONTH(CloseDate,'Rent Roll'!$O$31-1),AH$4&lt;EOMONTH(CloseDate,'Rent Roll'!$O$31-1+'Rent Roll'!$V$31)),-AH273,0)</f>
        <v>0</v>
      </c>
      <c r="AI274" s="49">
        <f>IF(AND(AI$4&gt;=EOMONTH(CloseDate,'Rent Roll'!$O$31-1),AI$4&lt;EOMONTH(CloseDate,'Rent Roll'!$O$31-1+'Rent Roll'!$V$31)),-AI273,0)</f>
        <v>0</v>
      </c>
      <c r="AJ274" s="49">
        <f>IF(AND(AJ$4&gt;=EOMONTH(CloseDate,'Rent Roll'!$O$31-1),AJ$4&lt;EOMONTH(CloseDate,'Rent Roll'!$O$31-1+'Rent Roll'!$V$31)),-AJ273,0)</f>
        <v>0</v>
      </c>
      <c r="AK274" s="49">
        <f>IF(AND(AK$4&gt;=EOMONTH(CloseDate,'Rent Roll'!$O$31-1),AK$4&lt;EOMONTH(CloseDate,'Rent Roll'!$O$31-1+'Rent Roll'!$V$31)),-AK273,0)</f>
        <v>0</v>
      </c>
      <c r="AL274" s="49">
        <f>IF(AND(AL$4&gt;=EOMONTH(CloseDate,'Rent Roll'!$O$31-1),AL$4&lt;EOMONTH(CloseDate,'Rent Roll'!$O$31-1+'Rent Roll'!$V$31)),-AL273,0)</f>
        <v>0</v>
      </c>
      <c r="AM274" s="49">
        <f>IF(AND(AM$4&gt;=EOMONTH(CloseDate,'Rent Roll'!$O$31-1),AM$4&lt;EOMONTH(CloseDate,'Rent Roll'!$O$31-1+'Rent Roll'!$V$31)),-AM273,0)</f>
        <v>0</v>
      </c>
      <c r="AN274" s="49">
        <f>IF(AND(AN$4&gt;=EOMONTH(CloseDate,'Rent Roll'!$O$31-1),AN$4&lt;EOMONTH(CloseDate,'Rent Roll'!$O$31-1+'Rent Roll'!$V$31)),-AN273,0)</f>
        <v>0</v>
      </c>
      <c r="AO274" s="49">
        <f>IF(AND(AO$4&gt;=EOMONTH(CloseDate,'Rent Roll'!$O$31-1),AO$4&lt;EOMONTH(CloseDate,'Rent Roll'!$O$31-1+'Rent Roll'!$V$31)),-AO273,0)</f>
        <v>0</v>
      </c>
      <c r="AP274" s="49">
        <f>IF(AND(AP$4&gt;=EOMONTH(CloseDate,'Rent Roll'!$O$31-1),AP$4&lt;EOMONTH(CloseDate,'Rent Roll'!$O$31-1+'Rent Roll'!$V$31)),-AP273,0)</f>
        <v>0</v>
      </c>
      <c r="AQ274" s="49">
        <f>IF(AND(AQ$4&gt;=EOMONTH(CloseDate,'Rent Roll'!$O$31-1),AQ$4&lt;EOMONTH(CloseDate,'Rent Roll'!$O$31-1+'Rent Roll'!$V$31)),-AQ273,0)</f>
        <v>0</v>
      </c>
      <c r="AR274" s="49">
        <f>IF(AND(AR$4&gt;=EOMONTH(CloseDate,'Rent Roll'!$O$31-1),AR$4&lt;EOMONTH(CloseDate,'Rent Roll'!$O$31-1+'Rent Roll'!$V$31)),-AR273,0)</f>
        <v>0</v>
      </c>
      <c r="AS274" s="49">
        <f>IF(AND(AS$4&gt;=EOMONTH(CloseDate,'Rent Roll'!$O$31-1),AS$4&lt;EOMONTH(CloseDate,'Rent Roll'!$O$31-1+'Rent Roll'!$V$31)),-AS273,0)</f>
        <v>0</v>
      </c>
      <c r="AT274" s="49">
        <f>IF(AND(AT$4&gt;=EOMONTH(CloseDate,'Rent Roll'!$O$31-1),AT$4&lt;EOMONTH(CloseDate,'Rent Roll'!$O$31-1+'Rent Roll'!$V$31)),-AT273,0)</f>
        <v>0</v>
      </c>
      <c r="AU274" s="49">
        <f>IF(AND(AU$4&gt;=EOMONTH(CloseDate,'Rent Roll'!$O$31-1),AU$4&lt;EOMONTH(CloseDate,'Rent Roll'!$O$31-1+'Rent Roll'!$V$31)),-AU273,0)</f>
        <v>0</v>
      </c>
      <c r="AV274" s="49">
        <f>IF(AND(AV$4&gt;=EOMONTH(CloseDate,'Rent Roll'!$O$31-1),AV$4&lt;EOMONTH(CloseDate,'Rent Roll'!$O$31-1+'Rent Roll'!$V$31)),-AV273,0)</f>
        <v>0</v>
      </c>
      <c r="AW274" s="49">
        <f>IF(AND(AW$4&gt;=EOMONTH(CloseDate,'Rent Roll'!$O$31-1),AW$4&lt;EOMONTH(CloseDate,'Rent Roll'!$O$31-1+'Rent Roll'!$V$31)),-AW273,0)</f>
        <v>0</v>
      </c>
      <c r="AX274" s="49">
        <f>IF(AND(AX$4&gt;=EOMONTH(CloseDate,'Rent Roll'!$O$31-1),AX$4&lt;EOMONTH(CloseDate,'Rent Roll'!$O$31-1+'Rent Roll'!$V$31)),-AX273,0)</f>
        <v>0</v>
      </c>
      <c r="AY274" s="49">
        <f>IF(AND(AY$4&gt;=EOMONTH(CloseDate,'Rent Roll'!$O$31-1),AY$4&lt;EOMONTH(CloseDate,'Rent Roll'!$O$31-1+'Rent Roll'!$V$31)),-AY273,0)</f>
        <v>0</v>
      </c>
      <c r="AZ274" s="49">
        <f>IF(AND(AZ$4&gt;=EOMONTH(CloseDate,'Rent Roll'!$O$31-1),AZ$4&lt;EOMONTH(CloseDate,'Rent Roll'!$O$31-1+'Rent Roll'!$V$31)),-AZ273,0)</f>
        <v>0</v>
      </c>
      <c r="BA274" s="49">
        <f>IF(AND(BA$4&gt;=EOMONTH(CloseDate,'Rent Roll'!$O$31-1),BA$4&lt;EOMONTH(CloseDate,'Rent Roll'!$O$31-1+'Rent Roll'!$V$31)),-BA273,0)</f>
        <v>0</v>
      </c>
      <c r="BB274" s="49">
        <f>IF(AND(BB$4&gt;=EOMONTH(CloseDate,'Rent Roll'!$O$31-1),BB$4&lt;EOMONTH(CloseDate,'Rent Roll'!$O$31-1+'Rent Roll'!$V$31)),-BB273,0)</f>
        <v>0</v>
      </c>
      <c r="BC274" s="49">
        <f>IF(AND(BC$4&gt;=EOMONTH(CloseDate,'Rent Roll'!$O$31-1),BC$4&lt;EOMONTH(CloseDate,'Rent Roll'!$O$31-1+'Rent Roll'!$V$31)),-BC273,0)</f>
        <v>0</v>
      </c>
      <c r="BD274" s="49">
        <f>IF(AND(BD$4&gt;=EOMONTH(CloseDate,'Rent Roll'!$O$31-1),BD$4&lt;EOMONTH(CloseDate,'Rent Roll'!$O$31-1+'Rent Roll'!$V$31)),-BD273,0)</f>
        <v>0</v>
      </c>
      <c r="BE274" s="49">
        <f>IF(AND(BE$4&gt;=EOMONTH(CloseDate,'Rent Roll'!$O$31-1),BE$4&lt;EOMONTH(CloseDate,'Rent Roll'!$O$31-1+'Rent Roll'!$V$31)),-BE273,0)</f>
        <v>0</v>
      </c>
      <c r="BF274" s="49">
        <f>IF(AND(BF$4&gt;=EOMONTH(CloseDate,'Rent Roll'!$O$31-1),BF$4&lt;EOMONTH(CloseDate,'Rent Roll'!$O$31-1+'Rent Roll'!$V$31)),-BF273,0)</f>
        <v>0</v>
      </c>
      <c r="BG274" s="49">
        <f>IF(AND(BG$4&gt;=EOMONTH(CloseDate,'Rent Roll'!$O$31-1),BG$4&lt;EOMONTH(CloseDate,'Rent Roll'!$O$31-1+'Rent Roll'!$V$31)),-BG273,0)</f>
        <v>0</v>
      </c>
      <c r="BH274" s="49">
        <f>IF(AND(BH$4&gt;=EOMONTH(CloseDate,'Rent Roll'!$O$31-1),BH$4&lt;EOMONTH(CloseDate,'Rent Roll'!$O$31-1+'Rent Roll'!$V$31)),-BH273,0)</f>
        <v>0</v>
      </c>
      <c r="BI274" s="49">
        <f>IF(AND(BI$4&gt;=EOMONTH(CloseDate,'Rent Roll'!$O$31-1),BI$4&lt;EOMONTH(CloseDate,'Rent Roll'!$O$31-1+'Rent Roll'!$V$31)),-BI273,0)</f>
        <v>0</v>
      </c>
      <c r="BJ274" s="49">
        <f>IF(AND(BJ$4&gt;=EOMONTH(CloseDate,'Rent Roll'!$O$31-1),BJ$4&lt;EOMONTH(CloseDate,'Rent Roll'!$O$31-1+'Rent Roll'!$V$31)),-BJ273,0)</f>
        <v>0</v>
      </c>
      <c r="BK274" s="49">
        <f>IF(AND(BK$4&gt;=EOMONTH(CloseDate,'Rent Roll'!$O$31-1),BK$4&lt;EOMONTH(CloseDate,'Rent Roll'!$O$31-1+'Rent Roll'!$V$31)),-BK273,0)</f>
        <v>0</v>
      </c>
      <c r="BL274" s="49">
        <f>IF(AND(BL$4&gt;=EOMONTH(CloseDate,'Rent Roll'!$O$31-1),BL$4&lt;EOMONTH(CloseDate,'Rent Roll'!$O$31-1+'Rent Roll'!$V$31)),-BL273,0)</f>
        <v>0</v>
      </c>
      <c r="BM274" s="49">
        <f>IF(AND(BM$4&gt;=EOMONTH(CloseDate,'Rent Roll'!$O$31-1),BM$4&lt;EOMONTH(CloseDate,'Rent Roll'!$O$31-1+'Rent Roll'!$V$31)),-BM273,0)</f>
        <v>0</v>
      </c>
      <c r="BN274" s="49">
        <f>IF(AND(BN$4&gt;=EOMONTH(CloseDate,'Rent Roll'!$O$31-1),BN$4&lt;EOMONTH(CloseDate,'Rent Roll'!$O$31-1+'Rent Roll'!$V$31)),-BN273,0)</f>
        <v>0</v>
      </c>
      <c r="BO274" s="49">
        <f>IF(AND(BO$4&gt;=EOMONTH(CloseDate,'Rent Roll'!$O$31-1),BO$4&lt;EOMONTH(CloseDate,'Rent Roll'!$O$31-1+'Rent Roll'!$V$31)),-BO273,0)</f>
        <v>0</v>
      </c>
      <c r="BP274" s="49">
        <f>IF(AND(BP$4&gt;=EOMONTH(CloseDate,'Rent Roll'!$O$31-1),BP$4&lt;EOMONTH(CloseDate,'Rent Roll'!$O$31-1+'Rent Roll'!$V$31)),-BP273,0)</f>
        <v>0</v>
      </c>
      <c r="BQ274" s="49">
        <f>IF(AND(BQ$4&gt;=EOMONTH(CloseDate,'Rent Roll'!$O$31-1),BQ$4&lt;EOMONTH(CloseDate,'Rent Roll'!$O$31-1+'Rent Roll'!$V$31)),-BQ273,0)</f>
        <v>0</v>
      </c>
      <c r="BR274" s="49">
        <f>IF(AND(BR$4&gt;=EOMONTH(CloseDate,'Rent Roll'!$O$31-1),BR$4&lt;EOMONTH(CloseDate,'Rent Roll'!$O$31-1+'Rent Roll'!$V$31)),-BR273,0)</f>
        <v>0</v>
      </c>
      <c r="BS274" s="49">
        <f>IF(AND(BS$4&gt;=EOMONTH(CloseDate,'Rent Roll'!$O$31-1),BS$4&lt;EOMONTH(CloseDate,'Rent Roll'!$O$31-1+'Rent Roll'!$V$31)),-BS273,0)</f>
        <v>0</v>
      </c>
      <c r="BT274" s="49">
        <f>IF(AND(BT$4&gt;=EOMONTH(CloseDate,'Rent Roll'!$O$31-1),BT$4&lt;EOMONTH(CloseDate,'Rent Roll'!$O$31-1+'Rent Roll'!$V$31)),-BT273,0)</f>
        <v>0</v>
      </c>
      <c r="BU274" s="49">
        <f>IF(AND(BU$4&gt;=EOMONTH(CloseDate,'Rent Roll'!$O$31-1),BU$4&lt;EOMONTH(CloseDate,'Rent Roll'!$O$31-1+'Rent Roll'!$V$31)),-BU273,0)</f>
        <v>0</v>
      </c>
      <c r="BV274" s="49">
        <f>IF(AND(BV$4&gt;=EOMONTH(CloseDate,'Rent Roll'!$O$31-1),BV$4&lt;EOMONTH(CloseDate,'Rent Roll'!$O$31-1+'Rent Roll'!$V$31)),-BV273,0)</f>
        <v>0</v>
      </c>
      <c r="BW274" s="49">
        <f>IF(AND(BW$4&gt;=EOMONTH(CloseDate,'Rent Roll'!$O$31-1),BW$4&lt;EOMONTH(CloseDate,'Rent Roll'!$O$31-1+'Rent Roll'!$V$31)),-BW273,0)</f>
        <v>0</v>
      </c>
      <c r="BX274" s="49">
        <f>IF(AND(BX$4&gt;=EOMONTH(CloseDate,'Rent Roll'!$O$31-1),BX$4&lt;EOMONTH(CloseDate,'Rent Roll'!$O$31-1+'Rent Roll'!$V$31)),-BX273,0)</f>
        <v>0</v>
      </c>
    </row>
    <row r="275" spans="1:76" hidden="1" outlineLevel="1">
      <c r="B275" t="s">
        <v>84</v>
      </c>
      <c r="D275" s="49">
        <f>D271+D273+D274</f>
        <v>0</v>
      </c>
      <c r="E275" s="49">
        <f t="shared" ref="E275:BJ275" si="89">E271+E273+E274</f>
        <v>0</v>
      </c>
      <c r="F275" s="49">
        <f t="shared" si="89"/>
        <v>0</v>
      </c>
      <c r="G275" s="49">
        <f t="shared" si="89"/>
        <v>0</v>
      </c>
      <c r="H275" s="49">
        <f t="shared" si="89"/>
        <v>0</v>
      </c>
      <c r="I275" s="49">
        <f t="shared" si="89"/>
        <v>0</v>
      </c>
      <c r="J275" s="49">
        <f t="shared" si="89"/>
        <v>0</v>
      </c>
      <c r="K275" s="49">
        <f t="shared" si="89"/>
        <v>0</v>
      </c>
      <c r="L275" s="49">
        <f t="shared" si="89"/>
        <v>0</v>
      </c>
      <c r="M275" s="49">
        <f t="shared" si="89"/>
        <v>0</v>
      </c>
      <c r="N275" s="49">
        <f t="shared" si="89"/>
        <v>0</v>
      </c>
      <c r="O275" s="49">
        <f t="shared" si="89"/>
        <v>13090.976437499998</v>
      </c>
      <c r="P275" s="49">
        <f t="shared" si="89"/>
        <v>13090.976437499998</v>
      </c>
      <c r="Q275" s="49">
        <f t="shared" si="89"/>
        <v>13090.976437499998</v>
      </c>
      <c r="R275" s="49">
        <f t="shared" si="89"/>
        <v>13090.976437499998</v>
      </c>
      <c r="S275" s="49">
        <f t="shared" si="89"/>
        <v>13090.976437499998</v>
      </c>
      <c r="T275" s="49">
        <f t="shared" si="89"/>
        <v>13090.976437499998</v>
      </c>
      <c r="U275" s="49">
        <f t="shared" si="89"/>
        <v>13444.432801312496</v>
      </c>
      <c r="V275" s="49">
        <f t="shared" si="89"/>
        <v>13444.432801312496</v>
      </c>
      <c r="W275" s="49">
        <f t="shared" si="89"/>
        <v>13444.432801312496</v>
      </c>
      <c r="X275" s="49">
        <f t="shared" si="89"/>
        <v>13444.432801312496</v>
      </c>
      <c r="Y275" s="49">
        <f t="shared" si="89"/>
        <v>13444.432801312496</v>
      </c>
      <c r="Z275" s="49">
        <f t="shared" si="89"/>
        <v>13444.432801312496</v>
      </c>
      <c r="AA275" s="49">
        <f t="shared" si="89"/>
        <v>13444.432801312496</v>
      </c>
      <c r="AB275" s="49">
        <f t="shared" si="89"/>
        <v>13444.432801312496</v>
      </c>
      <c r="AC275" s="49">
        <f t="shared" si="89"/>
        <v>13444.432801312496</v>
      </c>
      <c r="AD275" s="49">
        <f t="shared" si="89"/>
        <v>13444.432801312496</v>
      </c>
      <c r="AE275" s="49">
        <f t="shared" si="89"/>
        <v>13444.432801312496</v>
      </c>
      <c r="AF275" s="49">
        <f t="shared" si="89"/>
        <v>13444.432801312496</v>
      </c>
      <c r="AG275" s="49">
        <f t="shared" si="89"/>
        <v>13807.432486947933</v>
      </c>
      <c r="AH275" s="49">
        <f t="shared" si="89"/>
        <v>13807.432486947933</v>
      </c>
      <c r="AI275" s="49">
        <f t="shared" si="89"/>
        <v>13807.432486947933</v>
      </c>
      <c r="AJ275" s="49">
        <f t="shared" si="89"/>
        <v>13807.432486947933</v>
      </c>
      <c r="AK275" s="49">
        <f t="shared" si="89"/>
        <v>13807.432486947933</v>
      </c>
      <c r="AL275" s="49">
        <f t="shared" si="89"/>
        <v>13807.432486947933</v>
      </c>
      <c r="AM275" s="49">
        <f t="shared" si="89"/>
        <v>13807.432486947933</v>
      </c>
      <c r="AN275" s="49">
        <f t="shared" si="89"/>
        <v>13807.432486947933</v>
      </c>
      <c r="AO275" s="49">
        <f t="shared" si="89"/>
        <v>13807.432486947933</v>
      </c>
      <c r="AP275" s="49">
        <f t="shared" si="89"/>
        <v>13807.432486947933</v>
      </c>
      <c r="AQ275" s="49">
        <f t="shared" si="89"/>
        <v>13807.432486947933</v>
      </c>
      <c r="AR275" s="49">
        <f t="shared" si="89"/>
        <v>13807.432486947933</v>
      </c>
      <c r="AS275" s="49">
        <f t="shared" si="89"/>
        <v>14180.233164095525</v>
      </c>
      <c r="AT275" s="49">
        <f t="shared" si="89"/>
        <v>14180.233164095525</v>
      </c>
      <c r="AU275" s="49">
        <f t="shared" si="89"/>
        <v>14180.233164095525</v>
      </c>
      <c r="AV275" s="49">
        <f t="shared" si="89"/>
        <v>14180.233164095525</v>
      </c>
      <c r="AW275" s="49">
        <f t="shared" si="89"/>
        <v>14180.233164095525</v>
      </c>
      <c r="AX275" s="49">
        <f t="shared" si="89"/>
        <v>14180.233164095525</v>
      </c>
      <c r="AY275" s="49">
        <f t="shared" si="89"/>
        <v>14180.233164095525</v>
      </c>
      <c r="AZ275" s="49">
        <f t="shared" si="89"/>
        <v>14180.233164095525</v>
      </c>
      <c r="BA275" s="49">
        <f t="shared" si="89"/>
        <v>14180.233164095525</v>
      </c>
      <c r="BB275" s="49">
        <f t="shared" si="89"/>
        <v>14180.233164095525</v>
      </c>
      <c r="BC275" s="49">
        <f t="shared" si="89"/>
        <v>14180.233164095525</v>
      </c>
      <c r="BD275" s="49">
        <f t="shared" si="89"/>
        <v>14180.233164095525</v>
      </c>
      <c r="BE275" s="49">
        <f t="shared" si="89"/>
        <v>14563.099459526102</v>
      </c>
      <c r="BF275" s="49">
        <f t="shared" si="89"/>
        <v>14563.099459526102</v>
      </c>
      <c r="BG275" s="49">
        <f t="shared" si="89"/>
        <v>14563.099459526102</v>
      </c>
      <c r="BH275" s="49">
        <f t="shared" si="89"/>
        <v>14563.099459526102</v>
      </c>
      <c r="BI275" s="49">
        <f t="shared" si="89"/>
        <v>14563.099459526102</v>
      </c>
      <c r="BJ275" s="49">
        <f t="shared" si="89"/>
        <v>14563.099459526102</v>
      </c>
      <c r="BK275" s="49">
        <f t="shared" ref="BK275" si="90">BK271+BK273+BK274</f>
        <v>14563.099459526102</v>
      </c>
      <c r="BL275" s="49">
        <f t="shared" ref="BL275:BX275" si="91">BL271+BL273+BL274</f>
        <v>14563.099459526102</v>
      </c>
      <c r="BM275" s="49">
        <f t="shared" si="91"/>
        <v>14563.099459526102</v>
      </c>
      <c r="BN275" s="49">
        <f t="shared" si="91"/>
        <v>14563.099459526102</v>
      </c>
      <c r="BO275" s="49">
        <f t="shared" si="91"/>
        <v>14563.099459526102</v>
      </c>
      <c r="BP275" s="49">
        <f t="shared" si="91"/>
        <v>14563.099459526102</v>
      </c>
      <c r="BQ275" s="49">
        <f t="shared" si="91"/>
        <v>14956.303144933305</v>
      </c>
      <c r="BR275" s="49">
        <f t="shared" si="91"/>
        <v>14956.303144933305</v>
      </c>
      <c r="BS275" s="49">
        <f t="shared" si="91"/>
        <v>14956.303144933305</v>
      </c>
      <c r="BT275" s="49">
        <f t="shared" si="91"/>
        <v>14956.303144933305</v>
      </c>
      <c r="BU275" s="49">
        <f t="shared" si="91"/>
        <v>14956.303144933305</v>
      </c>
      <c r="BV275" s="49">
        <f t="shared" si="91"/>
        <v>14956.303144933305</v>
      </c>
      <c r="BW275" s="49">
        <f t="shared" si="91"/>
        <v>14956.303144933305</v>
      </c>
      <c r="BX275" s="49">
        <f t="shared" si="91"/>
        <v>14956.303144933305</v>
      </c>
    </row>
    <row r="276" spans="1:76" hidden="1" outlineLevel="1">
      <c r="B276" t="s">
        <v>85</v>
      </c>
      <c r="D276" s="49">
        <f>IF(D272=1,'Rent Roll'!$F$31/BldgSF*ReimbPool/12*D$7,0)</f>
        <v>0</v>
      </c>
      <c r="E276" s="49">
        <f>IF(E272=1,'Rent Roll'!$F$31/BldgSF*ReimbPool/12*E$7,0)</f>
        <v>0</v>
      </c>
      <c r="F276" s="49">
        <f>IF(F272=1,'Rent Roll'!$F$31/BldgSF*ReimbPool/12*F$7,0)</f>
        <v>0</v>
      </c>
      <c r="G276" s="49">
        <f>IF(G272=1,'Rent Roll'!$F$31/BldgSF*ReimbPool/12*G$7,0)</f>
        <v>0</v>
      </c>
      <c r="H276" s="49">
        <f>IF(H272=1,'Rent Roll'!$F$31/BldgSF*ReimbPool/12*H$7,0)</f>
        <v>0</v>
      </c>
      <c r="I276" s="49">
        <f>IF(I272=1,'Rent Roll'!$F$31/BldgSF*ReimbPool/12*I$7,0)</f>
        <v>0</v>
      </c>
      <c r="J276" s="49">
        <f>IF(J272=1,'Rent Roll'!$F$31/BldgSF*ReimbPool/12*J$7,0)</f>
        <v>0</v>
      </c>
      <c r="K276" s="49">
        <f>IF(K272=1,'Rent Roll'!$F$31/BldgSF*ReimbPool/12*K$7,0)</f>
        <v>0</v>
      </c>
      <c r="L276" s="49">
        <f>IF(L272=1,'Rent Roll'!$F$31/BldgSF*ReimbPool/12*L$7,0)</f>
        <v>0</v>
      </c>
      <c r="M276" s="49">
        <f>IF(M272=1,'Rent Roll'!$F$31/BldgSF*ReimbPool/12*M$7,0)</f>
        <v>5555.5564999999988</v>
      </c>
      <c r="N276" s="49">
        <f>IF(N272=1,'Rent Roll'!$F$31/BldgSF*ReimbPool/12*N$7,0)</f>
        <v>5555.5564999999988</v>
      </c>
      <c r="O276" s="49">
        <f>IF(O272=1,'Rent Roll'!$F$31/BldgSF*ReimbPool/12*O$7,0)</f>
        <v>5555.5564999999988</v>
      </c>
      <c r="P276" s="49">
        <f>IF(P272=1,'Rent Roll'!$F$31/BldgSF*ReimbPool/12*P$7,0)</f>
        <v>5555.5564999999988</v>
      </c>
      <c r="Q276" s="49">
        <f>IF(Q272=1,'Rent Roll'!$F$31/BldgSF*ReimbPool/12*Q$7,0)</f>
        <v>5555.5564999999988</v>
      </c>
      <c r="R276" s="49">
        <f>IF(R272=1,'Rent Roll'!$F$31/BldgSF*ReimbPool/12*R$7,0)</f>
        <v>5555.5564999999988</v>
      </c>
      <c r="S276" s="49">
        <f>IF(S272=1,'Rent Roll'!$F$31/BldgSF*ReimbPool/12*S$7,0)</f>
        <v>5555.5564999999988</v>
      </c>
      <c r="T276" s="49">
        <f>IF(T272=1,'Rent Roll'!$F$31/BldgSF*ReimbPool/12*T$7,0)</f>
        <v>5555.5564999999988</v>
      </c>
      <c r="U276" s="49">
        <f>IF(U272=1,'Rent Roll'!$F$31/BldgSF*ReimbPool/12*U$7,0)</f>
        <v>5705.5565254999983</v>
      </c>
      <c r="V276" s="49">
        <f>IF(V272=1,'Rent Roll'!$F$31/BldgSF*ReimbPool/12*V$7,0)</f>
        <v>5705.5565254999983</v>
      </c>
      <c r="W276" s="49">
        <f>IF(W272=1,'Rent Roll'!$F$31/BldgSF*ReimbPool/12*W$7,0)</f>
        <v>5705.5565254999983</v>
      </c>
      <c r="X276" s="49">
        <f>IF(X272=1,'Rent Roll'!$F$31/BldgSF*ReimbPool/12*X$7,0)</f>
        <v>5705.5565254999983</v>
      </c>
      <c r="Y276" s="49">
        <f>IF(Y272=1,'Rent Roll'!$F$31/BldgSF*ReimbPool/12*Y$7,0)</f>
        <v>5705.5565254999983</v>
      </c>
      <c r="Z276" s="49">
        <f>IF(Z272=1,'Rent Roll'!$F$31/BldgSF*ReimbPool/12*Z$7,0)</f>
        <v>5705.5565254999983</v>
      </c>
      <c r="AA276" s="49">
        <f>IF(AA272=1,'Rent Roll'!$F$31/BldgSF*ReimbPool/12*AA$7,0)</f>
        <v>5705.5565254999983</v>
      </c>
      <c r="AB276" s="49">
        <f>IF(AB272=1,'Rent Roll'!$F$31/BldgSF*ReimbPool/12*AB$7,0)</f>
        <v>5705.5565254999983</v>
      </c>
      <c r="AC276" s="49">
        <f>IF(AC272=1,'Rent Roll'!$F$31/BldgSF*ReimbPool/12*AC$7,0)</f>
        <v>5705.5565254999983</v>
      </c>
      <c r="AD276" s="49">
        <f>IF(AD272=1,'Rent Roll'!$F$31/BldgSF*ReimbPool/12*AD$7,0)</f>
        <v>5705.5565254999983</v>
      </c>
      <c r="AE276" s="49">
        <f>IF(AE272=1,'Rent Roll'!$F$31/BldgSF*ReimbPool/12*AE$7,0)</f>
        <v>5705.5565254999983</v>
      </c>
      <c r="AF276" s="49">
        <f>IF(AF272=1,'Rent Roll'!$F$31/BldgSF*ReimbPool/12*AF$7,0)</f>
        <v>5705.5565254999983</v>
      </c>
      <c r="AG276" s="49">
        <f>IF(AG272=1,'Rent Roll'!$F$31/BldgSF*ReimbPool/12*AG$7,0)</f>
        <v>5859.6065516884983</v>
      </c>
      <c r="AH276" s="49">
        <f>IF(AH272=1,'Rent Roll'!$F$31/BldgSF*ReimbPool/12*AH$7,0)</f>
        <v>5859.6065516884983</v>
      </c>
      <c r="AI276" s="49">
        <f>IF(AI272=1,'Rent Roll'!$F$31/BldgSF*ReimbPool/12*AI$7,0)</f>
        <v>5859.6065516884983</v>
      </c>
      <c r="AJ276" s="49">
        <f>IF(AJ272=1,'Rent Roll'!$F$31/BldgSF*ReimbPool/12*AJ$7,0)</f>
        <v>5859.6065516884983</v>
      </c>
      <c r="AK276" s="49">
        <f>IF(AK272=1,'Rent Roll'!$F$31/BldgSF*ReimbPool/12*AK$7,0)</f>
        <v>5859.6065516884983</v>
      </c>
      <c r="AL276" s="49">
        <f>IF(AL272=1,'Rent Roll'!$F$31/BldgSF*ReimbPool/12*AL$7,0)</f>
        <v>5859.6065516884983</v>
      </c>
      <c r="AM276" s="49">
        <f>IF(AM272=1,'Rent Roll'!$F$31/BldgSF*ReimbPool/12*AM$7,0)</f>
        <v>5859.6065516884983</v>
      </c>
      <c r="AN276" s="49">
        <f>IF(AN272=1,'Rent Roll'!$F$31/BldgSF*ReimbPool/12*AN$7,0)</f>
        <v>5859.6065516884983</v>
      </c>
      <c r="AO276" s="49">
        <f>IF(AO272=1,'Rent Roll'!$F$31/BldgSF*ReimbPool/12*AO$7,0)</f>
        <v>5859.6065516884983</v>
      </c>
      <c r="AP276" s="49">
        <f>IF(AP272=1,'Rent Roll'!$F$31/BldgSF*ReimbPool/12*AP$7,0)</f>
        <v>5859.6065516884983</v>
      </c>
      <c r="AQ276" s="49">
        <f>IF(AQ272=1,'Rent Roll'!$F$31/BldgSF*ReimbPool/12*AQ$7,0)</f>
        <v>5859.6065516884983</v>
      </c>
      <c r="AR276" s="49">
        <f>IF(AR272=1,'Rent Roll'!$F$31/BldgSF*ReimbPool/12*AR$7,0)</f>
        <v>5859.6065516884983</v>
      </c>
      <c r="AS276" s="49">
        <f>IF(AS272=1,'Rent Roll'!$F$31/BldgSF*ReimbPool/12*AS$7,0)</f>
        <v>6017.8159285840866</v>
      </c>
      <c r="AT276" s="49">
        <f>IF(AT272=1,'Rent Roll'!$F$31/BldgSF*ReimbPool/12*AT$7,0)</f>
        <v>6017.8159285840866</v>
      </c>
      <c r="AU276" s="49">
        <f>IF(AU272=1,'Rent Roll'!$F$31/BldgSF*ReimbPool/12*AU$7,0)</f>
        <v>6017.8159285840866</v>
      </c>
      <c r="AV276" s="49">
        <f>IF(AV272=1,'Rent Roll'!$F$31/BldgSF*ReimbPool/12*AV$7,0)</f>
        <v>6017.8159285840866</v>
      </c>
      <c r="AW276" s="49">
        <f>IF(AW272=1,'Rent Roll'!$F$31/BldgSF*ReimbPool/12*AW$7,0)</f>
        <v>6017.8159285840866</v>
      </c>
      <c r="AX276" s="49">
        <f>IF(AX272=1,'Rent Roll'!$F$31/BldgSF*ReimbPool/12*AX$7,0)</f>
        <v>6017.8159285840866</v>
      </c>
      <c r="AY276" s="49">
        <f>IF(AY272=1,'Rent Roll'!$F$31/BldgSF*ReimbPool/12*AY$7,0)</f>
        <v>6017.8159285840866</v>
      </c>
      <c r="AZ276" s="49">
        <f>IF(AZ272=1,'Rent Roll'!$F$31/BldgSF*ReimbPool/12*AZ$7,0)</f>
        <v>6017.8159285840866</v>
      </c>
      <c r="BA276" s="49">
        <f>IF(BA272=1,'Rent Roll'!$F$31/BldgSF*ReimbPool/12*BA$7,0)</f>
        <v>6017.8159285840866</v>
      </c>
      <c r="BB276" s="49">
        <f>IF(BB272=1,'Rent Roll'!$F$31/BldgSF*ReimbPool/12*BB$7,0)</f>
        <v>6017.8159285840866</v>
      </c>
      <c r="BC276" s="49">
        <f>IF(BC272=1,'Rent Roll'!$F$31/BldgSF*ReimbPool/12*BC$7,0)</f>
        <v>6017.8159285840866</v>
      </c>
      <c r="BD276" s="49">
        <f>IF(BD272=1,'Rent Roll'!$F$31/BldgSF*ReimbPool/12*BD$7,0)</f>
        <v>6017.8159285840866</v>
      </c>
      <c r="BE276" s="49">
        <f>IF(BE272=1,'Rent Roll'!$F$31/BldgSF*ReimbPool/12*BE$7,0)</f>
        <v>6180.2969586558565</v>
      </c>
      <c r="BF276" s="49">
        <f>IF(BF272=1,'Rent Roll'!$F$31/BldgSF*ReimbPool/12*BF$7,0)</f>
        <v>6180.2969586558565</v>
      </c>
      <c r="BG276" s="49">
        <f>IF(BG272=1,'Rent Roll'!$F$31/BldgSF*ReimbPool/12*BG$7,0)</f>
        <v>6180.2969586558565</v>
      </c>
      <c r="BH276" s="49">
        <f>IF(BH272=1,'Rent Roll'!$F$31/BldgSF*ReimbPool/12*BH$7,0)</f>
        <v>6180.2969586558565</v>
      </c>
      <c r="BI276" s="49">
        <f>IF(BI272=1,'Rent Roll'!$F$31/BldgSF*ReimbPool/12*BI$7,0)</f>
        <v>6180.2969586558565</v>
      </c>
      <c r="BJ276" s="49">
        <f>IF(BJ272=1,'Rent Roll'!$F$31/BldgSF*ReimbPool/12*BJ$7,0)</f>
        <v>6180.2969586558565</v>
      </c>
      <c r="BK276" s="49">
        <f>IF(BK272=1,'Rent Roll'!$F$31/BldgSF*ReimbPool/12*BK$7,0)</f>
        <v>6180.2969586558565</v>
      </c>
      <c r="BL276" s="49">
        <f>IF(BL272=1,'Rent Roll'!$F$31/BldgSF*ReimbPool/12*BL$7,0)</f>
        <v>6180.2969586558565</v>
      </c>
      <c r="BM276" s="49">
        <f>IF(BM272=1,'Rent Roll'!$F$31/BldgSF*ReimbPool/12*BM$7,0)</f>
        <v>6180.2969586558565</v>
      </c>
      <c r="BN276" s="49">
        <f>IF(BN272=1,'Rent Roll'!$F$31/BldgSF*ReimbPool/12*BN$7,0)</f>
        <v>6180.2969586558565</v>
      </c>
      <c r="BO276" s="49">
        <f>IF(BO272=1,'Rent Roll'!$F$31/BldgSF*ReimbPool/12*BO$7,0)</f>
        <v>6180.2969586558565</v>
      </c>
      <c r="BP276" s="49">
        <f>IF(BP272=1,'Rent Roll'!$F$31/BldgSF*ReimbPool/12*BP$7,0)</f>
        <v>6180.2969586558565</v>
      </c>
      <c r="BQ276" s="49">
        <f>IF(BQ272=1,'Rent Roll'!$F$31/BldgSF*ReimbPool/12*BQ$7,0)</f>
        <v>6347.1649765395632</v>
      </c>
      <c r="BR276" s="49">
        <f>IF(BR272=1,'Rent Roll'!$F$31/BldgSF*ReimbPool/12*BR$7,0)</f>
        <v>6347.1649765395632</v>
      </c>
      <c r="BS276" s="49">
        <f>IF(BS272=1,'Rent Roll'!$F$31/BldgSF*ReimbPool/12*BS$7,0)</f>
        <v>6347.1649765395632</v>
      </c>
      <c r="BT276" s="49">
        <f>IF(BT272=1,'Rent Roll'!$F$31/BldgSF*ReimbPool/12*BT$7,0)</f>
        <v>6347.1649765395632</v>
      </c>
      <c r="BU276" s="49">
        <f>IF(BU272=1,'Rent Roll'!$F$31/BldgSF*ReimbPool/12*BU$7,0)</f>
        <v>6347.1649765395632</v>
      </c>
      <c r="BV276" s="49">
        <f>IF(BV272=1,'Rent Roll'!$F$31/BldgSF*ReimbPool/12*BV$7,0)</f>
        <v>6347.1649765395632</v>
      </c>
      <c r="BW276" s="49">
        <f>IF(BW272=1,'Rent Roll'!$F$31/BldgSF*ReimbPool/12*BW$7,0)</f>
        <v>6347.1649765395632</v>
      </c>
      <c r="BX276" s="49">
        <f>IF(BX272=1,'Rent Roll'!$F$31/BldgSF*ReimbPool/12*BX$7,0)</f>
        <v>6347.1649765395632</v>
      </c>
    </row>
    <row r="277" spans="1:76" hidden="1" outlineLevel="1">
      <c r="B277" t="s">
        <v>86</v>
      </c>
      <c r="D277" s="49">
        <f>IF(D$4=EOMONTH(CloseDate,'Rent Roll'!$O$31-1),-'Rent Roll'!$F$31*'Rent Roll'!$T$31,0)</f>
        <v>0</v>
      </c>
      <c r="E277" s="49">
        <f>IF(E$4=EOMONTH(CloseDate,'Rent Roll'!$O$31-1),-'Rent Roll'!$F$31*'Rent Roll'!$T$31,0)</f>
        <v>0</v>
      </c>
      <c r="F277" s="49">
        <f>IF(F$4=EOMONTH(CloseDate,'Rent Roll'!$O$31-1),-'Rent Roll'!$F$31*'Rent Roll'!$T$31,0)</f>
        <v>0</v>
      </c>
      <c r="G277" s="49">
        <f>IF(G$4=EOMONTH(CloseDate,'Rent Roll'!$O$31-1),-'Rent Roll'!$F$31*'Rent Roll'!$T$31,0)</f>
        <v>0</v>
      </c>
      <c r="H277" s="49">
        <f>IF(H$4=EOMONTH(CloseDate,'Rent Roll'!$O$31-1),-'Rent Roll'!$F$31*'Rent Roll'!$T$31,0)</f>
        <v>0</v>
      </c>
      <c r="I277" s="49">
        <f>IF(I$4=EOMONTH(CloseDate,'Rent Roll'!$O$31-1),-'Rent Roll'!$F$31*'Rent Roll'!$T$31,0)</f>
        <v>0</v>
      </c>
      <c r="J277" s="49">
        <f>IF(J$4=EOMONTH(CloseDate,'Rent Roll'!$O$31-1),-'Rent Roll'!$F$31*'Rent Roll'!$T$31,0)</f>
        <v>0</v>
      </c>
      <c r="K277" s="49">
        <f>IF(K$4=EOMONTH(CloseDate,'Rent Roll'!$O$31-1),-'Rent Roll'!$F$31*'Rent Roll'!$T$31,0)</f>
        <v>0</v>
      </c>
      <c r="L277" s="49">
        <f>IF(L$4=EOMONTH(CloseDate,'Rent Roll'!$O$31-1),-'Rent Roll'!$F$31*'Rent Roll'!$T$31,0)</f>
        <v>0</v>
      </c>
      <c r="M277" s="49">
        <f>IF(M$4=EOMONTH(CloseDate,'Rent Roll'!$O$31-1),-'Rent Roll'!$F$31*'Rent Roll'!$T$31,0)</f>
        <v>-223200</v>
      </c>
      <c r="N277" s="49">
        <f>IF(N$4=EOMONTH(CloseDate,'Rent Roll'!$O$31-1),-'Rent Roll'!$F$31*'Rent Roll'!$T$31,0)</f>
        <v>0</v>
      </c>
      <c r="O277" s="49">
        <f>IF(O$4=EOMONTH(CloseDate,'Rent Roll'!$O$31-1),-'Rent Roll'!$F$31*'Rent Roll'!$T$31,0)</f>
        <v>0</v>
      </c>
      <c r="P277" s="49">
        <f>IF(P$4=EOMONTH(CloseDate,'Rent Roll'!$O$31-1),-'Rent Roll'!$F$31*'Rent Roll'!$T$31,0)</f>
        <v>0</v>
      </c>
      <c r="Q277" s="49">
        <f>IF(Q$4=EOMONTH(CloseDate,'Rent Roll'!$O$31-1),-'Rent Roll'!$F$31*'Rent Roll'!$T$31,0)</f>
        <v>0</v>
      </c>
      <c r="R277" s="49">
        <f>IF(R$4=EOMONTH(CloseDate,'Rent Roll'!$O$31-1),-'Rent Roll'!$F$31*'Rent Roll'!$T$31,0)</f>
        <v>0</v>
      </c>
      <c r="S277" s="49">
        <f>IF(S$4=EOMONTH(CloseDate,'Rent Roll'!$O$31-1),-'Rent Roll'!$F$31*'Rent Roll'!$T$31,0)</f>
        <v>0</v>
      </c>
      <c r="T277" s="49">
        <f>IF(T$4=EOMONTH(CloseDate,'Rent Roll'!$O$31-1),-'Rent Roll'!$F$31*'Rent Roll'!$T$31,0)</f>
        <v>0</v>
      </c>
      <c r="U277" s="49">
        <f>IF(U$4=EOMONTH(CloseDate,'Rent Roll'!$O$31-1),-'Rent Roll'!$F$31*'Rent Roll'!$T$31,0)</f>
        <v>0</v>
      </c>
      <c r="V277" s="49">
        <f>IF(V$4=EOMONTH(CloseDate,'Rent Roll'!$O$31-1),-'Rent Roll'!$F$31*'Rent Roll'!$T$31,0)</f>
        <v>0</v>
      </c>
      <c r="W277" s="49">
        <f>IF(W$4=EOMONTH(CloseDate,'Rent Roll'!$O$31-1),-'Rent Roll'!$F$31*'Rent Roll'!$T$31,0)</f>
        <v>0</v>
      </c>
      <c r="X277" s="49">
        <f>IF(X$4=EOMONTH(CloseDate,'Rent Roll'!$O$31-1),-'Rent Roll'!$F$31*'Rent Roll'!$T$31,0)</f>
        <v>0</v>
      </c>
      <c r="Y277" s="49">
        <f>IF(Y$4=EOMONTH(CloseDate,'Rent Roll'!$O$31-1),-'Rent Roll'!$F$31*'Rent Roll'!$T$31,0)</f>
        <v>0</v>
      </c>
      <c r="Z277" s="49">
        <f>IF(Z$4=EOMONTH(CloseDate,'Rent Roll'!$O$31-1),-'Rent Roll'!$F$31*'Rent Roll'!$T$31,0)</f>
        <v>0</v>
      </c>
      <c r="AA277" s="49">
        <f>IF(AA$4=EOMONTH(CloseDate,'Rent Roll'!$O$31-1),-'Rent Roll'!$F$31*'Rent Roll'!$T$31,0)</f>
        <v>0</v>
      </c>
      <c r="AB277" s="49">
        <f>IF(AB$4=EOMONTH(CloseDate,'Rent Roll'!$O$31-1),-'Rent Roll'!$F$31*'Rent Roll'!$T$31,0)</f>
        <v>0</v>
      </c>
      <c r="AC277" s="49">
        <f>IF(AC$4=EOMONTH(CloseDate,'Rent Roll'!$O$31-1),-'Rent Roll'!$F$31*'Rent Roll'!$T$31,0)</f>
        <v>0</v>
      </c>
      <c r="AD277" s="49">
        <f>IF(AD$4=EOMONTH(CloseDate,'Rent Roll'!$O$31-1),-'Rent Roll'!$F$31*'Rent Roll'!$T$31,0)</f>
        <v>0</v>
      </c>
      <c r="AE277" s="49">
        <f>IF(AE$4=EOMONTH(CloseDate,'Rent Roll'!$O$31-1),-'Rent Roll'!$F$31*'Rent Roll'!$T$31,0)</f>
        <v>0</v>
      </c>
      <c r="AF277" s="49">
        <f>IF(AF$4=EOMONTH(CloseDate,'Rent Roll'!$O$31-1),-'Rent Roll'!$F$31*'Rent Roll'!$T$31,0)</f>
        <v>0</v>
      </c>
      <c r="AG277" s="49">
        <f>IF(AG$4=EOMONTH(CloseDate,'Rent Roll'!$O$31-1),-'Rent Roll'!$F$31*'Rent Roll'!$T$31,0)</f>
        <v>0</v>
      </c>
      <c r="AH277" s="49">
        <f>IF(AH$4=EOMONTH(CloseDate,'Rent Roll'!$O$31-1),-'Rent Roll'!$F$31*'Rent Roll'!$T$31,0)</f>
        <v>0</v>
      </c>
      <c r="AI277" s="49">
        <f>IF(AI$4=EOMONTH(CloseDate,'Rent Roll'!$O$31-1),-'Rent Roll'!$F$31*'Rent Roll'!$T$31,0)</f>
        <v>0</v>
      </c>
      <c r="AJ277" s="49">
        <f>IF(AJ$4=EOMONTH(CloseDate,'Rent Roll'!$O$31-1),-'Rent Roll'!$F$31*'Rent Roll'!$T$31,0)</f>
        <v>0</v>
      </c>
      <c r="AK277" s="49">
        <f>IF(AK$4=EOMONTH(CloseDate,'Rent Roll'!$O$31-1),-'Rent Roll'!$F$31*'Rent Roll'!$T$31,0)</f>
        <v>0</v>
      </c>
      <c r="AL277" s="49">
        <f>IF(AL$4=EOMONTH(CloseDate,'Rent Roll'!$O$31-1),-'Rent Roll'!$F$31*'Rent Roll'!$T$31,0)</f>
        <v>0</v>
      </c>
      <c r="AM277" s="49">
        <f>IF(AM$4=EOMONTH(CloseDate,'Rent Roll'!$O$31-1),-'Rent Roll'!$F$31*'Rent Roll'!$T$31,0)</f>
        <v>0</v>
      </c>
      <c r="AN277" s="49">
        <f>IF(AN$4=EOMONTH(CloseDate,'Rent Roll'!$O$31-1),-'Rent Roll'!$F$31*'Rent Roll'!$T$31,0)</f>
        <v>0</v>
      </c>
      <c r="AO277" s="49">
        <f>IF(AO$4=EOMONTH(CloseDate,'Rent Roll'!$O$31-1),-'Rent Roll'!$F$31*'Rent Roll'!$T$31,0)</f>
        <v>0</v>
      </c>
      <c r="AP277" s="49">
        <f>IF(AP$4=EOMONTH(CloseDate,'Rent Roll'!$O$31-1),-'Rent Roll'!$F$31*'Rent Roll'!$T$31,0)</f>
        <v>0</v>
      </c>
      <c r="AQ277" s="49">
        <f>IF(AQ$4=EOMONTH(CloseDate,'Rent Roll'!$O$31-1),-'Rent Roll'!$F$31*'Rent Roll'!$T$31,0)</f>
        <v>0</v>
      </c>
      <c r="AR277" s="49">
        <f>IF(AR$4=EOMONTH(CloseDate,'Rent Roll'!$O$31-1),-'Rent Roll'!$F$31*'Rent Roll'!$T$31,0)</f>
        <v>0</v>
      </c>
      <c r="AS277" s="49">
        <f>IF(AS$4=EOMONTH(CloseDate,'Rent Roll'!$O$31-1),-'Rent Roll'!$F$31*'Rent Roll'!$T$31,0)</f>
        <v>0</v>
      </c>
      <c r="AT277" s="49">
        <f>IF(AT$4=EOMONTH(CloseDate,'Rent Roll'!$O$31-1),-'Rent Roll'!$F$31*'Rent Roll'!$T$31,0)</f>
        <v>0</v>
      </c>
      <c r="AU277" s="49">
        <f>IF(AU$4=EOMONTH(CloseDate,'Rent Roll'!$O$31-1),-'Rent Roll'!$F$31*'Rent Roll'!$T$31,0)</f>
        <v>0</v>
      </c>
      <c r="AV277" s="49">
        <f>IF(AV$4=EOMONTH(CloseDate,'Rent Roll'!$O$31-1),-'Rent Roll'!$F$31*'Rent Roll'!$T$31,0)</f>
        <v>0</v>
      </c>
      <c r="AW277" s="49">
        <f>IF(AW$4=EOMONTH(CloseDate,'Rent Roll'!$O$31-1),-'Rent Roll'!$F$31*'Rent Roll'!$T$31,0)</f>
        <v>0</v>
      </c>
      <c r="AX277" s="49">
        <f>IF(AX$4=EOMONTH(CloseDate,'Rent Roll'!$O$31-1),-'Rent Roll'!$F$31*'Rent Roll'!$T$31,0)</f>
        <v>0</v>
      </c>
      <c r="AY277" s="49">
        <f>IF(AY$4=EOMONTH(CloseDate,'Rent Roll'!$O$31-1),-'Rent Roll'!$F$31*'Rent Roll'!$T$31,0)</f>
        <v>0</v>
      </c>
      <c r="AZ277" s="49">
        <f>IF(AZ$4=EOMONTH(CloseDate,'Rent Roll'!$O$31-1),-'Rent Roll'!$F$31*'Rent Roll'!$T$31,0)</f>
        <v>0</v>
      </c>
      <c r="BA277" s="49">
        <f>IF(BA$4=EOMONTH(CloseDate,'Rent Roll'!$O$31-1),-'Rent Roll'!$F$31*'Rent Roll'!$T$31,0)</f>
        <v>0</v>
      </c>
      <c r="BB277" s="49">
        <f>IF(BB$4=EOMONTH(CloseDate,'Rent Roll'!$O$31-1),-'Rent Roll'!$F$31*'Rent Roll'!$T$31,0)</f>
        <v>0</v>
      </c>
      <c r="BC277" s="49">
        <f>IF(BC$4=EOMONTH(CloseDate,'Rent Roll'!$O$31-1),-'Rent Roll'!$F$31*'Rent Roll'!$T$31,0)</f>
        <v>0</v>
      </c>
      <c r="BD277" s="49">
        <f>IF(BD$4=EOMONTH(CloseDate,'Rent Roll'!$O$31-1),-'Rent Roll'!$F$31*'Rent Roll'!$T$31,0)</f>
        <v>0</v>
      </c>
      <c r="BE277" s="49">
        <f>IF(BE$4=EOMONTH(CloseDate,'Rent Roll'!$O$31-1),-'Rent Roll'!$F$31*'Rent Roll'!$T$31,0)</f>
        <v>0</v>
      </c>
      <c r="BF277" s="49">
        <f>IF(BF$4=EOMONTH(CloseDate,'Rent Roll'!$O$31-1),-'Rent Roll'!$F$31*'Rent Roll'!$T$31,0)</f>
        <v>0</v>
      </c>
      <c r="BG277" s="49">
        <f>IF(BG$4=EOMONTH(CloseDate,'Rent Roll'!$O$31-1),-'Rent Roll'!$F$31*'Rent Roll'!$T$31,0)</f>
        <v>0</v>
      </c>
      <c r="BH277" s="49">
        <f>IF(BH$4=EOMONTH(CloseDate,'Rent Roll'!$O$31-1),-'Rent Roll'!$F$31*'Rent Roll'!$T$31,0)</f>
        <v>0</v>
      </c>
      <c r="BI277" s="49">
        <f>IF(BI$4=EOMONTH(CloseDate,'Rent Roll'!$O$31-1),-'Rent Roll'!$F$31*'Rent Roll'!$T$31,0)</f>
        <v>0</v>
      </c>
      <c r="BJ277" s="49">
        <f>IF(BJ$4=EOMONTH(CloseDate,'Rent Roll'!$O$31-1),-'Rent Roll'!$F$31*'Rent Roll'!$T$31,0)</f>
        <v>0</v>
      </c>
      <c r="BK277" s="49">
        <f>IF(BK$4=EOMONTH(CloseDate,'Rent Roll'!$O$31-1),-'Rent Roll'!$F$31*'Rent Roll'!$T$31,0)</f>
        <v>0</v>
      </c>
      <c r="BL277" s="49">
        <f>IF(BL$4=EOMONTH(CloseDate,'Rent Roll'!$O$31-1),-'Rent Roll'!$F$31*'Rent Roll'!$T$31,0)</f>
        <v>0</v>
      </c>
      <c r="BM277" s="49">
        <f>IF(BM$4=EOMONTH(CloseDate,'Rent Roll'!$O$31-1),-'Rent Roll'!$F$31*'Rent Roll'!$T$31,0)</f>
        <v>0</v>
      </c>
      <c r="BN277" s="49">
        <f>IF(BN$4=EOMONTH(CloseDate,'Rent Roll'!$O$31-1),-'Rent Roll'!$F$31*'Rent Roll'!$T$31,0)</f>
        <v>0</v>
      </c>
      <c r="BO277" s="49">
        <f>IF(BO$4=EOMONTH(CloseDate,'Rent Roll'!$O$31-1),-'Rent Roll'!$F$31*'Rent Roll'!$T$31,0)</f>
        <v>0</v>
      </c>
      <c r="BP277" s="49">
        <f>IF(BP$4=EOMONTH(CloseDate,'Rent Roll'!$O$31-1),-'Rent Roll'!$F$31*'Rent Roll'!$T$31,0)</f>
        <v>0</v>
      </c>
      <c r="BQ277" s="49">
        <f>IF(BQ$4=EOMONTH(CloseDate,'Rent Roll'!$O$31-1),-'Rent Roll'!$F$31*'Rent Roll'!$T$31,0)</f>
        <v>0</v>
      </c>
      <c r="BR277" s="49">
        <f>IF(BR$4=EOMONTH(CloseDate,'Rent Roll'!$O$31-1),-'Rent Roll'!$F$31*'Rent Roll'!$T$31,0)</f>
        <v>0</v>
      </c>
      <c r="BS277" s="49">
        <f>IF(BS$4=EOMONTH(CloseDate,'Rent Roll'!$O$31-1),-'Rent Roll'!$F$31*'Rent Roll'!$T$31,0)</f>
        <v>0</v>
      </c>
      <c r="BT277" s="49">
        <f>IF(BT$4=EOMONTH(CloseDate,'Rent Roll'!$O$31-1),-'Rent Roll'!$F$31*'Rent Roll'!$T$31,0)</f>
        <v>0</v>
      </c>
      <c r="BU277" s="49">
        <f>IF(BU$4=EOMONTH(CloseDate,'Rent Roll'!$O$31-1),-'Rent Roll'!$F$31*'Rent Roll'!$T$31,0)</f>
        <v>0</v>
      </c>
      <c r="BV277" s="49">
        <f>IF(BV$4=EOMONTH(CloseDate,'Rent Roll'!$O$31-1),-'Rent Roll'!$F$31*'Rent Roll'!$T$31,0)</f>
        <v>0</v>
      </c>
      <c r="BW277" s="49">
        <f>IF(BW$4=EOMONTH(CloseDate,'Rent Roll'!$O$31-1),-'Rent Roll'!$F$31*'Rent Roll'!$T$31,0)</f>
        <v>0</v>
      </c>
      <c r="BX277" s="49">
        <f>IF(BX$4=EOMONTH(CloseDate,'Rent Roll'!$O$31-1),-'Rent Roll'!$F$31*'Rent Roll'!$T$31,0)</f>
        <v>0</v>
      </c>
    </row>
    <row r="278" spans="1:76" collapsed="1">
      <c r="B278" t="s">
        <v>87</v>
      </c>
      <c r="D278" s="49">
        <f>IF(D$4=EOMONTH(CloseDate,'Rent Roll'!$O$31-1),-'Rent Roll'!$U$31*'Rent Roll'!$F$31*'Rent Roll'!$X$31,0)</f>
        <v>0</v>
      </c>
      <c r="E278" s="49">
        <f>IF(E$4=EOMONTH(CloseDate,'Rent Roll'!$O$31-1),-'Rent Roll'!$U$31*'Rent Roll'!$F$31*'Rent Roll'!$X$31,0)</f>
        <v>0</v>
      </c>
      <c r="F278" s="49">
        <f>IF(F$4=EOMONTH(CloseDate,'Rent Roll'!$O$31-1),-'Rent Roll'!$U$31*'Rent Roll'!$F$31*'Rent Roll'!$X$31,0)</f>
        <v>0</v>
      </c>
      <c r="G278" s="49">
        <f>IF(G$4=EOMONTH(CloseDate,'Rent Roll'!$O$31-1),-'Rent Roll'!$U$31*'Rent Roll'!$F$31*'Rent Roll'!$X$31,0)</f>
        <v>0</v>
      </c>
      <c r="H278" s="49">
        <f>IF(H$4=EOMONTH(CloseDate,'Rent Roll'!$O$31-1),-'Rent Roll'!$U$31*'Rent Roll'!$F$31*'Rent Roll'!$X$31,0)</f>
        <v>0</v>
      </c>
      <c r="I278" s="49">
        <f>IF(I$4=EOMONTH(CloseDate,'Rent Roll'!$O$31-1),-'Rent Roll'!$U$31*'Rent Roll'!$F$31*'Rent Roll'!$X$31,0)</f>
        <v>0</v>
      </c>
      <c r="J278" s="49">
        <f>IF(J$4=EOMONTH(CloseDate,'Rent Roll'!$O$31-1),-'Rent Roll'!$U$31*'Rent Roll'!$F$31*'Rent Roll'!$X$31,0)</f>
        <v>0</v>
      </c>
      <c r="K278" s="49">
        <f>IF(K$4=EOMONTH(CloseDate,'Rent Roll'!$O$31-1),-'Rent Roll'!$U$31*'Rent Roll'!$F$31*'Rent Roll'!$X$31,0)</f>
        <v>0</v>
      </c>
      <c r="L278" s="49">
        <f>IF(L$4=EOMONTH(CloseDate,'Rent Roll'!$O$31-1),-'Rent Roll'!$U$31*'Rent Roll'!$F$31*'Rent Roll'!$X$31,0)</f>
        <v>0</v>
      </c>
      <c r="M278" s="49">
        <f>IF(M$4=EOMONTH(CloseDate,'Rent Roll'!$O$31-1),-'Rent Roll'!$U$31*'Rent Roll'!$F$31*'Rent Roll'!$X$31,0)</f>
        <v>-7648.0874999999987</v>
      </c>
      <c r="N278" s="49">
        <f>IF(N$4=EOMONTH(CloseDate,'Rent Roll'!$O$31-1),-'Rent Roll'!$U$31*'Rent Roll'!$F$31*'Rent Roll'!$X$31,0)</f>
        <v>0</v>
      </c>
      <c r="O278" s="49">
        <f>IF(O$4=EOMONTH(CloseDate,'Rent Roll'!$O$31-1),-'Rent Roll'!$U$31*'Rent Roll'!$F$31*'Rent Roll'!$X$31,0)</f>
        <v>0</v>
      </c>
      <c r="P278" s="49">
        <f>IF(P$4=EOMONTH(CloseDate,'Rent Roll'!$O$31-1),-'Rent Roll'!$U$31*'Rent Roll'!$F$31*'Rent Roll'!$X$31,0)</f>
        <v>0</v>
      </c>
      <c r="Q278" s="49">
        <f>IF(Q$4=EOMONTH(CloseDate,'Rent Roll'!$O$31-1),-'Rent Roll'!$U$31*'Rent Roll'!$F$31*'Rent Roll'!$X$31,0)</f>
        <v>0</v>
      </c>
      <c r="R278" s="49">
        <f>IF(R$4=EOMONTH(CloseDate,'Rent Roll'!$O$31-1),-'Rent Roll'!$U$31*'Rent Roll'!$F$31*'Rent Roll'!$X$31,0)</f>
        <v>0</v>
      </c>
      <c r="S278" s="49">
        <f>IF(S$4=EOMONTH(CloseDate,'Rent Roll'!$O$31-1),-'Rent Roll'!$U$31*'Rent Roll'!$F$31*'Rent Roll'!$X$31,0)</f>
        <v>0</v>
      </c>
      <c r="T278" s="49">
        <f>IF(T$4=EOMONTH(CloseDate,'Rent Roll'!$O$31-1),-'Rent Roll'!$U$31*'Rent Roll'!$F$31*'Rent Roll'!$X$31,0)</f>
        <v>0</v>
      </c>
      <c r="U278" s="49">
        <f>IF(U$4=EOMONTH(CloseDate,'Rent Roll'!$O$31-1),-'Rent Roll'!$U$31*'Rent Roll'!$F$31*'Rent Roll'!$X$31,0)</f>
        <v>0</v>
      </c>
      <c r="V278" s="49">
        <f>IF(V$4=EOMONTH(CloseDate,'Rent Roll'!$O$31-1),-'Rent Roll'!$U$31*'Rent Roll'!$F$31*'Rent Roll'!$X$31,0)</f>
        <v>0</v>
      </c>
      <c r="W278" s="49">
        <f>IF(W$4=EOMONTH(CloseDate,'Rent Roll'!$O$31-1),-'Rent Roll'!$U$31*'Rent Roll'!$F$31*'Rent Roll'!$X$31,0)</f>
        <v>0</v>
      </c>
      <c r="X278" s="49">
        <f>IF(X$4=EOMONTH(CloseDate,'Rent Roll'!$O$31-1),-'Rent Roll'!$U$31*'Rent Roll'!$F$31*'Rent Roll'!$X$31,0)</f>
        <v>0</v>
      </c>
      <c r="Y278" s="49">
        <f>IF(Y$4=EOMONTH(CloseDate,'Rent Roll'!$O$31-1),-'Rent Roll'!$U$31*'Rent Roll'!$F$31*'Rent Roll'!$X$31,0)</f>
        <v>0</v>
      </c>
      <c r="Z278" s="49">
        <f>IF(Z$4=EOMONTH(CloseDate,'Rent Roll'!$O$31-1),-'Rent Roll'!$U$31*'Rent Roll'!$F$31*'Rent Roll'!$X$31,0)</f>
        <v>0</v>
      </c>
      <c r="AA278" s="49">
        <f>IF(AA$4=EOMONTH(CloseDate,'Rent Roll'!$O$31-1),-'Rent Roll'!$U$31*'Rent Roll'!$F$31*'Rent Roll'!$X$31,0)</f>
        <v>0</v>
      </c>
      <c r="AB278" s="49">
        <f>IF(AB$4=EOMONTH(CloseDate,'Rent Roll'!$O$31-1),-'Rent Roll'!$U$31*'Rent Roll'!$F$31*'Rent Roll'!$X$31,0)</f>
        <v>0</v>
      </c>
      <c r="AC278" s="49">
        <f>IF(AC$4=EOMONTH(CloseDate,'Rent Roll'!$O$31-1),-'Rent Roll'!$U$31*'Rent Roll'!$F$31*'Rent Roll'!$X$31,0)</f>
        <v>0</v>
      </c>
      <c r="AD278" s="49">
        <f>IF(AD$4=EOMONTH(CloseDate,'Rent Roll'!$O$31-1),-'Rent Roll'!$U$31*'Rent Roll'!$F$31*'Rent Roll'!$X$31,0)</f>
        <v>0</v>
      </c>
      <c r="AE278" s="49">
        <f>IF(AE$4=EOMONTH(CloseDate,'Rent Roll'!$O$31-1),-'Rent Roll'!$U$31*'Rent Roll'!$F$31*'Rent Roll'!$X$31,0)</f>
        <v>0</v>
      </c>
      <c r="AF278" s="49">
        <f>IF(AF$4=EOMONTH(CloseDate,'Rent Roll'!$O$31-1),-'Rent Roll'!$U$31*'Rent Roll'!$F$31*'Rent Roll'!$X$31,0)</f>
        <v>0</v>
      </c>
      <c r="AG278" s="49">
        <f>IF(AG$4=EOMONTH(CloseDate,'Rent Roll'!$O$31-1),-'Rent Roll'!$U$31*'Rent Roll'!$F$31*'Rent Roll'!$X$31,0)</f>
        <v>0</v>
      </c>
      <c r="AH278" s="49">
        <f>IF(AH$4=EOMONTH(CloseDate,'Rent Roll'!$O$31-1),-'Rent Roll'!$U$31*'Rent Roll'!$F$31*'Rent Roll'!$X$31,0)</f>
        <v>0</v>
      </c>
      <c r="AI278" s="49">
        <f>IF(AI$4=EOMONTH(CloseDate,'Rent Roll'!$O$31-1),-'Rent Roll'!$U$31*'Rent Roll'!$F$31*'Rent Roll'!$X$31,0)</f>
        <v>0</v>
      </c>
      <c r="AJ278" s="49">
        <f>IF(AJ$4=EOMONTH(CloseDate,'Rent Roll'!$O$31-1),-'Rent Roll'!$U$31*'Rent Roll'!$F$31*'Rent Roll'!$X$31,0)</f>
        <v>0</v>
      </c>
      <c r="AK278" s="49">
        <f>IF(AK$4=EOMONTH(CloseDate,'Rent Roll'!$O$31-1),-'Rent Roll'!$U$31*'Rent Roll'!$F$31*'Rent Roll'!$X$31,0)</f>
        <v>0</v>
      </c>
      <c r="AL278" s="49">
        <f>IF(AL$4=EOMONTH(CloseDate,'Rent Roll'!$O$31-1),-'Rent Roll'!$U$31*'Rent Roll'!$F$31*'Rent Roll'!$X$31,0)</f>
        <v>0</v>
      </c>
      <c r="AM278" s="49">
        <f>IF(AM$4=EOMONTH(CloseDate,'Rent Roll'!$O$31-1),-'Rent Roll'!$U$31*'Rent Roll'!$F$31*'Rent Roll'!$X$31,0)</f>
        <v>0</v>
      </c>
      <c r="AN278" s="49">
        <f>IF(AN$4=EOMONTH(CloseDate,'Rent Roll'!$O$31-1),-'Rent Roll'!$U$31*'Rent Roll'!$F$31*'Rent Roll'!$X$31,0)</f>
        <v>0</v>
      </c>
      <c r="AO278" s="49">
        <f>IF(AO$4=EOMONTH(CloseDate,'Rent Roll'!$O$31-1),-'Rent Roll'!$U$31*'Rent Roll'!$F$31*'Rent Roll'!$X$31,0)</f>
        <v>0</v>
      </c>
      <c r="AP278" s="49">
        <f>IF(AP$4=EOMONTH(CloseDate,'Rent Roll'!$O$31-1),-'Rent Roll'!$U$31*'Rent Roll'!$F$31*'Rent Roll'!$X$31,0)</f>
        <v>0</v>
      </c>
      <c r="AQ278" s="49">
        <f>IF(AQ$4=EOMONTH(CloseDate,'Rent Roll'!$O$31-1),-'Rent Roll'!$U$31*'Rent Roll'!$F$31*'Rent Roll'!$X$31,0)</f>
        <v>0</v>
      </c>
      <c r="AR278" s="49">
        <f>IF(AR$4=EOMONTH(CloseDate,'Rent Roll'!$O$31-1),-'Rent Roll'!$U$31*'Rent Roll'!$F$31*'Rent Roll'!$X$31,0)</f>
        <v>0</v>
      </c>
      <c r="AS278" s="49">
        <f>IF(AS$4=EOMONTH(CloseDate,'Rent Roll'!$O$31-1),-'Rent Roll'!$U$31*'Rent Roll'!$F$31*'Rent Roll'!$X$31,0)</f>
        <v>0</v>
      </c>
      <c r="AT278" s="49">
        <f>IF(AT$4=EOMONTH(CloseDate,'Rent Roll'!$O$31-1),-'Rent Roll'!$U$31*'Rent Roll'!$F$31*'Rent Roll'!$X$31,0)</f>
        <v>0</v>
      </c>
      <c r="AU278" s="49">
        <f>IF(AU$4=EOMONTH(CloseDate,'Rent Roll'!$O$31-1),-'Rent Roll'!$U$31*'Rent Roll'!$F$31*'Rent Roll'!$X$31,0)</f>
        <v>0</v>
      </c>
      <c r="AV278" s="49">
        <f>IF(AV$4=EOMONTH(CloseDate,'Rent Roll'!$O$31-1),-'Rent Roll'!$U$31*'Rent Roll'!$F$31*'Rent Roll'!$X$31,0)</f>
        <v>0</v>
      </c>
      <c r="AW278" s="49">
        <f>IF(AW$4=EOMONTH(CloseDate,'Rent Roll'!$O$31-1),-'Rent Roll'!$U$31*'Rent Roll'!$F$31*'Rent Roll'!$X$31,0)</f>
        <v>0</v>
      </c>
      <c r="AX278" s="49">
        <f>IF(AX$4=EOMONTH(CloseDate,'Rent Roll'!$O$31-1),-'Rent Roll'!$U$31*'Rent Roll'!$F$31*'Rent Roll'!$X$31,0)</f>
        <v>0</v>
      </c>
      <c r="AY278" s="49">
        <f>IF(AY$4=EOMONTH(CloseDate,'Rent Roll'!$O$31-1),-'Rent Roll'!$U$31*'Rent Roll'!$F$31*'Rent Roll'!$X$31,0)</f>
        <v>0</v>
      </c>
      <c r="AZ278" s="49">
        <f>IF(AZ$4=EOMONTH(CloseDate,'Rent Roll'!$O$31-1),-'Rent Roll'!$U$31*'Rent Roll'!$F$31*'Rent Roll'!$X$31,0)</f>
        <v>0</v>
      </c>
      <c r="BA278" s="49">
        <f>IF(BA$4=EOMONTH(CloseDate,'Rent Roll'!$O$31-1),-'Rent Roll'!$U$31*'Rent Roll'!$F$31*'Rent Roll'!$X$31,0)</f>
        <v>0</v>
      </c>
      <c r="BB278" s="49">
        <f>IF(BB$4=EOMONTH(CloseDate,'Rent Roll'!$O$31-1),-'Rent Roll'!$U$31*'Rent Roll'!$F$31*'Rent Roll'!$X$31,0)</f>
        <v>0</v>
      </c>
      <c r="BC278" s="49">
        <f>IF(BC$4=EOMONTH(CloseDate,'Rent Roll'!$O$31-1),-'Rent Roll'!$U$31*'Rent Roll'!$F$31*'Rent Roll'!$X$31,0)</f>
        <v>0</v>
      </c>
      <c r="BD278" s="49">
        <f>IF(BD$4=EOMONTH(CloseDate,'Rent Roll'!$O$31-1),-'Rent Roll'!$U$31*'Rent Roll'!$F$31*'Rent Roll'!$X$31,0)</f>
        <v>0</v>
      </c>
      <c r="BE278" s="49">
        <f>IF(BE$4=EOMONTH(CloseDate,'Rent Roll'!$O$31-1),-'Rent Roll'!$U$31*'Rent Roll'!$F$31*'Rent Roll'!$X$31,0)</f>
        <v>0</v>
      </c>
      <c r="BF278" s="49">
        <f>IF(BF$4=EOMONTH(CloseDate,'Rent Roll'!$O$31-1),-'Rent Roll'!$U$31*'Rent Roll'!$F$31*'Rent Roll'!$X$31,0)</f>
        <v>0</v>
      </c>
      <c r="BG278" s="49">
        <f>IF(BG$4=EOMONTH(CloseDate,'Rent Roll'!$O$31-1),-'Rent Roll'!$U$31*'Rent Roll'!$F$31*'Rent Roll'!$X$31,0)</f>
        <v>0</v>
      </c>
      <c r="BH278" s="49">
        <f>IF(BH$4=EOMONTH(CloseDate,'Rent Roll'!$O$31-1),-'Rent Roll'!$U$31*'Rent Roll'!$F$31*'Rent Roll'!$X$31,0)</f>
        <v>0</v>
      </c>
      <c r="BI278" s="49">
        <f>IF(BI$4=EOMONTH(CloseDate,'Rent Roll'!$O$31-1),-'Rent Roll'!$U$31*'Rent Roll'!$F$31*'Rent Roll'!$X$31,0)</f>
        <v>0</v>
      </c>
      <c r="BJ278" s="49">
        <f>IF(BJ$4=EOMONTH(CloseDate,'Rent Roll'!$O$31-1),-'Rent Roll'!$U$31*'Rent Roll'!$F$31*'Rent Roll'!$X$31,0)</f>
        <v>0</v>
      </c>
      <c r="BK278" s="49">
        <f>IF(BK$4=EOMONTH(CloseDate,'Rent Roll'!$O$31-1),-'Rent Roll'!$U$31*'Rent Roll'!$F$31*'Rent Roll'!$X$31,0)</f>
        <v>0</v>
      </c>
      <c r="BL278" s="49">
        <f>IF(BL$4=EOMONTH(CloseDate,'Rent Roll'!$O$31-1),-'Rent Roll'!$U$31*'Rent Roll'!$F$31*'Rent Roll'!$X$31,0)</f>
        <v>0</v>
      </c>
      <c r="BM278" s="49">
        <f>IF(BM$4=EOMONTH(CloseDate,'Rent Roll'!$O$31-1),-'Rent Roll'!$U$31*'Rent Roll'!$F$31*'Rent Roll'!$X$31,0)</f>
        <v>0</v>
      </c>
      <c r="BN278" s="49">
        <f>IF(BN$4=EOMONTH(CloseDate,'Rent Roll'!$O$31-1),-'Rent Roll'!$U$31*'Rent Roll'!$F$31*'Rent Roll'!$X$31,0)</f>
        <v>0</v>
      </c>
      <c r="BO278" s="49">
        <f>IF(BO$4=EOMONTH(CloseDate,'Rent Roll'!$O$31-1),-'Rent Roll'!$U$31*'Rent Roll'!$F$31*'Rent Roll'!$X$31,0)</f>
        <v>0</v>
      </c>
      <c r="BP278" s="49">
        <f>IF(BP$4=EOMONTH(CloseDate,'Rent Roll'!$O$31-1),-'Rent Roll'!$U$31*'Rent Roll'!$F$31*'Rent Roll'!$X$31,0)</f>
        <v>0</v>
      </c>
      <c r="BQ278" s="49">
        <f>IF(BQ$4=EOMONTH(CloseDate,'Rent Roll'!$O$31-1),-'Rent Roll'!$U$31*'Rent Roll'!$F$31*'Rent Roll'!$X$31,0)</f>
        <v>0</v>
      </c>
      <c r="BR278" s="49">
        <f>IF(BR$4=EOMONTH(CloseDate,'Rent Roll'!$O$31-1),-'Rent Roll'!$U$31*'Rent Roll'!$F$31*'Rent Roll'!$X$31,0)</f>
        <v>0</v>
      </c>
      <c r="BS278" s="49">
        <f>IF(BS$4=EOMONTH(CloseDate,'Rent Roll'!$O$31-1),-'Rent Roll'!$U$31*'Rent Roll'!$F$31*'Rent Roll'!$X$31,0)</f>
        <v>0</v>
      </c>
      <c r="BT278" s="49">
        <f>IF(BT$4=EOMONTH(CloseDate,'Rent Roll'!$O$31-1),-'Rent Roll'!$U$31*'Rent Roll'!$F$31*'Rent Roll'!$X$31,0)</f>
        <v>0</v>
      </c>
      <c r="BU278" s="49">
        <f>IF(BU$4=EOMONTH(CloseDate,'Rent Roll'!$O$31-1),-'Rent Roll'!$U$31*'Rent Roll'!$F$31*'Rent Roll'!$X$31,0)</f>
        <v>0</v>
      </c>
      <c r="BV278" s="49">
        <f>IF(BV$4=EOMONTH(CloseDate,'Rent Roll'!$O$31-1),-'Rent Roll'!$U$31*'Rent Roll'!$F$31*'Rent Roll'!$X$31,0)</f>
        <v>0</v>
      </c>
      <c r="BW278" s="49">
        <f>IF(BW$4=EOMONTH(CloseDate,'Rent Roll'!$O$31-1),-'Rent Roll'!$U$31*'Rent Roll'!$F$31*'Rent Roll'!$X$31,0)</f>
        <v>0</v>
      </c>
      <c r="BX278" s="49">
        <f>IF(BX$4=EOMONTH(CloseDate,'Rent Roll'!$O$31-1),-'Rent Roll'!$U$31*'Rent Roll'!$F$31*'Rent Roll'!$X$31,0)</f>
        <v>0</v>
      </c>
    </row>
    <row r="279" spans="1:76">
      <c r="A279" s="46" t="str">
        <f>'Rent Roll'!C32</f>
        <v>Vacant — Suite 830</v>
      </c>
      <c r="B279" s="57">
        <f>INDEX('Rent Roll'!$F$5:$F$46,MATCH('Rent Roll Calc'!A279,'Rent Roll'!$C$5:$C$46,0))</f>
        <v>9200</v>
      </c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  <c r="AA279" s="49"/>
      <c r="AB279" s="49"/>
      <c r="AC279" s="49"/>
      <c r="AD279" s="49"/>
      <c r="AE279" s="49"/>
      <c r="AF279" s="49"/>
      <c r="AG279" s="49"/>
      <c r="AH279" s="49"/>
      <c r="AI279" s="49"/>
      <c r="AJ279" s="49"/>
      <c r="AK279" s="49"/>
      <c r="AL279" s="49"/>
      <c r="AM279" s="49"/>
      <c r="AN279" s="49"/>
      <c r="AO279" s="49"/>
      <c r="AP279" s="49"/>
      <c r="AQ279" s="49"/>
      <c r="AR279" s="49"/>
      <c r="AS279" s="49"/>
      <c r="AT279" s="49"/>
      <c r="AU279" s="49"/>
      <c r="AV279" s="49"/>
      <c r="AW279" s="49"/>
      <c r="AX279" s="49"/>
      <c r="AY279" s="49"/>
      <c r="AZ279" s="49"/>
      <c r="BA279" s="49"/>
      <c r="BB279" s="49"/>
      <c r="BC279" s="49"/>
      <c r="BD279" s="49"/>
      <c r="BE279" s="49"/>
      <c r="BF279" s="49"/>
      <c r="BG279" s="49"/>
      <c r="BH279" s="49"/>
      <c r="BI279" s="49"/>
      <c r="BJ279" s="49"/>
      <c r="BK279" s="49"/>
      <c r="BL279" s="49"/>
      <c r="BM279" s="49"/>
      <c r="BN279" s="49"/>
      <c r="BO279" s="49"/>
      <c r="BP279" s="49"/>
      <c r="BQ279" s="49"/>
      <c r="BR279" s="49"/>
      <c r="BS279" s="49"/>
      <c r="BT279" s="49"/>
      <c r="BU279" s="49"/>
      <c r="BV279" s="49"/>
      <c r="BW279" s="49"/>
      <c r="BX279" s="49"/>
    </row>
    <row r="280" spans="1:76" outlineLevel="1">
      <c r="B280" t="s">
        <v>83</v>
      </c>
      <c r="D280" s="49">
        <f>0</f>
        <v>0</v>
      </c>
      <c r="E280" s="49">
        <f>0</f>
        <v>0</v>
      </c>
      <c r="F280" s="49">
        <f>0</f>
        <v>0</v>
      </c>
      <c r="G280" s="49">
        <f>0</f>
        <v>0</v>
      </c>
      <c r="H280" s="49">
        <f>0</f>
        <v>0</v>
      </c>
      <c r="I280" s="49">
        <f>0</f>
        <v>0</v>
      </c>
      <c r="J280" s="49">
        <f>0</f>
        <v>0</v>
      </c>
      <c r="K280" s="49">
        <f>0</f>
        <v>0</v>
      </c>
      <c r="L280" s="49">
        <f>0</f>
        <v>0</v>
      </c>
      <c r="M280" s="49">
        <f>0</f>
        <v>0</v>
      </c>
      <c r="N280" s="49">
        <f>0</f>
        <v>0</v>
      </c>
      <c r="O280" s="49">
        <f>0</f>
        <v>0</v>
      </c>
      <c r="P280" s="49">
        <f>0</f>
        <v>0</v>
      </c>
      <c r="Q280" s="49">
        <f>0</f>
        <v>0</v>
      </c>
      <c r="R280" s="49">
        <f>0</f>
        <v>0</v>
      </c>
      <c r="S280" s="49">
        <f>0</f>
        <v>0</v>
      </c>
      <c r="T280" s="49">
        <f>0</f>
        <v>0</v>
      </c>
      <c r="U280" s="49">
        <f>0</f>
        <v>0</v>
      </c>
      <c r="V280" s="49">
        <f>0</f>
        <v>0</v>
      </c>
      <c r="W280" s="49">
        <f>0</f>
        <v>0</v>
      </c>
      <c r="X280" s="49">
        <f>0</f>
        <v>0</v>
      </c>
      <c r="Y280" s="49">
        <f>0</f>
        <v>0</v>
      </c>
      <c r="Z280" s="49">
        <f>0</f>
        <v>0</v>
      </c>
      <c r="AA280" s="49">
        <f>0</f>
        <v>0</v>
      </c>
      <c r="AB280" s="49">
        <f>0</f>
        <v>0</v>
      </c>
      <c r="AC280" s="49">
        <f>0</f>
        <v>0</v>
      </c>
      <c r="AD280" s="49">
        <f>0</f>
        <v>0</v>
      </c>
      <c r="AE280" s="49">
        <f>0</f>
        <v>0</v>
      </c>
      <c r="AF280" s="49">
        <f>0</f>
        <v>0</v>
      </c>
      <c r="AG280" s="49">
        <f>0</f>
        <v>0</v>
      </c>
      <c r="AH280" s="49">
        <f>0</f>
        <v>0</v>
      </c>
      <c r="AI280" s="49">
        <f>0</f>
        <v>0</v>
      </c>
      <c r="AJ280" s="49">
        <f>0</f>
        <v>0</v>
      </c>
      <c r="AK280" s="49">
        <f>0</f>
        <v>0</v>
      </c>
      <c r="AL280" s="49">
        <f>0</f>
        <v>0</v>
      </c>
      <c r="AM280" s="49">
        <f>0</f>
        <v>0</v>
      </c>
      <c r="AN280" s="49">
        <f>0</f>
        <v>0</v>
      </c>
      <c r="AO280" s="49">
        <f>0</f>
        <v>0</v>
      </c>
      <c r="AP280" s="49">
        <f>0</f>
        <v>0</v>
      </c>
      <c r="AQ280" s="49">
        <f>0</f>
        <v>0</v>
      </c>
      <c r="AR280" s="49">
        <f>0</f>
        <v>0</v>
      </c>
      <c r="AS280" s="49">
        <f>0</f>
        <v>0</v>
      </c>
      <c r="AT280" s="49">
        <f>0</f>
        <v>0</v>
      </c>
      <c r="AU280" s="49">
        <f>0</f>
        <v>0</v>
      </c>
      <c r="AV280" s="49">
        <f>0</f>
        <v>0</v>
      </c>
      <c r="AW280" s="49">
        <f>0</f>
        <v>0</v>
      </c>
      <c r="AX280" s="49">
        <f>0</f>
        <v>0</v>
      </c>
      <c r="AY280" s="49">
        <f>0</f>
        <v>0</v>
      </c>
      <c r="AZ280" s="49">
        <f>0</f>
        <v>0</v>
      </c>
      <c r="BA280" s="49">
        <f>0</f>
        <v>0</v>
      </c>
      <c r="BB280" s="49">
        <f>0</f>
        <v>0</v>
      </c>
      <c r="BC280" s="49">
        <f>0</f>
        <v>0</v>
      </c>
      <c r="BD280" s="49">
        <f>0</f>
        <v>0</v>
      </c>
      <c r="BE280" s="49">
        <f>0</f>
        <v>0</v>
      </c>
      <c r="BF280" s="49">
        <f>0</f>
        <v>0</v>
      </c>
      <c r="BG280" s="49">
        <f>0</f>
        <v>0</v>
      </c>
      <c r="BH280" s="49">
        <f>0</f>
        <v>0</v>
      </c>
      <c r="BI280" s="49">
        <f>0</f>
        <v>0</v>
      </c>
      <c r="BJ280" s="49">
        <f>0</f>
        <v>0</v>
      </c>
      <c r="BK280" s="49">
        <f>0</f>
        <v>0</v>
      </c>
      <c r="BL280" s="49">
        <f>0</f>
        <v>0</v>
      </c>
      <c r="BM280" s="49">
        <f>0</f>
        <v>0</v>
      </c>
      <c r="BN280" s="49">
        <f>0</f>
        <v>0</v>
      </c>
      <c r="BO280" s="49">
        <f>0</f>
        <v>0</v>
      </c>
      <c r="BP280" s="49">
        <f>0</f>
        <v>0</v>
      </c>
      <c r="BQ280" s="49">
        <f>0</f>
        <v>0</v>
      </c>
      <c r="BR280" s="49">
        <f>0</f>
        <v>0</v>
      </c>
      <c r="BS280" s="49">
        <f>0</f>
        <v>0</v>
      </c>
      <c r="BT280" s="49">
        <f>0</f>
        <v>0</v>
      </c>
      <c r="BU280" s="49">
        <f>0</f>
        <v>0</v>
      </c>
      <c r="BV280" s="49">
        <f>0</f>
        <v>0</v>
      </c>
      <c r="BW280" s="49">
        <f>0</f>
        <v>0</v>
      </c>
      <c r="BX280" s="49">
        <f>0</f>
        <v>0</v>
      </c>
    </row>
    <row r="281" spans="1:76" outlineLevel="1">
      <c r="B281" t="s">
        <v>159</v>
      </c>
      <c r="D281" s="49">
        <f>0</f>
        <v>0</v>
      </c>
      <c r="E281" s="49">
        <f>0</f>
        <v>0</v>
      </c>
      <c r="F281" s="49">
        <f>0</f>
        <v>0</v>
      </c>
      <c r="G281" s="49">
        <f>0</f>
        <v>0</v>
      </c>
      <c r="H281" s="49">
        <f>0</f>
        <v>0</v>
      </c>
      <c r="I281" s="49">
        <f>0</f>
        <v>0</v>
      </c>
      <c r="J281" s="49">
        <f>0</f>
        <v>0</v>
      </c>
      <c r="K281" s="49">
        <f>0</f>
        <v>0</v>
      </c>
      <c r="L281" s="49">
        <f>0</f>
        <v>0</v>
      </c>
      <c r="M281" s="49">
        <f>0</f>
        <v>0</v>
      </c>
      <c r="N281" s="49">
        <f>0</f>
        <v>0</v>
      </c>
      <c r="O281" s="49">
        <f>0</f>
        <v>0</v>
      </c>
      <c r="P281" s="49">
        <f>0</f>
        <v>0</v>
      </c>
      <c r="Q281" s="49">
        <f>0</f>
        <v>0</v>
      </c>
      <c r="R281" s="49">
        <f>0</f>
        <v>0</v>
      </c>
      <c r="S281" s="49">
        <f>0</f>
        <v>0</v>
      </c>
      <c r="T281" s="49">
        <f>0</f>
        <v>0</v>
      </c>
      <c r="U281" s="49">
        <f>0</f>
        <v>0</v>
      </c>
      <c r="V281" s="49">
        <f>0</f>
        <v>0</v>
      </c>
      <c r="W281" s="49">
        <f>0</f>
        <v>0</v>
      </c>
      <c r="X281" s="49">
        <f>0</f>
        <v>0</v>
      </c>
      <c r="Y281" s="49">
        <f>0</f>
        <v>0</v>
      </c>
      <c r="Z281" s="49">
        <f>0</f>
        <v>0</v>
      </c>
      <c r="AA281" s="49">
        <f>0</f>
        <v>0</v>
      </c>
      <c r="AB281" s="49">
        <f>0</f>
        <v>0</v>
      </c>
      <c r="AC281" s="49">
        <f>0</f>
        <v>0</v>
      </c>
      <c r="AD281" s="49">
        <f>0</f>
        <v>0</v>
      </c>
      <c r="AE281" s="49">
        <f>0</f>
        <v>0</v>
      </c>
      <c r="AF281" s="49">
        <f>0</f>
        <v>0</v>
      </c>
      <c r="AG281" s="49">
        <f>0</f>
        <v>0</v>
      </c>
      <c r="AH281" s="49">
        <f>0</f>
        <v>0</v>
      </c>
      <c r="AI281" s="49">
        <f>0</f>
        <v>0</v>
      </c>
      <c r="AJ281" s="49">
        <f>0</f>
        <v>0</v>
      </c>
      <c r="AK281" s="49">
        <f>0</f>
        <v>0</v>
      </c>
      <c r="AL281" s="49">
        <f>0</f>
        <v>0</v>
      </c>
      <c r="AM281" s="49">
        <f>0</f>
        <v>0</v>
      </c>
      <c r="AN281" s="49">
        <f>0</f>
        <v>0</v>
      </c>
      <c r="AO281" s="49">
        <f>0</f>
        <v>0</v>
      </c>
      <c r="AP281" s="49">
        <f>0</f>
        <v>0</v>
      </c>
      <c r="AQ281" s="49">
        <f>0</f>
        <v>0</v>
      </c>
      <c r="AR281" s="49">
        <f>0</f>
        <v>0</v>
      </c>
      <c r="AS281" s="49">
        <f>0</f>
        <v>0</v>
      </c>
      <c r="AT281" s="49">
        <f>0</f>
        <v>0</v>
      </c>
      <c r="AU281" s="49">
        <f>0</f>
        <v>0</v>
      </c>
      <c r="AV281" s="49">
        <f>0</f>
        <v>0</v>
      </c>
      <c r="AW281" s="49">
        <f>0</f>
        <v>0</v>
      </c>
      <c r="AX281" s="49">
        <f>0</f>
        <v>0</v>
      </c>
      <c r="AY281" s="49">
        <f>0</f>
        <v>0</v>
      </c>
      <c r="AZ281" s="49">
        <f>0</f>
        <v>0</v>
      </c>
      <c r="BA281" s="49">
        <f>0</f>
        <v>0</v>
      </c>
      <c r="BB281" s="49">
        <f>0</f>
        <v>0</v>
      </c>
      <c r="BC281" s="49">
        <f>0</f>
        <v>0</v>
      </c>
      <c r="BD281" s="49">
        <f>0</f>
        <v>0</v>
      </c>
      <c r="BE281" s="49">
        <f>0</f>
        <v>0</v>
      </c>
      <c r="BF281" s="49">
        <f>0</f>
        <v>0</v>
      </c>
      <c r="BG281" s="49">
        <f>0</f>
        <v>0</v>
      </c>
      <c r="BH281" s="49">
        <f>0</f>
        <v>0</v>
      </c>
      <c r="BI281" s="49">
        <f>0</f>
        <v>0</v>
      </c>
      <c r="BJ281" s="49">
        <f>0</f>
        <v>0</v>
      </c>
      <c r="BK281" s="49">
        <f>0</f>
        <v>0</v>
      </c>
      <c r="BL281" s="49">
        <f>0</f>
        <v>0</v>
      </c>
      <c r="BM281" s="49">
        <f>0</f>
        <v>0</v>
      </c>
      <c r="BN281" s="49">
        <f>0</f>
        <v>0</v>
      </c>
      <c r="BO281" s="49">
        <f>0</f>
        <v>0</v>
      </c>
      <c r="BP281" s="49">
        <f>0</f>
        <v>0</v>
      </c>
      <c r="BQ281" s="49">
        <f>0</f>
        <v>0</v>
      </c>
      <c r="BR281" s="49">
        <f>0</f>
        <v>0</v>
      </c>
      <c r="BS281" s="49">
        <f>0</f>
        <v>0</v>
      </c>
      <c r="BT281" s="49">
        <f>0</f>
        <v>0</v>
      </c>
      <c r="BU281" s="49">
        <f>0</f>
        <v>0</v>
      </c>
      <c r="BV281" s="49">
        <f>0</f>
        <v>0</v>
      </c>
      <c r="BW281" s="49">
        <f>0</f>
        <v>0</v>
      </c>
      <c r="BX281" s="49">
        <f>0</f>
        <v>0</v>
      </c>
    </row>
    <row r="282" spans="1:76" outlineLevel="1">
      <c r="B282" t="s">
        <v>160</v>
      </c>
      <c r="D282" s="49">
        <f>IF(D$4&gt;=EOMONTH(CloseDate,'Rent Roll'!$O$32-1),1,0)</f>
        <v>0</v>
      </c>
      <c r="E282" s="49">
        <f>IF(E$4&gt;=EOMONTH(CloseDate,'Rent Roll'!$O$32-1),1,0)</f>
        <v>0</v>
      </c>
      <c r="F282" s="49">
        <f>IF(F$4&gt;=EOMONTH(CloseDate,'Rent Roll'!$O$32-1),1,0)</f>
        <v>0</v>
      </c>
      <c r="G282" s="49">
        <f>IF(G$4&gt;=EOMONTH(CloseDate,'Rent Roll'!$O$32-1),1,0)</f>
        <v>0</v>
      </c>
      <c r="H282" s="49">
        <f>IF(H$4&gt;=EOMONTH(CloseDate,'Rent Roll'!$O$32-1),1,0)</f>
        <v>0</v>
      </c>
      <c r="I282" s="49">
        <f>IF(I$4&gt;=EOMONTH(CloseDate,'Rent Roll'!$O$32-1),1,0)</f>
        <v>0</v>
      </c>
      <c r="J282" s="49">
        <f>IF(J$4&gt;=EOMONTH(CloseDate,'Rent Roll'!$O$32-1),1,0)</f>
        <v>0</v>
      </c>
      <c r="K282" s="49">
        <f>IF(K$4&gt;=EOMONTH(CloseDate,'Rent Roll'!$O$32-1),1,0)</f>
        <v>0</v>
      </c>
      <c r="L282" s="49">
        <f>IF(L$4&gt;=EOMONTH(CloseDate,'Rent Roll'!$O$32-1),1,0)</f>
        <v>0</v>
      </c>
      <c r="M282" s="49">
        <f>IF(M$4&gt;=EOMONTH(CloseDate,'Rent Roll'!$O$32-1),1,0)</f>
        <v>0</v>
      </c>
      <c r="N282" s="49">
        <f>IF(N$4&gt;=EOMONTH(CloseDate,'Rent Roll'!$O$32-1),1,0)</f>
        <v>0</v>
      </c>
      <c r="O282" s="49">
        <f>IF(O$4&gt;=EOMONTH(CloseDate,'Rent Roll'!$O$32-1),1,0)</f>
        <v>1</v>
      </c>
      <c r="P282" s="49">
        <f>IF(P$4&gt;=EOMONTH(CloseDate,'Rent Roll'!$O$32-1),1,0)</f>
        <v>1</v>
      </c>
      <c r="Q282" s="49">
        <f>IF(Q$4&gt;=EOMONTH(CloseDate,'Rent Roll'!$O$32-1),1,0)</f>
        <v>1</v>
      </c>
      <c r="R282" s="49">
        <f>IF(R$4&gt;=EOMONTH(CloseDate,'Rent Roll'!$O$32-1),1,0)</f>
        <v>1</v>
      </c>
      <c r="S282" s="49">
        <f>IF(S$4&gt;=EOMONTH(CloseDate,'Rent Roll'!$O$32-1),1,0)</f>
        <v>1</v>
      </c>
      <c r="T282" s="49">
        <f>IF(T$4&gt;=EOMONTH(CloseDate,'Rent Roll'!$O$32-1),1,0)</f>
        <v>1</v>
      </c>
      <c r="U282" s="49">
        <f>IF(U$4&gt;=EOMONTH(CloseDate,'Rent Roll'!$O$32-1),1,0)</f>
        <v>1</v>
      </c>
      <c r="V282" s="49">
        <f>IF(V$4&gt;=EOMONTH(CloseDate,'Rent Roll'!$O$32-1),1,0)</f>
        <v>1</v>
      </c>
      <c r="W282" s="49">
        <f>IF(W$4&gt;=EOMONTH(CloseDate,'Rent Roll'!$O$32-1),1,0)</f>
        <v>1</v>
      </c>
      <c r="X282" s="49">
        <f>IF(X$4&gt;=EOMONTH(CloseDate,'Rent Roll'!$O$32-1),1,0)</f>
        <v>1</v>
      </c>
      <c r="Y282" s="49">
        <f>IF(Y$4&gt;=EOMONTH(CloseDate,'Rent Roll'!$O$32-1),1,0)</f>
        <v>1</v>
      </c>
      <c r="Z282" s="49">
        <f>IF(Z$4&gt;=EOMONTH(CloseDate,'Rent Roll'!$O$32-1),1,0)</f>
        <v>1</v>
      </c>
      <c r="AA282" s="49">
        <f>IF(AA$4&gt;=EOMONTH(CloseDate,'Rent Roll'!$O$32-1),1,0)</f>
        <v>1</v>
      </c>
      <c r="AB282" s="49">
        <f>IF(AB$4&gt;=EOMONTH(CloseDate,'Rent Roll'!$O$32-1),1,0)</f>
        <v>1</v>
      </c>
      <c r="AC282" s="49">
        <f>IF(AC$4&gt;=EOMONTH(CloseDate,'Rent Roll'!$O$32-1),1,0)</f>
        <v>1</v>
      </c>
      <c r="AD282" s="49">
        <f>IF(AD$4&gt;=EOMONTH(CloseDate,'Rent Roll'!$O$32-1),1,0)</f>
        <v>1</v>
      </c>
      <c r="AE282" s="49">
        <f>IF(AE$4&gt;=EOMONTH(CloseDate,'Rent Roll'!$O$32-1),1,0)</f>
        <v>1</v>
      </c>
      <c r="AF282" s="49">
        <f>IF(AF$4&gt;=EOMONTH(CloseDate,'Rent Roll'!$O$32-1),1,0)</f>
        <v>1</v>
      </c>
      <c r="AG282" s="49">
        <f>IF(AG$4&gt;=EOMONTH(CloseDate,'Rent Roll'!$O$32-1),1,0)</f>
        <v>1</v>
      </c>
      <c r="AH282" s="49">
        <f>IF(AH$4&gt;=EOMONTH(CloseDate,'Rent Roll'!$O$32-1),1,0)</f>
        <v>1</v>
      </c>
      <c r="AI282" s="49">
        <f>IF(AI$4&gt;=EOMONTH(CloseDate,'Rent Roll'!$O$32-1),1,0)</f>
        <v>1</v>
      </c>
      <c r="AJ282" s="49">
        <f>IF(AJ$4&gt;=EOMONTH(CloseDate,'Rent Roll'!$O$32-1),1,0)</f>
        <v>1</v>
      </c>
      <c r="AK282" s="49">
        <f>IF(AK$4&gt;=EOMONTH(CloseDate,'Rent Roll'!$O$32-1),1,0)</f>
        <v>1</v>
      </c>
      <c r="AL282" s="49">
        <f>IF(AL$4&gt;=EOMONTH(CloseDate,'Rent Roll'!$O$32-1),1,0)</f>
        <v>1</v>
      </c>
      <c r="AM282" s="49">
        <f>IF(AM$4&gt;=EOMONTH(CloseDate,'Rent Roll'!$O$32-1),1,0)</f>
        <v>1</v>
      </c>
      <c r="AN282" s="49">
        <f>IF(AN$4&gt;=EOMONTH(CloseDate,'Rent Roll'!$O$32-1),1,0)</f>
        <v>1</v>
      </c>
      <c r="AO282" s="49">
        <f>IF(AO$4&gt;=EOMONTH(CloseDate,'Rent Roll'!$O$32-1),1,0)</f>
        <v>1</v>
      </c>
      <c r="AP282" s="49">
        <f>IF(AP$4&gt;=EOMONTH(CloseDate,'Rent Roll'!$O$32-1),1,0)</f>
        <v>1</v>
      </c>
      <c r="AQ282" s="49">
        <f>IF(AQ$4&gt;=EOMONTH(CloseDate,'Rent Roll'!$O$32-1),1,0)</f>
        <v>1</v>
      </c>
      <c r="AR282" s="49">
        <f>IF(AR$4&gt;=EOMONTH(CloseDate,'Rent Roll'!$O$32-1),1,0)</f>
        <v>1</v>
      </c>
      <c r="AS282" s="49">
        <f>IF(AS$4&gt;=EOMONTH(CloseDate,'Rent Roll'!$O$32-1),1,0)</f>
        <v>1</v>
      </c>
      <c r="AT282" s="49">
        <f>IF(AT$4&gt;=EOMONTH(CloseDate,'Rent Roll'!$O$32-1),1,0)</f>
        <v>1</v>
      </c>
      <c r="AU282" s="49">
        <f>IF(AU$4&gt;=EOMONTH(CloseDate,'Rent Roll'!$O$32-1),1,0)</f>
        <v>1</v>
      </c>
      <c r="AV282" s="49">
        <f>IF(AV$4&gt;=EOMONTH(CloseDate,'Rent Roll'!$O$32-1),1,0)</f>
        <v>1</v>
      </c>
      <c r="AW282" s="49">
        <f>IF(AW$4&gt;=EOMONTH(CloseDate,'Rent Roll'!$O$32-1),1,0)</f>
        <v>1</v>
      </c>
      <c r="AX282" s="49">
        <f>IF(AX$4&gt;=EOMONTH(CloseDate,'Rent Roll'!$O$32-1),1,0)</f>
        <v>1</v>
      </c>
      <c r="AY282" s="49">
        <f>IF(AY$4&gt;=EOMONTH(CloseDate,'Rent Roll'!$O$32-1),1,0)</f>
        <v>1</v>
      </c>
      <c r="AZ282" s="49">
        <f>IF(AZ$4&gt;=EOMONTH(CloseDate,'Rent Roll'!$O$32-1),1,0)</f>
        <v>1</v>
      </c>
      <c r="BA282" s="49">
        <f>IF(BA$4&gt;=EOMONTH(CloseDate,'Rent Roll'!$O$32-1),1,0)</f>
        <v>1</v>
      </c>
      <c r="BB282" s="49">
        <f>IF(BB$4&gt;=EOMONTH(CloseDate,'Rent Roll'!$O$32-1),1,0)</f>
        <v>1</v>
      </c>
      <c r="BC282" s="49">
        <f>IF(BC$4&gt;=EOMONTH(CloseDate,'Rent Roll'!$O$32-1),1,0)</f>
        <v>1</v>
      </c>
      <c r="BD282" s="49">
        <f>IF(BD$4&gt;=EOMONTH(CloseDate,'Rent Roll'!$O$32-1),1,0)</f>
        <v>1</v>
      </c>
      <c r="BE282" s="49">
        <f>IF(BE$4&gt;=EOMONTH(CloseDate,'Rent Roll'!$O$32-1),1,0)</f>
        <v>1</v>
      </c>
      <c r="BF282" s="49">
        <f>IF(BF$4&gt;=EOMONTH(CloseDate,'Rent Roll'!$O$32-1),1,0)</f>
        <v>1</v>
      </c>
      <c r="BG282" s="49">
        <f>IF(BG$4&gt;=EOMONTH(CloseDate,'Rent Roll'!$O$32-1),1,0)</f>
        <v>1</v>
      </c>
      <c r="BH282" s="49">
        <f>IF(BH$4&gt;=EOMONTH(CloseDate,'Rent Roll'!$O$32-1),1,0)</f>
        <v>1</v>
      </c>
      <c r="BI282" s="49">
        <f>IF(BI$4&gt;=EOMONTH(CloseDate,'Rent Roll'!$O$32-1),1,0)</f>
        <v>1</v>
      </c>
      <c r="BJ282" s="49">
        <f>IF(BJ$4&gt;=EOMONTH(CloseDate,'Rent Roll'!$O$32-1),1,0)</f>
        <v>1</v>
      </c>
      <c r="BK282" s="49">
        <f>IF(BK$4&gt;=EOMONTH(CloseDate,'Rent Roll'!$O$32-1),1,0)</f>
        <v>1</v>
      </c>
      <c r="BL282" s="49">
        <f>IF(BL$4&gt;=EOMONTH(CloseDate,'Rent Roll'!$O$32-1),1,0)</f>
        <v>1</v>
      </c>
      <c r="BM282" s="49">
        <f>IF(BM$4&gt;=EOMONTH(CloseDate,'Rent Roll'!$O$32-1),1,0)</f>
        <v>1</v>
      </c>
      <c r="BN282" s="49">
        <f>IF(BN$4&gt;=EOMONTH(CloseDate,'Rent Roll'!$O$32-1),1,0)</f>
        <v>1</v>
      </c>
      <c r="BO282" s="49">
        <f>IF(BO$4&gt;=EOMONTH(CloseDate,'Rent Roll'!$O$32-1),1,0)</f>
        <v>1</v>
      </c>
      <c r="BP282" s="49">
        <f>IF(BP$4&gt;=EOMONTH(CloseDate,'Rent Roll'!$O$32-1),1,0)</f>
        <v>1</v>
      </c>
      <c r="BQ282" s="49">
        <f>IF(BQ$4&gt;=EOMONTH(CloseDate,'Rent Roll'!$O$32-1),1,0)</f>
        <v>1</v>
      </c>
      <c r="BR282" s="49">
        <f>IF(BR$4&gt;=EOMONTH(CloseDate,'Rent Roll'!$O$32-1),1,0)</f>
        <v>1</v>
      </c>
      <c r="BS282" s="49">
        <f>IF(BS$4&gt;=EOMONTH(CloseDate,'Rent Roll'!$O$32-1),1,0)</f>
        <v>1</v>
      </c>
      <c r="BT282" s="49">
        <f>IF(BT$4&gt;=EOMONTH(CloseDate,'Rent Roll'!$O$32-1),1,0)</f>
        <v>1</v>
      </c>
      <c r="BU282" s="49">
        <f>IF(BU$4&gt;=EOMONTH(CloseDate,'Rent Roll'!$O$32-1),1,0)</f>
        <v>1</v>
      </c>
      <c r="BV282" s="49">
        <f>IF(BV$4&gt;=EOMONTH(CloseDate,'Rent Roll'!$O$32-1),1,0)</f>
        <v>1</v>
      </c>
      <c r="BW282" s="49">
        <f>IF(BW$4&gt;=EOMONTH(CloseDate,'Rent Roll'!$O$32-1),1,0)</f>
        <v>1</v>
      </c>
      <c r="BX282" s="49">
        <f>IF(BX$4&gt;=EOMONTH(CloseDate,'Rent Roll'!$O$32-1),1,0)</f>
        <v>1</v>
      </c>
    </row>
    <row r="283" spans="1:76" outlineLevel="1">
      <c r="B283" t="s">
        <v>162</v>
      </c>
      <c r="D283" s="49">
        <f>IF(D282=1,'Rent Roll'!$F$32*'Rent Roll'!$X$32/12*D$6,0)</f>
        <v>0</v>
      </c>
      <c r="E283" s="49">
        <f>IF(E282=1,'Rent Roll'!$F$32*'Rent Roll'!$X$32/12*E$6,0)</f>
        <v>0</v>
      </c>
      <c r="F283" s="49">
        <f>IF(F282=1,'Rent Roll'!$F$32*'Rent Roll'!$X$32/12*F$6,0)</f>
        <v>0</v>
      </c>
      <c r="G283" s="49">
        <f>IF(G282=1,'Rent Roll'!$F$32*'Rent Roll'!$X$32/12*G$6,0)</f>
        <v>0</v>
      </c>
      <c r="H283" s="49">
        <f>IF(H282=1,'Rent Roll'!$F$32*'Rent Roll'!$X$32/12*H$6,0)</f>
        <v>0</v>
      </c>
      <c r="I283" s="49">
        <f>IF(I282=1,'Rent Roll'!$F$32*'Rent Roll'!$X$32/12*I$6,0)</f>
        <v>0</v>
      </c>
      <c r="J283" s="49">
        <f>IF(J282=1,'Rent Roll'!$F$32*'Rent Roll'!$X$32/12*J$6,0)</f>
        <v>0</v>
      </c>
      <c r="K283" s="49">
        <f>IF(K282=1,'Rent Roll'!$F$32*'Rent Roll'!$X$32/12*K$6,0)</f>
        <v>0</v>
      </c>
      <c r="L283" s="49">
        <f>IF(L282=1,'Rent Roll'!$F$32*'Rent Roll'!$X$32/12*L$6,0)</f>
        <v>0</v>
      </c>
      <c r="M283" s="49">
        <f>IF(M282=1,'Rent Roll'!$F$32*'Rent Roll'!$X$32/12*M$6,0)</f>
        <v>0</v>
      </c>
      <c r="N283" s="49">
        <f>IF(N282=1,'Rent Roll'!$F$32*'Rent Roll'!$X$32/12*N$6,0)</f>
        <v>0</v>
      </c>
      <c r="O283" s="49">
        <f>IF(O282=1,'Rent Roll'!$F$32*'Rent Roll'!$X$32/12*O$6,0)</f>
        <v>19425.319874999994</v>
      </c>
      <c r="P283" s="49">
        <f>IF(P282=1,'Rent Roll'!$F$32*'Rent Roll'!$X$32/12*P$6,0)</f>
        <v>19425.319874999994</v>
      </c>
      <c r="Q283" s="49">
        <f>IF(Q282=1,'Rent Roll'!$F$32*'Rent Roll'!$X$32/12*Q$6,0)</f>
        <v>19425.319874999994</v>
      </c>
      <c r="R283" s="49">
        <f>IF(R282=1,'Rent Roll'!$F$32*'Rent Roll'!$X$32/12*R$6,0)</f>
        <v>19425.319874999994</v>
      </c>
      <c r="S283" s="49">
        <f>IF(S282=1,'Rent Roll'!$F$32*'Rent Roll'!$X$32/12*S$6,0)</f>
        <v>19425.319874999994</v>
      </c>
      <c r="T283" s="49">
        <f>IF(T282=1,'Rent Roll'!$F$32*'Rent Roll'!$X$32/12*T$6,0)</f>
        <v>19425.319874999994</v>
      </c>
      <c r="U283" s="49">
        <f>IF(U282=1,'Rent Roll'!$F$32*'Rent Roll'!$X$32/12*U$6,0)</f>
        <v>19949.803511624992</v>
      </c>
      <c r="V283" s="49">
        <f>IF(V282=1,'Rent Roll'!$F$32*'Rent Roll'!$X$32/12*V$6,0)</f>
        <v>19949.803511624992</v>
      </c>
      <c r="W283" s="49">
        <f>IF(W282=1,'Rent Roll'!$F$32*'Rent Roll'!$X$32/12*W$6,0)</f>
        <v>19949.803511624992</v>
      </c>
      <c r="X283" s="49">
        <f>IF(X282=1,'Rent Roll'!$F$32*'Rent Roll'!$X$32/12*X$6,0)</f>
        <v>19949.803511624992</v>
      </c>
      <c r="Y283" s="49">
        <f>IF(Y282=1,'Rent Roll'!$F$32*'Rent Roll'!$X$32/12*Y$6,0)</f>
        <v>19949.803511624992</v>
      </c>
      <c r="Z283" s="49">
        <f>IF(Z282=1,'Rent Roll'!$F$32*'Rent Roll'!$X$32/12*Z$6,0)</f>
        <v>19949.803511624992</v>
      </c>
      <c r="AA283" s="49">
        <f>IF(AA282=1,'Rent Roll'!$F$32*'Rent Roll'!$X$32/12*AA$6,0)</f>
        <v>19949.803511624992</v>
      </c>
      <c r="AB283" s="49">
        <f>IF(AB282=1,'Rent Roll'!$F$32*'Rent Roll'!$X$32/12*AB$6,0)</f>
        <v>19949.803511624992</v>
      </c>
      <c r="AC283" s="49">
        <f>IF(AC282=1,'Rent Roll'!$F$32*'Rent Roll'!$X$32/12*AC$6,0)</f>
        <v>19949.803511624992</v>
      </c>
      <c r="AD283" s="49">
        <f>IF(AD282=1,'Rent Roll'!$F$32*'Rent Roll'!$X$32/12*AD$6,0)</f>
        <v>19949.803511624992</v>
      </c>
      <c r="AE283" s="49">
        <f>IF(AE282=1,'Rent Roll'!$F$32*'Rent Roll'!$X$32/12*AE$6,0)</f>
        <v>19949.803511624992</v>
      </c>
      <c r="AF283" s="49">
        <f>IF(AF282=1,'Rent Roll'!$F$32*'Rent Roll'!$X$32/12*AF$6,0)</f>
        <v>19949.803511624992</v>
      </c>
      <c r="AG283" s="49">
        <f>IF(AG282=1,'Rent Roll'!$F$32*'Rent Roll'!$X$32/12*AG$6,0)</f>
        <v>20488.448206438869</v>
      </c>
      <c r="AH283" s="49">
        <f>IF(AH282=1,'Rent Roll'!$F$32*'Rent Roll'!$X$32/12*AH$6,0)</f>
        <v>20488.448206438869</v>
      </c>
      <c r="AI283" s="49">
        <f>IF(AI282=1,'Rent Roll'!$F$32*'Rent Roll'!$X$32/12*AI$6,0)</f>
        <v>20488.448206438869</v>
      </c>
      <c r="AJ283" s="49">
        <f>IF(AJ282=1,'Rent Roll'!$F$32*'Rent Roll'!$X$32/12*AJ$6,0)</f>
        <v>20488.448206438869</v>
      </c>
      <c r="AK283" s="49">
        <f>IF(AK282=1,'Rent Roll'!$F$32*'Rent Roll'!$X$32/12*AK$6,0)</f>
        <v>20488.448206438869</v>
      </c>
      <c r="AL283" s="49">
        <f>IF(AL282=1,'Rent Roll'!$F$32*'Rent Roll'!$X$32/12*AL$6,0)</f>
        <v>20488.448206438869</v>
      </c>
      <c r="AM283" s="49">
        <f>IF(AM282=1,'Rent Roll'!$F$32*'Rent Roll'!$X$32/12*AM$6,0)</f>
        <v>20488.448206438869</v>
      </c>
      <c r="AN283" s="49">
        <f>IF(AN282=1,'Rent Roll'!$F$32*'Rent Roll'!$X$32/12*AN$6,0)</f>
        <v>20488.448206438869</v>
      </c>
      <c r="AO283" s="49">
        <f>IF(AO282=1,'Rent Roll'!$F$32*'Rent Roll'!$X$32/12*AO$6,0)</f>
        <v>20488.448206438869</v>
      </c>
      <c r="AP283" s="49">
        <f>IF(AP282=1,'Rent Roll'!$F$32*'Rent Roll'!$X$32/12*AP$6,0)</f>
        <v>20488.448206438869</v>
      </c>
      <c r="AQ283" s="49">
        <f>IF(AQ282=1,'Rent Roll'!$F$32*'Rent Roll'!$X$32/12*AQ$6,0)</f>
        <v>20488.448206438869</v>
      </c>
      <c r="AR283" s="49">
        <f>IF(AR282=1,'Rent Roll'!$F$32*'Rent Roll'!$X$32/12*AR$6,0)</f>
        <v>20488.448206438869</v>
      </c>
      <c r="AS283" s="49">
        <f>IF(AS282=1,'Rent Roll'!$F$32*'Rent Roll'!$X$32/12*AS$6,0)</f>
        <v>21041.636308012712</v>
      </c>
      <c r="AT283" s="49">
        <f>IF(AT282=1,'Rent Roll'!$F$32*'Rent Roll'!$X$32/12*AT$6,0)</f>
        <v>21041.636308012712</v>
      </c>
      <c r="AU283" s="49">
        <f>IF(AU282=1,'Rent Roll'!$F$32*'Rent Roll'!$X$32/12*AU$6,0)</f>
        <v>21041.636308012712</v>
      </c>
      <c r="AV283" s="49">
        <f>IF(AV282=1,'Rent Roll'!$F$32*'Rent Roll'!$X$32/12*AV$6,0)</f>
        <v>21041.636308012712</v>
      </c>
      <c r="AW283" s="49">
        <f>IF(AW282=1,'Rent Roll'!$F$32*'Rent Roll'!$X$32/12*AW$6,0)</f>
        <v>21041.636308012712</v>
      </c>
      <c r="AX283" s="49">
        <f>IF(AX282=1,'Rent Roll'!$F$32*'Rent Roll'!$X$32/12*AX$6,0)</f>
        <v>21041.636308012712</v>
      </c>
      <c r="AY283" s="49">
        <f>IF(AY282=1,'Rent Roll'!$F$32*'Rent Roll'!$X$32/12*AY$6,0)</f>
        <v>21041.636308012712</v>
      </c>
      <c r="AZ283" s="49">
        <f>IF(AZ282=1,'Rent Roll'!$F$32*'Rent Roll'!$X$32/12*AZ$6,0)</f>
        <v>21041.636308012712</v>
      </c>
      <c r="BA283" s="49">
        <f>IF(BA282=1,'Rent Roll'!$F$32*'Rent Roll'!$X$32/12*BA$6,0)</f>
        <v>21041.636308012712</v>
      </c>
      <c r="BB283" s="49">
        <f>IF(BB282=1,'Rent Roll'!$F$32*'Rent Roll'!$X$32/12*BB$6,0)</f>
        <v>21041.636308012712</v>
      </c>
      <c r="BC283" s="49">
        <f>IF(BC282=1,'Rent Roll'!$F$32*'Rent Roll'!$X$32/12*BC$6,0)</f>
        <v>21041.636308012712</v>
      </c>
      <c r="BD283" s="49">
        <f>IF(BD282=1,'Rent Roll'!$F$32*'Rent Roll'!$X$32/12*BD$6,0)</f>
        <v>21041.636308012712</v>
      </c>
      <c r="BE283" s="49">
        <f>IF(BE282=1,'Rent Roll'!$F$32*'Rent Roll'!$X$32/12*BE$6,0)</f>
        <v>21609.760488329055</v>
      </c>
      <c r="BF283" s="49">
        <f>IF(BF282=1,'Rent Roll'!$F$32*'Rent Roll'!$X$32/12*BF$6,0)</f>
        <v>21609.760488329055</v>
      </c>
      <c r="BG283" s="49">
        <f>IF(BG282=1,'Rent Roll'!$F$32*'Rent Roll'!$X$32/12*BG$6,0)</f>
        <v>21609.760488329055</v>
      </c>
      <c r="BH283" s="49">
        <f>IF(BH282=1,'Rent Roll'!$F$32*'Rent Roll'!$X$32/12*BH$6,0)</f>
        <v>21609.760488329055</v>
      </c>
      <c r="BI283" s="49">
        <f>IF(BI282=1,'Rent Roll'!$F$32*'Rent Roll'!$X$32/12*BI$6,0)</f>
        <v>21609.760488329055</v>
      </c>
      <c r="BJ283" s="49">
        <f>IF(BJ282=1,'Rent Roll'!$F$32*'Rent Roll'!$X$32/12*BJ$6,0)</f>
        <v>21609.760488329055</v>
      </c>
      <c r="BK283" s="49">
        <f>IF(BK282=1,'Rent Roll'!$F$32*'Rent Roll'!$X$32/12*BK$6,0)</f>
        <v>21609.760488329055</v>
      </c>
      <c r="BL283" s="49">
        <f>IF(BL282=1,'Rent Roll'!$F$32*'Rent Roll'!$X$32/12*BL$6,0)</f>
        <v>21609.760488329055</v>
      </c>
      <c r="BM283" s="49">
        <f>IF(BM282=1,'Rent Roll'!$F$32*'Rent Roll'!$X$32/12*BM$6,0)</f>
        <v>21609.760488329055</v>
      </c>
      <c r="BN283" s="49">
        <f>IF(BN282=1,'Rent Roll'!$F$32*'Rent Roll'!$X$32/12*BN$6,0)</f>
        <v>21609.760488329055</v>
      </c>
      <c r="BO283" s="49">
        <f>IF(BO282=1,'Rent Roll'!$F$32*'Rent Roll'!$X$32/12*BO$6,0)</f>
        <v>21609.760488329055</v>
      </c>
      <c r="BP283" s="49">
        <f>IF(BP282=1,'Rent Roll'!$F$32*'Rent Roll'!$X$32/12*BP$6,0)</f>
        <v>21609.760488329055</v>
      </c>
      <c r="BQ283" s="49">
        <f>IF(BQ282=1,'Rent Roll'!$F$32*'Rent Roll'!$X$32/12*BQ$6,0)</f>
        <v>22193.224021513935</v>
      </c>
      <c r="BR283" s="49">
        <f>IF(BR282=1,'Rent Roll'!$F$32*'Rent Roll'!$X$32/12*BR$6,0)</f>
        <v>22193.224021513935</v>
      </c>
      <c r="BS283" s="49">
        <f>IF(BS282=1,'Rent Roll'!$F$32*'Rent Roll'!$X$32/12*BS$6,0)</f>
        <v>22193.224021513935</v>
      </c>
      <c r="BT283" s="49">
        <f>IF(BT282=1,'Rent Roll'!$F$32*'Rent Roll'!$X$32/12*BT$6,0)</f>
        <v>22193.224021513935</v>
      </c>
      <c r="BU283" s="49">
        <f>IF(BU282=1,'Rent Roll'!$F$32*'Rent Roll'!$X$32/12*BU$6,0)</f>
        <v>22193.224021513935</v>
      </c>
      <c r="BV283" s="49">
        <f>IF(BV282=1,'Rent Roll'!$F$32*'Rent Roll'!$X$32/12*BV$6,0)</f>
        <v>22193.224021513935</v>
      </c>
      <c r="BW283" s="49">
        <f>IF(BW282=1,'Rent Roll'!$F$32*'Rent Roll'!$X$32/12*BW$6,0)</f>
        <v>22193.224021513935</v>
      </c>
      <c r="BX283" s="49">
        <f>IF(BX282=1,'Rent Roll'!$F$32*'Rent Roll'!$X$32/12*BX$6,0)</f>
        <v>22193.224021513935</v>
      </c>
    </row>
    <row r="284" spans="1:76" outlineLevel="1">
      <c r="B284" t="s">
        <v>163</v>
      </c>
      <c r="D284" s="49">
        <f>IF(AND(D$4&gt;=EOMONTH(CloseDate,'Rent Roll'!$O$32-1),D$4&lt;EOMONTH(CloseDate,'Rent Roll'!$O$32-1+'Rent Roll'!$V$32)),-D283,0)</f>
        <v>0</v>
      </c>
      <c r="E284" s="49">
        <f>IF(AND(E$4&gt;=EOMONTH(CloseDate,'Rent Roll'!$O$32-1),E$4&lt;EOMONTH(CloseDate,'Rent Roll'!$O$32-1+'Rent Roll'!$V$32)),-E283,0)</f>
        <v>0</v>
      </c>
      <c r="F284" s="49">
        <f>IF(AND(F$4&gt;=EOMONTH(CloseDate,'Rent Roll'!$O$32-1),F$4&lt;EOMONTH(CloseDate,'Rent Roll'!$O$32-1+'Rent Roll'!$V$32)),-F283,0)</f>
        <v>0</v>
      </c>
      <c r="G284" s="49">
        <f>IF(AND(G$4&gt;=EOMONTH(CloseDate,'Rent Roll'!$O$32-1),G$4&lt;EOMONTH(CloseDate,'Rent Roll'!$O$32-1+'Rent Roll'!$V$32)),-G283,0)</f>
        <v>0</v>
      </c>
      <c r="H284" s="49">
        <f>IF(AND(H$4&gt;=EOMONTH(CloseDate,'Rent Roll'!$O$32-1),H$4&lt;EOMONTH(CloseDate,'Rent Roll'!$O$32-1+'Rent Roll'!$V$32)),-H283,0)</f>
        <v>0</v>
      </c>
      <c r="I284" s="49">
        <f>IF(AND(I$4&gt;=EOMONTH(CloseDate,'Rent Roll'!$O$32-1),I$4&lt;EOMONTH(CloseDate,'Rent Roll'!$O$32-1+'Rent Roll'!$V$32)),-I283,0)</f>
        <v>0</v>
      </c>
      <c r="J284" s="49">
        <f>IF(AND(J$4&gt;=EOMONTH(CloseDate,'Rent Roll'!$O$32-1),J$4&lt;EOMONTH(CloseDate,'Rent Roll'!$O$32-1+'Rent Roll'!$V$32)),-J283,0)</f>
        <v>0</v>
      </c>
      <c r="K284" s="49">
        <f>IF(AND(K$4&gt;=EOMONTH(CloseDate,'Rent Roll'!$O$32-1),K$4&lt;EOMONTH(CloseDate,'Rent Roll'!$O$32-1+'Rent Roll'!$V$32)),-K283,0)</f>
        <v>0</v>
      </c>
      <c r="L284" s="49">
        <f>IF(AND(L$4&gt;=EOMONTH(CloseDate,'Rent Roll'!$O$32-1),L$4&lt;EOMONTH(CloseDate,'Rent Roll'!$O$32-1+'Rent Roll'!$V$32)),-L283,0)</f>
        <v>0</v>
      </c>
      <c r="M284" s="49">
        <f>IF(AND(M$4&gt;=EOMONTH(CloseDate,'Rent Roll'!$O$32-1),M$4&lt;EOMONTH(CloseDate,'Rent Roll'!$O$32-1+'Rent Roll'!$V$32)),-M283,0)</f>
        <v>0</v>
      </c>
      <c r="N284" s="49">
        <f>IF(AND(N$4&gt;=EOMONTH(CloseDate,'Rent Roll'!$O$32-1),N$4&lt;EOMONTH(CloseDate,'Rent Roll'!$O$32-1+'Rent Roll'!$V$32)),-N283,0)</f>
        <v>0</v>
      </c>
      <c r="O284" s="49">
        <f>IF(AND(O$4&gt;=EOMONTH(CloseDate,'Rent Roll'!$O$32-1),O$4&lt;EOMONTH(CloseDate,'Rent Roll'!$O$32-1+'Rent Roll'!$V$32)),-O283,0)</f>
        <v>-19425.319874999994</v>
      </c>
      <c r="P284" s="49">
        <f>IF(AND(P$4&gt;=EOMONTH(CloseDate,'Rent Roll'!$O$32-1),P$4&lt;EOMONTH(CloseDate,'Rent Roll'!$O$32-1+'Rent Roll'!$V$32)),-P283,0)</f>
        <v>-19425.319874999994</v>
      </c>
      <c r="Q284" s="49">
        <f>IF(AND(Q$4&gt;=EOMONTH(CloseDate,'Rent Roll'!$O$32-1),Q$4&lt;EOMONTH(CloseDate,'Rent Roll'!$O$32-1+'Rent Roll'!$V$32)),-Q283,0)</f>
        <v>0</v>
      </c>
      <c r="R284" s="49">
        <f>IF(AND(R$4&gt;=EOMONTH(CloseDate,'Rent Roll'!$O$32-1),R$4&lt;EOMONTH(CloseDate,'Rent Roll'!$O$32-1+'Rent Roll'!$V$32)),-R283,0)</f>
        <v>0</v>
      </c>
      <c r="S284" s="49">
        <f>IF(AND(S$4&gt;=EOMONTH(CloseDate,'Rent Roll'!$O$32-1),S$4&lt;EOMONTH(CloseDate,'Rent Roll'!$O$32-1+'Rent Roll'!$V$32)),-S283,0)</f>
        <v>0</v>
      </c>
      <c r="T284" s="49">
        <f>IF(AND(T$4&gt;=EOMONTH(CloseDate,'Rent Roll'!$O$32-1),T$4&lt;EOMONTH(CloseDate,'Rent Roll'!$O$32-1+'Rent Roll'!$V$32)),-T283,0)</f>
        <v>0</v>
      </c>
      <c r="U284" s="49">
        <f>IF(AND(U$4&gt;=EOMONTH(CloseDate,'Rent Roll'!$O$32-1),U$4&lt;EOMONTH(CloseDate,'Rent Roll'!$O$32-1+'Rent Roll'!$V$32)),-U283,0)</f>
        <v>0</v>
      </c>
      <c r="V284" s="49">
        <f>IF(AND(V$4&gt;=EOMONTH(CloseDate,'Rent Roll'!$O$32-1),V$4&lt;EOMONTH(CloseDate,'Rent Roll'!$O$32-1+'Rent Roll'!$V$32)),-V283,0)</f>
        <v>0</v>
      </c>
      <c r="W284" s="49">
        <f>IF(AND(W$4&gt;=EOMONTH(CloseDate,'Rent Roll'!$O$32-1),W$4&lt;EOMONTH(CloseDate,'Rent Roll'!$O$32-1+'Rent Roll'!$V$32)),-W283,0)</f>
        <v>0</v>
      </c>
      <c r="X284" s="49">
        <f>IF(AND(X$4&gt;=EOMONTH(CloseDate,'Rent Roll'!$O$32-1),X$4&lt;EOMONTH(CloseDate,'Rent Roll'!$O$32-1+'Rent Roll'!$V$32)),-X283,0)</f>
        <v>0</v>
      </c>
      <c r="Y284" s="49">
        <f>IF(AND(Y$4&gt;=EOMONTH(CloseDate,'Rent Roll'!$O$32-1),Y$4&lt;EOMONTH(CloseDate,'Rent Roll'!$O$32-1+'Rent Roll'!$V$32)),-Y283,0)</f>
        <v>0</v>
      </c>
      <c r="Z284" s="49">
        <f>IF(AND(Z$4&gt;=EOMONTH(CloseDate,'Rent Roll'!$O$32-1),Z$4&lt;EOMONTH(CloseDate,'Rent Roll'!$O$32-1+'Rent Roll'!$V$32)),-Z283,0)</f>
        <v>0</v>
      </c>
      <c r="AA284" s="49">
        <f>IF(AND(AA$4&gt;=EOMONTH(CloseDate,'Rent Roll'!$O$32-1),AA$4&lt;EOMONTH(CloseDate,'Rent Roll'!$O$32-1+'Rent Roll'!$V$32)),-AA283,0)</f>
        <v>0</v>
      </c>
      <c r="AB284" s="49">
        <f>IF(AND(AB$4&gt;=EOMONTH(CloseDate,'Rent Roll'!$O$32-1),AB$4&lt;EOMONTH(CloseDate,'Rent Roll'!$O$32-1+'Rent Roll'!$V$32)),-AB283,0)</f>
        <v>0</v>
      </c>
      <c r="AC284" s="49">
        <f>IF(AND(AC$4&gt;=EOMONTH(CloseDate,'Rent Roll'!$O$32-1),AC$4&lt;EOMONTH(CloseDate,'Rent Roll'!$O$32-1+'Rent Roll'!$V$32)),-AC283,0)</f>
        <v>0</v>
      </c>
      <c r="AD284" s="49">
        <f>IF(AND(AD$4&gt;=EOMONTH(CloseDate,'Rent Roll'!$O$32-1),AD$4&lt;EOMONTH(CloseDate,'Rent Roll'!$O$32-1+'Rent Roll'!$V$32)),-AD283,0)</f>
        <v>0</v>
      </c>
      <c r="AE284" s="49">
        <f>IF(AND(AE$4&gt;=EOMONTH(CloseDate,'Rent Roll'!$O$32-1),AE$4&lt;EOMONTH(CloseDate,'Rent Roll'!$O$32-1+'Rent Roll'!$V$32)),-AE283,0)</f>
        <v>0</v>
      </c>
      <c r="AF284" s="49">
        <f>IF(AND(AF$4&gt;=EOMONTH(CloseDate,'Rent Roll'!$O$32-1),AF$4&lt;EOMONTH(CloseDate,'Rent Roll'!$O$32-1+'Rent Roll'!$V$32)),-AF283,0)</f>
        <v>0</v>
      </c>
      <c r="AG284" s="49">
        <f>IF(AND(AG$4&gt;=EOMONTH(CloseDate,'Rent Roll'!$O$32-1),AG$4&lt;EOMONTH(CloseDate,'Rent Roll'!$O$32-1+'Rent Roll'!$V$32)),-AG283,0)</f>
        <v>0</v>
      </c>
      <c r="AH284" s="49">
        <f>IF(AND(AH$4&gt;=EOMONTH(CloseDate,'Rent Roll'!$O$32-1),AH$4&lt;EOMONTH(CloseDate,'Rent Roll'!$O$32-1+'Rent Roll'!$V$32)),-AH283,0)</f>
        <v>0</v>
      </c>
      <c r="AI284" s="49">
        <f>IF(AND(AI$4&gt;=EOMONTH(CloseDate,'Rent Roll'!$O$32-1),AI$4&lt;EOMONTH(CloseDate,'Rent Roll'!$O$32-1+'Rent Roll'!$V$32)),-AI283,0)</f>
        <v>0</v>
      </c>
      <c r="AJ284" s="49">
        <f>IF(AND(AJ$4&gt;=EOMONTH(CloseDate,'Rent Roll'!$O$32-1),AJ$4&lt;EOMONTH(CloseDate,'Rent Roll'!$O$32-1+'Rent Roll'!$V$32)),-AJ283,0)</f>
        <v>0</v>
      </c>
      <c r="AK284" s="49">
        <f>IF(AND(AK$4&gt;=EOMONTH(CloseDate,'Rent Roll'!$O$32-1),AK$4&lt;EOMONTH(CloseDate,'Rent Roll'!$O$32-1+'Rent Roll'!$V$32)),-AK283,0)</f>
        <v>0</v>
      </c>
      <c r="AL284" s="49">
        <f>IF(AND(AL$4&gt;=EOMONTH(CloseDate,'Rent Roll'!$O$32-1),AL$4&lt;EOMONTH(CloseDate,'Rent Roll'!$O$32-1+'Rent Roll'!$V$32)),-AL283,0)</f>
        <v>0</v>
      </c>
      <c r="AM284" s="49">
        <f>IF(AND(AM$4&gt;=EOMONTH(CloseDate,'Rent Roll'!$O$32-1),AM$4&lt;EOMONTH(CloseDate,'Rent Roll'!$O$32-1+'Rent Roll'!$V$32)),-AM283,0)</f>
        <v>0</v>
      </c>
      <c r="AN284" s="49">
        <f>IF(AND(AN$4&gt;=EOMONTH(CloseDate,'Rent Roll'!$O$32-1),AN$4&lt;EOMONTH(CloseDate,'Rent Roll'!$O$32-1+'Rent Roll'!$V$32)),-AN283,0)</f>
        <v>0</v>
      </c>
      <c r="AO284" s="49">
        <f>IF(AND(AO$4&gt;=EOMONTH(CloseDate,'Rent Roll'!$O$32-1),AO$4&lt;EOMONTH(CloseDate,'Rent Roll'!$O$32-1+'Rent Roll'!$V$32)),-AO283,0)</f>
        <v>0</v>
      </c>
      <c r="AP284" s="49">
        <f>IF(AND(AP$4&gt;=EOMONTH(CloseDate,'Rent Roll'!$O$32-1),AP$4&lt;EOMONTH(CloseDate,'Rent Roll'!$O$32-1+'Rent Roll'!$V$32)),-AP283,0)</f>
        <v>0</v>
      </c>
      <c r="AQ284" s="49">
        <f>IF(AND(AQ$4&gt;=EOMONTH(CloseDate,'Rent Roll'!$O$32-1),AQ$4&lt;EOMONTH(CloseDate,'Rent Roll'!$O$32-1+'Rent Roll'!$V$32)),-AQ283,0)</f>
        <v>0</v>
      </c>
      <c r="AR284" s="49">
        <f>IF(AND(AR$4&gt;=EOMONTH(CloseDate,'Rent Roll'!$O$32-1),AR$4&lt;EOMONTH(CloseDate,'Rent Roll'!$O$32-1+'Rent Roll'!$V$32)),-AR283,0)</f>
        <v>0</v>
      </c>
      <c r="AS284" s="49">
        <f>IF(AND(AS$4&gt;=EOMONTH(CloseDate,'Rent Roll'!$O$32-1),AS$4&lt;EOMONTH(CloseDate,'Rent Roll'!$O$32-1+'Rent Roll'!$V$32)),-AS283,0)</f>
        <v>0</v>
      </c>
      <c r="AT284" s="49">
        <f>IF(AND(AT$4&gt;=EOMONTH(CloseDate,'Rent Roll'!$O$32-1),AT$4&lt;EOMONTH(CloseDate,'Rent Roll'!$O$32-1+'Rent Roll'!$V$32)),-AT283,0)</f>
        <v>0</v>
      </c>
      <c r="AU284" s="49">
        <f>IF(AND(AU$4&gt;=EOMONTH(CloseDate,'Rent Roll'!$O$32-1),AU$4&lt;EOMONTH(CloseDate,'Rent Roll'!$O$32-1+'Rent Roll'!$V$32)),-AU283,0)</f>
        <v>0</v>
      </c>
      <c r="AV284" s="49">
        <f>IF(AND(AV$4&gt;=EOMONTH(CloseDate,'Rent Roll'!$O$32-1),AV$4&lt;EOMONTH(CloseDate,'Rent Roll'!$O$32-1+'Rent Roll'!$V$32)),-AV283,0)</f>
        <v>0</v>
      </c>
      <c r="AW284" s="49">
        <f>IF(AND(AW$4&gt;=EOMONTH(CloseDate,'Rent Roll'!$O$32-1),AW$4&lt;EOMONTH(CloseDate,'Rent Roll'!$O$32-1+'Rent Roll'!$V$32)),-AW283,0)</f>
        <v>0</v>
      </c>
      <c r="AX284" s="49">
        <f>IF(AND(AX$4&gt;=EOMONTH(CloseDate,'Rent Roll'!$O$32-1),AX$4&lt;EOMONTH(CloseDate,'Rent Roll'!$O$32-1+'Rent Roll'!$V$32)),-AX283,0)</f>
        <v>0</v>
      </c>
      <c r="AY284" s="49">
        <f>IF(AND(AY$4&gt;=EOMONTH(CloseDate,'Rent Roll'!$O$32-1),AY$4&lt;EOMONTH(CloseDate,'Rent Roll'!$O$32-1+'Rent Roll'!$V$32)),-AY283,0)</f>
        <v>0</v>
      </c>
      <c r="AZ284" s="49">
        <f>IF(AND(AZ$4&gt;=EOMONTH(CloseDate,'Rent Roll'!$O$32-1),AZ$4&lt;EOMONTH(CloseDate,'Rent Roll'!$O$32-1+'Rent Roll'!$V$32)),-AZ283,0)</f>
        <v>0</v>
      </c>
      <c r="BA284" s="49">
        <f>IF(AND(BA$4&gt;=EOMONTH(CloseDate,'Rent Roll'!$O$32-1),BA$4&lt;EOMONTH(CloseDate,'Rent Roll'!$O$32-1+'Rent Roll'!$V$32)),-BA283,0)</f>
        <v>0</v>
      </c>
      <c r="BB284" s="49">
        <f>IF(AND(BB$4&gt;=EOMONTH(CloseDate,'Rent Roll'!$O$32-1),BB$4&lt;EOMONTH(CloseDate,'Rent Roll'!$O$32-1+'Rent Roll'!$V$32)),-BB283,0)</f>
        <v>0</v>
      </c>
      <c r="BC284" s="49">
        <f>IF(AND(BC$4&gt;=EOMONTH(CloseDate,'Rent Roll'!$O$32-1),BC$4&lt;EOMONTH(CloseDate,'Rent Roll'!$O$32-1+'Rent Roll'!$V$32)),-BC283,0)</f>
        <v>0</v>
      </c>
      <c r="BD284" s="49">
        <f>IF(AND(BD$4&gt;=EOMONTH(CloseDate,'Rent Roll'!$O$32-1),BD$4&lt;EOMONTH(CloseDate,'Rent Roll'!$O$32-1+'Rent Roll'!$V$32)),-BD283,0)</f>
        <v>0</v>
      </c>
      <c r="BE284" s="49">
        <f>IF(AND(BE$4&gt;=EOMONTH(CloseDate,'Rent Roll'!$O$32-1),BE$4&lt;EOMONTH(CloseDate,'Rent Roll'!$O$32-1+'Rent Roll'!$V$32)),-BE283,0)</f>
        <v>0</v>
      </c>
      <c r="BF284" s="49">
        <f>IF(AND(BF$4&gt;=EOMONTH(CloseDate,'Rent Roll'!$O$32-1),BF$4&lt;EOMONTH(CloseDate,'Rent Roll'!$O$32-1+'Rent Roll'!$V$32)),-BF283,0)</f>
        <v>0</v>
      </c>
      <c r="BG284" s="49">
        <f>IF(AND(BG$4&gt;=EOMONTH(CloseDate,'Rent Roll'!$O$32-1),BG$4&lt;EOMONTH(CloseDate,'Rent Roll'!$O$32-1+'Rent Roll'!$V$32)),-BG283,0)</f>
        <v>0</v>
      </c>
      <c r="BH284" s="49">
        <f>IF(AND(BH$4&gt;=EOMONTH(CloseDate,'Rent Roll'!$O$32-1),BH$4&lt;EOMONTH(CloseDate,'Rent Roll'!$O$32-1+'Rent Roll'!$V$32)),-BH283,0)</f>
        <v>0</v>
      </c>
      <c r="BI284" s="49">
        <f>IF(AND(BI$4&gt;=EOMONTH(CloseDate,'Rent Roll'!$O$32-1),BI$4&lt;EOMONTH(CloseDate,'Rent Roll'!$O$32-1+'Rent Roll'!$V$32)),-BI283,0)</f>
        <v>0</v>
      </c>
      <c r="BJ284" s="49">
        <f>IF(AND(BJ$4&gt;=EOMONTH(CloseDate,'Rent Roll'!$O$32-1),BJ$4&lt;EOMONTH(CloseDate,'Rent Roll'!$O$32-1+'Rent Roll'!$V$32)),-BJ283,0)</f>
        <v>0</v>
      </c>
      <c r="BK284" s="49">
        <f>IF(AND(BK$4&gt;=EOMONTH(CloseDate,'Rent Roll'!$O$32-1),BK$4&lt;EOMONTH(CloseDate,'Rent Roll'!$O$32-1+'Rent Roll'!$V$32)),-BK283,0)</f>
        <v>0</v>
      </c>
      <c r="BL284" s="49">
        <f>IF(AND(BL$4&gt;=EOMONTH(CloseDate,'Rent Roll'!$O$32-1),BL$4&lt;EOMONTH(CloseDate,'Rent Roll'!$O$32-1+'Rent Roll'!$V$32)),-BL283,0)</f>
        <v>0</v>
      </c>
      <c r="BM284" s="49">
        <f>IF(AND(BM$4&gt;=EOMONTH(CloseDate,'Rent Roll'!$O$32-1),BM$4&lt;EOMONTH(CloseDate,'Rent Roll'!$O$32-1+'Rent Roll'!$V$32)),-BM283,0)</f>
        <v>0</v>
      </c>
      <c r="BN284" s="49">
        <f>IF(AND(BN$4&gt;=EOMONTH(CloseDate,'Rent Roll'!$O$32-1),BN$4&lt;EOMONTH(CloseDate,'Rent Roll'!$O$32-1+'Rent Roll'!$V$32)),-BN283,0)</f>
        <v>0</v>
      </c>
      <c r="BO284" s="49">
        <f>IF(AND(BO$4&gt;=EOMONTH(CloseDate,'Rent Roll'!$O$32-1),BO$4&lt;EOMONTH(CloseDate,'Rent Roll'!$O$32-1+'Rent Roll'!$V$32)),-BO283,0)</f>
        <v>0</v>
      </c>
      <c r="BP284" s="49">
        <f>IF(AND(BP$4&gt;=EOMONTH(CloseDate,'Rent Roll'!$O$32-1),BP$4&lt;EOMONTH(CloseDate,'Rent Roll'!$O$32-1+'Rent Roll'!$V$32)),-BP283,0)</f>
        <v>0</v>
      </c>
      <c r="BQ284" s="49">
        <f>IF(AND(BQ$4&gt;=EOMONTH(CloseDate,'Rent Roll'!$O$32-1),BQ$4&lt;EOMONTH(CloseDate,'Rent Roll'!$O$32-1+'Rent Roll'!$V$32)),-BQ283,0)</f>
        <v>0</v>
      </c>
      <c r="BR284" s="49">
        <f>IF(AND(BR$4&gt;=EOMONTH(CloseDate,'Rent Roll'!$O$32-1),BR$4&lt;EOMONTH(CloseDate,'Rent Roll'!$O$32-1+'Rent Roll'!$V$32)),-BR283,0)</f>
        <v>0</v>
      </c>
      <c r="BS284" s="49">
        <f>IF(AND(BS$4&gt;=EOMONTH(CloseDate,'Rent Roll'!$O$32-1),BS$4&lt;EOMONTH(CloseDate,'Rent Roll'!$O$32-1+'Rent Roll'!$V$32)),-BS283,0)</f>
        <v>0</v>
      </c>
      <c r="BT284" s="49">
        <f>IF(AND(BT$4&gt;=EOMONTH(CloseDate,'Rent Roll'!$O$32-1),BT$4&lt;EOMONTH(CloseDate,'Rent Roll'!$O$32-1+'Rent Roll'!$V$32)),-BT283,0)</f>
        <v>0</v>
      </c>
      <c r="BU284" s="49">
        <f>IF(AND(BU$4&gt;=EOMONTH(CloseDate,'Rent Roll'!$O$32-1),BU$4&lt;EOMONTH(CloseDate,'Rent Roll'!$O$32-1+'Rent Roll'!$V$32)),-BU283,0)</f>
        <v>0</v>
      </c>
      <c r="BV284" s="49">
        <f>IF(AND(BV$4&gt;=EOMONTH(CloseDate,'Rent Roll'!$O$32-1),BV$4&lt;EOMONTH(CloseDate,'Rent Roll'!$O$32-1+'Rent Roll'!$V$32)),-BV283,0)</f>
        <v>0</v>
      </c>
      <c r="BW284" s="49">
        <f>IF(AND(BW$4&gt;=EOMONTH(CloseDate,'Rent Roll'!$O$32-1),BW$4&lt;EOMONTH(CloseDate,'Rent Roll'!$O$32-1+'Rent Roll'!$V$32)),-BW283,0)</f>
        <v>0</v>
      </c>
      <c r="BX284" s="49">
        <f>IF(AND(BX$4&gt;=EOMONTH(CloseDate,'Rent Roll'!$O$32-1),BX$4&lt;EOMONTH(CloseDate,'Rent Roll'!$O$32-1+'Rent Roll'!$V$32)),-BX283,0)</f>
        <v>0</v>
      </c>
    </row>
    <row r="285" spans="1:76" outlineLevel="1">
      <c r="B285" t="s">
        <v>84</v>
      </c>
      <c r="D285" s="49">
        <f>D281+D283+D284</f>
        <v>0</v>
      </c>
      <c r="E285" s="49">
        <f t="shared" ref="E285:BJ285" si="92">E281+E283+E284</f>
        <v>0</v>
      </c>
      <c r="F285" s="49">
        <f t="shared" si="92"/>
        <v>0</v>
      </c>
      <c r="G285" s="49">
        <f t="shared" si="92"/>
        <v>0</v>
      </c>
      <c r="H285" s="49">
        <f t="shared" si="92"/>
        <v>0</v>
      </c>
      <c r="I285" s="49">
        <f t="shared" si="92"/>
        <v>0</v>
      </c>
      <c r="J285" s="49">
        <f t="shared" si="92"/>
        <v>0</v>
      </c>
      <c r="K285" s="49">
        <f t="shared" si="92"/>
        <v>0</v>
      </c>
      <c r="L285" s="49">
        <f t="shared" si="92"/>
        <v>0</v>
      </c>
      <c r="M285" s="49">
        <f t="shared" si="92"/>
        <v>0</v>
      </c>
      <c r="N285" s="49">
        <f t="shared" si="92"/>
        <v>0</v>
      </c>
      <c r="O285" s="49">
        <f t="shared" si="92"/>
        <v>0</v>
      </c>
      <c r="P285" s="49">
        <f t="shared" si="92"/>
        <v>0</v>
      </c>
      <c r="Q285" s="49">
        <f t="shared" si="92"/>
        <v>19425.319874999994</v>
      </c>
      <c r="R285" s="49">
        <f t="shared" si="92"/>
        <v>19425.319874999994</v>
      </c>
      <c r="S285" s="49">
        <f t="shared" si="92"/>
        <v>19425.319874999994</v>
      </c>
      <c r="T285" s="49">
        <f t="shared" si="92"/>
        <v>19425.319874999994</v>
      </c>
      <c r="U285" s="49">
        <f t="shared" si="92"/>
        <v>19949.803511624992</v>
      </c>
      <c r="V285" s="49">
        <f t="shared" si="92"/>
        <v>19949.803511624992</v>
      </c>
      <c r="W285" s="49">
        <f t="shared" si="92"/>
        <v>19949.803511624992</v>
      </c>
      <c r="X285" s="49">
        <f t="shared" si="92"/>
        <v>19949.803511624992</v>
      </c>
      <c r="Y285" s="49">
        <f t="shared" si="92"/>
        <v>19949.803511624992</v>
      </c>
      <c r="Z285" s="49">
        <f t="shared" si="92"/>
        <v>19949.803511624992</v>
      </c>
      <c r="AA285" s="49">
        <f t="shared" si="92"/>
        <v>19949.803511624992</v>
      </c>
      <c r="AB285" s="49">
        <f t="shared" si="92"/>
        <v>19949.803511624992</v>
      </c>
      <c r="AC285" s="49">
        <f t="shared" si="92"/>
        <v>19949.803511624992</v>
      </c>
      <c r="AD285" s="49">
        <f t="shared" si="92"/>
        <v>19949.803511624992</v>
      </c>
      <c r="AE285" s="49">
        <f t="shared" si="92"/>
        <v>19949.803511624992</v>
      </c>
      <c r="AF285" s="49">
        <f t="shared" si="92"/>
        <v>19949.803511624992</v>
      </c>
      <c r="AG285" s="49">
        <f t="shared" si="92"/>
        <v>20488.448206438869</v>
      </c>
      <c r="AH285" s="49">
        <f t="shared" si="92"/>
        <v>20488.448206438869</v>
      </c>
      <c r="AI285" s="49">
        <f t="shared" si="92"/>
        <v>20488.448206438869</v>
      </c>
      <c r="AJ285" s="49">
        <f t="shared" si="92"/>
        <v>20488.448206438869</v>
      </c>
      <c r="AK285" s="49">
        <f t="shared" si="92"/>
        <v>20488.448206438869</v>
      </c>
      <c r="AL285" s="49">
        <f t="shared" si="92"/>
        <v>20488.448206438869</v>
      </c>
      <c r="AM285" s="49">
        <f t="shared" si="92"/>
        <v>20488.448206438869</v>
      </c>
      <c r="AN285" s="49">
        <f t="shared" si="92"/>
        <v>20488.448206438869</v>
      </c>
      <c r="AO285" s="49">
        <f t="shared" si="92"/>
        <v>20488.448206438869</v>
      </c>
      <c r="AP285" s="49">
        <f t="shared" si="92"/>
        <v>20488.448206438869</v>
      </c>
      <c r="AQ285" s="49">
        <f t="shared" si="92"/>
        <v>20488.448206438869</v>
      </c>
      <c r="AR285" s="49">
        <f t="shared" si="92"/>
        <v>20488.448206438869</v>
      </c>
      <c r="AS285" s="49">
        <f t="shared" si="92"/>
        <v>21041.636308012712</v>
      </c>
      <c r="AT285" s="49">
        <f t="shared" si="92"/>
        <v>21041.636308012712</v>
      </c>
      <c r="AU285" s="49">
        <f t="shared" si="92"/>
        <v>21041.636308012712</v>
      </c>
      <c r="AV285" s="49">
        <f t="shared" si="92"/>
        <v>21041.636308012712</v>
      </c>
      <c r="AW285" s="49">
        <f t="shared" si="92"/>
        <v>21041.636308012712</v>
      </c>
      <c r="AX285" s="49">
        <f t="shared" si="92"/>
        <v>21041.636308012712</v>
      </c>
      <c r="AY285" s="49">
        <f t="shared" si="92"/>
        <v>21041.636308012712</v>
      </c>
      <c r="AZ285" s="49">
        <f t="shared" si="92"/>
        <v>21041.636308012712</v>
      </c>
      <c r="BA285" s="49">
        <f t="shared" si="92"/>
        <v>21041.636308012712</v>
      </c>
      <c r="BB285" s="49">
        <f t="shared" si="92"/>
        <v>21041.636308012712</v>
      </c>
      <c r="BC285" s="49">
        <f t="shared" si="92"/>
        <v>21041.636308012712</v>
      </c>
      <c r="BD285" s="49">
        <f t="shared" si="92"/>
        <v>21041.636308012712</v>
      </c>
      <c r="BE285" s="49">
        <f t="shared" si="92"/>
        <v>21609.760488329055</v>
      </c>
      <c r="BF285" s="49">
        <f t="shared" si="92"/>
        <v>21609.760488329055</v>
      </c>
      <c r="BG285" s="49">
        <f t="shared" si="92"/>
        <v>21609.760488329055</v>
      </c>
      <c r="BH285" s="49">
        <f t="shared" si="92"/>
        <v>21609.760488329055</v>
      </c>
      <c r="BI285" s="49">
        <f t="shared" si="92"/>
        <v>21609.760488329055</v>
      </c>
      <c r="BJ285" s="49">
        <f t="shared" si="92"/>
        <v>21609.760488329055</v>
      </c>
      <c r="BK285" s="49">
        <f t="shared" ref="BK285" si="93">BK281+BK283+BK284</f>
        <v>21609.760488329055</v>
      </c>
      <c r="BL285" s="49">
        <f t="shared" ref="BL285:BX285" si="94">BL281+BL283+BL284</f>
        <v>21609.760488329055</v>
      </c>
      <c r="BM285" s="49">
        <f t="shared" si="94"/>
        <v>21609.760488329055</v>
      </c>
      <c r="BN285" s="49">
        <f t="shared" si="94"/>
        <v>21609.760488329055</v>
      </c>
      <c r="BO285" s="49">
        <f t="shared" si="94"/>
        <v>21609.760488329055</v>
      </c>
      <c r="BP285" s="49">
        <f t="shared" si="94"/>
        <v>21609.760488329055</v>
      </c>
      <c r="BQ285" s="49">
        <f t="shared" si="94"/>
        <v>22193.224021513935</v>
      </c>
      <c r="BR285" s="49">
        <f t="shared" si="94"/>
        <v>22193.224021513935</v>
      </c>
      <c r="BS285" s="49">
        <f t="shared" si="94"/>
        <v>22193.224021513935</v>
      </c>
      <c r="BT285" s="49">
        <f t="shared" si="94"/>
        <v>22193.224021513935</v>
      </c>
      <c r="BU285" s="49">
        <f t="shared" si="94"/>
        <v>22193.224021513935</v>
      </c>
      <c r="BV285" s="49">
        <f t="shared" si="94"/>
        <v>22193.224021513935</v>
      </c>
      <c r="BW285" s="49">
        <f t="shared" si="94"/>
        <v>22193.224021513935</v>
      </c>
      <c r="BX285" s="49">
        <f t="shared" si="94"/>
        <v>22193.224021513935</v>
      </c>
    </row>
    <row r="286" spans="1:76" outlineLevel="1">
      <c r="B286" t="s">
        <v>85</v>
      </c>
      <c r="D286" s="49">
        <f>IF(D282=1,'Rent Roll'!$F$32/BldgSF*ReimbPool/12*D$7,0)</f>
        <v>0</v>
      </c>
      <c r="E286" s="49">
        <f>IF(E282=1,'Rent Roll'!$F$32/BldgSF*ReimbPool/12*E$7,0)</f>
        <v>0</v>
      </c>
      <c r="F286" s="49">
        <f>IF(F282=1,'Rent Roll'!$F$32/BldgSF*ReimbPool/12*F$7,0)</f>
        <v>0</v>
      </c>
      <c r="G286" s="49">
        <f>IF(G282=1,'Rent Roll'!$F$32/BldgSF*ReimbPool/12*G$7,0)</f>
        <v>0</v>
      </c>
      <c r="H286" s="49">
        <f>IF(H282=1,'Rent Roll'!$F$32/BldgSF*ReimbPool/12*H$7,0)</f>
        <v>0</v>
      </c>
      <c r="I286" s="49">
        <f>IF(I282=1,'Rent Roll'!$F$32/BldgSF*ReimbPool/12*I$7,0)</f>
        <v>0</v>
      </c>
      <c r="J286" s="49">
        <f>IF(J282=1,'Rent Roll'!$F$32/BldgSF*ReimbPool/12*J$7,0)</f>
        <v>0</v>
      </c>
      <c r="K286" s="49">
        <f>IF(K282=1,'Rent Roll'!$F$32/BldgSF*ReimbPool/12*K$7,0)</f>
        <v>0</v>
      </c>
      <c r="L286" s="49">
        <f>IF(L282=1,'Rent Roll'!$F$32/BldgSF*ReimbPool/12*L$7,0)</f>
        <v>0</v>
      </c>
      <c r="M286" s="49">
        <f>IF(M282=1,'Rent Roll'!$F$32/BldgSF*ReimbPool/12*M$7,0)</f>
        <v>0</v>
      </c>
      <c r="N286" s="49">
        <f>IF(N282=1,'Rent Roll'!$F$32/BldgSF*ReimbPool/12*N$7,0)</f>
        <v>0</v>
      </c>
      <c r="O286" s="49">
        <f>IF(O282=1,'Rent Roll'!$F$32/BldgSF*ReimbPool/12*O$7,0)</f>
        <v>8243.7289999999994</v>
      </c>
      <c r="P286" s="49">
        <f>IF(P282=1,'Rent Roll'!$F$32/BldgSF*ReimbPool/12*P$7,0)</f>
        <v>8243.7289999999994</v>
      </c>
      <c r="Q286" s="49">
        <f>IF(Q282=1,'Rent Roll'!$F$32/BldgSF*ReimbPool/12*Q$7,0)</f>
        <v>8243.7289999999994</v>
      </c>
      <c r="R286" s="49">
        <f>IF(R282=1,'Rent Roll'!$F$32/BldgSF*ReimbPool/12*R$7,0)</f>
        <v>8243.7289999999994</v>
      </c>
      <c r="S286" s="49">
        <f>IF(S282=1,'Rent Roll'!$F$32/BldgSF*ReimbPool/12*S$7,0)</f>
        <v>8243.7289999999994</v>
      </c>
      <c r="T286" s="49">
        <f>IF(T282=1,'Rent Roll'!$F$32/BldgSF*ReimbPool/12*T$7,0)</f>
        <v>8243.7289999999994</v>
      </c>
      <c r="U286" s="49">
        <f>IF(U282=1,'Rent Roll'!$F$32/BldgSF*ReimbPool/12*U$7,0)</f>
        <v>8466.3096829999977</v>
      </c>
      <c r="V286" s="49">
        <f>IF(V282=1,'Rent Roll'!$F$32/BldgSF*ReimbPool/12*V$7,0)</f>
        <v>8466.3096829999977</v>
      </c>
      <c r="W286" s="49">
        <f>IF(W282=1,'Rent Roll'!$F$32/BldgSF*ReimbPool/12*W$7,0)</f>
        <v>8466.3096829999977</v>
      </c>
      <c r="X286" s="49">
        <f>IF(X282=1,'Rent Roll'!$F$32/BldgSF*ReimbPool/12*X$7,0)</f>
        <v>8466.3096829999977</v>
      </c>
      <c r="Y286" s="49">
        <f>IF(Y282=1,'Rent Roll'!$F$32/BldgSF*ReimbPool/12*Y$7,0)</f>
        <v>8466.3096829999977</v>
      </c>
      <c r="Z286" s="49">
        <f>IF(Z282=1,'Rent Roll'!$F$32/BldgSF*ReimbPool/12*Z$7,0)</f>
        <v>8466.3096829999977</v>
      </c>
      <c r="AA286" s="49">
        <f>IF(AA282=1,'Rent Roll'!$F$32/BldgSF*ReimbPool/12*AA$7,0)</f>
        <v>8466.3096829999977</v>
      </c>
      <c r="AB286" s="49">
        <f>IF(AB282=1,'Rent Roll'!$F$32/BldgSF*ReimbPool/12*AB$7,0)</f>
        <v>8466.3096829999977</v>
      </c>
      <c r="AC286" s="49">
        <f>IF(AC282=1,'Rent Roll'!$F$32/BldgSF*ReimbPool/12*AC$7,0)</f>
        <v>8466.3096829999977</v>
      </c>
      <c r="AD286" s="49">
        <f>IF(AD282=1,'Rent Roll'!$F$32/BldgSF*ReimbPool/12*AD$7,0)</f>
        <v>8466.3096829999977</v>
      </c>
      <c r="AE286" s="49">
        <f>IF(AE282=1,'Rent Roll'!$F$32/BldgSF*ReimbPool/12*AE$7,0)</f>
        <v>8466.3096829999977</v>
      </c>
      <c r="AF286" s="49">
        <f>IF(AF282=1,'Rent Roll'!$F$32/BldgSF*ReimbPool/12*AF$7,0)</f>
        <v>8466.3096829999977</v>
      </c>
      <c r="AG286" s="49">
        <f>IF(AG282=1,'Rent Roll'!$F$32/BldgSF*ReimbPool/12*AG$7,0)</f>
        <v>8694.9000444409976</v>
      </c>
      <c r="AH286" s="49">
        <f>IF(AH282=1,'Rent Roll'!$F$32/BldgSF*ReimbPool/12*AH$7,0)</f>
        <v>8694.9000444409976</v>
      </c>
      <c r="AI286" s="49">
        <f>IF(AI282=1,'Rent Roll'!$F$32/BldgSF*ReimbPool/12*AI$7,0)</f>
        <v>8694.9000444409976</v>
      </c>
      <c r="AJ286" s="49">
        <f>IF(AJ282=1,'Rent Roll'!$F$32/BldgSF*ReimbPool/12*AJ$7,0)</f>
        <v>8694.9000444409976</v>
      </c>
      <c r="AK286" s="49">
        <f>IF(AK282=1,'Rent Roll'!$F$32/BldgSF*ReimbPool/12*AK$7,0)</f>
        <v>8694.9000444409976</v>
      </c>
      <c r="AL286" s="49">
        <f>IF(AL282=1,'Rent Roll'!$F$32/BldgSF*ReimbPool/12*AL$7,0)</f>
        <v>8694.9000444409976</v>
      </c>
      <c r="AM286" s="49">
        <f>IF(AM282=1,'Rent Roll'!$F$32/BldgSF*ReimbPool/12*AM$7,0)</f>
        <v>8694.9000444409976</v>
      </c>
      <c r="AN286" s="49">
        <f>IF(AN282=1,'Rent Roll'!$F$32/BldgSF*ReimbPool/12*AN$7,0)</f>
        <v>8694.9000444409976</v>
      </c>
      <c r="AO286" s="49">
        <f>IF(AO282=1,'Rent Roll'!$F$32/BldgSF*ReimbPool/12*AO$7,0)</f>
        <v>8694.9000444409976</v>
      </c>
      <c r="AP286" s="49">
        <f>IF(AP282=1,'Rent Roll'!$F$32/BldgSF*ReimbPool/12*AP$7,0)</f>
        <v>8694.9000444409976</v>
      </c>
      <c r="AQ286" s="49">
        <f>IF(AQ282=1,'Rent Roll'!$F$32/BldgSF*ReimbPool/12*AQ$7,0)</f>
        <v>8694.9000444409976</v>
      </c>
      <c r="AR286" s="49">
        <f>IF(AR282=1,'Rent Roll'!$F$32/BldgSF*ReimbPool/12*AR$7,0)</f>
        <v>8694.9000444409976</v>
      </c>
      <c r="AS286" s="49">
        <f>IF(AS282=1,'Rent Roll'!$F$32/BldgSF*ReimbPool/12*AS$7,0)</f>
        <v>8929.6623456409034</v>
      </c>
      <c r="AT286" s="49">
        <f>IF(AT282=1,'Rent Roll'!$F$32/BldgSF*ReimbPool/12*AT$7,0)</f>
        <v>8929.6623456409034</v>
      </c>
      <c r="AU286" s="49">
        <f>IF(AU282=1,'Rent Roll'!$F$32/BldgSF*ReimbPool/12*AU$7,0)</f>
        <v>8929.6623456409034</v>
      </c>
      <c r="AV286" s="49">
        <f>IF(AV282=1,'Rent Roll'!$F$32/BldgSF*ReimbPool/12*AV$7,0)</f>
        <v>8929.6623456409034</v>
      </c>
      <c r="AW286" s="49">
        <f>IF(AW282=1,'Rent Roll'!$F$32/BldgSF*ReimbPool/12*AW$7,0)</f>
        <v>8929.6623456409034</v>
      </c>
      <c r="AX286" s="49">
        <f>IF(AX282=1,'Rent Roll'!$F$32/BldgSF*ReimbPool/12*AX$7,0)</f>
        <v>8929.6623456409034</v>
      </c>
      <c r="AY286" s="49">
        <f>IF(AY282=1,'Rent Roll'!$F$32/BldgSF*ReimbPool/12*AY$7,0)</f>
        <v>8929.6623456409034</v>
      </c>
      <c r="AZ286" s="49">
        <f>IF(AZ282=1,'Rent Roll'!$F$32/BldgSF*ReimbPool/12*AZ$7,0)</f>
        <v>8929.6623456409034</v>
      </c>
      <c r="BA286" s="49">
        <f>IF(BA282=1,'Rent Roll'!$F$32/BldgSF*ReimbPool/12*BA$7,0)</f>
        <v>8929.6623456409034</v>
      </c>
      <c r="BB286" s="49">
        <f>IF(BB282=1,'Rent Roll'!$F$32/BldgSF*ReimbPool/12*BB$7,0)</f>
        <v>8929.6623456409034</v>
      </c>
      <c r="BC286" s="49">
        <f>IF(BC282=1,'Rent Roll'!$F$32/BldgSF*ReimbPool/12*BC$7,0)</f>
        <v>8929.6623456409034</v>
      </c>
      <c r="BD286" s="49">
        <f>IF(BD282=1,'Rent Roll'!$F$32/BldgSF*ReimbPool/12*BD$7,0)</f>
        <v>8929.6623456409034</v>
      </c>
      <c r="BE286" s="49">
        <f>IF(BE282=1,'Rent Roll'!$F$32/BldgSF*ReimbPool/12*BE$7,0)</f>
        <v>9170.7632289732082</v>
      </c>
      <c r="BF286" s="49">
        <f>IF(BF282=1,'Rent Roll'!$F$32/BldgSF*ReimbPool/12*BF$7,0)</f>
        <v>9170.7632289732082</v>
      </c>
      <c r="BG286" s="49">
        <f>IF(BG282=1,'Rent Roll'!$F$32/BldgSF*ReimbPool/12*BG$7,0)</f>
        <v>9170.7632289732082</v>
      </c>
      <c r="BH286" s="49">
        <f>IF(BH282=1,'Rent Roll'!$F$32/BldgSF*ReimbPool/12*BH$7,0)</f>
        <v>9170.7632289732082</v>
      </c>
      <c r="BI286" s="49">
        <f>IF(BI282=1,'Rent Roll'!$F$32/BldgSF*ReimbPool/12*BI$7,0)</f>
        <v>9170.7632289732082</v>
      </c>
      <c r="BJ286" s="49">
        <f>IF(BJ282=1,'Rent Roll'!$F$32/BldgSF*ReimbPool/12*BJ$7,0)</f>
        <v>9170.7632289732082</v>
      </c>
      <c r="BK286" s="49">
        <f>IF(BK282=1,'Rent Roll'!$F$32/BldgSF*ReimbPool/12*BK$7,0)</f>
        <v>9170.7632289732082</v>
      </c>
      <c r="BL286" s="49">
        <f>IF(BL282=1,'Rent Roll'!$F$32/BldgSF*ReimbPool/12*BL$7,0)</f>
        <v>9170.7632289732082</v>
      </c>
      <c r="BM286" s="49">
        <f>IF(BM282=1,'Rent Roll'!$F$32/BldgSF*ReimbPool/12*BM$7,0)</f>
        <v>9170.7632289732082</v>
      </c>
      <c r="BN286" s="49">
        <f>IF(BN282=1,'Rent Roll'!$F$32/BldgSF*ReimbPool/12*BN$7,0)</f>
        <v>9170.7632289732082</v>
      </c>
      <c r="BO286" s="49">
        <f>IF(BO282=1,'Rent Roll'!$F$32/BldgSF*ReimbPool/12*BO$7,0)</f>
        <v>9170.7632289732082</v>
      </c>
      <c r="BP286" s="49">
        <f>IF(BP282=1,'Rent Roll'!$F$32/BldgSF*ReimbPool/12*BP$7,0)</f>
        <v>9170.7632289732082</v>
      </c>
      <c r="BQ286" s="49">
        <f>IF(BQ282=1,'Rent Roll'!$F$32/BldgSF*ReimbPool/12*BQ$7,0)</f>
        <v>9418.3738361554824</v>
      </c>
      <c r="BR286" s="49">
        <f>IF(BR282=1,'Rent Roll'!$F$32/BldgSF*ReimbPool/12*BR$7,0)</f>
        <v>9418.3738361554824</v>
      </c>
      <c r="BS286" s="49">
        <f>IF(BS282=1,'Rent Roll'!$F$32/BldgSF*ReimbPool/12*BS$7,0)</f>
        <v>9418.3738361554824</v>
      </c>
      <c r="BT286" s="49">
        <f>IF(BT282=1,'Rent Roll'!$F$32/BldgSF*ReimbPool/12*BT$7,0)</f>
        <v>9418.3738361554824</v>
      </c>
      <c r="BU286" s="49">
        <f>IF(BU282=1,'Rent Roll'!$F$32/BldgSF*ReimbPool/12*BU$7,0)</f>
        <v>9418.3738361554824</v>
      </c>
      <c r="BV286" s="49">
        <f>IF(BV282=1,'Rent Roll'!$F$32/BldgSF*ReimbPool/12*BV$7,0)</f>
        <v>9418.3738361554824</v>
      </c>
      <c r="BW286" s="49">
        <f>IF(BW282=1,'Rent Roll'!$F$32/BldgSF*ReimbPool/12*BW$7,0)</f>
        <v>9418.3738361554824</v>
      </c>
      <c r="BX286" s="49">
        <f>IF(BX282=1,'Rent Roll'!$F$32/BldgSF*ReimbPool/12*BX$7,0)</f>
        <v>9418.3738361554824</v>
      </c>
    </row>
    <row r="287" spans="1:76" outlineLevel="1">
      <c r="B287" t="s">
        <v>86</v>
      </c>
      <c r="D287" s="49">
        <f>IF(D$4=EOMONTH(CloseDate,'Rent Roll'!$O$32-1),-'Rent Roll'!$F$32*'Rent Roll'!$T$32,0)</f>
        <v>0</v>
      </c>
      <c r="E287" s="49">
        <f>IF(E$4=EOMONTH(CloseDate,'Rent Roll'!$O$32-1),-'Rent Roll'!$F$32*'Rent Roll'!$T$32,0)</f>
        <v>0</v>
      </c>
      <c r="F287" s="49">
        <f>IF(F$4=EOMONTH(CloseDate,'Rent Roll'!$O$32-1),-'Rent Roll'!$F$32*'Rent Roll'!$T$32,0)</f>
        <v>0</v>
      </c>
      <c r="G287" s="49">
        <f>IF(G$4=EOMONTH(CloseDate,'Rent Roll'!$O$32-1),-'Rent Roll'!$F$32*'Rent Roll'!$T$32,0)</f>
        <v>0</v>
      </c>
      <c r="H287" s="49">
        <f>IF(H$4=EOMONTH(CloseDate,'Rent Roll'!$O$32-1),-'Rent Roll'!$F$32*'Rent Roll'!$T$32,0)</f>
        <v>0</v>
      </c>
      <c r="I287" s="49">
        <f>IF(I$4=EOMONTH(CloseDate,'Rent Roll'!$O$32-1),-'Rent Roll'!$F$32*'Rent Roll'!$T$32,0)</f>
        <v>0</v>
      </c>
      <c r="J287" s="49">
        <f>IF(J$4=EOMONTH(CloseDate,'Rent Roll'!$O$32-1),-'Rent Roll'!$F$32*'Rent Roll'!$T$32,0)</f>
        <v>0</v>
      </c>
      <c r="K287" s="49">
        <f>IF(K$4=EOMONTH(CloseDate,'Rent Roll'!$O$32-1),-'Rent Roll'!$F$32*'Rent Roll'!$T$32,0)</f>
        <v>0</v>
      </c>
      <c r="L287" s="49">
        <f>IF(L$4=EOMONTH(CloseDate,'Rent Roll'!$O$32-1),-'Rent Roll'!$F$32*'Rent Roll'!$T$32,0)</f>
        <v>0</v>
      </c>
      <c r="M287" s="49">
        <f>IF(M$4=EOMONTH(CloseDate,'Rent Roll'!$O$32-1),-'Rent Roll'!$F$32*'Rent Roll'!$T$32,0)</f>
        <v>0</v>
      </c>
      <c r="N287" s="49">
        <f>IF(N$4=EOMONTH(CloseDate,'Rent Roll'!$O$32-1),-'Rent Roll'!$F$32*'Rent Roll'!$T$32,0)</f>
        <v>0</v>
      </c>
      <c r="O287" s="49">
        <f>IF(O$4=EOMONTH(CloseDate,'Rent Roll'!$O$32-1),-'Rent Roll'!$F$32*'Rent Roll'!$T$32,0)</f>
        <v>-331200</v>
      </c>
      <c r="P287" s="49">
        <f>IF(P$4=EOMONTH(CloseDate,'Rent Roll'!$O$32-1),-'Rent Roll'!$F$32*'Rent Roll'!$T$32,0)</f>
        <v>0</v>
      </c>
      <c r="Q287" s="49">
        <f>IF(Q$4=EOMONTH(CloseDate,'Rent Roll'!$O$32-1),-'Rent Roll'!$F$32*'Rent Roll'!$T$32,0)</f>
        <v>0</v>
      </c>
      <c r="R287" s="49">
        <f>IF(R$4=EOMONTH(CloseDate,'Rent Roll'!$O$32-1),-'Rent Roll'!$F$32*'Rent Roll'!$T$32,0)</f>
        <v>0</v>
      </c>
      <c r="S287" s="49">
        <f>IF(S$4=EOMONTH(CloseDate,'Rent Roll'!$O$32-1),-'Rent Roll'!$F$32*'Rent Roll'!$T$32,0)</f>
        <v>0</v>
      </c>
      <c r="T287" s="49">
        <f>IF(T$4=EOMONTH(CloseDate,'Rent Roll'!$O$32-1),-'Rent Roll'!$F$32*'Rent Roll'!$T$32,0)</f>
        <v>0</v>
      </c>
      <c r="U287" s="49">
        <f>IF(U$4=EOMONTH(CloseDate,'Rent Roll'!$O$32-1),-'Rent Roll'!$F$32*'Rent Roll'!$T$32,0)</f>
        <v>0</v>
      </c>
      <c r="V287" s="49">
        <f>IF(V$4=EOMONTH(CloseDate,'Rent Roll'!$O$32-1),-'Rent Roll'!$F$32*'Rent Roll'!$T$32,0)</f>
        <v>0</v>
      </c>
      <c r="W287" s="49">
        <f>IF(W$4=EOMONTH(CloseDate,'Rent Roll'!$O$32-1),-'Rent Roll'!$F$32*'Rent Roll'!$T$32,0)</f>
        <v>0</v>
      </c>
      <c r="X287" s="49">
        <f>IF(X$4=EOMONTH(CloseDate,'Rent Roll'!$O$32-1),-'Rent Roll'!$F$32*'Rent Roll'!$T$32,0)</f>
        <v>0</v>
      </c>
      <c r="Y287" s="49">
        <f>IF(Y$4=EOMONTH(CloseDate,'Rent Roll'!$O$32-1),-'Rent Roll'!$F$32*'Rent Roll'!$T$32,0)</f>
        <v>0</v>
      </c>
      <c r="Z287" s="49">
        <f>IF(Z$4=EOMONTH(CloseDate,'Rent Roll'!$O$32-1),-'Rent Roll'!$F$32*'Rent Roll'!$T$32,0)</f>
        <v>0</v>
      </c>
      <c r="AA287" s="49">
        <f>IF(AA$4=EOMONTH(CloseDate,'Rent Roll'!$O$32-1),-'Rent Roll'!$F$32*'Rent Roll'!$T$32,0)</f>
        <v>0</v>
      </c>
      <c r="AB287" s="49">
        <f>IF(AB$4=EOMONTH(CloseDate,'Rent Roll'!$O$32-1),-'Rent Roll'!$F$32*'Rent Roll'!$T$32,0)</f>
        <v>0</v>
      </c>
      <c r="AC287" s="49">
        <f>IF(AC$4=EOMONTH(CloseDate,'Rent Roll'!$O$32-1),-'Rent Roll'!$F$32*'Rent Roll'!$T$32,0)</f>
        <v>0</v>
      </c>
      <c r="AD287" s="49">
        <f>IF(AD$4=EOMONTH(CloseDate,'Rent Roll'!$O$32-1),-'Rent Roll'!$F$32*'Rent Roll'!$T$32,0)</f>
        <v>0</v>
      </c>
      <c r="AE287" s="49">
        <f>IF(AE$4=EOMONTH(CloseDate,'Rent Roll'!$O$32-1),-'Rent Roll'!$F$32*'Rent Roll'!$T$32,0)</f>
        <v>0</v>
      </c>
      <c r="AF287" s="49">
        <f>IF(AF$4=EOMONTH(CloseDate,'Rent Roll'!$O$32-1),-'Rent Roll'!$F$32*'Rent Roll'!$T$32,0)</f>
        <v>0</v>
      </c>
      <c r="AG287" s="49">
        <f>IF(AG$4=EOMONTH(CloseDate,'Rent Roll'!$O$32-1),-'Rent Roll'!$F$32*'Rent Roll'!$T$32,0)</f>
        <v>0</v>
      </c>
      <c r="AH287" s="49">
        <f>IF(AH$4=EOMONTH(CloseDate,'Rent Roll'!$O$32-1),-'Rent Roll'!$F$32*'Rent Roll'!$T$32,0)</f>
        <v>0</v>
      </c>
      <c r="AI287" s="49">
        <f>IF(AI$4=EOMONTH(CloseDate,'Rent Roll'!$O$32-1),-'Rent Roll'!$F$32*'Rent Roll'!$T$32,0)</f>
        <v>0</v>
      </c>
      <c r="AJ287" s="49">
        <f>IF(AJ$4=EOMONTH(CloseDate,'Rent Roll'!$O$32-1),-'Rent Roll'!$F$32*'Rent Roll'!$T$32,0)</f>
        <v>0</v>
      </c>
      <c r="AK287" s="49">
        <f>IF(AK$4=EOMONTH(CloseDate,'Rent Roll'!$O$32-1),-'Rent Roll'!$F$32*'Rent Roll'!$T$32,0)</f>
        <v>0</v>
      </c>
      <c r="AL287" s="49">
        <f>IF(AL$4=EOMONTH(CloseDate,'Rent Roll'!$O$32-1),-'Rent Roll'!$F$32*'Rent Roll'!$T$32,0)</f>
        <v>0</v>
      </c>
      <c r="AM287" s="49">
        <f>IF(AM$4=EOMONTH(CloseDate,'Rent Roll'!$O$32-1),-'Rent Roll'!$F$32*'Rent Roll'!$T$32,0)</f>
        <v>0</v>
      </c>
      <c r="AN287" s="49">
        <f>IF(AN$4=EOMONTH(CloseDate,'Rent Roll'!$O$32-1),-'Rent Roll'!$F$32*'Rent Roll'!$T$32,0)</f>
        <v>0</v>
      </c>
      <c r="AO287" s="49">
        <f>IF(AO$4=EOMONTH(CloseDate,'Rent Roll'!$O$32-1),-'Rent Roll'!$F$32*'Rent Roll'!$T$32,0)</f>
        <v>0</v>
      </c>
      <c r="AP287" s="49">
        <f>IF(AP$4=EOMONTH(CloseDate,'Rent Roll'!$O$32-1),-'Rent Roll'!$F$32*'Rent Roll'!$T$32,0)</f>
        <v>0</v>
      </c>
      <c r="AQ287" s="49">
        <f>IF(AQ$4=EOMONTH(CloseDate,'Rent Roll'!$O$32-1),-'Rent Roll'!$F$32*'Rent Roll'!$T$32,0)</f>
        <v>0</v>
      </c>
      <c r="AR287" s="49">
        <f>IF(AR$4=EOMONTH(CloseDate,'Rent Roll'!$O$32-1),-'Rent Roll'!$F$32*'Rent Roll'!$T$32,0)</f>
        <v>0</v>
      </c>
      <c r="AS287" s="49">
        <f>IF(AS$4=EOMONTH(CloseDate,'Rent Roll'!$O$32-1),-'Rent Roll'!$F$32*'Rent Roll'!$T$32,0)</f>
        <v>0</v>
      </c>
      <c r="AT287" s="49">
        <f>IF(AT$4=EOMONTH(CloseDate,'Rent Roll'!$O$32-1),-'Rent Roll'!$F$32*'Rent Roll'!$T$32,0)</f>
        <v>0</v>
      </c>
      <c r="AU287" s="49">
        <f>IF(AU$4=EOMONTH(CloseDate,'Rent Roll'!$O$32-1),-'Rent Roll'!$F$32*'Rent Roll'!$T$32,0)</f>
        <v>0</v>
      </c>
      <c r="AV287" s="49">
        <f>IF(AV$4=EOMONTH(CloseDate,'Rent Roll'!$O$32-1),-'Rent Roll'!$F$32*'Rent Roll'!$T$32,0)</f>
        <v>0</v>
      </c>
      <c r="AW287" s="49">
        <f>IF(AW$4=EOMONTH(CloseDate,'Rent Roll'!$O$32-1),-'Rent Roll'!$F$32*'Rent Roll'!$T$32,0)</f>
        <v>0</v>
      </c>
      <c r="AX287" s="49">
        <f>IF(AX$4=EOMONTH(CloseDate,'Rent Roll'!$O$32-1),-'Rent Roll'!$F$32*'Rent Roll'!$T$32,0)</f>
        <v>0</v>
      </c>
      <c r="AY287" s="49">
        <f>IF(AY$4=EOMONTH(CloseDate,'Rent Roll'!$O$32-1),-'Rent Roll'!$F$32*'Rent Roll'!$T$32,0)</f>
        <v>0</v>
      </c>
      <c r="AZ287" s="49">
        <f>IF(AZ$4=EOMONTH(CloseDate,'Rent Roll'!$O$32-1),-'Rent Roll'!$F$32*'Rent Roll'!$T$32,0)</f>
        <v>0</v>
      </c>
      <c r="BA287" s="49">
        <f>IF(BA$4=EOMONTH(CloseDate,'Rent Roll'!$O$32-1),-'Rent Roll'!$F$32*'Rent Roll'!$T$32,0)</f>
        <v>0</v>
      </c>
      <c r="BB287" s="49">
        <f>IF(BB$4=EOMONTH(CloseDate,'Rent Roll'!$O$32-1),-'Rent Roll'!$F$32*'Rent Roll'!$T$32,0)</f>
        <v>0</v>
      </c>
      <c r="BC287" s="49">
        <f>IF(BC$4=EOMONTH(CloseDate,'Rent Roll'!$O$32-1),-'Rent Roll'!$F$32*'Rent Roll'!$T$32,0)</f>
        <v>0</v>
      </c>
      <c r="BD287" s="49">
        <f>IF(BD$4=EOMONTH(CloseDate,'Rent Roll'!$O$32-1),-'Rent Roll'!$F$32*'Rent Roll'!$T$32,0)</f>
        <v>0</v>
      </c>
      <c r="BE287" s="49">
        <f>IF(BE$4=EOMONTH(CloseDate,'Rent Roll'!$O$32-1),-'Rent Roll'!$F$32*'Rent Roll'!$T$32,0)</f>
        <v>0</v>
      </c>
      <c r="BF287" s="49">
        <f>IF(BF$4=EOMONTH(CloseDate,'Rent Roll'!$O$32-1),-'Rent Roll'!$F$32*'Rent Roll'!$T$32,0)</f>
        <v>0</v>
      </c>
      <c r="BG287" s="49">
        <f>IF(BG$4=EOMONTH(CloseDate,'Rent Roll'!$O$32-1),-'Rent Roll'!$F$32*'Rent Roll'!$T$32,0)</f>
        <v>0</v>
      </c>
      <c r="BH287" s="49">
        <f>IF(BH$4=EOMONTH(CloseDate,'Rent Roll'!$O$32-1),-'Rent Roll'!$F$32*'Rent Roll'!$T$32,0)</f>
        <v>0</v>
      </c>
      <c r="BI287" s="49">
        <f>IF(BI$4=EOMONTH(CloseDate,'Rent Roll'!$O$32-1),-'Rent Roll'!$F$32*'Rent Roll'!$T$32,0)</f>
        <v>0</v>
      </c>
      <c r="BJ287" s="49">
        <f>IF(BJ$4=EOMONTH(CloseDate,'Rent Roll'!$O$32-1),-'Rent Roll'!$F$32*'Rent Roll'!$T$32,0)</f>
        <v>0</v>
      </c>
      <c r="BK287" s="49">
        <f>IF(BK$4=EOMONTH(CloseDate,'Rent Roll'!$O$32-1),-'Rent Roll'!$F$32*'Rent Roll'!$T$32,0)</f>
        <v>0</v>
      </c>
      <c r="BL287" s="49">
        <f>IF(BL$4=EOMONTH(CloseDate,'Rent Roll'!$O$32-1),-'Rent Roll'!$F$32*'Rent Roll'!$T$32,0)</f>
        <v>0</v>
      </c>
      <c r="BM287" s="49">
        <f>IF(BM$4=EOMONTH(CloseDate,'Rent Roll'!$O$32-1),-'Rent Roll'!$F$32*'Rent Roll'!$T$32,0)</f>
        <v>0</v>
      </c>
      <c r="BN287" s="49">
        <f>IF(BN$4=EOMONTH(CloseDate,'Rent Roll'!$O$32-1),-'Rent Roll'!$F$32*'Rent Roll'!$T$32,0)</f>
        <v>0</v>
      </c>
      <c r="BO287" s="49">
        <f>IF(BO$4=EOMONTH(CloseDate,'Rent Roll'!$O$32-1),-'Rent Roll'!$F$32*'Rent Roll'!$T$32,0)</f>
        <v>0</v>
      </c>
      <c r="BP287" s="49">
        <f>IF(BP$4=EOMONTH(CloseDate,'Rent Roll'!$O$32-1),-'Rent Roll'!$F$32*'Rent Roll'!$T$32,0)</f>
        <v>0</v>
      </c>
      <c r="BQ287" s="49">
        <f>IF(BQ$4=EOMONTH(CloseDate,'Rent Roll'!$O$32-1),-'Rent Roll'!$F$32*'Rent Roll'!$T$32,0)</f>
        <v>0</v>
      </c>
      <c r="BR287" s="49">
        <f>IF(BR$4=EOMONTH(CloseDate,'Rent Roll'!$O$32-1),-'Rent Roll'!$F$32*'Rent Roll'!$T$32,0)</f>
        <v>0</v>
      </c>
      <c r="BS287" s="49">
        <f>IF(BS$4=EOMONTH(CloseDate,'Rent Roll'!$O$32-1),-'Rent Roll'!$F$32*'Rent Roll'!$T$32,0)</f>
        <v>0</v>
      </c>
      <c r="BT287" s="49">
        <f>IF(BT$4=EOMONTH(CloseDate,'Rent Roll'!$O$32-1),-'Rent Roll'!$F$32*'Rent Roll'!$T$32,0)</f>
        <v>0</v>
      </c>
      <c r="BU287" s="49">
        <f>IF(BU$4=EOMONTH(CloseDate,'Rent Roll'!$O$32-1),-'Rent Roll'!$F$32*'Rent Roll'!$T$32,0)</f>
        <v>0</v>
      </c>
      <c r="BV287" s="49">
        <f>IF(BV$4=EOMONTH(CloseDate,'Rent Roll'!$O$32-1),-'Rent Roll'!$F$32*'Rent Roll'!$T$32,0)</f>
        <v>0</v>
      </c>
      <c r="BW287" s="49">
        <f>IF(BW$4=EOMONTH(CloseDate,'Rent Roll'!$O$32-1),-'Rent Roll'!$F$32*'Rent Roll'!$T$32,0)</f>
        <v>0</v>
      </c>
      <c r="BX287" s="49">
        <f>IF(BX$4=EOMONTH(CloseDate,'Rent Roll'!$O$32-1),-'Rent Roll'!$F$32*'Rent Roll'!$T$32,0)</f>
        <v>0</v>
      </c>
    </row>
    <row r="288" spans="1:76" outlineLevel="1">
      <c r="B288" t="s">
        <v>87</v>
      </c>
      <c r="D288" s="49">
        <f>IF(D$4=EOMONTH(CloseDate,'Rent Roll'!$O$32-1),-'Rent Roll'!$U$32*'Rent Roll'!$F$32*'Rent Roll'!$X$32,0)</f>
        <v>0</v>
      </c>
      <c r="E288" s="49">
        <f>IF(E$4=EOMONTH(CloseDate,'Rent Roll'!$O$32-1),-'Rent Roll'!$U$32*'Rent Roll'!$F$32*'Rent Roll'!$X$32,0)</f>
        <v>0</v>
      </c>
      <c r="F288" s="49">
        <f>IF(F$4=EOMONTH(CloseDate,'Rent Roll'!$O$32-1),-'Rent Roll'!$U$32*'Rent Roll'!$F$32*'Rent Roll'!$X$32,0)</f>
        <v>0</v>
      </c>
      <c r="G288" s="49">
        <f>IF(G$4=EOMONTH(CloseDate,'Rent Roll'!$O$32-1),-'Rent Roll'!$U$32*'Rent Roll'!$F$32*'Rent Roll'!$X$32,0)</f>
        <v>0</v>
      </c>
      <c r="H288" s="49">
        <f>IF(H$4=EOMONTH(CloseDate,'Rent Roll'!$O$32-1),-'Rent Roll'!$U$32*'Rent Roll'!$F$32*'Rent Roll'!$X$32,0)</f>
        <v>0</v>
      </c>
      <c r="I288" s="49">
        <f>IF(I$4=EOMONTH(CloseDate,'Rent Roll'!$O$32-1),-'Rent Roll'!$U$32*'Rent Roll'!$F$32*'Rent Roll'!$X$32,0)</f>
        <v>0</v>
      </c>
      <c r="J288" s="49">
        <f>IF(J$4=EOMONTH(CloseDate,'Rent Roll'!$O$32-1),-'Rent Roll'!$U$32*'Rent Roll'!$F$32*'Rent Roll'!$X$32,0)</f>
        <v>0</v>
      </c>
      <c r="K288" s="49">
        <f>IF(K$4=EOMONTH(CloseDate,'Rent Roll'!$O$32-1),-'Rent Roll'!$U$32*'Rent Roll'!$F$32*'Rent Roll'!$X$32,0)</f>
        <v>0</v>
      </c>
      <c r="L288" s="49">
        <f>IF(L$4=EOMONTH(CloseDate,'Rent Roll'!$O$32-1),-'Rent Roll'!$U$32*'Rent Roll'!$F$32*'Rent Roll'!$X$32,0)</f>
        <v>0</v>
      </c>
      <c r="M288" s="49">
        <f>IF(M$4=EOMONTH(CloseDate,'Rent Roll'!$O$32-1),-'Rent Roll'!$U$32*'Rent Roll'!$F$32*'Rent Roll'!$X$32,0)</f>
        <v>0</v>
      </c>
      <c r="N288" s="49">
        <f>IF(N$4=EOMONTH(CloseDate,'Rent Roll'!$O$32-1),-'Rent Roll'!$U$32*'Rent Roll'!$F$32*'Rent Roll'!$X$32,0)</f>
        <v>0</v>
      </c>
      <c r="O288" s="49">
        <f>IF(O$4=EOMONTH(CloseDate,'Rent Roll'!$O$32-1),-'Rent Roll'!$U$32*'Rent Roll'!$F$32*'Rent Roll'!$X$32,0)</f>
        <v>-11348.774999999998</v>
      </c>
      <c r="P288" s="49">
        <f>IF(P$4=EOMONTH(CloseDate,'Rent Roll'!$O$32-1),-'Rent Roll'!$U$32*'Rent Roll'!$F$32*'Rent Roll'!$X$32,0)</f>
        <v>0</v>
      </c>
      <c r="Q288" s="49">
        <f>IF(Q$4=EOMONTH(CloseDate,'Rent Roll'!$O$32-1),-'Rent Roll'!$U$32*'Rent Roll'!$F$32*'Rent Roll'!$X$32,0)</f>
        <v>0</v>
      </c>
      <c r="R288" s="49">
        <f>IF(R$4=EOMONTH(CloseDate,'Rent Roll'!$O$32-1),-'Rent Roll'!$U$32*'Rent Roll'!$F$32*'Rent Roll'!$X$32,0)</f>
        <v>0</v>
      </c>
      <c r="S288" s="49">
        <f>IF(S$4=EOMONTH(CloseDate,'Rent Roll'!$O$32-1),-'Rent Roll'!$U$32*'Rent Roll'!$F$32*'Rent Roll'!$X$32,0)</f>
        <v>0</v>
      </c>
      <c r="T288" s="49">
        <f>IF(T$4=EOMONTH(CloseDate,'Rent Roll'!$O$32-1),-'Rent Roll'!$U$32*'Rent Roll'!$F$32*'Rent Roll'!$X$32,0)</f>
        <v>0</v>
      </c>
      <c r="U288" s="49">
        <f>IF(U$4=EOMONTH(CloseDate,'Rent Roll'!$O$32-1),-'Rent Roll'!$U$32*'Rent Roll'!$F$32*'Rent Roll'!$X$32,0)</f>
        <v>0</v>
      </c>
      <c r="V288" s="49">
        <f>IF(V$4=EOMONTH(CloseDate,'Rent Roll'!$O$32-1),-'Rent Roll'!$U$32*'Rent Roll'!$F$32*'Rent Roll'!$X$32,0)</f>
        <v>0</v>
      </c>
      <c r="W288" s="49">
        <f>IF(W$4=EOMONTH(CloseDate,'Rent Roll'!$O$32-1),-'Rent Roll'!$U$32*'Rent Roll'!$F$32*'Rent Roll'!$X$32,0)</f>
        <v>0</v>
      </c>
      <c r="X288" s="49">
        <f>IF(X$4=EOMONTH(CloseDate,'Rent Roll'!$O$32-1),-'Rent Roll'!$U$32*'Rent Roll'!$F$32*'Rent Roll'!$X$32,0)</f>
        <v>0</v>
      </c>
      <c r="Y288" s="49">
        <f>IF(Y$4=EOMONTH(CloseDate,'Rent Roll'!$O$32-1),-'Rent Roll'!$U$32*'Rent Roll'!$F$32*'Rent Roll'!$X$32,0)</f>
        <v>0</v>
      </c>
      <c r="Z288" s="49">
        <f>IF(Z$4=EOMONTH(CloseDate,'Rent Roll'!$O$32-1),-'Rent Roll'!$U$32*'Rent Roll'!$F$32*'Rent Roll'!$X$32,0)</f>
        <v>0</v>
      </c>
      <c r="AA288" s="49">
        <f>IF(AA$4=EOMONTH(CloseDate,'Rent Roll'!$O$32-1),-'Rent Roll'!$U$32*'Rent Roll'!$F$32*'Rent Roll'!$X$32,0)</f>
        <v>0</v>
      </c>
      <c r="AB288" s="49">
        <f>IF(AB$4=EOMONTH(CloseDate,'Rent Roll'!$O$32-1),-'Rent Roll'!$U$32*'Rent Roll'!$F$32*'Rent Roll'!$X$32,0)</f>
        <v>0</v>
      </c>
      <c r="AC288" s="49">
        <f>IF(AC$4=EOMONTH(CloseDate,'Rent Roll'!$O$32-1),-'Rent Roll'!$U$32*'Rent Roll'!$F$32*'Rent Roll'!$X$32,0)</f>
        <v>0</v>
      </c>
      <c r="AD288" s="49">
        <f>IF(AD$4=EOMONTH(CloseDate,'Rent Roll'!$O$32-1),-'Rent Roll'!$U$32*'Rent Roll'!$F$32*'Rent Roll'!$X$32,0)</f>
        <v>0</v>
      </c>
      <c r="AE288" s="49">
        <f>IF(AE$4=EOMONTH(CloseDate,'Rent Roll'!$O$32-1),-'Rent Roll'!$U$32*'Rent Roll'!$F$32*'Rent Roll'!$X$32,0)</f>
        <v>0</v>
      </c>
      <c r="AF288" s="49">
        <f>IF(AF$4=EOMONTH(CloseDate,'Rent Roll'!$O$32-1),-'Rent Roll'!$U$32*'Rent Roll'!$F$32*'Rent Roll'!$X$32,0)</f>
        <v>0</v>
      </c>
      <c r="AG288" s="49">
        <f>IF(AG$4=EOMONTH(CloseDate,'Rent Roll'!$O$32-1),-'Rent Roll'!$U$32*'Rent Roll'!$F$32*'Rent Roll'!$X$32,0)</f>
        <v>0</v>
      </c>
      <c r="AH288" s="49">
        <f>IF(AH$4=EOMONTH(CloseDate,'Rent Roll'!$O$32-1),-'Rent Roll'!$U$32*'Rent Roll'!$F$32*'Rent Roll'!$X$32,0)</f>
        <v>0</v>
      </c>
      <c r="AI288" s="49">
        <f>IF(AI$4=EOMONTH(CloseDate,'Rent Roll'!$O$32-1),-'Rent Roll'!$U$32*'Rent Roll'!$F$32*'Rent Roll'!$X$32,0)</f>
        <v>0</v>
      </c>
      <c r="AJ288" s="49">
        <f>IF(AJ$4=EOMONTH(CloseDate,'Rent Roll'!$O$32-1),-'Rent Roll'!$U$32*'Rent Roll'!$F$32*'Rent Roll'!$X$32,0)</f>
        <v>0</v>
      </c>
      <c r="AK288" s="49">
        <f>IF(AK$4=EOMONTH(CloseDate,'Rent Roll'!$O$32-1),-'Rent Roll'!$U$32*'Rent Roll'!$F$32*'Rent Roll'!$X$32,0)</f>
        <v>0</v>
      </c>
      <c r="AL288" s="49">
        <f>IF(AL$4=EOMONTH(CloseDate,'Rent Roll'!$O$32-1),-'Rent Roll'!$U$32*'Rent Roll'!$F$32*'Rent Roll'!$X$32,0)</f>
        <v>0</v>
      </c>
      <c r="AM288" s="49">
        <f>IF(AM$4=EOMONTH(CloseDate,'Rent Roll'!$O$32-1),-'Rent Roll'!$U$32*'Rent Roll'!$F$32*'Rent Roll'!$X$32,0)</f>
        <v>0</v>
      </c>
      <c r="AN288" s="49">
        <f>IF(AN$4=EOMONTH(CloseDate,'Rent Roll'!$O$32-1),-'Rent Roll'!$U$32*'Rent Roll'!$F$32*'Rent Roll'!$X$32,0)</f>
        <v>0</v>
      </c>
      <c r="AO288" s="49">
        <f>IF(AO$4=EOMONTH(CloseDate,'Rent Roll'!$O$32-1),-'Rent Roll'!$U$32*'Rent Roll'!$F$32*'Rent Roll'!$X$32,0)</f>
        <v>0</v>
      </c>
      <c r="AP288" s="49">
        <f>IF(AP$4=EOMONTH(CloseDate,'Rent Roll'!$O$32-1),-'Rent Roll'!$U$32*'Rent Roll'!$F$32*'Rent Roll'!$X$32,0)</f>
        <v>0</v>
      </c>
      <c r="AQ288" s="49">
        <f>IF(AQ$4=EOMONTH(CloseDate,'Rent Roll'!$O$32-1),-'Rent Roll'!$U$32*'Rent Roll'!$F$32*'Rent Roll'!$X$32,0)</f>
        <v>0</v>
      </c>
      <c r="AR288" s="49">
        <f>IF(AR$4=EOMONTH(CloseDate,'Rent Roll'!$O$32-1),-'Rent Roll'!$U$32*'Rent Roll'!$F$32*'Rent Roll'!$X$32,0)</f>
        <v>0</v>
      </c>
      <c r="AS288" s="49">
        <f>IF(AS$4=EOMONTH(CloseDate,'Rent Roll'!$O$32-1),-'Rent Roll'!$U$32*'Rent Roll'!$F$32*'Rent Roll'!$X$32,0)</f>
        <v>0</v>
      </c>
      <c r="AT288" s="49">
        <f>IF(AT$4=EOMONTH(CloseDate,'Rent Roll'!$O$32-1),-'Rent Roll'!$U$32*'Rent Roll'!$F$32*'Rent Roll'!$X$32,0)</f>
        <v>0</v>
      </c>
      <c r="AU288" s="49">
        <f>IF(AU$4=EOMONTH(CloseDate,'Rent Roll'!$O$32-1),-'Rent Roll'!$U$32*'Rent Roll'!$F$32*'Rent Roll'!$X$32,0)</f>
        <v>0</v>
      </c>
      <c r="AV288" s="49">
        <f>IF(AV$4=EOMONTH(CloseDate,'Rent Roll'!$O$32-1),-'Rent Roll'!$U$32*'Rent Roll'!$F$32*'Rent Roll'!$X$32,0)</f>
        <v>0</v>
      </c>
      <c r="AW288" s="49">
        <f>IF(AW$4=EOMONTH(CloseDate,'Rent Roll'!$O$32-1),-'Rent Roll'!$U$32*'Rent Roll'!$F$32*'Rent Roll'!$X$32,0)</f>
        <v>0</v>
      </c>
      <c r="AX288" s="49">
        <f>IF(AX$4=EOMONTH(CloseDate,'Rent Roll'!$O$32-1),-'Rent Roll'!$U$32*'Rent Roll'!$F$32*'Rent Roll'!$X$32,0)</f>
        <v>0</v>
      </c>
      <c r="AY288" s="49">
        <f>IF(AY$4=EOMONTH(CloseDate,'Rent Roll'!$O$32-1),-'Rent Roll'!$U$32*'Rent Roll'!$F$32*'Rent Roll'!$X$32,0)</f>
        <v>0</v>
      </c>
      <c r="AZ288" s="49">
        <f>IF(AZ$4=EOMONTH(CloseDate,'Rent Roll'!$O$32-1),-'Rent Roll'!$U$32*'Rent Roll'!$F$32*'Rent Roll'!$X$32,0)</f>
        <v>0</v>
      </c>
      <c r="BA288" s="49">
        <f>IF(BA$4=EOMONTH(CloseDate,'Rent Roll'!$O$32-1),-'Rent Roll'!$U$32*'Rent Roll'!$F$32*'Rent Roll'!$X$32,0)</f>
        <v>0</v>
      </c>
      <c r="BB288" s="49">
        <f>IF(BB$4=EOMONTH(CloseDate,'Rent Roll'!$O$32-1),-'Rent Roll'!$U$32*'Rent Roll'!$F$32*'Rent Roll'!$X$32,0)</f>
        <v>0</v>
      </c>
      <c r="BC288" s="49">
        <f>IF(BC$4=EOMONTH(CloseDate,'Rent Roll'!$O$32-1),-'Rent Roll'!$U$32*'Rent Roll'!$F$32*'Rent Roll'!$X$32,0)</f>
        <v>0</v>
      </c>
      <c r="BD288" s="49">
        <f>IF(BD$4=EOMONTH(CloseDate,'Rent Roll'!$O$32-1),-'Rent Roll'!$U$32*'Rent Roll'!$F$32*'Rent Roll'!$X$32,0)</f>
        <v>0</v>
      </c>
      <c r="BE288" s="49">
        <f>IF(BE$4=EOMONTH(CloseDate,'Rent Roll'!$O$32-1),-'Rent Roll'!$U$32*'Rent Roll'!$F$32*'Rent Roll'!$X$32,0)</f>
        <v>0</v>
      </c>
      <c r="BF288" s="49">
        <f>IF(BF$4=EOMONTH(CloseDate,'Rent Roll'!$O$32-1),-'Rent Roll'!$U$32*'Rent Roll'!$F$32*'Rent Roll'!$X$32,0)</f>
        <v>0</v>
      </c>
      <c r="BG288" s="49">
        <f>IF(BG$4=EOMONTH(CloseDate,'Rent Roll'!$O$32-1),-'Rent Roll'!$U$32*'Rent Roll'!$F$32*'Rent Roll'!$X$32,0)</f>
        <v>0</v>
      </c>
      <c r="BH288" s="49">
        <f>IF(BH$4=EOMONTH(CloseDate,'Rent Roll'!$O$32-1),-'Rent Roll'!$U$32*'Rent Roll'!$F$32*'Rent Roll'!$X$32,0)</f>
        <v>0</v>
      </c>
      <c r="BI288" s="49">
        <f>IF(BI$4=EOMONTH(CloseDate,'Rent Roll'!$O$32-1),-'Rent Roll'!$U$32*'Rent Roll'!$F$32*'Rent Roll'!$X$32,0)</f>
        <v>0</v>
      </c>
      <c r="BJ288" s="49">
        <f>IF(BJ$4=EOMONTH(CloseDate,'Rent Roll'!$O$32-1),-'Rent Roll'!$U$32*'Rent Roll'!$F$32*'Rent Roll'!$X$32,0)</f>
        <v>0</v>
      </c>
      <c r="BK288" s="49">
        <f>IF(BK$4=EOMONTH(CloseDate,'Rent Roll'!$O$32-1),-'Rent Roll'!$U$32*'Rent Roll'!$F$32*'Rent Roll'!$X$32,0)</f>
        <v>0</v>
      </c>
      <c r="BL288" s="49">
        <f>IF(BL$4=EOMONTH(CloseDate,'Rent Roll'!$O$32-1),-'Rent Roll'!$U$32*'Rent Roll'!$F$32*'Rent Roll'!$X$32,0)</f>
        <v>0</v>
      </c>
      <c r="BM288" s="49">
        <f>IF(BM$4=EOMONTH(CloseDate,'Rent Roll'!$O$32-1),-'Rent Roll'!$U$32*'Rent Roll'!$F$32*'Rent Roll'!$X$32,0)</f>
        <v>0</v>
      </c>
      <c r="BN288" s="49">
        <f>IF(BN$4=EOMONTH(CloseDate,'Rent Roll'!$O$32-1),-'Rent Roll'!$U$32*'Rent Roll'!$F$32*'Rent Roll'!$X$32,0)</f>
        <v>0</v>
      </c>
      <c r="BO288" s="49">
        <f>IF(BO$4=EOMONTH(CloseDate,'Rent Roll'!$O$32-1),-'Rent Roll'!$U$32*'Rent Roll'!$F$32*'Rent Roll'!$X$32,0)</f>
        <v>0</v>
      </c>
      <c r="BP288" s="49">
        <f>IF(BP$4=EOMONTH(CloseDate,'Rent Roll'!$O$32-1),-'Rent Roll'!$U$32*'Rent Roll'!$F$32*'Rent Roll'!$X$32,0)</f>
        <v>0</v>
      </c>
      <c r="BQ288" s="49">
        <f>IF(BQ$4=EOMONTH(CloseDate,'Rent Roll'!$O$32-1),-'Rent Roll'!$U$32*'Rent Roll'!$F$32*'Rent Roll'!$X$32,0)</f>
        <v>0</v>
      </c>
      <c r="BR288" s="49">
        <f>IF(BR$4=EOMONTH(CloseDate,'Rent Roll'!$O$32-1),-'Rent Roll'!$U$32*'Rent Roll'!$F$32*'Rent Roll'!$X$32,0)</f>
        <v>0</v>
      </c>
      <c r="BS288" s="49">
        <f>IF(BS$4=EOMONTH(CloseDate,'Rent Roll'!$O$32-1),-'Rent Roll'!$U$32*'Rent Roll'!$F$32*'Rent Roll'!$X$32,0)</f>
        <v>0</v>
      </c>
      <c r="BT288" s="49">
        <f>IF(BT$4=EOMONTH(CloseDate,'Rent Roll'!$O$32-1),-'Rent Roll'!$U$32*'Rent Roll'!$F$32*'Rent Roll'!$X$32,0)</f>
        <v>0</v>
      </c>
      <c r="BU288" s="49">
        <f>IF(BU$4=EOMONTH(CloseDate,'Rent Roll'!$O$32-1),-'Rent Roll'!$U$32*'Rent Roll'!$F$32*'Rent Roll'!$X$32,0)</f>
        <v>0</v>
      </c>
      <c r="BV288" s="49">
        <f>IF(BV$4=EOMONTH(CloseDate,'Rent Roll'!$O$32-1),-'Rent Roll'!$U$32*'Rent Roll'!$F$32*'Rent Roll'!$X$32,0)</f>
        <v>0</v>
      </c>
      <c r="BW288" s="49">
        <f>IF(BW$4=EOMONTH(CloseDate,'Rent Roll'!$O$32-1),-'Rent Roll'!$U$32*'Rent Roll'!$F$32*'Rent Roll'!$X$32,0)</f>
        <v>0</v>
      </c>
      <c r="BX288" s="49">
        <f>IF(BX$4=EOMONTH(CloseDate,'Rent Roll'!$O$32-1),-'Rent Roll'!$U$32*'Rent Roll'!$F$32*'Rent Roll'!$X$32,0)</f>
        <v>0</v>
      </c>
    </row>
    <row r="289" spans="1:76" outlineLevel="1">
      <c r="A289" s="47" t="str">
        <f>'Rent Roll'!C41</f>
        <v>Suite 610</v>
      </c>
      <c r="B289" s="57">
        <f>INDEX('Rent Roll'!$F$5:$F$46,MATCH('Rent Roll Calc'!A289,'Rent Roll'!$C$5:$C$46,0))</f>
        <v>14000</v>
      </c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  <c r="AA289" s="49"/>
      <c r="AB289" s="49"/>
      <c r="AC289" s="49"/>
      <c r="AD289" s="49"/>
      <c r="AE289" s="49"/>
      <c r="AF289" s="49"/>
      <c r="AG289" s="49"/>
      <c r="AH289" s="49"/>
      <c r="AI289" s="49"/>
      <c r="AJ289" s="49"/>
      <c r="AK289" s="49"/>
      <c r="AL289" s="49"/>
      <c r="AM289" s="49"/>
      <c r="AN289" s="49"/>
      <c r="AO289" s="49"/>
      <c r="AP289" s="49"/>
      <c r="AQ289" s="49"/>
      <c r="AR289" s="49"/>
      <c r="AS289" s="49"/>
      <c r="AT289" s="49"/>
      <c r="AU289" s="49"/>
      <c r="AV289" s="49"/>
      <c r="AW289" s="49"/>
      <c r="AX289" s="49"/>
      <c r="AY289" s="49"/>
      <c r="AZ289" s="49"/>
      <c r="BA289" s="49"/>
      <c r="BB289" s="49"/>
      <c r="BC289" s="49"/>
      <c r="BD289" s="49"/>
      <c r="BE289" s="49"/>
      <c r="BF289" s="49"/>
      <c r="BG289" s="49"/>
      <c r="BH289" s="49"/>
      <c r="BI289" s="49"/>
      <c r="BJ289" s="49"/>
      <c r="BK289" s="49"/>
      <c r="BL289" s="49"/>
      <c r="BM289" s="49"/>
      <c r="BN289" s="49"/>
      <c r="BO289" s="49"/>
      <c r="BP289" s="49"/>
      <c r="BQ289" s="49"/>
      <c r="BR289" s="49"/>
      <c r="BS289" s="49"/>
      <c r="BT289" s="49"/>
      <c r="BU289" s="49"/>
      <c r="BV289" s="49"/>
      <c r="BW289" s="49"/>
      <c r="BX289" s="49"/>
    </row>
    <row r="290" spans="1:76" outlineLevel="1">
      <c r="B290" t="s">
        <v>170</v>
      </c>
      <c r="D290" s="49">
        <f>IF(AND(D$3&gt;='Rent Roll'!$O$41-SpecBuildout,D$3&lt;'Rent Roll'!$O$41),1,0)</f>
        <v>0</v>
      </c>
      <c r="E290" s="49">
        <f>IF(AND(E$3&gt;='Rent Roll'!$O$41-SpecBuildout,E$3&lt;'Rent Roll'!$O$41),1,0)</f>
        <v>0</v>
      </c>
      <c r="F290" s="49">
        <f>IF(AND(F$3&gt;='Rent Roll'!$O$41-SpecBuildout,F$3&lt;'Rent Roll'!$O$41),1,0)</f>
        <v>0</v>
      </c>
      <c r="G290" s="49">
        <f>IF(AND(G$3&gt;='Rent Roll'!$O$41-SpecBuildout,G$3&lt;'Rent Roll'!$O$41),1,0)</f>
        <v>0</v>
      </c>
      <c r="H290" s="49">
        <f>IF(AND(H$3&gt;='Rent Roll'!$O$41-SpecBuildout,H$3&lt;'Rent Roll'!$O$41),1,0)</f>
        <v>0</v>
      </c>
      <c r="I290" s="49">
        <f>IF(AND(I$3&gt;='Rent Roll'!$O$41-SpecBuildout,I$3&lt;'Rent Roll'!$O$41),1,0)</f>
        <v>0</v>
      </c>
      <c r="J290" s="49">
        <f>IF(AND(J$3&gt;='Rent Roll'!$O$41-SpecBuildout,J$3&lt;'Rent Roll'!$O$41),1,0)</f>
        <v>1</v>
      </c>
      <c r="K290" s="49">
        <f>IF(AND(K$3&gt;='Rent Roll'!$O$41-SpecBuildout,K$3&lt;'Rent Roll'!$O$41),1,0)</f>
        <v>1</v>
      </c>
      <c r="L290" s="49">
        <f>IF(AND(L$3&gt;='Rent Roll'!$O$41-SpecBuildout,L$3&lt;'Rent Roll'!$O$41),1,0)</f>
        <v>1</v>
      </c>
      <c r="M290" s="49">
        <f>IF(AND(M$3&gt;='Rent Roll'!$O$41-SpecBuildout,M$3&lt;'Rent Roll'!$O$41),1,0)</f>
        <v>1</v>
      </c>
      <c r="N290" s="49">
        <f>IF(AND(N$3&gt;='Rent Roll'!$O$41-SpecBuildout,N$3&lt;'Rent Roll'!$O$41),1,0)</f>
        <v>1</v>
      </c>
      <c r="O290" s="49">
        <f>IF(AND(O$3&gt;='Rent Roll'!$O$41-SpecBuildout,O$3&lt;'Rent Roll'!$O$41),1,0)</f>
        <v>1</v>
      </c>
      <c r="P290" s="49">
        <f>IF(AND(P$3&gt;='Rent Roll'!$O$41-SpecBuildout,P$3&lt;'Rent Roll'!$O$41),1,0)</f>
        <v>0</v>
      </c>
      <c r="Q290" s="49">
        <f>IF(AND(Q$3&gt;='Rent Roll'!$O$41-SpecBuildout,Q$3&lt;'Rent Roll'!$O$41),1,0)</f>
        <v>0</v>
      </c>
      <c r="R290" s="49">
        <f>IF(AND(R$3&gt;='Rent Roll'!$O$41-SpecBuildout,R$3&lt;'Rent Roll'!$O$41),1,0)</f>
        <v>0</v>
      </c>
      <c r="S290" s="49">
        <f>IF(AND(S$3&gt;='Rent Roll'!$O$41-SpecBuildout,S$3&lt;'Rent Roll'!$O$41),1,0)</f>
        <v>0</v>
      </c>
      <c r="T290" s="49">
        <f>IF(AND(T$3&gt;='Rent Roll'!$O$41-SpecBuildout,T$3&lt;'Rent Roll'!$O$41),1,0)</f>
        <v>0</v>
      </c>
      <c r="U290" s="49">
        <f>IF(AND(U$3&gt;='Rent Roll'!$O$41-SpecBuildout,U$3&lt;'Rent Roll'!$O$41),1,0)</f>
        <v>0</v>
      </c>
      <c r="V290" s="49">
        <f>IF(AND(V$3&gt;='Rent Roll'!$O$41-SpecBuildout,V$3&lt;'Rent Roll'!$O$41),1,0)</f>
        <v>0</v>
      </c>
      <c r="W290" s="49">
        <f>IF(AND(W$3&gt;='Rent Roll'!$O$41-SpecBuildout,W$3&lt;'Rent Roll'!$O$41),1,0)</f>
        <v>0</v>
      </c>
      <c r="X290" s="49">
        <f>IF(AND(X$3&gt;='Rent Roll'!$O$41-SpecBuildout,X$3&lt;'Rent Roll'!$O$41),1,0)</f>
        <v>0</v>
      </c>
      <c r="Y290" s="49">
        <f>IF(AND(Y$3&gt;='Rent Roll'!$O$41-SpecBuildout,Y$3&lt;'Rent Roll'!$O$41),1,0)</f>
        <v>0</v>
      </c>
      <c r="Z290" s="49">
        <f>IF(AND(Z$3&gt;='Rent Roll'!$O$41-SpecBuildout,Z$3&lt;'Rent Roll'!$O$41),1,0)</f>
        <v>0</v>
      </c>
      <c r="AA290" s="49">
        <f>IF(AND(AA$3&gt;='Rent Roll'!$O$41-SpecBuildout,AA$3&lt;'Rent Roll'!$O$41),1,0)</f>
        <v>0</v>
      </c>
      <c r="AB290" s="49">
        <f>IF(AND(AB$3&gt;='Rent Roll'!$O$41-SpecBuildout,AB$3&lt;'Rent Roll'!$O$41),1,0)</f>
        <v>0</v>
      </c>
      <c r="AC290" s="49">
        <f>IF(AND(AC$3&gt;='Rent Roll'!$O$41-SpecBuildout,AC$3&lt;'Rent Roll'!$O$41),1,0)</f>
        <v>0</v>
      </c>
      <c r="AD290" s="49">
        <f>IF(AND(AD$3&gt;='Rent Roll'!$O$41-SpecBuildout,AD$3&lt;'Rent Roll'!$O$41),1,0)</f>
        <v>0</v>
      </c>
      <c r="AE290" s="49">
        <f>IF(AND(AE$3&gt;='Rent Roll'!$O$41-SpecBuildout,AE$3&lt;'Rent Roll'!$O$41),1,0)</f>
        <v>0</v>
      </c>
      <c r="AF290" s="49">
        <f>IF(AND(AF$3&gt;='Rent Roll'!$O$41-SpecBuildout,AF$3&lt;'Rent Roll'!$O$41),1,0)</f>
        <v>0</v>
      </c>
      <c r="AG290" s="49">
        <f>IF(AND(AG$3&gt;='Rent Roll'!$O$41-SpecBuildout,AG$3&lt;'Rent Roll'!$O$41),1,0)</f>
        <v>0</v>
      </c>
      <c r="AH290" s="49">
        <f>IF(AND(AH$3&gt;='Rent Roll'!$O$41-SpecBuildout,AH$3&lt;'Rent Roll'!$O$41),1,0)</f>
        <v>0</v>
      </c>
      <c r="AI290" s="49">
        <f>IF(AND(AI$3&gt;='Rent Roll'!$O$41-SpecBuildout,AI$3&lt;'Rent Roll'!$O$41),1,0)</f>
        <v>0</v>
      </c>
      <c r="AJ290" s="49">
        <f>IF(AND(AJ$3&gt;='Rent Roll'!$O$41-SpecBuildout,AJ$3&lt;'Rent Roll'!$O$41),1,0)</f>
        <v>0</v>
      </c>
      <c r="AK290" s="49">
        <f>IF(AND(AK$3&gt;='Rent Roll'!$O$41-SpecBuildout,AK$3&lt;'Rent Roll'!$O$41),1,0)</f>
        <v>0</v>
      </c>
      <c r="AL290" s="49">
        <f>IF(AND(AL$3&gt;='Rent Roll'!$O$41-SpecBuildout,AL$3&lt;'Rent Roll'!$O$41),1,0)</f>
        <v>0</v>
      </c>
      <c r="AM290" s="49">
        <f>IF(AND(AM$3&gt;='Rent Roll'!$O$41-SpecBuildout,AM$3&lt;'Rent Roll'!$O$41),1,0)</f>
        <v>0</v>
      </c>
      <c r="AN290" s="49">
        <f>IF(AND(AN$3&gt;='Rent Roll'!$O$41-SpecBuildout,AN$3&lt;'Rent Roll'!$O$41),1,0)</f>
        <v>0</v>
      </c>
      <c r="AO290" s="49">
        <f>IF(AND(AO$3&gt;='Rent Roll'!$O$41-SpecBuildout,AO$3&lt;'Rent Roll'!$O$41),1,0)</f>
        <v>0</v>
      </c>
      <c r="AP290" s="49">
        <f>IF(AND(AP$3&gt;='Rent Roll'!$O$41-SpecBuildout,AP$3&lt;'Rent Roll'!$O$41),1,0)</f>
        <v>0</v>
      </c>
      <c r="AQ290" s="49">
        <f>IF(AND(AQ$3&gt;='Rent Roll'!$O$41-SpecBuildout,AQ$3&lt;'Rent Roll'!$O$41),1,0)</f>
        <v>0</v>
      </c>
      <c r="AR290" s="49">
        <f>IF(AND(AR$3&gt;='Rent Roll'!$O$41-SpecBuildout,AR$3&lt;'Rent Roll'!$O$41),1,0)</f>
        <v>0</v>
      </c>
      <c r="AS290" s="49">
        <f>IF(AND(AS$3&gt;='Rent Roll'!$O$41-SpecBuildout,AS$3&lt;'Rent Roll'!$O$41),1,0)</f>
        <v>0</v>
      </c>
      <c r="AT290" s="49">
        <f>IF(AND(AT$3&gt;='Rent Roll'!$O$41-SpecBuildout,AT$3&lt;'Rent Roll'!$O$41),1,0)</f>
        <v>0</v>
      </c>
      <c r="AU290" s="49">
        <f>IF(AND(AU$3&gt;='Rent Roll'!$O$41-SpecBuildout,AU$3&lt;'Rent Roll'!$O$41),1,0)</f>
        <v>0</v>
      </c>
      <c r="AV290" s="49">
        <f>IF(AND(AV$3&gt;='Rent Roll'!$O$41-SpecBuildout,AV$3&lt;'Rent Roll'!$O$41),1,0)</f>
        <v>0</v>
      </c>
      <c r="AW290" s="49">
        <f>IF(AND(AW$3&gt;='Rent Roll'!$O$41-SpecBuildout,AW$3&lt;'Rent Roll'!$O$41),1,0)</f>
        <v>0</v>
      </c>
      <c r="AX290" s="49">
        <f>IF(AND(AX$3&gt;='Rent Roll'!$O$41-SpecBuildout,AX$3&lt;'Rent Roll'!$O$41),1,0)</f>
        <v>0</v>
      </c>
      <c r="AY290" s="49">
        <f>IF(AND(AY$3&gt;='Rent Roll'!$O$41-SpecBuildout,AY$3&lt;'Rent Roll'!$O$41),1,0)</f>
        <v>0</v>
      </c>
      <c r="AZ290" s="49">
        <f>IF(AND(AZ$3&gt;='Rent Roll'!$O$41-SpecBuildout,AZ$3&lt;'Rent Roll'!$O$41),1,0)</f>
        <v>0</v>
      </c>
      <c r="BA290" s="49">
        <f>IF(AND(BA$3&gt;='Rent Roll'!$O$41-SpecBuildout,BA$3&lt;'Rent Roll'!$O$41),1,0)</f>
        <v>0</v>
      </c>
      <c r="BB290" s="49">
        <f>IF(AND(BB$3&gt;='Rent Roll'!$O$41-SpecBuildout,BB$3&lt;'Rent Roll'!$O$41),1,0)</f>
        <v>0</v>
      </c>
      <c r="BC290" s="49">
        <f>IF(AND(BC$3&gt;='Rent Roll'!$O$41-SpecBuildout,BC$3&lt;'Rent Roll'!$O$41),1,0)</f>
        <v>0</v>
      </c>
      <c r="BD290" s="49">
        <f>IF(AND(BD$3&gt;='Rent Roll'!$O$41-SpecBuildout,BD$3&lt;'Rent Roll'!$O$41),1,0)</f>
        <v>0</v>
      </c>
      <c r="BE290" s="49">
        <f>IF(AND(BE$3&gt;='Rent Roll'!$O$41-SpecBuildout,BE$3&lt;'Rent Roll'!$O$41),1,0)</f>
        <v>0</v>
      </c>
      <c r="BF290" s="49">
        <f>IF(AND(BF$3&gt;='Rent Roll'!$O$41-SpecBuildout,BF$3&lt;'Rent Roll'!$O$41),1,0)</f>
        <v>0</v>
      </c>
      <c r="BG290" s="49">
        <f>IF(AND(BG$3&gt;='Rent Roll'!$O$41-SpecBuildout,BG$3&lt;'Rent Roll'!$O$41),1,0)</f>
        <v>0</v>
      </c>
      <c r="BH290" s="49">
        <f>IF(AND(BH$3&gt;='Rent Roll'!$O$41-SpecBuildout,BH$3&lt;'Rent Roll'!$O$41),1,0)</f>
        <v>0</v>
      </c>
      <c r="BI290" s="49">
        <f>IF(AND(BI$3&gt;='Rent Roll'!$O$41-SpecBuildout,BI$3&lt;'Rent Roll'!$O$41),1,0)</f>
        <v>0</v>
      </c>
      <c r="BJ290" s="49">
        <f>IF(AND(BJ$3&gt;='Rent Roll'!$O$41-SpecBuildout,BJ$3&lt;'Rent Roll'!$O$41),1,0)</f>
        <v>0</v>
      </c>
      <c r="BK290" s="49">
        <f>IF(AND(BK$3&gt;='Rent Roll'!$O$41-SpecBuildout,BK$3&lt;'Rent Roll'!$O$41),1,0)</f>
        <v>0</v>
      </c>
      <c r="BL290" s="49">
        <f>IF(AND(BL$3&gt;='Rent Roll'!$O$41-SpecBuildout,BL$3&lt;'Rent Roll'!$O$41),1,0)</f>
        <v>0</v>
      </c>
      <c r="BM290" s="49">
        <f>IF(AND(BM$3&gt;='Rent Roll'!$O$41-SpecBuildout,BM$3&lt;'Rent Roll'!$O$41),1,0)</f>
        <v>0</v>
      </c>
      <c r="BN290" s="49">
        <f>IF(AND(BN$3&gt;='Rent Roll'!$O$41-SpecBuildout,BN$3&lt;'Rent Roll'!$O$41),1,0)</f>
        <v>0</v>
      </c>
      <c r="BO290" s="49">
        <f>IF(AND(BO$3&gt;='Rent Roll'!$O$41-SpecBuildout,BO$3&lt;'Rent Roll'!$O$41),1,0)</f>
        <v>0</v>
      </c>
      <c r="BP290" s="49">
        <f>IF(AND(BP$3&gt;='Rent Roll'!$O$41-SpecBuildout,BP$3&lt;'Rent Roll'!$O$41),1,0)</f>
        <v>0</v>
      </c>
      <c r="BQ290" s="49">
        <f>IF(AND(BQ$3&gt;='Rent Roll'!$O$41-SpecBuildout,BQ$3&lt;'Rent Roll'!$O$41),1,0)</f>
        <v>0</v>
      </c>
      <c r="BR290" s="49">
        <f>IF(AND(BR$3&gt;='Rent Roll'!$O$41-SpecBuildout,BR$3&lt;'Rent Roll'!$O$41),1,0)</f>
        <v>0</v>
      </c>
      <c r="BS290" s="49">
        <f>IF(AND(BS$3&gt;='Rent Roll'!$O$41-SpecBuildout,BS$3&lt;'Rent Roll'!$O$41),1,0)</f>
        <v>0</v>
      </c>
      <c r="BT290" s="49">
        <f>IF(AND(BT$3&gt;='Rent Roll'!$O$41-SpecBuildout,BT$3&lt;'Rent Roll'!$O$41),1,0)</f>
        <v>0</v>
      </c>
      <c r="BU290" s="49">
        <f>IF(AND(BU$3&gt;='Rent Roll'!$O$41-SpecBuildout,BU$3&lt;'Rent Roll'!$O$41),1,0)</f>
        <v>0</v>
      </c>
      <c r="BV290" s="49">
        <f>IF(AND(BV$3&gt;='Rent Roll'!$O$41-SpecBuildout,BV$3&lt;'Rent Roll'!$O$41),1,0)</f>
        <v>0</v>
      </c>
      <c r="BW290" s="49">
        <f>IF(AND(BW$3&gt;='Rent Roll'!$O$41-SpecBuildout,BW$3&lt;'Rent Roll'!$O$41),1,0)</f>
        <v>0</v>
      </c>
      <c r="BX290" s="49">
        <f>IF(AND(BX$3&gt;='Rent Roll'!$O$41-SpecBuildout,BX$3&lt;'Rent Roll'!$O$41),1,0)</f>
        <v>0</v>
      </c>
    </row>
    <row r="291" spans="1:76">
      <c r="B291" t="s">
        <v>159</v>
      </c>
      <c r="D291" s="49">
        <f>0</f>
        <v>0</v>
      </c>
      <c r="E291" s="49">
        <f>0</f>
        <v>0</v>
      </c>
      <c r="F291" s="49">
        <f>0</f>
        <v>0</v>
      </c>
      <c r="G291" s="49">
        <f>0</f>
        <v>0</v>
      </c>
      <c r="H291" s="49">
        <f>0</f>
        <v>0</v>
      </c>
      <c r="I291" s="49">
        <f>0</f>
        <v>0</v>
      </c>
      <c r="J291" s="49">
        <f>0</f>
        <v>0</v>
      </c>
      <c r="K291" s="49">
        <f>0</f>
        <v>0</v>
      </c>
      <c r="L291" s="49">
        <f>0</f>
        <v>0</v>
      </c>
      <c r="M291" s="49">
        <f>0</f>
        <v>0</v>
      </c>
      <c r="N291" s="49">
        <f>0</f>
        <v>0</v>
      </c>
      <c r="O291" s="49">
        <f>0</f>
        <v>0</v>
      </c>
      <c r="P291" s="49">
        <f>0</f>
        <v>0</v>
      </c>
      <c r="Q291" s="49">
        <f>0</f>
        <v>0</v>
      </c>
      <c r="R291" s="49">
        <f>0</f>
        <v>0</v>
      </c>
      <c r="S291" s="49">
        <f>0</f>
        <v>0</v>
      </c>
      <c r="T291" s="49">
        <f>0</f>
        <v>0</v>
      </c>
      <c r="U291" s="49">
        <f>0</f>
        <v>0</v>
      </c>
      <c r="V291" s="49">
        <f>0</f>
        <v>0</v>
      </c>
      <c r="W291" s="49">
        <f>0</f>
        <v>0</v>
      </c>
      <c r="X291" s="49">
        <f>0</f>
        <v>0</v>
      </c>
      <c r="Y291" s="49">
        <f>0</f>
        <v>0</v>
      </c>
      <c r="Z291" s="49">
        <f>0</f>
        <v>0</v>
      </c>
      <c r="AA291" s="49">
        <f>0</f>
        <v>0</v>
      </c>
      <c r="AB291" s="49">
        <f>0</f>
        <v>0</v>
      </c>
      <c r="AC291" s="49">
        <f>0</f>
        <v>0</v>
      </c>
      <c r="AD291" s="49">
        <f>0</f>
        <v>0</v>
      </c>
      <c r="AE291" s="49">
        <f>0</f>
        <v>0</v>
      </c>
      <c r="AF291" s="49">
        <f>0</f>
        <v>0</v>
      </c>
      <c r="AG291" s="49">
        <f>0</f>
        <v>0</v>
      </c>
      <c r="AH291" s="49">
        <f>0</f>
        <v>0</v>
      </c>
      <c r="AI291" s="49">
        <f>0</f>
        <v>0</v>
      </c>
      <c r="AJ291" s="49">
        <f>0</f>
        <v>0</v>
      </c>
      <c r="AK291" s="49">
        <f>0</f>
        <v>0</v>
      </c>
      <c r="AL291" s="49">
        <f>0</f>
        <v>0</v>
      </c>
      <c r="AM291" s="49">
        <f>0</f>
        <v>0</v>
      </c>
      <c r="AN291" s="49">
        <f>0</f>
        <v>0</v>
      </c>
      <c r="AO291" s="49">
        <f>0</f>
        <v>0</v>
      </c>
      <c r="AP291" s="49">
        <f>0</f>
        <v>0</v>
      </c>
      <c r="AQ291" s="49">
        <f>0</f>
        <v>0</v>
      </c>
      <c r="AR291" s="49">
        <f>0</f>
        <v>0</v>
      </c>
      <c r="AS291" s="49">
        <f>0</f>
        <v>0</v>
      </c>
      <c r="AT291" s="49">
        <f>0</f>
        <v>0</v>
      </c>
      <c r="AU291" s="49">
        <f>0</f>
        <v>0</v>
      </c>
      <c r="AV291" s="49">
        <f>0</f>
        <v>0</v>
      </c>
      <c r="AW291" s="49">
        <f>0</f>
        <v>0</v>
      </c>
      <c r="AX291" s="49">
        <f>0</f>
        <v>0</v>
      </c>
      <c r="AY291" s="49">
        <f>0</f>
        <v>0</v>
      </c>
      <c r="AZ291" s="49">
        <f>0</f>
        <v>0</v>
      </c>
      <c r="BA291" s="49">
        <f>0</f>
        <v>0</v>
      </c>
      <c r="BB291" s="49">
        <f>0</f>
        <v>0</v>
      </c>
      <c r="BC291" s="49">
        <f>0</f>
        <v>0</v>
      </c>
      <c r="BD291" s="49">
        <f>0</f>
        <v>0</v>
      </c>
      <c r="BE291" s="49">
        <f>0</f>
        <v>0</v>
      </c>
      <c r="BF291" s="49">
        <f>0</f>
        <v>0</v>
      </c>
      <c r="BG291" s="49">
        <f>0</f>
        <v>0</v>
      </c>
      <c r="BH291" s="49">
        <f>0</f>
        <v>0</v>
      </c>
      <c r="BI291" s="49">
        <f>0</f>
        <v>0</v>
      </c>
      <c r="BJ291" s="49">
        <f>0</f>
        <v>0</v>
      </c>
      <c r="BK291" s="49">
        <f>0</f>
        <v>0</v>
      </c>
      <c r="BL291" s="49">
        <f>0</f>
        <v>0</v>
      </c>
      <c r="BM291" s="49">
        <f>0</f>
        <v>0</v>
      </c>
      <c r="BN291" s="49">
        <f>0</f>
        <v>0</v>
      </c>
      <c r="BO291" s="49">
        <f>0</f>
        <v>0</v>
      </c>
      <c r="BP291" s="49">
        <f>0</f>
        <v>0</v>
      </c>
      <c r="BQ291" s="49">
        <f>0</f>
        <v>0</v>
      </c>
      <c r="BR291" s="49">
        <f>0</f>
        <v>0</v>
      </c>
      <c r="BS291" s="49">
        <f>0</f>
        <v>0</v>
      </c>
      <c r="BT291" s="49">
        <f>0</f>
        <v>0</v>
      </c>
      <c r="BU291" s="49">
        <f>0</f>
        <v>0</v>
      </c>
      <c r="BV291" s="49">
        <f>0</f>
        <v>0</v>
      </c>
      <c r="BW291" s="49">
        <f>0</f>
        <v>0</v>
      </c>
      <c r="BX291" s="49">
        <f>0</f>
        <v>0</v>
      </c>
    </row>
    <row r="292" spans="1:76">
      <c r="B292" t="s">
        <v>160</v>
      </c>
      <c r="D292" s="49">
        <f>IF(D$4&gt;=EOMONTH(CloseDate,'Rent Roll'!$O$41-1),1,0)</f>
        <v>0</v>
      </c>
      <c r="E292" s="49">
        <f>IF(E$4&gt;=EOMONTH(CloseDate,'Rent Roll'!$O$41-1),1,0)</f>
        <v>0</v>
      </c>
      <c r="F292" s="49">
        <f>IF(F$4&gt;=EOMONTH(CloseDate,'Rent Roll'!$O$41-1),1,0)</f>
        <v>0</v>
      </c>
      <c r="G292" s="49">
        <f>IF(G$4&gt;=EOMONTH(CloseDate,'Rent Roll'!$O$41-1),1,0)</f>
        <v>0</v>
      </c>
      <c r="H292" s="49">
        <f>IF(H$4&gt;=EOMONTH(CloseDate,'Rent Roll'!$O$41-1),1,0)</f>
        <v>0</v>
      </c>
      <c r="I292" s="49">
        <f>IF(I$4&gt;=EOMONTH(CloseDate,'Rent Roll'!$O$41-1),1,0)</f>
        <v>0</v>
      </c>
      <c r="J292" s="49">
        <f>IF(J$4&gt;=EOMONTH(CloseDate,'Rent Roll'!$O$41-1),1,0)</f>
        <v>0</v>
      </c>
      <c r="K292" s="49">
        <f>IF(K$4&gt;=EOMONTH(CloseDate,'Rent Roll'!$O$41-1),1,0)</f>
        <v>0</v>
      </c>
      <c r="L292" s="49">
        <f>IF(L$4&gt;=EOMONTH(CloseDate,'Rent Roll'!$O$41-1),1,0)</f>
        <v>0</v>
      </c>
      <c r="M292" s="49">
        <f>IF(M$4&gt;=EOMONTH(CloseDate,'Rent Roll'!$O$41-1),1,0)</f>
        <v>0</v>
      </c>
      <c r="N292" s="49">
        <f>IF(N$4&gt;=EOMONTH(CloseDate,'Rent Roll'!$O$41-1),1,0)</f>
        <v>0</v>
      </c>
      <c r="O292" s="49">
        <f>IF(O$4&gt;=EOMONTH(CloseDate,'Rent Roll'!$O$41-1),1,0)</f>
        <v>1</v>
      </c>
      <c r="P292" s="49">
        <f>IF(P$4&gt;=EOMONTH(CloseDate,'Rent Roll'!$O$41-1),1,0)</f>
        <v>1</v>
      </c>
      <c r="Q292" s="49">
        <f>IF(Q$4&gt;=EOMONTH(CloseDate,'Rent Roll'!$O$41-1),1,0)</f>
        <v>1</v>
      </c>
      <c r="R292" s="49">
        <f>IF(R$4&gt;=EOMONTH(CloseDate,'Rent Roll'!$O$41-1),1,0)</f>
        <v>1</v>
      </c>
      <c r="S292" s="49">
        <f>IF(S$4&gt;=EOMONTH(CloseDate,'Rent Roll'!$O$41-1),1,0)</f>
        <v>1</v>
      </c>
      <c r="T292" s="49">
        <f>IF(T$4&gt;=EOMONTH(CloseDate,'Rent Roll'!$O$41-1),1,0)</f>
        <v>1</v>
      </c>
      <c r="U292" s="49">
        <f>IF(U$4&gt;=EOMONTH(CloseDate,'Rent Roll'!$O$41-1),1,0)</f>
        <v>1</v>
      </c>
      <c r="V292" s="49">
        <f>IF(V$4&gt;=EOMONTH(CloseDate,'Rent Roll'!$O$41-1),1,0)</f>
        <v>1</v>
      </c>
      <c r="W292" s="49">
        <f>IF(W$4&gt;=EOMONTH(CloseDate,'Rent Roll'!$O$41-1),1,0)</f>
        <v>1</v>
      </c>
      <c r="X292" s="49">
        <f>IF(X$4&gt;=EOMONTH(CloseDate,'Rent Roll'!$O$41-1),1,0)</f>
        <v>1</v>
      </c>
      <c r="Y292" s="49">
        <f>IF(Y$4&gt;=EOMONTH(CloseDate,'Rent Roll'!$O$41-1),1,0)</f>
        <v>1</v>
      </c>
      <c r="Z292" s="49">
        <f>IF(Z$4&gt;=EOMONTH(CloseDate,'Rent Roll'!$O$41-1),1,0)</f>
        <v>1</v>
      </c>
      <c r="AA292" s="49">
        <f>IF(AA$4&gt;=EOMONTH(CloseDate,'Rent Roll'!$O$41-1),1,0)</f>
        <v>1</v>
      </c>
      <c r="AB292" s="49">
        <f>IF(AB$4&gt;=EOMONTH(CloseDate,'Rent Roll'!$O$41-1),1,0)</f>
        <v>1</v>
      </c>
      <c r="AC292" s="49">
        <f>IF(AC$4&gt;=EOMONTH(CloseDate,'Rent Roll'!$O$41-1),1,0)</f>
        <v>1</v>
      </c>
      <c r="AD292" s="49">
        <f>IF(AD$4&gt;=EOMONTH(CloseDate,'Rent Roll'!$O$41-1),1,0)</f>
        <v>1</v>
      </c>
      <c r="AE292" s="49">
        <f>IF(AE$4&gt;=EOMONTH(CloseDate,'Rent Roll'!$O$41-1),1,0)</f>
        <v>1</v>
      </c>
      <c r="AF292" s="49">
        <f>IF(AF$4&gt;=EOMONTH(CloseDate,'Rent Roll'!$O$41-1),1,0)</f>
        <v>1</v>
      </c>
      <c r="AG292" s="49">
        <f>IF(AG$4&gt;=EOMONTH(CloseDate,'Rent Roll'!$O$41-1),1,0)</f>
        <v>1</v>
      </c>
      <c r="AH292" s="49">
        <f>IF(AH$4&gt;=EOMONTH(CloseDate,'Rent Roll'!$O$41-1),1,0)</f>
        <v>1</v>
      </c>
      <c r="AI292" s="49">
        <f>IF(AI$4&gt;=EOMONTH(CloseDate,'Rent Roll'!$O$41-1),1,0)</f>
        <v>1</v>
      </c>
      <c r="AJ292" s="49">
        <f>IF(AJ$4&gt;=EOMONTH(CloseDate,'Rent Roll'!$O$41-1),1,0)</f>
        <v>1</v>
      </c>
      <c r="AK292" s="49">
        <f>IF(AK$4&gt;=EOMONTH(CloseDate,'Rent Roll'!$O$41-1),1,0)</f>
        <v>1</v>
      </c>
      <c r="AL292" s="49">
        <f>IF(AL$4&gt;=EOMONTH(CloseDate,'Rent Roll'!$O$41-1),1,0)</f>
        <v>1</v>
      </c>
      <c r="AM292" s="49">
        <f>IF(AM$4&gt;=EOMONTH(CloseDate,'Rent Roll'!$O$41-1),1,0)</f>
        <v>1</v>
      </c>
      <c r="AN292" s="49">
        <f>IF(AN$4&gt;=EOMONTH(CloseDate,'Rent Roll'!$O$41-1),1,0)</f>
        <v>1</v>
      </c>
      <c r="AO292" s="49">
        <f>IF(AO$4&gt;=EOMONTH(CloseDate,'Rent Roll'!$O$41-1),1,0)</f>
        <v>1</v>
      </c>
      <c r="AP292" s="49">
        <f>IF(AP$4&gt;=EOMONTH(CloseDate,'Rent Roll'!$O$41-1),1,0)</f>
        <v>1</v>
      </c>
      <c r="AQ292" s="49">
        <f>IF(AQ$4&gt;=EOMONTH(CloseDate,'Rent Roll'!$O$41-1),1,0)</f>
        <v>1</v>
      </c>
      <c r="AR292" s="49">
        <f>IF(AR$4&gt;=EOMONTH(CloseDate,'Rent Roll'!$O$41-1),1,0)</f>
        <v>1</v>
      </c>
      <c r="AS292" s="49">
        <f>IF(AS$4&gt;=EOMONTH(CloseDate,'Rent Roll'!$O$41-1),1,0)</f>
        <v>1</v>
      </c>
      <c r="AT292" s="49">
        <f>IF(AT$4&gt;=EOMONTH(CloseDate,'Rent Roll'!$O$41-1),1,0)</f>
        <v>1</v>
      </c>
      <c r="AU292" s="49">
        <f>IF(AU$4&gt;=EOMONTH(CloseDate,'Rent Roll'!$O$41-1),1,0)</f>
        <v>1</v>
      </c>
      <c r="AV292" s="49">
        <f>IF(AV$4&gt;=EOMONTH(CloseDate,'Rent Roll'!$O$41-1),1,0)</f>
        <v>1</v>
      </c>
      <c r="AW292" s="49">
        <f>IF(AW$4&gt;=EOMONTH(CloseDate,'Rent Roll'!$O$41-1),1,0)</f>
        <v>1</v>
      </c>
      <c r="AX292" s="49">
        <f>IF(AX$4&gt;=EOMONTH(CloseDate,'Rent Roll'!$O$41-1),1,0)</f>
        <v>1</v>
      </c>
      <c r="AY292" s="49">
        <f>IF(AY$4&gt;=EOMONTH(CloseDate,'Rent Roll'!$O$41-1),1,0)</f>
        <v>1</v>
      </c>
      <c r="AZ292" s="49">
        <f>IF(AZ$4&gt;=EOMONTH(CloseDate,'Rent Roll'!$O$41-1),1,0)</f>
        <v>1</v>
      </c>
      <c r="BA292" s="49">
        <f>IF(BA$4&gt;=EOMONTH(CloseDate,'Rent Roll'!$O$41-1),1,0)</f>
        <v>1</v>
      </c>
      <c r="BB292" s="49">
        <f>IF(BB$4&gt;=EOMONTH(CloseDate,'Rent Roll'!$O$41-1),1,0)</f>
        <v>1</v>
      </c>
      <c r="BC292" s="49">
        <f>IF(BC$4&gt;=EOMONTH(CloseDate,'Rent Roll'!$O$41-1),1,0)</f>
        <v>1</v>
      </c>
      <c r="BD292" s="49">
        <f>IF(BD$4&gt;=EOMONTH(CloseDate,'Rent Roll'!$O$41-1),1,0)</f>
        <v>1</v>
      </c>
      <c r="BE292" s="49">
        <f>IF(BE$4&gt;=EOMONTH(CloseDate,'Rent Roll'!$O$41-1),1,0)</f>
        <v>1</v>
      </c>
      <c r="BF292" s="49">
        <f>IF(BF$4&gt;=EOMONTH(CloseDate,'Rent Roll'!$O$41-1),1,0)</f>
        <v>1</v>
      </c>
      <c r="BG292" s="49">
        <f>IF(BG$4&gt;=EOMONTH(CloseDate,'Rent Roll'!$O$41-1),1,0)</f>
        <v>1</v>
      </c>
      <c r="BH292" s="49">
        <f>IF(BH$4&gt;=EOMONTH(CloseDate,'Rent Roll'!$O$41-1),1,0)</f>
        <v>1</v>
      </c>
      <c r="BI292" s="49">
        <f>IF(BI$4&gt;=EOMONTH(CloseDate,'Rent Roll'!$O$41-1),1,0)</f>
        <v>1</v>
      </c>
      <c r="BJ292" s="49">
        <f>IF(BJ$4&gt;=EOMONTH(CloseDate,'Rent Roll'!$O$41-1),1,0)</f>
        <v>1</v>
      </c>
      <c r="BK292" s="49">
        <f>IF(BK$4&gt;=EOMONTH(CloseDate,'Rent Roll'!$O$41-1),1,0)</f>
        <v>1</v>
      </c>
      <c r="BL292" s="49">
        <f>IF(BL$4&gt;=EOMONTH(CloseDate,'Rent Roll'!$O$41-1),1,0)</f>
        <v>1</v>
      </c>
      <c r="BM292" s="49">
        <f>IF(BM$4&gt;=EOMONTH(CloseDate,'Rent Roll'!$O$41-1),1,0)</f>
        <v>1</v>
      </c>
      <c r="BN292" s="49">
        <f>IF(BN$4&gt;=EOMONTH(CloseDate,'Rent Roll'!$O$41-1),1,0)</f>
        <v>1</v>
      </c>
      <c r="BO292" s="49">
        <f>IF(BO$4&gt;=EOMONTH(CloseDate,'Rent Roll'!$O$41-1),1,0)</f>
        <v>1</v>
      </c>
      <c r="BP292" s="49">
        <f>IF(BP$4&gt;=EOMONTH(CloseDate,'Rent Roll'!$O$41-1),1,0)</f>
        <v>1</v>
      </c>
      <c r="BQ292" s="49">
        <f>IF(BQ$4&gt;=EOMONTH(CloseDate,'Rent Roll'!$O$41-1),1,0)</f>
        <v>1</v>
      </c>
      <c r="BR292" s="49">
        <f>IF(BR$4&gt;=EOMONTH(CloseDate,'Rent Roll'!$O$41-1),1,0)</f>
        <v>1</v>
      </c>
      <c r="BS292" s="49">
        <f>IF(BS$4&gt;=EOMONTH(CloseDate,'Rent Roll'!$O$41-1),1,0)</f>
        <v>1</v>
      </c>
      <c r="BT292" s="49">
        <f>IF(BT$4&gt;=EOMONTH(CloseDate,'Rent Roll'!$O$41-1),1,0)</f>
        <v>1</v>
      </c>
      <c r="BU292" s="49">
        <f>IF(BU$4&gt;=EOMONTH(CloseDate,'Rent Roll'!$O$41-1),1,0)</f>
        <v>1</v>
      </c>
      <c r="BV292" s="49">
        <f>IF(BV$4&gt;=EOMONTH(CloseDate,'Rent Roll'!$O$41-1),1,0)</f>
        <v>1</v>
      </c>
      <c r="BW292" s="49">
        <f>IF(BW$4&gt;=EOMONTH(CloseDate,'Rent Roll'!$O$41-1),1,0)</f>
        <v>1</v>
      </c>
      <c r="BX292" s="49">
        <f>IF(BX$4&gt;=EOMONTH(CloseDate,'Rent Roll'!$O$41-1),1,0)</f>
        <v>1</v>
      </c>
    </row>
    <row r="293" spans="1:76" outlineLevel="1">
      <c r="B293" t="s">
        <v>162</v>
      </c>
      <c r="D293" s="49">
        <f>IF(D292=1,'Rent Roll'!$F$41*'Rent Roll'!$X$41/12*D$6,0)</f>
        <v>0</v>
      </c>
      <c r="E293" s="49">
        <f>IF(E292=1,'Rent Roll'!$F$41*'Rent Roll'!$X$41/12*E$6,0)</f>
        <v>0</v>
      </c>
      <c r="F293" s="49">
        <f>IF(F292=1,'Rent Roll'!$F$41*'Rent Roll'!$X$41/12*F$6,0)</f>
        <v>0</v>
      </c>
      <c r="G293" s="49">
        <f>IF(G292=1,'Rent Roll'!$F$41*'Rent Roll'!$X$41/12*G$6,0)</f>
        <v>0</v>
      </c>
      <c r="H293" s="49">
        <f>IF(H292=1,'Rent Roll'!$F$41*'Rent Roll'!$X$41/12*H$6,0)</f>
        <v>0</v>
      </c>
      <c r="I293" s="49">
        <f>IF(I292=1,'Rent Roll'!$F$41*'Rent Roll'!$X$41/12*I$6,0)</f>
        <v>0</v>
      </c>
      <c r="J293" s="49">
        <f>IF(J292=1,'Rent Roll'!$F$41*'Rent Roll'!$X$41/12*J$6,0)</f>
        <v>0</v>
      </c>
      <c r="K293" s="49">
        <f>IF(K292=1,'Rent Roll'!$F$41*'Rent Roll'!$X$41/12*K$6,0)</f>
        <v>0</v>
      </c>
      <c r="L293" s="49">
        <f>IF(L292=1,'Rent Roll'!$F$41*'Rent Roll'!$X$41/12*L$6,0)</f>
        <v>0</v>
      </c>
      <c r="M293" s="49">
        <f>IF(M292=1,'Rent Roll'!$F$41*'Rent Roll'!$X$41/12*M$6,0)</f>
        <v>0</v>
      </c>
      <c r="N293" s="49">
        <f>IF(N292=1,'Rent Roll'!$F$41*'Rent Roll'!$X$41/12*N$6,0)</f>
        <v>0</v>
      </c>
      <c r="O293" s="49">
        <f>IF(O292=1,'Rent Roll'!$F$41*'Rent Roll'!$X$41/12*O$6,0)</f>
        <v>31152.333333333328</v>
      </c>
      <c r="P293" s="49">
        <f>IF(P292=1,'Rent Roll'!$F$41*'Rent Roll'!$X$41/12*P$6,0)</f>
        <v>31152.333333333328</v>
      </c>
      <c r="Q293" s="49">
        <f>IF(Q292=1,'Rent Roll'!$F$41*'Rent Roll'!$X$41/12*Q$6,0)</f>
        <v>31152.333333333328</v>
      </c>
      <c r="R293" s="49">
        <f>IF(R292=1,'Rent Roll'!$F$41*'Rent Roll'!$X$41/12*R$6,0)</f>
        <v>31152.333333333328</v>
      </c>
      <c r="S293" s="49">
        <f>IF(S292=1,'Rent Roll'!$F$41*'Rent Roll'!$X$41/12*S$6,0)</f>
        <v>31152.333333333328</v>
      </c>
      <c r="T293" s="49">
        <f>IF(T292=1,'Rent Roll'!$F$41*'Rent Roll'!$X$41/12*T$6,0)</f>
        <v>31152.333333333328</v>
      </c>
      <c r="U293" s="49">
        <f>IF(U292=1,'Rent Roll'!$F$41*'Rent Roll'!$X$41/12*U$6,0)</f>
        <v>31993.446333333326</v>
      </c>
      <c r="V293" s="49">
        <f>IF(V292=1,'Rent Roll'!$F$41*'Rent Roll'!$X$41/12*V$6,0)</f>
        <v>31993.446333333326</v>
      </c>
      <c r="W293" s="49">
        <f>IF(W292=1,'Rent Roll'!$F$41*'Rent Roll'!$X$41/12*W$6,0)</f>
        <v>31993.446333333326</v>
      </c>
      <c r="X293" s="49">
        <f>IF(X292=1,'Rent Roll'!$F$41*'Rent Roll'!$X$41/12*X$6,0)</f>
        <v>31993.446333333326</v>
      </c>
      <c r="Y293" s="49">
        <f>IF(Y292=1,'Rent Roll'!$F$41*'Rent Roll'!$X$41/12*Y$6,0)</f>
        <v>31993.446333333326</v>
      </c>
      <c r="Z293" s="49">
        <f>IF(Z292=1,'Rent Roll'!$F$41*'Rent Roll'!$X$41/12*Z$6,0)</f>
        <v>31993.446333333326</v>
      </c>
      <c r="AA293" s="49">
        <f>IF(AA292=1,'Rent Roll'!$F$41*'Rent Roll'!$X$41/12*AA$6,0)</f>
        <v>31993.446333333326</v>
      </c>
      <c r="AB293" s="49">
        <f>IF(AB292=1,'Rent Roll'!$F$41*'Rent Roll'!$X$41/12*AB$6,0)</f>
        <v>31993.446333333326</v>
      </c>
      <c r="AC293" s="49">
        <f>IF(AC292=1,'Rent Roll'!$F$41*'Rent Roll'!$X$41/12*AC$6,0)</f>
        <v>31993.446333333326</v>
      </c>
      <c r="AD293" s="49">
        <f>IF(AD292=1,'Rent Roll'!$F$41*'Rent Roll'!$X$41/12*AD$6,0)</f>
        <v>31993.446333333326</v>
      </c>
      <c r="AE293" s="49">
        <f>IF(AE292=1,'Rent Roll'!$F$41*'Rent Roll'!$X$41/12*AE$6,0)</f>
        <v>31993.446333333326</v>
      </c>
      <c r="AF293" s="49">
        <f>IF(AF292=1,'Rent Roll'!$F$41*'Rent Roll'!$X$41/12*AF$6,0)</f>
        <v>31993.446333333326</v>
      </c>
      <c r="AG293" s="49">
        <f>IF(AG292=1,'Rent Roll'!$F$41*'Rent Roll'!$X$41/12*AG$6,0)</f>
        <v>32857.269384333325</v>
      </c>
      <c r="AH293" s="49">
        <f>IF(AH292=1,'Rent Roll'!$F$41*'Rent Roll'!$X$41/12*AH$6,0)</f>
        <v>32857.269384333325</v>
      </c>
      <c r="AI293" s="49">
        <f>IF(AI292=1,'Rent Roll'!$F$41*'Rent Roll'!$X$41/12*AI$6,0)</f>
        <v>32857.269384333325</v>
      </c>
      <c r="AJ293" s="49">
        <f>IF(AJ292=1,'Rent Roll'!$F$41*'Rent Roll'!$X$41/12*AJ$6,0)</f>
        <v>32857.269384333325</v>
      </c>
      <c r="AK293" s="49">
        <f>IF(AK292=1,'Rent Roll'!$F$41*'Rent Roll'!$X$41/12*AK$6,0)</f>
        <v>32857.269384333325</v>
      </c>
      <c r="AL293" s="49">
        <f>IF(AL292=1,'Rent Roll'!$F$41*'Rent Roll'!$X$41/12*AL$6,0)</f>
        <v>32857.269384333325</v>
      </c>
      <c r="AM293" s="49">
        <f>IF(AM292=1,'Rent Roll'!$F$41*'Rent Roll'!$X$41/12*AM$6,0)</f>
        <v>32857.269384333325</v>
      </c>
      <c r="AN293" s="49">
        <f>IF(AN292=1,'Rent Roll'!$F$41*'Rent Roll'!$X$41/12*AN$6,0)</f>
        <v>32857.269384333325</v>
      </c>
      <c r="AO293" s="49">
        <f>IF(AO292=1,'Rent Roll'!$F$41*'Rent Roll'!$X$41/12*AO$6,0)</f>
        <v>32857.269384333325</v>
      </c>
      <c r="AP293" s="49">
        <f>IF(AP292=1,'Rent Roll'!$F$41*'Rent Roll'!$X$41/12*AP$6,0)</f>
        <v>32857.269384333325</v>
      </c>
      <c r="AQ293" s="49">
        <f>IF(AQ292=1,'Rent Roll'!$F$41*'Rent Roll'!$X$41/12*AQ$6,0)</f>
        <v>32857.269384333325</v>
      </c>
      <c r="AR293" s="49">
        <f>IF(AR292=1,'Rent Roll'!$F$41*'Rent Roll'!$X$41/12*AR$6,0)</f>
        <v>32857.269384333325</v>
      </c>
      <c r="AS293" s="49">
        <f>IF(AS292=1,'Rent Roll'!$F$41*'Rent Roll'!$X$41/12*AS$6,0)</f>
        <v>33744.41565771032</v>
      </c>
      <c r="AT293" s="49">
        <f>IF(AT292=1,'Rent Roll'!$F$41*'Rent Roll'!$X$41/12*AT$6,0)</f>
        <v>33744.41565771032</v>
      </c>
      <c r="AU293" s="49">
        <f>IF(AU292=1,'Rent Roll'!$F$41*'Rent Roll'!$X$41/12*AU$6,0)</f>
        <v>33744.41565771032</v>
      </c>
      <c r="AV293" s="49">
        <f>IF(AV292=1,'Rent Roll'!$F$41*'Rent Roll'!$X$41/12*AV$6,0)</f>
        <v>33744.41565771032</v>
      </c>
      <c r="AW293" s="49">
        <f>IF(AW292=1,'Rent Roll'!$F$41*'Rent Roll'!$X$41/12*AW$6,0)</f>
        <v>33744.41565771032</v>
      </c>
      <c r="AX293" s="49">
        <f>IF(AX292=1,'Rent Roll'!$F$41*'Rent Roll'!$X$41/12*AX$6,0)</f>
        <v>33744.41565771032</v>
      </c>
      <c r="AY293" s="49">
        <f>IF(AY292=1,'Rent Roll'!$F$41*'Rent Roll'!$X$41/12*AY$6,0)</f>
        <v>33744.41565771032</v>
      </c>
      <c r="AZ293" s="49">
        <f>IF(AZ292=1,'Rent Roll'!$F$41*'Rent Roll'!$X$41/12*AZ$6,0)</f>
        <v>33744.41565771032</v>
      </c>
      <c r="BA293" s="49">
        <f>IF(BA292=1,'Rent Roll'!$F$41*'Rent Roll'!$X$41/12*BA$6,0)</f>
        <v>33744.41565771032</v>
      </c>
      <c r="BB293" s="49">
        <f>IF(BB292=1,'Rent Roll'!$F$41*'Rent Roll'!$X$41/12*BB$6,0)</f>
        <v>33744.41565771032</v>
      </c>
      <c r="BC293" s="49">
        <f>IF(BC292=1,'Rent Roll'!$F$41*'Rent Roll'!$X$41/12*BC$6,0)</f>
        <v>33744.41565771032</v>
      </c>
      <c r="BD293" s="49">
        <f>IF(BD292=1,'Rent Roll'!$F$41*'Rent Roll'!$X$41/12*BD$6,0)</f>
        <v>33744.41565771032</v>
      </c>
      <c r="BE293" s="49">
        <f>IF(BE292=1,'Rent Roll'!$F$41*'Rent Roll'!$X$41/12*BE$6,0)</f>
        <v>34655.514880468494</v>
      </c>
      <c r="BF293" s="49">
        <f>IF(BF292=1,'Rent Roll'!$F$41*'Rent Roll'!$X$41/12*BF$6,0)</f>
        <v>34655.514880468494</v>
      </c>
      <c r="BG293" s="49">
        <f>IF(BG292=1,'Rent Roll'!$F$41*'Rent Roll'!$X$41/12*BG$6,0)</f>
        <v>34655.514880468494</v>
      </c>
      <c r="BH293" s="49">
        <f>IF(BH292=1,'Rent Roll'!$F$41*'Rent Roll'!$X$41/12*BH$6,0)</f>
        <v>34655.514880468494</v>
      </c>
      <c r="BI293" s="49">
        <f>IF(BI292=1,'Rent Roll'!$F$41*'Rent Roll'!$X$41/12*BI$6,0)</f>
        <v>34655.514880468494</v>
      </c>
      <c r="BJ293" s="49">
        <f>IF(BJ292=1,'Rent Roll'!$F$41*'Rent Roll'!$X$41/12*BJ$6,0)</f>
        <v>34655.514880468494</v>
      </c>
      <c r="BK293" s="49">
        <f>IF(BK292=1,'Rent Roll'!$F$41*'Rent Roll'!$X$41/12*BK$6,0)</f>
        <v>34655.514880468494</v>
      </c>
      <c r="BL293" s="49">
        <f>IF(BL292=1,'Rent Roll'!$F$41*'Rent Roll'!$X$41/12*BL$6,0)</f>
        <v>34655.514880468494</v>
      </c>
      <c r="BM293" s="49">
        <f>IF(BM292=1,'Rent Roll'!$F$41*'Rent Roll'!$X$41/12*BM$6,0)</f>
        <v>34655.514880468494</v>
      </c>
      <c r="BN293" s="49">
        <f>IF(BN292=1,'Rent Roll'!$F$41*'Rent Roll'!$X$41/12*BN$6,0)</f>
        <v>34655.514880468494</v>
      </c>
      <c r="BO293" s="49">
        <f>IF(BO292=1,'Rent Roll'!$F$41*'Rent Roll'!$X$41/12*BO$6,0)</f>
        <v>34655.514880468494</v>
      </c>
      <c r="BP293" s="49">
        <f>IF(BP292=1,'Rent Roll'!$F$41*'Rent Roll'!$X$41/12*BP$6,0)</f>
        <v>34655.514880468494</v>
      </c>
      <c r="BQ293" s="49">
        <f>IF(BQ292=1,'Rent Roll'!$F$41*'Rent Roll'!$X$41/12*BQ$6,0)</f>
        <v>35591.213782241139</v>
      </c>
      <c r="BR293" s="49">
        <f>IF(BR292=1,'Rent Roll'!$F$41*'Rent Roll'!$X$41/12*BR$6,0)</f>
        <v>35591.213782241139</v>
      </c>
      <c r="BS293" s="49">
        <f>IF(BS292=1,'Rent Roll'!$F$41*'Rent Roll'!$X$41/12*BS$6,0)</f>
        <v>35591.213782241139</v>
      </c>
      <c r="BT293" s="49">
        <f>IF(BT292=1,'Rent Roll'!$F$41*'Rent Roll'!$X$41/12*BT$6,0)</f>
        <v>35591.213782241139</v>
      </c>
      <c r="BU293" s="49">
        <f>IF(BU292=1,'Rent Roll'!$F$41*'Rent Roll'!$X$41/12*BU$6,0)</f>
        <v>35591.213782241139</v>
      </c>
      <c r="BV293" s="49">
        <f>IF(BV292=1,'Rent Roll'!$F$41*'Rent Roll'!$X$41/12*BV$6,0)</f>
        <v>35591.213782241139</v>
      </c>
      <c r="BW293" s="49">
        <f>IF(BW292=1,'Rent Roll'!$F$41*'Rent Roll'!$X$41/12*BW$6,0)</f>
        <v>35591.213782241139</v>
      </c>
      <c r="BX293" s="49">
        <f>IF(BX292=1,'Rent Roll'!$F$41*'Rent Roll'!$X$41/12*BX$6,0)</f>
        <v>35591.213782241139</v>
      </c>
    </row>
    <row r="294" spans="1:76" outlineLevel="1">
      <c r="B294" t="s">
        <v>163</v>
      </c>
      <c r="D294" s="49">
        <f>IF(AND(D$4&gt;=EOMONTH(CloseDate,'Rent Roll'!$O$41-1),D$4&lt;EOMONTH(CloseDate,'Rent Roll'!$O$41-1+'Rent Roll'!$V$41)),-D293,0)</f>
        <v>0</v>
      </c>
      <c r="E294" s="49">
        <f>IF(AND(E$4&gt;=EOMONTH(CloseDate,'Rent Roll'!$O$41-1),E$4&lt;EOMONTH(CloseDate,'Rent Roll'!$O$41-1+'Rent Roll'!$V$41)),-E293,0)</f>
        <v>0</v>
      </c>
      <c r="F294" s="49">
        <f>IF(AND(F$4&gt;=EOMONTH(CloseDate,'Rent Roll'!$O$41-1),F$4&lt;EOMONTH(CloseDate,'Rent Roll'!$O$41-1+'Rent Roll'!$V$41)),-F293,0)</f>
        <v>0</v>
      </c>
      <c r="G294" s="49">
        <f>IF(AND(G$4&gt;=EOMONTH(CloseDate,'Rent Roll'!$O$41-1),G$4&lt;EOMONTH(CloseDate,'Rent Roll'!$O$41-1+'Rent Roll'!$V$41)),-G293,0)</f>
        <v>0</v>
      </c>
      <c r="H294" s="49">
        <f>IF(AND(H$4&gt;=EOMONTH(CloseDate,'Rent Roll'!$O$41-1),H$4&lt;EOMONTH(CloseDate,'Rent Roll'!$O$41-1+'Rent Roll'!$V$41)),-H293,0)</f>
        <v>0</v>
      </c>
      <c r="I294" s="49">
        <f>IF(AND(I$4&gt;=EOMONTH(CloseDate,'Rent Roll'!$O$41-1),I$4&lt;EOMONTH(CloseDate,'Rent Roll'!$O$41-1+'Rent Roll'!$V$41)),-I293,0)</f>
        <v>0</v>
      </c>
      <c r="J294" s="49">
        <f>IF(AND(J$4&gt;=EOMONTH(CloseDate,'Rent Roll'!$O$41-1),J$4&lt;EOMONTH(CloseDate,'Rent Roll'!$O$41-1+'Rent Roll'!$V$41)),-J293,0)</f>
        <v>0</v>
      </c>
      <c r="K294" s="49">
        <f>IF(AND(K$4&gt;=EOMONTH(CloseDate,'Rent Roll'!$O$41-1),K$4&lt;EOMONTH(CloseDate,'Rent Roll'!$O$41-1+'Rent Roll'!$V$41)),-K293,0)</f>
        <v>0</v>
      </c>
      <c r="L294" s="49">
        <f>IF(AND(L$4&gt;=EOMONTH(CloseDate,'Rent Roll'!$O$41-1),L$4&lt;EOMONTH(CloseDate,'Rent Roll'!$O$41-1+'Rent Roll'!$V$41)),-L293,0)</f>
        <v>0</v>
      </c>
      <c r="M294" s="49">
        <f>IF(AND(M$4&gt;=EOMONTH(CloseDate,'Rent Roll'!$O$41-1),M$4&lt;EOMONTH(CloseDate,'Rent Roll'!$O$41-1+'Rent Roll'!$V$41)),-M293,0)</f>
        <v>0</v>
      </c>
      <c r="N294" s="49">
        <f>IF(AND(N$4&gt;=EOMONTH(CloseDate,'Rent Roll'!$O$41-1),N$4&lt;EOMONTH(CloseDate,'Rent Roll'!$O$41-1+'Rent Roll'!$V$41)),-N293,0)</f>
        <v>0</v>
      </c>
      <c r="O294" s="49">
        <f>IF(AND(O$4&gt;=EOMONTH(CloseDate,'Rent Roll'!$O$41-1),O$4&lt;EOMONTH(CloseDate,'Rent Roll'!$O$41-1+'Rent Roll'!$V$41)),-O293,0)</f>
        <v>-31152.333333333328</v>
      </c>
      <c r="P294" s="49">
        <f>IF(AND(P$4&gt;=EOMONTH(CloseDate,'Rent Roll'!$O$41-1),P$4&lt;EOMONTH(CloseDate,'Rent Roll'!$O$41-1+'Rent Roll'!$V$41)),-P293,0)</f>
        <v>-31152.333333333328</v>
      </c>
      <c r="Q294" s="49">
        <f>IF(AND(Q$4&gt;=EOMONTH(CloseDate,'Rent Roll'!$O$41-1),Q$4&lt;EOMONTH(CloseDate,'Rent Roll'!$O$41-1+'Rent Roll'!$V$41)),-Q293,0)</f>
        <v>0</v>
      </c>
      <c r="R294" s="49">
        <f>IF(AND(R$4&gt;=EOMONTH(CloseDate,'Rent Roll'!$O$41-1),R$4&lt;EOMONTH(CloseDate,'Rent Roll'!$O$41-1+'Rent Roll'!$V$41)),-R293,0)</f>
        <v>0</v>
      </c>
      <c r="S294" s="49">
        <f>IF(AND(S$4&gt;=EOMONTH(CloseDate,'Rent Roll'!$O$41-1),S$4&lt;EOMONTH(CloseDate,'Rent Roll'!$O$41-1+'Rent Roll'!$V$41)),-S293,0)</f>
        <v>0</v>
      </c>
      <c r="T294" s="49">
        <f>IF(AND(T$4&gt;=EOMONTH(CloseDate,'Rent Roll'!$O$41-1),T$4&lt;EOMONTH(CloseDate,'Rent Roll'!$O$41-1+'Rent Roll'!$V$41)),-T293,0)</f>
        <v>0</v>
      </c>
      <c r="U294" s="49">
        <f>IF(AND(U$4&gt;=EOMONTH(CloseDate,'Rent Roll'!$O$41-1),U$4&lt;EOMONTH(CloseDate,'Rent Roll'!$O$41-1+'Rent Roll'!$V$41)),-U293,0)</f>
        <v>0</v>
      </c>
      <c r="V294" s="49">
        <f>IF(AND(V$4&gt;=EOMONTH(CloseDate,'Rent Roll'!$O$41-1),V$4&lt;EOMONTH(CloseDate,'Rent Roll'!$O$41-1+'Rent Roll'!$V$41)),-V293,0)</f>
        <v>0</v>
      </c>
      <c r="W294" s="49">
        <f>IF(AND(W$4&gt;=EOMONTH(CloseDate,'Rent Roll'!$O$41-1),W$4&lt;EOMONTH(CloseDate,'Rent Roll'!$O$41-1+'Rent Roll'!$V$41)),-W293,0)</f>
        <v>0</v>
      </c>
      <c r="X294" s="49">
        <f>IF(AND(X$4&gt;=EOMONTH(CloseDate,'Rent Roll'!$O$41-1),X$4&lt;EOMONTH(CloseDate,'Rent Roll'!$O$41-1+'Rent Roll'!$V$41)),-X293,0)</f>
        <v>0</v>
      </c>
      <c r="Y294" s="49">
        <f>IF(AND(Y$4&gt;=EOMONTH(CloseDate,'Rent Roll'!$O$41-1),Y$4&lt;EOMONTH(CloseDate,'Rent Roll'!$O$41-1+'Rent Roll'!$V$41)),-Y293,0)</f>
        <v>0</v>
      </c>
      <c r="Z294" s="49">
        <f>IF(AND(Z$4&gt;=EOMONTH(CloseDate,'Rent Roll'!$O$41-1),Z$4&lt;EOMONTH(CloseDate,'Rent Roll'!$O$41-1+'Rent Roll'!$V$41)),-Z293,0)</f>
        <v>0</v>
      </c>
      <c r="AA294" s="49">
        <f>IF(AND(AA$4&gt;=EOMONTH(CloseDate,'Rent Roll'!$O$41-1),AA$4&lt;EOMONTH(CloseDate,'Rent Roll'!$O$41-1+'Rent Roll'!$V$41)),-AA293,0)</f>
        <v>0</v>
      </c>
      <c r="AB294" s="49">
        <f>IF(AND(AB$4&gt;=EOMONTH(CloseDate,'Rent Roll'!$O$41-1),AB$4&lt;EOMONTH(CloseDate,'Rent Roll'!$O$41-1+'Rent Roll'!$V$41)),-AB293,0)</f>
        <v>0</v>
      </c>
      <c r="AC294" s="49">
        <f>IF(AND(AC$4&gt;=EOMONTH(CloseDate,'Rent Roll'!$O$41-1),AC$4&lt;EOMONTH(CloseDate,'Rent Roll'!$O$41-1+'Rent Roll'!$V$41)),-AC293,0)</f>
        <v>0</v>
      </c>
      <c r="AD294" s="49">
        <f>IF(AND(AD$4&gt;=EOMONTH(CloseDate,'Rent Roll'!$O$41-1),AD$4&lt;EOMONTH(CloseDate,'Rent Roll'!$O$41-1+'Rent Roll'!$V$41)),-AD293,0)</f>
        <v>0</v>
      </c>
      <c r="AE294" s="49">
        <f>IF(AND(AE$4&gt;=EOMONTH(CloseDate,'Rent Roll'!$O$41-1),AE$4&lt;EOMONTH(CloseDate,'Rent Roll'!$O$41-1+'Rent Roll'!$V$41)),-AE293,0)</f>
        <v>0</v>
      </c>
      <c r="AF294" s="49">
        <f>IF(AND(AF$4&gt;=EOMONTH(CloseDate,'Rent Roll'!$O$41-1),AF$4&lt;EOMONTH(CloseDate,'Rent Roll'!$O$41-1+'Rent Roll'!$V$41)),-AF293,0)</f>
        <v>0</v>
      </c>
      <c r="AG294" s="49">
        <f>IF(AND(AG$4&gt;=EOMONTH(CloseDate,'Rent Roll'!$O$41-1),AG$4&lt;EOMONTH(CloseDate,'Rent Roll'!$O$41-1+'Rent Roll'!$V$41)),-AG293,0)</f>
        <v>0</v>
      </c>
      <c r="AH294" s="49">
        <f>IF(AND(AH$4&gt;=EOMONTH(CloseDate,'Rent Roll'!$O$41-1),AH$4&lt;EOMONTH(CloseDate,'Rent Roll'!$O$41-1+'Rent Roll'!$V$41)),-AH293,0)</f>
        <v>0</v>
      </c>
      <c r="AI294" s="49">
        <f>IF(AND(AI$4&gt;=EOMONTH(CloseDate,'Rent Roll'!$O$41-1),AI$4&lt;EOMONTH(CloseDate,'Rent Roll'!$O$41-1+'Rent Roll'!$V$41)),-AI293,0)</f>
        <v>0</v>
      </c>
      <c r="AJ294" s="49">
        <f>IF(AND(AJ$4&gt;=EOMONTH(CloseDate,'Rent Roll'!$O$41-1),AJ$4&lt;EOMONTH(CloseDate,'Rent Roll'!$O$41-1+'Rent Roll'!$V$41)),-AJ293,0)</f>
        <v>0</v>
      </c>
      <c r="AK294" s="49">
        <f>IF(AND(AK$4&gt;=EOMONTH(CloseDate,'Rent Roll'!$O$41-1),AK$4&lt;EOMONTH(CloseDate,'Rent Roll'!$O$41-1+'Rent Roll'!$V$41)),-AK293,0)</f>
        <v>0</v>
      </c>
      <c r="AL294" s="49">
        <f>IF(AND(AL$4&gt;=EOMONTH(CloseDate,'Rent Roll'!$O$41-1),AL$4&lt;EOMONTH(CloseDate,'Rent Roll'!$O$41-1+'Rent Roll'!$V$41)),-AL293,0)</f>
        <v>0</v>
      </c>
      <c r="AM294" s="49">
        <f>IF(AND(AM$4&gt;=EOMONTH(CloseDate,'Rent Roll'!$O$41-1),AM$4&lt;EOMONTH(CloseDate,'Rent Roll'!$O$41-1+'Rent Roll'!$V$41)),-AM293,0)</f>
        <v>0</v>
      </c>
      <c r="AN294" s="49">
        <f>IF(AND(AN$4&gt;=EOMONTH(CloseDate,'Rent Roll'!$O$41-1),AN$4&lt;EOMONTH(CloseDate,'Rent Roll'!$O$41-1+'Rent Roll'!$V$41)),-AN293,0)</f>
        <v>0</v>
      </c>
      <c r="AO294" s="49">
        <f>IF(AND(AO$4&gt;=EOMONTH(CloseDate,'Rent Roll'!$O$41-1),AO$4&lt;EOMONTH(CloseDate,'Rent Roll'!$O$41-1+'Rent Roll'!$V$41)),-AO293,0)</f>
        <v>0</v>
      </c>
      <c r="AP294" s="49">
        <f>IF(AND(AP$4&gt;=EOMONTH(CloseDate,'Rent Roll'!$O$41-1),AP$4&lt;EOMONTH(CloseDate,'Rent Roll'!$O$41-1+'Rent Roll'!$V$41)),-AP293,0)</f>
        <v>0</v>
      </c>
      <c r="AQ294" s="49">
        <f>IF(AND(AQ$4&gt;=EOMONTH(CloseDate,'Rent Roll'!$O$41-1),AQ$4&lt;EOMONTH(CloseDate,'Rent Roll'!$O$41-1+'Rent Roll'!$V$41)),-AQ293,0)</f>
        <v>0</v>
      </c>
      <c r="AR294" s="49">
        <f>IF(AND(AR$4&gt;=EOMONTH(CloseDate,'Rent Roll'!$O$41-1),AR$4&lt;EOMONTH(CloseDate,'Rent Roll'!$O$41-1+'Rent Roll'!$V$41)),-AR293,0)</f>
        <v>0</v>
      </c>
      <c r="AS294" s="49">
        <f>IF(AND(AS$4&gt;=EOMONTH(CloseDate,'Rent Roll'!$O$41-1),AS$4&lt;EOMONTH(CloseDate,'Rent Roll'!$O$41-1+'Rent Roll'!$V$41)),-AS293,0)</f>
        <v>0</v>
      </c>
      <c r="AT294" s="49">
        <f>IF(AND(AT$4&gt;=EOMONTH(CloseDate,'Rent Roll'!$O$41-1),AT$4&lt;EOMONTH(CloseDate,'Rent Roll'!$O$41-1+'Rent Roll'!$V$41)),-AT293,0)</f>
        <v>0</v>
      </c>
      <c r="AU294" s="49">
        <f>IF(AND(AU$4&gt;=EOMONTH(CloseDate,'Rent Roll'!$O$41-1),AU$4&lt;EOMONTH(CloseDate,'Rent Roll'!$O$41-1+'Rent Roll'!$V$41)),-AU293,0)</f>
        <v>0</v>
      </c>
      <c r="AV294" s="49">
        <f>IF(AND(AV$4&gt;=EOMONTH(CloseDate,'Rent Roll'!$O$41-1),AV$4&lt;EOMONTH(CloseDate,'Rent Roll'!$O$41-1+'Rent Roll'!$V$41)),-AV293,0)</f>
        <v>0</v>
      </c>
      <c r="AW294" s="49">
        <f>IF(AND(AW$4&gt;=EOMONTH(CloseDate,'Rent Roll'!$O$41-1),AW$4&lt;EOMONTH(CloseDate,'Rent Roll'!$O$41-1+'Rent Roll'!$V$41)),-AW293,0)</f>
        <v>0</v>
      </c>
      <c r="AX294" s="49">
        <f>IF(AND(AX$4&gt;=EOMONTH(CloseDate,'Rent Roll'!$O$41-1),AX$4&lt;EOMONTH(CloseDate,'Rent Roll'!$O$41-1+'Rent Roll'!$V$41)),-AX293,0)</f>
        <v>0</v>
      </c>
      <c r="AY294" s="49">
        <f>IF(AND(AY$4&gt;=EOMONTH(CloseDate,'Rent Roll'!$O$41-1),AY$4&lt;EOMONTH(CloseDate,'Rent Roll'!$O$41-1+'Rent Roll'!$V$41)),-AY293,0)</f>
        <v>0</v>
      </c>
      <c r="AZ294" s="49">
        <f>IF(AND(AZ$4&gt;=EOMONTH(CloseDate,'Rent Roll'!$O$41-1),AZ$4&lt;EOMONTH(CloseDate,'Rent Roll'!$O$41-1+'Rent Roll'!$V$41)),-AZ293,0)</f>
        <v>0</v>
      </c>
      <c r="BA294" s="49">
        <f>IF(AND(BA$4&gt;=EOMONTH(CloseDate,'Rent Roll'!$O$41-1),BA$4&lt;EOMONTH(CloseDate,'Rent Roll'!$O$41-1+'Rent Roll'!$V$41)),-BA293,0)</f>
        <v>0</v>
      </c>
      <c r="BB294" s="49">
        <f>IF(AND(BB$4&gt;=EOMONTH(CloseDate,'Rent Roll'!$O$41-1),BB$4&lt;EOMONTH(CloseDate,'Rent Roll'!$O$41-1+'Rent Roll'!$V$41)),-BB293,0)</f>
        <v>0</v>
      </c>
      <c r="BC294" s="49">
        <f>IF(AND(BC$4&gt;=EOMONTH(CloseDate,'Rent Roll'!$O$41-1),BC$4&lt;EOMONTH(CloseDate,'Rent Roll'!$O$41-1+'Rent Roll'!$V$41)),-BC293,0)</f>
        <v>0</v>
      </c>
      <c r="BD294" s="49">
        <f>IF(AND(BD$4&gt;=EOMONTH(CloseDate,'Rent Roll'!$O$41-1),BD$4&lt;EOMONTH(CloseDate,'Rent Roll'!$O$41-1+'Rent Roll'!$V$41)),-BD293,0)</f>
        <v>0</v>
      </c>
      <c r="BE294" s="49">
        <f>IF(AND(BE$4&gt;=EOMONTH(CloseDate,'Rent Roll'!$O$41-1),BE$4&lt;EOMONTH(CloseDate,'Rent Roll'!$O$41-1+'Rent Roll'!$V$41)),-BE293,0)</f>
        <v>0</v>
      </c>
      <c r="BF294" s="49">
        <f>IF(AND(BF$4&gt;=EOMONTH(CloseDate,'Rent Roll'!$O$41-1),BF$4&lt;EOMONTH(CloseDate,'Rent Roll'!$O$41-1+'Rent Roll'!$V$41)),-BF293,0)</f>
        <v>0</v>
      </c>
      <c r="BG294" s="49">
        <f>IF(AND(BG$4&gt;=EOMONTH(CloseDate,'Rent Roll'!$O$41-1),BG$4&lt;EOMONTH(CloseDate,'Rent Roll'!$O$41-1+'Rent Roll'!$V$41)),-BG293,0)</f>
        <v>0</v>
      </c>
      <c r="BH294" s="49">
        <f>IF(AND(BH$4&gt;=EOMONTH(CloseDate,'Rent Roll'!$O$41-1),BH$4&lt;EOMONTH(CloseDate,'Rent Roll'!$O$41-1+'Rent Roll'!$V$41)),-BH293,0)</f>
        <v>0</v>
      </c>
      <c r="BI294" s="49">
        <f>IF(AND(BI$4&gt;=EOMONTH(CloseDate,'Rent Roll'!$O$41-1),BI$4&lt;EOMONTH(CloseDate,'Rent Roll'!$O$41-1+'Rent Roll'!$V$41)),-BI293,0)</f>
        <v>0</v>
      </c>
      <c r="BJ294" s="49">
        <f>IF(AND(BJ$4&gt;=EOMONTH(CloseDate,'Rent Roll'!$O$41-1),BJ$4&lt;EOMONTH(CloseDate,'Rent Roll'!$O$41-1+'Rent Roll'!$V$41)),-BJ293,0)</f>
        <v>0</v>
      </c>
      <c r="BK294" s="49">
        <f>IF(AND(BK$4&gt;=EOMONTH(CloseDate,'Rent Roll'!$O$41-1),BK$4&lt;EOMONTH(CloseDate,'Rent Roll'!$O$41-1+'Rent Roll'!$V$41)),-BK293,0)</f>
        <v>0</v>
      </c>
      <c r="BL294" s="49">
        <f>IF(AND(BL$4&gt;=EOMONTH(CloseDate,'Rent Roll'!$O$41-1),BL$4&lt;EOMONTH(CloseDate,'Rent Roll'!$O$41-1+'Rent Roll'!$V$41)),-BL293,0)</f>
        <v>0</v>
      </c>
      <c r="BM294" s="49">
        <f>IF(AND(BM$4&gt;=EOMONTH(CloseDate,'Rent Roll'!$O$41-1),BM$4&lt;EOMONTH(CloseDate,'Rent Roll'!$O$41-1+'Rent Roll'!$V$41)),-BM293,0)</f>
        <v>0</v>
      </c>
      <c r="BN294" s="49">
        <f>IF(AND(BN$4&gt;=EOMONTH(CloseDate,'Rent Roll'!$O$41-1),BN$4&lt;EOMONTH(CloseDate,'Rent Roll'!$O$41-1+'Rent Roll'!$V$41)),-BN293,0)</f>
        <v>0</v>
      </c>
      <c r="BO294" s="49">
        <f>IF(AND(BO$4&gt;=EOMONTH(CloseDate,'Rent Roll'!$O$41-1),BO$4&lt;EOMONTH(CloseDate,'Rent Roll'!$O$41-1+'Rent Roll'!$V$41)),-BO293,0)</f>
        <v>0</v>
      </c>
      <c r="BP294" s="49">
        <f>IF(AND(BP$4&gt;=EOMONTH(CloseDate,'Rent Roll'!$O$41-1),BP$4&lt;EOMONTH(CloseDate,'Rent Roll'!$O$41-1+'Rent Roll'!$V$41)),-BP293,0)</f>
        <v>0</v>
      </c>
      <c r="BQ294" s="49">
        <f>IF(AND(BQ$4&gt;=EOMONTH(CloseDate,'Rent Roll'!$O$41-1),BQ$4&lt;EOMONTH(CloseDate,'Rent Roll'!$O$41-1+'Rent Roll'!$V$41)),-BQ293,0)</f>
        <v>0</v>
      </c>
      <c r="BR294" s="49">
        <f>IF(AND(BR$4&gt;=EOMONTH(CloseDate,'Rent Roll'!$O$41-1),BR$4&lt;EOMONTH(CloseDate,'Rent Roll'!$O$41-1+'Rent Roll'!$V$41)),-BR293,0)</f>
        <v>0</v>
      </c>
      <c r="BS294" s="49">
        <f>IF(AND(BS$4&gt;=EOMONTH(CloseDate,'Rent Roll'!$O$41-1),BS$4&lt;EOMONTH(CloseDate,'Rent Roll'!$O$41-1+'Rent Roll'!$V$41)),-BS293,0)</f>
        <v>0</v>
      </c>
      <c r="BT294" s="49">
        <f>IF(AND(BT$4&gt;=EOMONTH(CloseDate,'Rent Roll'!$O$41-1),BT$4&lt;EOMONTH(CloseDate,'Rent Roll'!$O$41-1+'Rent Roll'!$V$41)),-BT293,0)</f>
        <v>0</v>
      </c>
      <c r="BU294" s="49">
        <f>IF(AND(BU$4&gt;=EOMONTH(CloseDate,'Rent Roll'!$O$41-1),BU$4&lt;EOMONTH(CloseDate,'Rent Roll'!$O$41-1+'Rent Roll'!$V$41)),-BU293,0)</f>
        <v>0</v>
      </c>
      <c r="BV294" s="49">
        <f>IF(AND(BV$4&gt;=EOMONTH(CloseDate,'Rent Roll'!$O$41-1),BV$4&lt;EOMONTH(CloseDate,'Rent Roll'!$O$41-1+'Rent Roll'!$V$41)),-BV293,0)</f>
        <v>0</v>
      </c>
      <c r="BW294" s="49">
        <f>IF(AND(BW$4&gt;=EOMONTH(CloseDate,'Rent Roll'!$O$41-1),BW$4&lt;EOMONTH(CloseDate,'Rent Roll'!$O$41-1+'Rent Roll'!$V$41)),-BW293,0)</f>
        <v>0</v>
      </c>
      <c r="BX294" s="49">
        <f>IF(AND(BX$4&gt;=EOMONTH(CloseDate,'Rent Roll'!$O$41-1),BX$4&lt;EOMONTH(CloseDate,'Rent Roll'!$O$41-1+'Rent Roll'!$V$41)),-BX293,0)</f>
        <v>0</v>
      </c>
    </row>
    <row r="295" spans="1:76" outlineLevel="1">
      <c r="B295" t="s">
        <v>84</v>
      </c>
      <c r="D295" s="49">
        <f>D291+D293+D294</f>
        <v>0</v>
      </c>
      <c r="E295" s="49">
        <f t="shared" ref="E295:BJ295" si="95">E291+E293+E294</f>
        <v>0</v>
      </c>
      <c r="F295" s="49">
        <f t="shared" si="95"/>
        <v>0</v>
      </c>
      <c r="G295" s="49">
        <f t="shared" si="95"/>
        <v>0</v>
      </c>
      <c r="H295" s="49">
        <f t="shared" si="95"/>
        <v>0</v>
      </c>
      <c r="I295" s="49">
        <f t="shared" si="95"/>
        <v>0</v>
      </c>
      <c r="J295" s="49">
        <f t="shared" si="95"/>
        <v>0</v>
      </c>
      <c r="K295" s="49">
        <f t="shared" si="95"/>
        <v>0</v>
      </c>
      <c r="L295" s="49">
        <f t="shared" si="95"/>
        <v>0</v>
      </c>
      <c r="M295" s="49">
        <f t="shared" si="95"/>
        <v>0</v>
      </c>
      <c r="N295" s="49">
        <f t="shared" si="95"/>
        <v>0</v>
      </c>
      <c r="O295" s="49">
        <f t="shared" si="95"/>
        <v>0</v>
      </c>
      <c r="P295" s="49">
        <f t="shared" si="95"/>
        <v>0</v>
      </c>
      <c r="Q295" s="49">
        <f t="shared" si="95"/>
        <v>31152.333333333328</v>
      </c>
      <c r="R295" s="49">
        <f t="shared" si="95"/>
        <v>31152.333333333328</v>
      </c>
      <c r="S295" s="49">
        <f t="shared" si="95"/>
        <v>31152.333333333328</v>
      </c>
      <c r="T295" s="49">
        <f t="shared" si="95"/>
        <v>31152.333333333328</v>
      </c>
      <c r="U295" s="49">
        <f t="shared" si="95"/>
        <v>31993.446333333326</v>
      </c>
      <c r="V295" s="49">
        <f t="shared" si="95"/>
        <v>31993.446333333326</v>
      </c>
      <c r="W295" s="49">
        <f t="shared" si="95"/>
        <v>31993.446333333326</v>
      </c>
      <c r="X295" s="49">
        <f t="shared" si="95"/>
        <v>31993.446333333326</v>
      </c>
      <c r="Y295" s="49">
        <f t="shared" si="95"/>
        <v>31993.446333333326</v>
      </c>
      <c r="Z295" s="49">
        <f t="shared" si="95"/>
        <v>31993.446333333326</v>
      </c>
      <c r="AA295" s="49">
        <f t="shared" si="95"/>
        <v>31993.446333333326</v>
      </c>
      <c r="AB295" s="49">
        <f t="shared" si="95"/>
        <v>31993.446333333326</v>
      </c>
      <c r="AC295" s="49">
        <f t="shared" si="95"/>
        <v>31993.446333333326</v>
      </c>
      <c r="AD295" s="49">
        <f t="shared" si="95"/>
        <v>31993.446333333326</v>
      </c>
      <c r="AE295" s="49">
        <f t="shared" si="95"/>
        <v>31993.446333333326</v>
      </c>
      <c r="AF295" s="49">
        <f t="shared" si="95"/>
        <v>31993.446333333326</v>
      </c>
      <c r="AG295" s="49">
        <f t="shared" si="95"/>
        <v>32857.269384333325</v>
      </c>
      <c r="AH295" s="49">
        <f t="shared" si="95"/>
        <v>32857.269384333325</v>
      </c>
      <c r="AI295" s="49">
        <f t="shared" si="95"/>
        <v>32857.269384333325</v>
      </c>
      <c r="AJ295" s="49">
        <f t="shared" si="95"/>
        <v>32857.269384333325</v>
      </c>
      <c r="AK295" s="49">
        <f t="shared" si="95"/>
        <v>32857.269384333325</v>
      </c>
      <c r="AL295" s="49">
        <f t="shared" si="95"/>
        <v>32857.269384333325</v>
      </c>
      <c r="AM295" s="49">
        <f t="shared" si="95"/>
        <v>32857.269384333325</v>
      </c>
      <c r="AN295" s="49">
        <f t="shared" si="95"/>
        <v>32857.269384333325</v>
      </c>
      <c r="AO295" s="49">
        <f t="shared" si="95"/>
        <v>32857.269384333325</v>
      </c>
      <c r="AP295" s="49">
        <f t="shared" si="95"/>
        <v>32857.269384333325</v>
      </c>
      <c r="AQ295" s="49">
        <f t="shared" si="95"/>
        <v>32857.269384333325</v>
      </c>
      <c r="AR295" s="49">
        <f t="shared" si="95"/>
        <v>32857.269384333325</v>
      </c>
      <c r="AS295" s="49">
        <f t="shared" si="95"/>
        <v>33744.41565771032</v>
      </c>
      <c r="AT295" s="49">
        <f t="shared" si="95"/>
        <v>33744.41565771032</v>
      </c>
      <c r="AU295" s="49">
        <f t="shared" si="95"/>
        <v>33744.41565771032</v>
      </c>
      <c r="AV295" s="49">
        <f t="shared" si="95"/>
        <v>33744.41565771032</v>
      </c>
      <c r="AW295" s="49">
        <f t="shared" si="95"/>
        <v>33744.41565771032</v>
      </c>
      <c r="AX295" s="49">
        <f t="shared" si="95"/>
        <v>33744.41565771032</v>
      </c>
      <c r="AY295" s="49">
        <f t="shared" si="95"/>
        <v>33744.41565771032</v>
      </c>
      <c r="AZ295" s="49">
        <f t="shared" si="95"/>
        <v>33744.41565771032</v>
      </c>
      <c r="BA295" s="49">
        <f t="shared" si="95"/>
        <v>33744.41565771032</v>
      </c>
      <c r="BB295" s="49">
        <f t="shared" si="95"/>
        <v>33744.41565771032</v>
      </c>
      <c r="BC295" s="49">
        <f t="shared" si="95"/>
        <v>33744.41565771032</v>
      </c>
      <c r="BD295" s="49">
        <f t="shared" si="95"/>
        <v>33744.41565771032</v>
      </c>
      <c r="BE295" s="49">
        <f t="shared" si="95"/>
        <v>34655.514880468494</v>
      </c>
      <c r="BF295" s="49">
        <f t="shared" si="95"/>
        <v>34655.514880468494</v>
      </c>
      <c r="BG295" s="49">
        <f t="shared" si="95"/>
        <v>34655.514880468494</v>
      </c>
      <c r="BH295" s="49">
        <f t="shared" si="95"/>
        <v>34655.514880468494</v>
      </c>
      <c r="BI295" s="49">
        <f t="shared" si="95"/>
        <v>34655.514880468494</v>
      </c>
      <c r="BJ295" s="49">
        <f t="shared" si="95"/>
        <v>34655.514880468494</v>
      </c>
      <c r="BK295" s="49">
        <f t="shared" ref="BK295" si="96">BK291+BK293+BK294</f>
        <v>34655.514880468494</v>
      </c>
      <c r="BL295" s="49">
        <f t="shared" ref="BL295:BX295" si="97">BL291+BL293+BL294</f>
        <v>34655.514880468494</v>
      </c>
      <c r="BM295" s="49">
        <f t="shared" si="97"/>
        <v>34655.514880468494</v>
      </c>
      <c r="BN295" s="49">
        <f t="shared" si="97"/>
        <v>34655.514880468494</v>
      </c>
      <c r="BO295" s="49">
        <f t="shared" si="97"/>
        <v>34655.514880468494</v>
      </c>
      <c r="BP295" s="49">
        <f t="shared" si="97"/>
        <v>34655.514880468494</v>
      </c>
      <c r="BQ295" s="49">
        <f t="shared" si="97"/>
        <v>35591.213782241139</v>
      </c>
      <c r="BR295" s="49">
        <f t="shared" si="97"/>
        <v>35591.213782241139</v>
      </c>
      <c r="BS295" s="49">
        <f t="shared" si="97"/>
        <v>35591.213782241139</v>
      </c>
      <c r="BT295" s="49">
        <f t="shared" si="97"/>
        <v>35591.213782241139</v>
      </c>
      <c r="BU295" s="49">
        <f t="shared" si="97"/>
        <v>35591.213782241139</v>
      </c>
      <c r="BV295" s="49">
        <f t="shared" si="97"/>
        <v>35591.213782241139</v>
      </c>
      <c r="BW295" s="49">
        <f t="shared" si="97"/>
        <v>35591.213782241139</v>
      </c>
      <c r="BX295" s="49">
        <f t="shared" si="97"/>
        <v>35591.213782241139</v>
      </c>
    </row>
    <row r="296" spans="1:76" outlineLevel="1">
      <c r="B296" t="s">
        <v>85</v>
      </c>
      <c r="D296" s="49">
        <f>IF(D292=1,'Rent Roll'!$F$41/BldgSF*ReimbPool/12*D$7,0)</f>
        <v>0</v>
      </c>
      <c r="E296" s="49">
        <f>IF(E292=1,'Rent Roll'!$F$41/BldgSF*ReimbPool/12*E$7,0)</f>
        <v>0</v>
      </c>
      <c r="F296" s="49">
        <f>IF(F292=1,'Rent Roll'!$F$41/BldgSF*ReimbPool/12*F$7,0)</f>
        <v>0</v>
      </c>
      <c r="G296" s="49">
        <f>IF(G292=1,'Rent Roll'!$F$41/BldgSF*ReimbPool/12*G$7,0)</f>
        <v>0</v>
      </c>
      <c r="H296" s="49">
        <f>IF(H292=1,'Rent Roll'!$F$41/BldgSF*ReimbPool/12*H$7,0)</f>
        <v>0</v>
      </c>
      <c r="I296" s="49">
        <f>IF(I292=1,'Rent Roll'!$F$41/BldgSF*ReimbPool/12*I$7,0)</f>
        <v>0</v>
      </c>
      <c r="J296" s="49">
        <f>IF(J292=1,'Rent Roll'!$F$41/BldgSF*ReimbPool/12*J$7,0)</f>
        <v>0</v>
      </c>
      <c r="K296" s="49">
        <f>IF(K292=1,'Rent Roll'!$F$41/BldgSF*ReimbPool/12*K$7,0)</f>
        <v>0</v>
      </c>
      <c r="L296" s="49">
        <f>IF(L292=1,'Rent Roll'!$F$41/BldgSF*ReimbPool/12*L$7,0)</f>
        <v>0</v>
      </c>
      <c r="M296" s="49">
        <f>IF(M292=1,'Rent Roll'!$F$41/BldgSF*ReimbPool/12*M$7,0)</f>
        <v>0</v>
      </c>
      <c r="N296" s="49">
        <f>IF(N292=1,'Rent Roll'!$F$41/BldgSF*ReimbPool/12*N$7,0)</f>
        <v>0</v>
      </c>
      <c r="O296" s="49">
        <f>IF(O292=1,'Rent Roll'!$F$41/BldgSF*ReimbPool/12*O$7,0)</f>
        <v>12544.804999999998</v>
      </c>
      <c r="P296" s="49">
        <f>IF(P292=1,'Rent Roll'!$F$41/BldgSF*ReimbPool/12*P$7,0)</f>
        <v>12544.804999999998</v>
      </c>
      <c r="Q296" s="49">
        <f>IF(Q292=1,'Rent Roll'!$F$41/BldgSF*ReimbPool/12*Q$7,0)</f>
        <v>12544.804999999998</v>
      </c>
      <c r="R296" s="49">
        <f>IF(R292=1,'Rent Roll'!$F$41/BldgSF*ReimbPool/12*R$7,0)</f>
        <v>12544.804999999998</v>
      </c>
      <c r="S296" s="49">
        <f>IF(S292=1,'Rent Roll'!$F$41/BldgSF*ReimbPool/12*S$7,0)</f>
        <v>12544.804999999998</v>
      </c>
      <c r="T296" s="49">
        <f>IF(T292=1,'Rent Roll'!$F$41/BldgSF*ReimbPool/12*T$7,0)</f>
        <v>12544.804999999998</v>
      </c>
      <c r="U296" s="49">
        <f>IF(U292=1,'Rent Roll'!$F$41/BldgSF*ReimbPool/12*U$7,0)</f>
        <v>12883.514734999997</v>
      </c>
      <c r="V296" s="49">
        <f>IF(V292=1,'Rent Roll'!$F$41/BldgSF*ReimbPool/12*V$7,0)</f>
        <v>12883.514734999997</v>
      </c>
      <c r="W296" s="49">
        <f>IF(W292=1,'Rent Roll'!$F$41/BldgSF*ReimbPool/12*W$7,0)</f>
        <v>12883.514734999997</v>
      </c>
      <c r="X296" s="49">
        <f>IF(X292=1,'Rent Roll'!$F$41/BldgSF*ReimbPool/12*X$7,0)</f>
        <v>12883.514734999997</v>
      </c>
      <c r="Y296" s="49">
        <f>IF(Y292=1,'Rent Roll'!$F$41/BldgSF*ReimbPool/12*Y$7,0)</f>
        <v>12883.514734999997</v>
      </c>
      <c r="Z296" s="49">
        <f>IF(Z292=1,'Rent Roll'!$F$41/BldgSF*ReimbPool/12*Z$7,0)</f>
        <v>12883.514734999997</v>
      </c>
      <c r="AA296" s="49">
        <f>IF(AA292=1,'Rent Roll'!$F$41/BldgSF*ReimbPool/12*AA$7,0)</f>
        <v>12883.514734999997</v>
      </c>
      <c r="AB296" s="49">
        <f>IF(AB292=1,'Rent Roll'!$F$41/BldgSF*ReimbPool/12*AB$7,0)</f>
        <v>12883.514734999997</v>
      </c>
      <c r="AC296" s="49">
        <f>IF(AC292=1,'Rent Roll'!$F$41/BldgSF*ReimbPool/12*AC$7,0)</f>
        <v>12883.514734999997</v>
      </c>
      <c r="AD296" s="49">
        <f>IF(AD292=1,'Rent Roll'!$F$41/BldgSF*ReimbPool/12*AD$7,0)</f>
        <v>12883.514734999997</v>
      </c>
      <c r="AE296" s="49">
        <f>IF(AE292=1,'Rent Roll'!$F$41/BldgSF*ReimbPool/12*AE$7,0)</f>
        <v>12883.514734999997</v>
      </c>
      <c r="AF296" s="49">
        <f>IF(AF292=1,'Rent Roll'!$F$41/BldgSF*ReimbPool/12*AF$7,0)</f>
        <v>12883.514734999997</v>
      </c>
      <c r="AG296" s="49">
        <f>IF(AG292=1,'Rent Roll'!$F$41/BldgSF*ReimbPool/12*AG$7,0)</f>
        <v>13231.369632844997</v>
      </c>
      <c r="AH296" s="49">
        <f>IF(AH292=1,'Rent Roll'!$F$41/BldgSF*ReimbPool/12*AH$7,0)</f>
        <v>13231.369632844997</v>
      </c>
      <c r="AI296" s="49">
        <f>IF(AI292=1,'Rent Roll'!$F$41/BldgSF*ReimbPool/12*AI$7,0)</f>
        <v>13231.369632844997</v>
      </c>
      <c r="AJ296" s="49">
        <f>IF(AJ292=1,'Rent Roll'!$F$41/BldgSF*ReimbPool/12*AJ$7,0)</f>
        <v>13231.369632844997</v>
      </c>
      <c r="AK296" s="49">
        <f>IF(AK292=1,'Rent Roll'!$F$41/BldgSF*ReimbPool/12*AK$7,0)</f>
        <v>13231.369632844997</v>
      </c>
      <c r="AL296" s="49">
        <f>IF(AL292=1,'Rent Roll'!$F$41/BldgSF*ReimbPool/12*AL$7,0)</f>
        <v>13231.369632844997</v>
      </c>
      <c r="AM296" s="49">
        <f>IF(AM292=1,'Rent Roll'!$F$41/BldgSF*ReimbPool/12*AM$7,0)</f>
        <v>13231.369632844997</v>
      </c>
      <c r="AN296" s="49">
        <f>IF(AN292=1,'Rent Roll'!$F$41/BldgSF*ReimbPool/12*AN$7,0)</f>
        <v>13231.369632844997</v>
      </c>
      <c r="AO296" s="49">
        <f>IF(AO292=1,'Rent Roll'!$F$41/BldgSF*ReimbPool/12*AO$7,0)</f>
        <v>13231.369632844997</v>
      </c>
      <c r="AP296" s="49">
        <f>IF(AP292=1,'Rent Roll'!$F$41/BldgSF*ReimbPool/12*AP$7,0)</f>
        <v>13231.369632844997</v>
      </c>
      <c r="AQ296" s="49">
        <f>IF(AQ292=1,'Rent Roll'!$F$41/BldgSF*ReimbPool/12*AQ$7,0)</f>
        <v>13231.369632844997</v>
      </c>
      <c r="AR296" s="49">
        <f>IF(AR292=1,'Rent Roll'!$F$41/BldgSF*ReimbPool/12*AR$7,0)</f>
        <v>13231.369632844997</v>
      </c>
      <c r="AS296" s="49">
        <f>IF(AS292=1,'Rent Roll'!$F$41/BldgSF*ReimbPool/12*AS$7,0)</f>
        <v>13588.61661293181</v>
      </c>
      <c r="AT296" s="49">
        <f>IF(AT292=1,'Rent Roll'!$F$41/BldgSF*ReimbPool/12*AT$7,0)</f>
        <v>13588.61661293181</v>
      </c>
      <c r="AU296" s="49">
        <f>IF(AU292=1,'Rent Roll'!$F$41/BldgSF*ReimbPool/12*AU$7,0)</f>
        <v>13588.61661293181</v>
      </c>
      <c r="AV296" s="49">
        <f>IF(AV292=1,'Rent Roll'!$F$41/BldgSF*ReimbPool/12*AV$7,0)</f>
        <v>13588.61661293181</v>
      </c>
      <c r="AW296" s="49">
        <f>IF(AW292=1,'Rent Roll'!$F$41/BldgSF*ReimbPool/12*AW$7,0)</f>
        <v>13588.61661293181</v>
      </c>
      <c r="AX296" s="49">
        <f>IF(AX292=1,'Rent Roll'!$F$41/BldgSF*ReimbPool/12*AX$7,0)</f>
        <v>13588.61661293181</v>
      </c>
      <c r="AY296" s="49">
        <f>IF(AY292=1,'Rent Roll'!$F$41/BldgSF*ReimbPool/12*AY$7,0)</f>
        <v>13588.61661293181</v>
      </c>
      <c r="AZ296" s="49">
        <f>IF(AZ292=1,'Rent Roll'!$F$41/BldgSF*ReimbPool/12*AZ$7,0)</f>
        <v>13588.61661293181</v>
      </c>
      <c r="BA296" s="49">
        <f>IF(BA292=1,'Rent Roll'!$F$41/BldgSF*ReimbPool/12*BA$7,0)</f>
        <v>13588.61661293181</v>
      </c>
      <c r="BB296" s="49">
        <f>IF(BB292=1,'Rent Roll'!$F$41/BldgSF*ReimbPool/12*BB$7,0)</f>
        <v>13588.61661293181</v>
      </c>
      <c r="BC296" s="49">
        <f>IF(BC292=1,'Rent Roll'!$F$41/BldgSF*ReimbPool/12*BC$7,0)</f>
        <v>13588.61661293181</v>
      </c>
      <c r="BD296" s="49">
        <f>IF(BD292=1,'Rent Roll'!$F$41/BldgSF*ReimbPool/12*BD$7,0)</f>
        <v>13588.61661293181</v>
      </c>
      <c r="BE296" s="49">
        <f>IF(BE292=1,'Rent Roll'!$F$41/BldgSF*ReimbPool/12*BE$7,0)</f>
        <v>13955.509261480967</v>
      </c>
      <c r="BF296" s="49">
        <f>IF(BF292=1,'Rent Roll'!$F$41/BldgSF*ReimbPool/12*BF$7,0)</f>
        <v>13955.509261480967</v>
      </c>
      <c r="BG296" s="49">
        <f>IF(BG292=1,'Rent Roll'!$F$41/BldgSF*ReimbPool/12*BG$7,0)</f>
        <v>13955.509261480967</v>
      </c>
      <c r="BH296" s="49">
        <f>IF(BH292=1,'Rent Roll'!$F$41/BldgSF*ReimbPool/12*BH$7,0)</f>
        <v>13955.509261480967</v>
      </c>
      <c r="BI296" s="49">
        <f>IF(BI292=1,'Rent Roll'!$F$41/BldgSF*ReimbPool/12*BI$7,0)</f>
        <v>13955.509261480967</v>
      </c>
      <c r="BJ296" s="49">
        <f>IF(BJ292=1,'Rent Roll'!$F$41/BldgSF*ReimbPool/12*BJ$7,0)</f>
        <v>13955.509261480967</v>
      </c>
      <c r="BK296" s="49">
        <f>IF(BK292=1,'Rent Roll'!$F$41/BldgSF*ReimbPool/12*BK$7,0)</f>
        <v>13955.509261480967</v>
      </c>
      <c r="BL296" s="49">
        <f>IF(BL292=1,'Rent Roll'!$F$41/BldgSF*ReimbPool/12*BL$7,0)</f>
        <v>13955.509261480967</v>
      </c>
      <c r="BM296" s="49">
        <f>IF(BM292=1,'Rent Roll'!$F$41/BldgSF*ReimbPool/12*BM$7,0)</f>
        <v>13955.509261480967</v>
      </c>
      <c r="BN296" s="49">
        <f>IF(BN292=1,'Rent Roll'!$F$41/BldgSF*ReimbPool/12*BN$7,0)</f>
        <v>13955.509261480967</v>
      </c>
      <c r="BO296" s="49">
        <f>IF(BO292=1,'Rent Roll'!$F$41/BldgSF*ReimbPool/12*BO$7,0)</f>
        <v>13955.509261480967</v>
      </c>
      <c r="BP296" s="49">
        <f>IF(BP292=1,'Rent Roll'!$F$41/BldgSF*ReimbPool/12*BP$7,0)</f>
        <v>13955.509261480967</v>
      </c>
      <c r="BQ296" s="49">
        <f>IF(BQ292=1,'Rent Roll'!$F$41/BldgSF*ReimbPool/12*BQ$7,0)</f>
        <v>14332.308011540952</v>
      </c>
      <c r="BR296" s="49">
        <f>IF(BR292=1,'Rent Roll'!$F$41/BldgSF*ReimbPool/12*BR$7,0)</f>
        <v>14332.308011540952</v>
      </c>
      <c r="BS296" s="49">
        <f>IF(BS292=1,'Rent Roll'!$F$41/BldgSF*ReimbPool/12*BS$7,0)</f>
        <v>14332.308011540952</v>
      </c>
      <c r="BT296" s="49">
        <f>IF(BT292=1,'Rent Roll'!$F$41/BldgSF*ReimbPool/12*BT$7,0)</f>
        <v>14332.308011540952</v>
      </c>
      <c r="BU296" s="49">
        <f>IF(BU292=1,'Rent Roll'!$F$41/BldgSF*ReimbPool/12*BU$7,0)</f>
        <v>14332.308011540952</v>
      </c>
      <c r="BV296" s="49">
        <f>IF(BV292=1,'Rent Roll'!$F$41/BldgSF*ReimbPool/12*BV$7,0)</f>
        <v>14332.308011540952</v>
      </c>
      <c r="BW296" s="49">
        <f>IF(BW292=1,'Rent Roll'!$F$41/BldgSF*ReimbPool/12*BW$7,0)</f>
        <v>14332.308011540952</v>
      </c>
      <c r="BX296" s="49">
        <f>IF(BX292=1,'Rent Roll'!$F$41/BldgSF*ReimbPool/12*BX$7,0)</f>
        <v>14332.308011540952</v>
      </c>
    </row>
    <row r="297" spans="1:76" outlineLevel="1">
      <c r="B297" t="s">
        <v>86</v>
      </c>
      <c r="D297" s="49">
        <f>-'Rent Roll'!$F$41*'Rent Roll'!$T$41/SpecBuildout*D290</f>
        <v>0</v>
      </c>
      <c r="E297" s="49">
        <f>-'Rent Roll'!$F$41*'Rent Roll'!$T$41/SpecBuildout*E290</f>
        <v>0</v>
      </c>
      <c r="F297" s="49">
        <f>-'Rent Roll'!$F$41*'Rent Roll'!$T$41/SpecBuildout*F290</f>
        <v>0</v>
      </c>
      <c r="G297" s="49">
        <f>-'Rent Roll'!$F$41*'Rent Roll'!$T$41/SpecBuildout*G290</f>
        <v>0</v>
      </c>
      <c r="H297" s="49">
        <f>-'Rent Roll'!$F$41*'Rent Roll'!$T$41/SpecBuildout*H290</f>
        <v>0</v>
      </c>
      <c r="I297" s="49">
        <f>-'Rent Roll'!$F$41*'Rent Roll'!$T$41/SpecBuildout*I290</f>
        <v>0</v>
      </c>
      <c r="J297" s="49">
        <f>-'Rent Roll'!$F$41*'Rent Roll'!$T$41/SpecBuildout*J290</f>
        <v>-93333.333333333328</v>
      </c>
      <c r="K297" s="49">
        <f>-'Rent Roll'!$F$41*'Rent Roll'!$T$41/SpecBuildout*K290</f>
        <v>-93333.333333333328</v>
      </c>
      <c r="L297" s="49">
        <f>-'Rent Roll'!$F$41*'Rent Roll'!$T$41/SpecBuildout*L290</f>
        <v>-93333.333333333328</v>
      </c>
      <c r="M297" s="49">
        <f>-'Rent Roll'!$F$41*'Rent Roll'!$T$41/SpecBuildout*M290</f>
        <v>-93333.333333333328</v>
      </c>
      <c r="N297" s="49">
        <f>-'Rent Roll'!$F$41*'Rent Roll'!$T$41/SpecBuildout*N290</f>
        <v>-93333.333333333328</v>
      </c>
      <c r="O297" s="49">
        <f>-'Rent Roll'!$F$41*'Rent Roll'!$T$41/SpecBuildout*O290</f>
        <v>-93333.333333333328</v>
      </c>
      <c r="P297" s="49">
        <f>-'Rent Roll'!$F$41*'Rent Roll'!$T$41/SpecBuildout*P290</f>
        <v>0</v>
      </c>
      <c r="Q297" s="49">
        <f>-'Rent Roll'!$F$41*'Rent Roll'!$T$41/SpecBuildout*Q290</f>
        <v>0</v>
      </c>
      <c r="R297" s="49">
        <f>-'Rent Roll'!$F$41*'Rent Roll'!$T$41/SpecBuildout*R290</f>
        <v>0</v>
      </c>
      <c r="S297" s="49">
        <f>-'Rent Roll'!$F$41*'Rent Roll'!$T$41/SpecBuildout*S290</f>
        <v>0</v>
      </c>
      <c r="T297" s="49">
        <f>-'Rent Roll'!$F$41*'Rent Roll'!$T$41/SpecBuildout*T290</f>
        <v>0</v>
      </c>
      <c r="U297" s="49">
        <f>-'Rent Roll'!$F$41*'Rent Roll'!$T$41/SpecBuildout*U290</f>
        <v>0</v>
      </c>
      <c r="V297" s="49">
        <f>-'Rent Roll'!$F$41*'Rent Roll'!$T$41/SpecBuildout*V290</f>
        <v>0</v>
      </c>
      <c r="W297" s="49">
        <f>-'Rent Roll'!$F$41*'Rent Roll'!$T$41/SpecBuildout*W290</f>
        <v>0</v>
      </c>
      <c r="X297" s="49">
        <f>-'Rent Roll'!$F$41*'Rent Roll'!$T$41/SpecBuildout*X290</f>
        <v>0</v>
      </c>
      <c r="Y297" s="49">
        <f>-'Rent Roll'!$F$41*'Rent Roll'!$T$41/SpecBuildout*Y290</f>
        <v>0</v>
      </c>
      <c r="Z297" s="49">
        <f>-'Rent Roll'!$F$41*'Rent Roll'!$T$41/SpecBuildout*Z290</f>
        <v>0</v>
      </c>
      <c r="AA297" s="49">
        <f>-'Rent Roll'!$F$41*'Rent Roll'!$T$41/SpecBuildout*AA290</f>
        <v>0</v>
      </c>
      <c r="AB297" s="49">
        <f>-'Rent Roll'!$F$41*'Rent Roll'!$T$41/SpecBuildout*AB290</f>
        <v>0</v>
      </c>
      <c r="AC297" s="49">
        <f>-'Rent Roll'!$F$41*'Rent Roll'!$T$41/SpecBuildout*AC290</f>
        <v>0</v>
      </c>
      <c r="AD297" s="49">
        <f>-'Rent Roll'!$F$41*'Rent Roll'!$T$41/SpecBuildout*AD290</f>
        <v>0</v>
      </c>
      <c r="AE297" s="49">
        <f>-'Rent Roll'!$F$41*'Rent Roll'!$T$41/SpecBuildout*AE290</f>
        <v>0</v>
      </c>
      <c r="AF297" s="49">
        <f>-'Rent Roll'!$F$41*'Rent Roll'!$T$41/SpecBuildout*AF290</f>
        <v>0</v>
      </c>
      <c r="AG297" s="49">
        <f>-'Rent Roll'!$F$41*'Rent Roll'!$T$41/SpecBuildout*AG290</f>
        <v>0</v>
      </c>
      <c r="AH297" s="49">
        <f>-'Rent Roll'!$F$41*'Rent Roll'!$T$41/SpecBuildout*AH290</f>
        <v>0</v>
      </c>
      <c r="AI297" s="49">
        <f>-'Rent Roll'!$F$41*'Rent Roll'!$T$41/SpecBuildout*AI290</f>
        <v>0</v>
      </c>
      <c r="AJ297" s="49">
        <f>-'Rent Roll'!$F$41*'Rent Roll'!$T$41/SpecBuildout*AJ290</f>
        <v>0</v>
      </c>
      <c r="AK297" s="49">
        <f>-'Rent Roll'!$F$41*'Rent Roll'!$T$41/SpecBuildout*AK290</f>
        <v>0</v>
      </c>
      <c r="AL297" s="49">
        <f>-'Rent Roll'!$F$41*'Rent Roll'!$T$41/SpecBuildout*AL290</f>
        <v>0</v>
      </c>
      <c r="AM297" s="49">
        <f>-'Rent Roll'!$F$41*'Rent Roll'!$T$41/SpecBuildout*AM290</f>
        <v>0</v>
      </c>
      <c r="AN297" s="49">
        <f>-'Rent Roll'!$F$41*'Rent Roll'!$T$41/SpecBuildout*AN290</f>
        <v>0</v>
      </c>
      <c r="AO297" s="49">
        <f>-'Rent Roll'!$F$41*'Rent Roll'!$T$41/SpecBuildout*AO290</f>
        <v>0</v>
      </c>
      <c r="AP297" s="49">
        <f>-'Rent Roll'!$F$41*'Rent Roll'!$T$41/SpecBuildout*AP290</f>
        <v>0</v>
      </c>
      <c r="AQ297" s="49">
        <f>-'Rent Roll'!$F$41*'Rent Roll'!$T$41/SpecBuildout*AQ290</f>
        <v>0</v>
      </c>
      <c r="AR297" s="49">
        <f>-'Rent Roll'!$F$41*'Rent Roll'!$T$41/SpecBuildout*AR290</f>
        <v>0</v>
      </c>
      <c r="AS297" s="49">
        <f>-'Rent Roll'!$F$41*'Rent Roll'!$T$41/SpecBuildout*AS290</f>
        <v>0</v>
      </c>
      <c r="AT297" s="49">
        <f>-'Rent Roll'!$F$41*'Rent Roll'!$T$41/SpecBuildout*AT290</f>
        <v>0</v>
      </c>
      <c r="AU297" s="49">
        <f>-'Rent Roll'!$F$41*'Rent Roll'!$T$41/SpecBuildout*AU290</f>
        <v>0</v>
      </c>
      <c r="AV297" s="49">
        <f>-'Rent Roll'!$F$41*'Rent Roll'!$T$41/SpecBuildout*AV290</f>
        <v>0</v>
      </c>
      <c r="AW297" s="49">
        <f>-'Rent Roll'!$F$41*'Rent Roll'!$T$41/SpecBuildout*AW290</f>
        <v>0</v>
      </c>
      <c r="AX297" s="49">
        <f>-'Rent Roll'!$F$41*'Rent Roll'!$T$41/SpecBuildout*AX290</f>
        <v>0</v>
      </c>
      <c r="AY297" s="49">
        <f>-'Rent Roll'!$F$41*'Rent Roll'!$T$41/SpecBuildout*AY290</f>
        <v>0</v>
      </c>
      <c r="AZ297" s="49">
        <f>-'Rent Roll'!$F$41*'Rent Roll'!$T$41/SpecBuildout*AZ290</f>
        <v>0</v>
      </c>
      <c r="BA297" s="49">
        <f>-'Rent Roll'!$F$41*'Rent Roll'!$T$41/SpecBuildout*BA290</f>
        <v>0</v>
      </c>
      <c r="BB297" s="49">
        <f>-'Rent Roll'!$F$41*'Rent Roll'!$T$41/SpecBuildout*BB290</f>
        <v>0</v>
      </c>
      <c r="BC297" s="49">
        <f>-'Rent Roll'!$F$41*'Rent Roll'!$T$41/SpecBuildout*BC290</f>
        <v>0</v>
      </c>
      <c r="BD297" s="49">
        <f>-'Rent Roll'!$F$41*'Rent Roll'!$T$41/SpecBuildout*BD290</f>
        <v>0</v>
      </c>
      <c r="BE297" s="49">
        <f>-'Rent Roll'!$F$41*'Rent Roll'!$T$41/SpecBuildout*BE290</f>
        <v>0</v>
      </c>
      <c r="BF297" s="49">
        <f>-'Rent Roll'!$F$41*'Rent Roll'!$T$41/SpecBuildout*BF290</f>
        <v>0</v>
      </c>
      <c r="BG297" s="49">
        <f>-'Rent Roll'!$F$41*'Rent Roll'!$T$41/SpecBuildout*BG290</f>
        <v>0</v>
      </c>
      <c r="BH297" s="49">
        <f>-'Rent Roll'!$F$41*'Rent Roll'!$T$41/SpecBuildout*BH290</f>
        <v>0</v>
      </c>
      <c r="BI297" s="49">
        <f>-'Rent Roll'!$F$41*'Rent Roll'!$T$41/SpecBuildout*BI290</f>
        <v>0</v>
      </c>
      <c r="BJ297" s="49">
        <f>-'Rent Roll'!$F$41*'Rent Roll'!$T$41/SpecBuildout*BJ290</f>
        <v>0</v>
      </c>
      <c r="BK297" s="49">
        <f>-'Rent Roll'!$F$41*'Rent Roll'!$T$41/SpecBuildout*BK290</f>
        <v>0</v>
      </c>
      <c r="BL297" s="49">
        <f>-'Rent Roll'!$F$41*'Rent Roll'!$T$41/SpecBuildout*BL290</f>
        <v>0</v>
      </c>
      <c r="BM297" s="49">
        <f>-'Rent Roll'!$F$41*'Rent Roll'!$T$41/SpecBuildout*BM290</f>
        <v>0</v>
      </c>
      <c r="BN297" s="49">
        <f>-'Rent Roll'!$F$41*'Rent Roll'!$T$41/SpecBuildout*BN290</f>
        <v>0</v>
      </c>
      <c r="BO297" s="49">
        <f>-'Rent Roll'!$F$41*'Rent Roll'!$T$41/SpecBuildout*BO290</f>
        <v>0</v>
      </c>
      <c r="BP297" s="49">
        <f>-'Rent Roll'!$F$41*'Rent Roll'!$T$41/SpecBuildout*BP290</f>
        <v>0</v>
      </c>
      <c r="BQ297" s="49">
        <f>-'Rent Roll'!$F$41*'Rent Roll'!$T$41/SpecBuildout*BQ290</f>
        <v>0</v>
      </c>
      <c r="BR297" s="49">
        <f>-'Rent Roll'!$F$41*'Rent Roll'!$T$41/SpecBuildout*BR290</f>
        <v>0</v>
      </c>
      <c r="BS297" s="49">
        <f>-'Rent Roll'!$F$41*'Rent Roll'!$T$41/SpecBuildout*BS290</f>
        <v>0</v>
      </c>
      <c r="BT297" s="49">
        <f>-'Rent Roll'!$F$41*'Rent Roll'!$T$41/SpecBuildout*BT290</f>
        <v>0</v>
      </c>
      <c r="BU297" s="49">
        <f>-'Rent Roll'!$F$41*'Rent Roll'!$T$41/SpecBuildout*BU290</f>
        <v>0</v>
      </c>
      <c r="BV297" s="49">
        <f>-'Rent Roll'!$F$41*'Rent Roll'!$T$41/SpecBuildout*BV290</f>
        <v>0</v>
      </c>
      <c r="BW297" s="49">
        <f>-'Rent Roll'!$F$41*'Rent Roll'!$T$41/SpecBuildout*BW290</f>
        <v>0</v>
      </c>
      <c r="BX297" s="49">
        <f>-'Rent Roll'!$F$41*'Rent Roll'!$T$41/SpecBuildout*BX290</f>
        <v>0</v>
      </c>
    </row>
    <row r="298" spans="1:76" outlineLevel="1">
      <c r="B298" t="s">
        <v>87</v>
      </c>
      <c r="D298" s="49">
        <f>IF(D$4=EOMONTH(CloseDate,'Rent Roll'!$O$41-1),-'Rent Roll'!$U$41*'Rent Roll'!$F$41*'Rent Roll'!$X$41,0)</f>
        <v>0</v>
      </c>
      <c r="E298" s="49">
        <f>IF(E$4=EOMONTH(CloseDate,'Rent Roll'!$O$41-1),-'Rent Roll'!$U$41*'Rent Roll'!$F$41*'Rent Roll'!$X$41,0)</f>
        <v>0</v>
      </c>
      <c r="F298" s="49">
        <f>IF(F$4=EOMONTH(CloseDate,'Rent Roll'!$O$41-1),-'Rent Roll'!$U$41*'Rent Roll'!$F$41*'Rent Roll'!$X$41,0)</f>
        <v>0</v>
      </c>
      <c r="G298" s="49">
        <f>IF(G$4=EOMONTH(CloseDate,'Rent Roll'!$O$41-1),-'Rent Roll'!$U$41*'Rent Roll'!$F$41*'Rent Roll'!$X$41,0)</f>
        <v>0</v>
      </c>
      <c r="H298" s="49">
        <f>IF(H$4=EOMONTH(CloseDate,'Rent Roll'!$O$41-1),-'Rent Roll'!$U$41*'Rent Roll'!$F$41*'Rent Roll'!$X$41,0)</f>
        <v>0</v>
      </c>
      <c r="I298" s="49">
        <f>IF(I$4=EOMONTH(CloseDate,'Rent Roll'!$O$41-1),-'Rent Roll'!$U$41*'Rent Roll'!$F$41*'Rent Roll'!$X$41,0)</f>
        <v>0</v>
      </c>
      <c r="J298" s="49">
        <f>IF(J$4=EOMONTH(CloseDate,'Rent Roll'!$O$41-1),-'Rent Roll'!$U$41*'Rent Roll'!$F$41*'Rent Roll'!$X$41,0)</f>
        <v>0</v>
      </c>
      <c r="K298" s="49">
        <f>IF(K$4=EOMONTH(CloseDate,'Rent Roll'!$O$41-1),-'Rent Roll'!$U$41*'Rent Roll'!$F$41*'Rent Roll'!$X$41,0)</f>
        <v>0</v>
      </c>
      <c r="L298" s="49">
        <f>IF(L$4=EOMONTH(CloseDate,'Rent Roll'!$O$41-1),-'Rent Roll'!$U$41*'Rent Roll'!$F$41*'Rent Roll'!$X$41,0)</f>
        <v>0</v>
      </c>
      <c r="M298" s="49">
        <f>IF(M$4=EOMONTH(CloseDate,'Rent Roll'!$O$41-1),-'Rent Roll'!$U$41*'Rent Roll'!$F$41*'Rent Roll'!$X$41,0)</f>
        <v>0</v>
      </c>
      <c r="N298" s="49">
        <f>IF(N$4=EOMONTH(CloseDate,'Rent Roll'!$O$41-1),-'Rent Roll'!$U$41*'Rent Roll'!$F$41*'Rent Roll'!$X$41,0)</f>
        <v>0</v>
      </c>
      <c r="O298" s="49">
        <f>IF(O$4=EOMONTH(CloseDate,'Rent Roll'!$O$41-1),-'Rent Roll'!$U$41*'Rent Roll'!$F$41*'Rent Roll'!$X$41,0)</f>
        <v>-18200</v>
      </c>
      <c r="P298" s="49">
        <f>IF(P$4=EOMONTH(CloseDate,'Rent Roll'!$O$41-1),-'Rent Roll'!$U$41*'Rent Roll'!$F$41*'Rent Roll'!$X$41,0)</f>
        <v>0</v>
      </c>
      <c r="Q298" s="49">
        <f>IF(Q$4=EOMONTH(CloseDate,'Rent Roll'!$O$41-1),-'Rent Roll'!$U$41*'Rent Roll'!$F$41*'Rent Roll'!$X$41,0)</f>
        <v>0</v>
      </c>
      <c r="R298" s="49">
        <f>IF(R$4=EOMONTH(CloseDate,'Rent Roll'!$O$41-1),-'Rent Roll'!$U$41*'Rent Roll'!$F$41*'Rent Roll'!$X$41,0)</f>
        <v>0</v>
      </c>
      <c r="S298" s="49">
        <f>IF(S$4=EOMONTH(CloseDate,'Rent Roll'!$O$41-1),-'Rent Roll'!$U$41*'Rent Roll'!$F$41*'Rent Roll'!$X$41,0)</f>
        <v>0</v>
      </c>
      <c r="T298" s="49">
        <f>IF(T$4=EOMONTH(CloseDate,'Rent Roll'!$O$41-1),-'Rent Roll'!$U$41*'Rent Roll'!$F$41*'Rent Roll'!$X$41,0)</f>
        <v>0</v>
      </c>
      <c r="U298" s="49">
        <f>IF(U$4=EOMONTH(CloseDate,'Rent Roll'!$O$41-1),-'Rent Roll'!$U$41*'Rent Roll'!$F$41*'Rent Roll'!$X$41,0)</f>
        <v>0</v>
      </c>
      <c r="V298" s="49">
        <f>IF(V$4=EOMONTH(CloseDate,'Rent Roll'!$O$41-1),-'Rent Roll'!$U$41*'Rent Roll'!$F$41*'Rent Roll'!$X$41,0)</f>
        <v>0</v>
      </c>
      <c r="W298" s="49">
        <f>IF(W$4=EOMONTH(CloseDate,'Rent Roll'!$O$41-1),-'Rent Roll'!$U$41*'Rent Roll'!$F$41*'Rent Roll'!$X$41,0)</f>
        <v>0</v>
      </c>
      <c r="X298" s="49">
        <f>IF(X$4=EOMONTH(CloseDate,'Rent Roll'!$O$41-1),-'Rent Roll'!$U$41*'Rent Roll'!$F$41*'Rent Roll'!$X$41,0)</f>
        <v>0</v>
      </c>
      <c r="Y298" s="49">
        <f>IF(Y$4=EOMONTH(CloseDate,'Rent Roll'!$O$41-1),-'Rent Roll'!$U$41*'Rent Roll'!$F$41*'Rent Roll'!$X$41,0)</f>
        <v>0</v>
      </c>
      <c r="Z298" s="49">
        <f>IF(Z$4=EOMONTH(CloseDate,'Rent Roll'!$O$41-1),-'Rent Roll'!$U$41*'Rent Roll'!$F$41*'Rent Roll'!$X$41,0)</f>
        <v>0</v>
      </c>
      <c r="AA298" s="49">
        <f>IF(AA$4=EOMONTH(CloseDate,'Rent Roll'!$O$41-1),-'Rent Roll'!$U$41*'Rent Roll'!$F$41*'Rent Roll'!$X$41,0)</f>
        <v>0</v>
      </c>
      <c r="AB298" s="49">
        <f>IF(AB$4=EOMONTH(CloseDate,'Rent Roll'!$O$41-1),-'Rent Roll'!$U$41*'Rent Roll'!$F$41*'Rent Roll'!$X$41,0)</f>
        <v>0</v>
      </c>
      <c r="AC298" s="49">
        <f>IF(AC$4=EOMONTH(CloseDate,'Rent Roll'!$O$41-1),-'Rent Roll'!$U$41*'Rent Roll'!$F$41*'Rent Roll'!$X$41,0)</f>
        <v>0</v>
      </c>
      <c r="AD298" s="49">
        <f>IF(AD$4=EOMONTH(CloseDate,'Rent Roll'!$O$41-1),-'Rent Roll'!$U$41*'Rent Roll'!$F$41*'Rent Roll'!$X$41,0)</f>
        <v>0</v>
      </c>
      <c r="AE298" s="49">
        <f>IF(AE$4=EOMONTH(CloseDate,'Rent Roll'!$O$41-1),-'Rent Roll'!$U$41*'Rent Roll'!$F$41*'Rent Roll'!$X$41,0)</f>
        <v>0</v>
      </c>
      <c r="AF298" s="49">
        <f>IF(AF$4=EOMONTH(CloseDate,'Rent Roll'!$O$41-1),-'Rent Roll'!$U$41*'Rent Roll'!$F$41*'Rent Roll'!$X$41,0)</f>
        <v>0</v>
      </c>
      <c r="AG298" s="49">
        <f>IF(AG$4=EOMONTH(CloseDate,'Rent Roll'!$O$41-1),-'Rent Roll'!$U$41*'Rent Roll'!$F$41*'Rent Roll'!$X$41,0)</f>
        <v>0</v>
      </c>
      <c r="AH298" s="49">
        <f>IF(AH$4=EOMONTH(CloseDate,'Rent Roll'!$O$41-1),-'Rent Roll'!$U$41*'Rent Roll'!$F$41*'Rent Roll'!$X$41,0)</f>
        <v>0</v>
      </c>
      <c r="AI298" s="49">
        <f>IF(AI$4=EOMONTH(CloseDate,'Rent Roll'!$O$41-1),-'Rent Roll'!$U$41*'Rent Roll'!$F$41*'Rent Roll'!$X$41,0)</f>
        <v>0</v>
      </c>
      <c r="AJ298" s="49">
        <f>IF(AJ$4=EOMONTH(CloseDate,'Rent Roll'!$O$41-1),-'Rent Roll'!$U$41*'Rent Roll'!$F$41*'Rent Roll'!$X$41,0)</f>
        <v>0</v>
      </c>
      <c r="AK298" s="49">
        <f>IF(AK$4=EOMONTH(CloseDate,'Rent Roll'!$O$41-1),-'Rent Roll'!$U$41*'Rent Roll'!$F$41*'Rent Roll'!$X$41,0)</f>
        <v>0</v>
      </c>
      <c r="AL298" s="49">
        <f>IF(AL$4=EOMONTH(CloseDate,'Rent Roll'!$O$41-1),-'Rent Roll'!$U$41*'Rent Roll'!$F$41*'Rent Roll'!$X$41,0)</f>
        <v>0</v>
      </c>
      <c r="AM298" s="49">
        <f>IF(AM$4=EOMONTH(CloseDate,'Rent Roll'!$O$41-1),-'Rent Roll'!$U$41*'Rent Roll'!$F$41*'Rent Roll'!$X$41,0)</f>
        <v>0</v>
      </c>
      <c r="AN298" s="49">
        <f>IF(AN$4=EOMONTH(CloseDate,'Rent Roll'!$O$41-1),-'Rent Roll'!$U$41*'Rent Roll'!$F$41*'Rent Roll'!$X$41,0)</f>
        <v>0</v>
      </c>
      <c r="AO298" s="49">
        <f>IF(AO$4=EOMONTH(CloseDate,'Rent Roll'!$O$41-1),-'Rent Roll'!$U$41*'Rent Roll'!$F$41*'Rent Roll'!$X$41,0)</f>
        <v>0</v>
      </c>
      <c r="AP298" s="49">
        <f>IF(AP$4=EOMONTH(CloseDate,'Rent Roll'!$O$41-1),-'Rent Roll'!$U$41*'Rent Roll'!$F$41*'Rent Roll'!$X$41,0)</f>
        <v>0</v>
      </c>
      <c r="AQ298" s="49">
        <f>IF(AQ$4=EOMONTH(CloseDate,'Rent Roll'!$O$41-1),-'Rent Roll'!$U$41*'Rent Roll'!$F$41*'Rent Roll'!$X$41,0)</f>
        <v>0</v>
      </c>
      <c r="AR298" s="49">
        <f>IF(AR$4=EOMONTH(CloseDate,'Rent Roll'!$O$41-1),-'Rent Roll'!$U$41*'Rent Roll'!$F$41*'Rent Roll'!$X$41,0)</f>
        <v>0</v>
      </c>
      <c r="AS298" s="49">
        <f>IF(AS$4=EOMONTH(CloseDate,'Rent Roll'!$O$41-1),-'Rent Roll'!$U$41*'Rent Roll'!$F$41*'Rent Roll'!$X$41,0)</f>
        <v>0</v>
      </c>
      <c r="AT298" s="49">
        <f>IF(AT$4=EOMONTH(CloseDate,'Rent Roll'!$O$41-1),-'Rent Roll'!$U$41*'Rent Roll'!$F$41*'Rent Roll'!$X$41,0)</f>
        <v>0</v>
      </c>
      <c r="AU298" s="49">
        <f>IF(AU$4=EOMONTH(CloseDate,'Rent Roll'!$O$41-1),-'Rent Roll'!$U$41*'Rent Roll'!$F$41*'Rent Roll'!$X$41,0)</f>
        <v>0</v>
      </c>
      <c r="AV298" s="49">
        <f>IF(AV$4=EOMONTH(CloseDate,'Rent Roll'!$O$41-1),-'Rent Roll'!$U$41*'Rent Roll'!$F$41*'Rent Roll'!$X$41,0)</f>
        <v>0</v>
      </c>
      <c r="AW298" s="49">
        <f>IF(AW$4=EOMONTH(CloseDate,'Rent Roll'!$O$41-1),-'Rent Roll'!$U$41*'Rent Roll'!$F$41*'Rent Roll'!$X$41,0)</f>
        <v>0</v>
      </c>
      <c r="AX298" s="49">
        <f>IF(AX$4=EOMONTH(CloseDate,'Rent Roll'!$O$41-1),-'Rent Roll'!$U$41*'Rent Roll'!$F$41*'Rent Roll'!$X$41,0)</f>
        <v>0</v>
      </c>
      <c r="AY298" s="49">
        <f>IF(AY$4=EOMONTH(CloseDate,'Rent Roll'!$O$41-1),-'Rent Roll'!$U$41*'Rent Roll'!$F$41*'Rent Roll'!$X$41,0)</f>
        <v>0</v>
      </c>
      <c r="AZ298" s="49">
        <f>IF(AZ$4=EOMONTH(CloseDate,'Rent Roll'!$O$41-1),-'Rent Roll'!$U$41*'Rent Roll'!$F$41*'Rent Roll'!$X$41,0)</f>
        <v>0</v>
      </c>
      <c r="BA298" s="49">
        <f>IF(BA$4=EOMONTH(CloseDate,'Rent Roll'!$O$41-1),-'Rent Roll'!$U$41*'Rent Roll'!$F$41*'Rent Roll'!$X$41,0)</f>
        <v>0</v>
      </c>
      <c r="BB298" s="49">
        <f>IF(BB$4=EOMONTH(CloseDate,'Rent Roll'!$O$41-1),-'Rent Roll'!$U$41*'Rent Roll'!$F$41*'Rent Roll'!$X$41,0)</f>
        <v>0</v>
      </c>
      <c r="BC298" s="49">
        <f>IF(BC$4=EOMONTH(CloseDate,'Rent Roll'!$O$41-1),-'Rent Roll'!$U$41*'Rent Roll'!$F$41*'Rent Roll'!$X$41,0)</f>
        <v>0</v>
      </c>
      <c r="BD298" s="49">
        <f>IF(BD$4=EOMONTH(CloseDate,'Rent Roll'!$O$41-1),-'Rent Roll'!$U$41*'Rent Roll'!$F$41*'Rent Roll'!$X$41,0)</f>
        <v>0</v>
      </c>
      <c r="BE298" s="49">
        <f>IF(BE$4=EOMONTH(CloseDate,'Rent Roll'!$O$41-1),-'Rent Roll'!$U$41*'Rent Roll'!$F$41*'Rent Roll'!$X$41,0)</f>
        <v>0</v>
      </c>
      <c r="BF298" s="49">
        <f>IF(BF$4=EOMONTH(CloseDate,'Rent Roll'!$O$41-1),-'Rent Roll'!$U$41*'Rent Roll'!$F$41*'Rent Roll'!$X$41,0)</f>
        <v>0</v>
      </c>
      <c r="BG298" s="49">
        <f>IF(BG$4=EOMONTH(CloseDate,'Rent Roll'!$O$41-1),-'Rent Roll'!$U$41*'Rent Roll'!$F$41*'Rent Roll'!$X$41,0)</f>
        <v>0</v>
      </c>
      <c r="BH298" s="49">
        <f>IF(BH$4=EOMONTH(CloseDate,'Rent Roll'!$O$41-1),-'Rent Roll'!$U$41*'Rent Roll'!$F$41*'Rent Roll'!$X$41,0)</f>
        <v>0</v>
      </c>
      <c r="BI298" s="49">
        <f>IF(BI$4=EOMONTH(CloseDate,'Rent Roll'!$O$41-1),-'Rent Roll'!$U$41*'Rent Roll'!$F$41*'Rent Roll'!$X$41,0)</f>
        <v>0</v>
      </c>
      <c r="BJ298" s="49">
        <f>IF(BJ$4=EOMONTH(CloseDate,'Rent Roll'!$O$41-1),-'Rent Roll'!$U$41*'Rent Roll'!$F$41*'Rent Roll'!$X$41,0)</f>
        <v>0</v>
      </c>
      <c r="BK298" s="49">
        <f>IF(BK$4=EOMONTH(CloseDate,'Rent Roll'!$O$41-1),-'Rent Roll'!$U$41*'Rent Roll'!$F$41*'Rent Roll'!$X$41,0)</f>
        <v>0</v>
      </c>
      <c r="BL298" s="49">
        <f>IF(BL$4=EOMONTH(CloseDate,'Rent Roll'!$O$41-1),-'Rent Roll'!$U$41*'Rent Roll'!$F$41*'Rent Roll'!$X$41,0)</f>
        <v>0</v>
      </c>
      <c r="BM298" s="49">
        <f>IF(BM$4=EOMONTH(CloseDate,'Rent Roll'!$O$41-1),-'Rent Roll'!$U$41*'Rent Roll'!$F$41*'Rent Roll'!$X$41,0)</f>
        <v>0</v>
      </c>
      <c r="BN298" s="49">
        <f>IF(BN$4=EOMONTH(CloseDate,'Rent Roll'!$O$41-1),-'Rent Roll'!$U$41*'Rent Roll'!$F$41*'Rent Roll'!$X$41,0)</f>
        <v>0</v>
      </c>
      <c r="BO298" s="49">
        <f>IF(BO$4=EOMONTH(CloseDate,'Rent Roll'!$O$41-1),-'Rent Roll'!$U$41*'Rent Roll'!$F$41*'Rent Roll'!$X$41,0)</f>
        <v>0</v>
      </c>
      <c r="BP298" s="49">
        <f>IF(BP$4=EOMONTH(CloseDate,'Rent Roll'!$O$41-1),-'Rent Roll'!$U$41*'Rent Roll'!$F$41*'Rent Roll'!$X$41,0)</f>
        <v>0</v>
      </c>
      <c r="BQ298" s="49">
        <f>IF(BQ$4=EOMONTH(CloseDate,'Rent Roll'!$O$41-1),-'Rent Roll'!$U$41*'Rent Roll'!$F$41*'Rent Roll'!$X$41,0)</f>
        <v>0</v>
      </c>
      <c r="BR298" s="49">
        <f>IF(BR$4=EOMONTH(CloseDate,'Rent Roll'!$O$41-1),-'Rent Roll'!$U$41*'Rent Roll'!$F$41*'Rent Roll'!$X$41,0)</f>
        <v>0</v>
      </c>
      <c r="BS298" s="49">
        <f>IF(BS$4=EOMONTH(CloseDate,'Rent Roll'!$O$41-1),-'Rent Roll'!$U$41*'Rent Roll'!$F$41*'Rent Roll'!$X$41,0)</f>
        <v>0</v>
      </c>
      <c r="BT298" s="49">
        <f>IF(BT$4=EOMONTH(CloseDate,'Rent Roll'!$O$41-1),-'Rent Roll'!$U$41*'Rent Roll'!$F$41*'Rent Roll'!$X$41,0)</f>
        <v>0</v>
      </c>
      <c r="BU298" s="49">
        <f>IF(BU$4=EOMONTH(CloseDate,'Rent Roll'!$O$41-1),-'Rent Roll'!$U$41*'Rent Roll'!$F$41*'Rent Roll'!$X$41,0)</f>
        <v>0</v>
      </c>
      <c r="BV298" s="49">
        <f>IF(BV$4=EOMONTH(CloseDate,'Rent Roll'!$O$41-1),-'Rent Roll'!$U$41*'Rent Roll'!$F$41*'Rent Roll'!$X$41,0)</f>
        <v>0</v>
      </c>
      <c r="BW298" s="49">
        <f>IF(BW$4=EOMONTH(CloseDate,'Rent Roll'!$O$41-1),-'Rent Roll'!$U$41*'Rent Roll'!$F$41*'Rent Roll'!$X$41,0)</f>
        <v>0</v>
      </c>
      <c r="BX298" s="49">
        <f>IF(BX$4=EOMONTH(CloseDate,'Rent Roll'!$O$41-1),-'Rent Roll'!$U$41*'Rent Roll'!$F$41*'Rent Roll'!$X$41,0)</f>
        <v>0</v>
      </c>
    </row>
    <row r="299" spans="1:76" outlineLevel="1">
      <c r="A299" s="47" t="str">
        <f>'Rent Roll'!C42</f>
        <v>Suite 620</v>
      </c>
      <c r="B299" s="57">
        <f>INDEX('Rent Roll'!$F$5:$F$46,MATCH('Rent Roll Calc'!A299,'Rent Roll'!$C$5:$C$46,0))</f>
        <v>13000</v>
      </c>
      <c r="D299" s="49"/>
      <c r="E299" s="49"/>
      <c r="F299" s="49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  <c r="AA299" s="49"/>
      <c r="AB299" s="49"/>
      <c r="AC299" s="49"/>
      <c r="AD299" s="49"/>
      <c r="AE299" s="49"/>
      <c r="AF299" s="49"/>
      <c r="AG299" s="49"/>
      <c r="AH299" s="49"/>
      <c r="AI299" s="49"/>
      <c r="AJ299" s="49"/>
      <c r="AK299" s="49"/>
      <c r="AL299" s="49"/>
      <c r="AM299" s="49"/>
      <c r="AN299" s="49"/>
      <c r="AO299" s="49"/>
      <c r="AP299" s="49"/>
      <c r="AQ299" s="49"/>
      <c r="AR299" s="49"/>
      <c r="AS299" s="49"/>
      <c r="AT299" s="49"/>
      <c r="AU299" s="49"/>
      <c r="AV299" s="49"/>
      <c r="AW299" s="49"/>
      <c r="AX299" s="49"/>
      <c r="AY299" s="49"/>
      <c r="AZ299" s="49"/>
      <c r="BA299" s="49"/>
      <c r="BB299" s="49"/>
      <c r="BC299" s="49"/>
      <c r="BD299" s="49"/>
      <c r="BE299" s="49"/>
      <c r="BF299" s="49"/>
      <c r="BG299" s="49"/>
      <c r="BH299" s="49"/>
      <c r="BI299" s="49"/>
      <c r="BJ299" s="49"/>
      <c r="BK299" s="49"/>
      <c r="BL299" s="49"/>
      <c r="BM299" s="49"/>
      <c r="BN299" s="49"/>
      <c r="BO299" s="49"/>
      <c r="BP299" s="49"/>
      <c r="BQ299" s="49"/>
      <c r="BR299" s="49"/>
      <c r="BS299" s="49"/>
      <c r="BT299" s="49"/>
      <c r="BU299" s="49"/>
      <c r="BV299" s="49"/>
      <c r="BW299" s="49"/>
      <c r="BX299" s="49"/>
    </row>
    <row r="300" spans="1:76" outlineLevel="1">
      <c r="B300" t="s">
        <v>170</v>
      </c>
      <c r="D300" s="49">
        <f>IF(AND(D$3&gt;='Rent Roll'!$O$42-SpecBuildout,D$3&lt;'Rent Roll'!$O$42),1,0)</f>
        <v>0</v>
      </c>
      <c r="E300" s="49">
        <f>IF(AND(E$3&gt;='Rent Roll'!$O$42-SpecBuildout,E$3&lt;'Rent Roll'!$O$42),1,0)</f>
        <v>0</v>
      </c>
      <c r="F300" s="49">
        <f>IF(AND(F$3&gt;='Rent Roll'!$O$42-SpecBuildout,F$3&lt;'Rent Roll'!$O$42),1,0)</f>
        <v>0</v>
      </c>
      <c r="G300" s="49">
        <f>IF(AND(G$3&gt;='Rent Roll'!$O$42-SpecBuildout,G$3&lt;'Rent Roll'!$O$42),1,0)</f>
        <v>0</v>
      </c>
      <c r="H300" s="49">
        <f>IF(AND(H$3&gt;='Rent Roll'!$O$42-SpecBuildout,H$3&lt;'Rent Roll'!$O$42),1,0)</f>
        <v>0</v>
      </c>
      <c r="I300" s="49">
        <f>IF(AND(I$3&gt;='Rent Roll'!$O$42-SpecBuildout,I$3&lt;'Rent Roll'!$O$42),1,0)</f>
        <v>0</v>
      </c>
      <c r="J300" s="49">
        <f>IF(AND(J$3&gt;='Rent Roll'!$O$42-SpecBuildout,J$3&lt;'Rent Roll'!$O$42),1,0)</f>
        <v>1</v>
      </c>
      <c r="K300" s="49">
        <f>IF(AND(K$3&gt;='Rent Roll'!$O$42-SpecBuildout,K$3&lt;'Rent Roll'!$O$42),1,0)</f>
        <v>1</v>
      </c>
      <c r="L300" s="49">
        <f>IF(AND(L$3&gt;='Rent Roll'!$O$42-SpecBuildout,L$3&lt;'Rent Roll'!$O$42),1,0)</f>
        <v>1</v>
      </c>
      <c r="M300" s="49">
        <f>IF(AND(M$3&gt;='Rent Roll'!$O$42-SpecBuildout,M$3&lt;'Rent Roll'!$O$42),1,0)</f>
        <v>1</v>
      </c>
      <c r="N300" s="49">
        <f>IF(AND(N$3&gt;='Rent Roll'!$O$42-SpecBuildout,N$3&lt;'Rent Roll'!$O$42),1,0)</f>
        <v>1</v>
      </c>
      <c r="O300" s="49">
        <f>IF(AND(O$3&gt;='Rent Roll'!$O$42-SpecBuildout,O$3&lt;'Rent Roll'!$O$42),1,0)</f>
        <v>1</v>
      </c>
      <c r="P300" s="49">
        <f>IF(AND(P$3&gt;='Rent Roll'!$O$42-SpecBuildout,P$3&lt;'Rent Roll'!$O$42),1,0)</f>
        <v>0</v>
      </c>
      <c r="Q300" s="49">
        <f>IF(AND(Q$3&gt;='Rent Roll'!$O$42-SpecBuildout,Q$3&lt;'Rent Roll'!$O$42),1,0)</f>
        <v>0</v>
      </c>
      <c r="R300" s="49">
        <f>IF(AND(R$3&gt;='Rent Roll'!$O$42-SpecBuildout,R$3&lt;'Rent Roll'!$O$42),1,0)</f>
        <v>0</v>
      </c>
      <c r="S300" s="49">
        <f>IF(AND(S$3&gt;='Rent Roll'!$O$42-SpecBuildout,S$3&lt;'Rent Roll'!$O$42),1,0)</f>
        <v>0</v>
      </c>
      <c r="T300" s="49">
        <f>IF(AND(T$3&gt;='Rent Roll'!$O$42-SpecBuildout,T$3&lt;'Rent Roll'!$O$42),1,0)</f>
        <v>0</v>
      </c>
      <c r="U300" s="49">
        <f>IF(AND(U$3&gt;='Rent Roll'!$O$42-SpecBuildout,U$3&lt;'Rent Roll'!$O$42),1,0)</f>
        <v>0</v>
      </c>
      <c r="V300" s="49">
        <f>IF(AND(V$3&gt;='Rent Roll'!$O$42-SpecBuildout,V$3&lt;'Rent Roll'!$O$42),1,0)</f>
        <v>0</v>
      </c>
      <c r="W300" s="49">
        <f>IF(AND(W$3&gt;='Rent Roll'!$O$42-SpecBuildout,W$3&lt;'Rent Roll'!$O$42),1,0)</f>
        <v>0</v>
      </c>
      <c r="X300" s="49">
        <f>IF(AND(X$3&gt;='Rent Roll'!$O$42-SpecBuildout,X$3&lt;'Rent Roll'!$O$42),1,0)</f>
        <v>0</v>
      </c>
      <c r="Y300" s="49">
        <f>IF(AND(Y$3&gt;='Rent Roll'!$O$42-SpecBuildout,Y$3&lt;'Rent Roll'!$O$42),1,0)</f>
        <v>0</v>
      </c>
      <c r="Z300" s="49">
        <f>IF(AND(Z$3&gt;='Rent Roll'!$O$42-SpecBuildout,Z$3&lt;'Rent Roll'!$O$42),1,0)</f>
        <v>0</v>
      </c>
      <c r="AA300" s="49">
        <f>IF(AND(AA$3&gt;='Rent Roll'!$O$42-SpecBuildout,AA$3&lt;'Rent Roll'!$O$42),1,0)</f>
        <v>0</v>
      </c>
      <c r="AB300" s="49">
        <f>IF(AND(AB$3&gt;='Rent Roll'!$O$42-SpecBuildout,AB$3&lt;'Rent Roll'!$O$42),1,0)</f>
        <v>0</v>
      </c>
      <c r="AC300" s="49">
        <f>IF(AND(AC$3&gt;='Rent Roll'!$O$42-SpecBuildout,AC$3&lt;'Rent Roll'!$O$42),1,0)</f>
        <v>0</v>
      </c>
      <c r="AD300" s="49">
        <f>IF(AND(AD$3&gt;='Rent Roll'!$O$42-SpecBuildout,AD$3&lt;'Rent Roll'!$O$42),1,0)</f>
        <v>0</v>
      </c>
      <c r="AE300" s="49">
        <f>IF(AND(AE$3&gt;='Rent Roll'!$O$42-SpecBuildout,AE$3&lt;'Rent Roll'!$O$42),1,0)</f>
        <v>0</v>
      </c>
      <c r="AF300" s="49">
        <f>IF(AND(AF$3&gt;='Rent Roll'!$O$42-SpecBuildout,AF$3&lt;'Rent Roll'!$O$42),1,0)</f>
        <v>0</v>
      </c>
      <c r="AG300" s="49">
        <f>IF(AND(AG$3&gt;='Rent Roll'!$O$42-SpecBuildout,AG$3&lt;'Rent Roll'!$O$42),1,0)</f>
        <v>0</v>
      </c>
      <c r="AH300" s="49">
        <f>IF(AND(AH$3&gt;='Rent Roll'!$O$42-SpecBuildout,AH$3&lt;'Rent Roll'!$O$42),1,0)</f>
        <v>0</v>
      </c>
      <c r="AI300" s="49">
        <f>IF(AND(AI$3&gt;='Rent Roll'!$O$42-SpecBuildout,AI$3&lt;'Rent Roll'!$O$42),1,0)</f>
        <v>0</v>
      </c>
      <c r="AJ300" s="49">
        <f>IF(AND(AJ$3&gt;='Rent Roll'!$O$42-SpecBuildout,AJ$3&lt;'Rent Roll'!$O$42),1,0)</f>
        <v>0</v>
      </c>
      <c r="AK300" s="49">
        <f>IF(AND(AK$3&gt;='Rent Roll'!$O$42-SpecBuildout,AK$3&lt;'Rent Roll'!$O$42),1,0)</f>
        <v>0</v>
      </c>
      <c r="AL300" s="49">
        <f>IF(AND(AL$3&gt;='Rent Roll'!$O$42-SpecBuildout,AL$3&lt;'Rent Roll'!$O$42),1,0)</f>
        <v>0</v>
      </c>
      <c r="AM300" s="49">
        <f>IF(AND(AM$3&gt;='Rent Roll'!$O$42-SpecBuildout,AM$3&lt;'Rent Roll'!$O$42),1,0)</f>
        <v>0</v>
      </c>
      <c r="AN300" s="49">
        <f>IF(AND(AN$3&gt;='Rent Roll'!$O$42-SpecBuildout,AN$3&lt;'Rent Roll'!$O$42),1,0)</f>
        <v>0</v>
      </c>
      <c r="AO300" s="49">
        <f>IF(AND(AO$3&gt;='Rent Roll'!$O$42-SpecBuildout,AO$3&lt;'Rent Roll'!$O$42),1,0)</f>
        <v>0</v>
      </c>
      <c r="AP300" s="49">
        <f>IF(AND(AP$3&gt;='Rent Roll'!$O$42-SpecBuildout,AP$3&lt;'Rent Roll'!$O$42),1,0)</f>
        <v>0</v>
      </c>
      <c r="AQ300" s="49">
        <f>IF(AND(AQ$3&gt;='Rent Roll'!$O$42-SpecBuildout,AQ$3&lt;'Rent Roll'!$O$42),1,0)</f>
        <v>0</v>
      </c>
      <c r="AR300" s="49">
        <f>IF(AND(AR$3&gt;='Rent Roll'!$O$42-SpecBuildout,AR$3&lt;'Rent Roll'!$O$42),1,0)</f>
        <v>0</v>
      </c>
      <c r="AS300" s="49">
        <f>IF(AND(AS$3&gt;='Rent Roll'!$O$42-SpecBuildout,AS$3&lt;'Rent Roll'!$O$42),1,0)</f>
        <v>0</v>
      </c>
      <c r="AT300" s="49">
        <f>IF(AND(AT$3&gt;='Rent Roll'!$O$42-SpecBuildout,AT$3&lt;'Rent Roll'!$O$42),1,0)</f>
        <v>0</v>
      </c>
      <c r="AU300" s="49">
        <f>IF(AND(AU$3&gt;='Rent Roll'!$O$42-SpecBuildout,AU$3&lt;'Rent Roll'!$O$42),1,0)</f>
        <v>0</v>
      </c>
      <c r="AV300" s="49">
        <f>IF(AND(AV$3&gt;='Rent Roll'!$O$42-SpecBuildout,AV$3&lt;'Rent Roll'!$O$42),1,0)</f>
        <v>0</v>
      </c>
      <c r="AW300" s="49">
        <f>IF(AND(AW$3&gt;='Rent Roll'!$O$42-SpecBuildout,AW$3&lt;'Rent Roll'!$O$42),1,0)</f>
        <v>0</v>
      </c>
      <c r="AX300" s="49">
        <f>IF(AND(AX$3&gt;='Rent Roll'!$O$42-SpecBuildout,AX$3&lt;'Rent Roll'!$O$42),1,0)</f>
        <v>0</v>
      </c>
      <c r="AY300" s="49">
        <f>IF(AND(AY$3&gt;='Rent Roll'!$O$42-SpecBuildout,AY$3&lt;'Rent Roll'!$O$42),1,0)</f>
        <v>0</v>
      </c>
      <c r="AZ300" s="49">
        <f>IF(AND(AZ$3&gt;='Rent Roll'!$O$42-SpecBuildout,AZ$3&lt;'Rent Roll'!$O$42),1,0)</f>
        <v>0</v>
      </c>
      <c r="BA300" s="49">
        <f>IF(AND(BA$3&gt;='Rent Roll'!$O$42-SpecBuildout,BA$3&lt;'Rent Roll'!$O$42),1,0)</f>
        <v>0</v>
      </c>
      <c r="BB300" s="49">
        <f>IF(AND(BB$3&gt;='Rent Roll'!$O$42-SpecBuildout,BB$3&lt;'Rent Roll'!$O$42),1,0)</f>
        <v>0</v>
      </c>
      <c r="BC300" s="49">
        <f>IF(AND(BC$3&gt;='Rent Roll'!$O$42-SpecBuildout,BC$3&lt;'Rent Roll'!$O$42),1,0)</f>
        <v>0</v>
      </c>
      <c r="BD300" s="49">
        <f>IF(AND(BD$3&gt;='Rent Roll'!$O$42-SpecBuildout,BD$3&lt;'Rent Roll'!$O$42),1,0)</f>
        <v>0</v>
      </c>
      <c r="BE300" s="49">
        <f>IF(AND(BE$3&gt;='Rent Roll'!$O$42-SpecBuildout,BE$3&lt;'Rent Roll'!$O$42),1,0)</f>
        <v>0</v>
      </c>
      <c r="BF300" s="49">
        <f>IF(AND(BF$3&gt;='Rent Roll'!$O$42-SpecBuildout,BF$3&lt;'Rent Roll'!$O$42),1,0)</f>
        <v>0</v>
      </c>
      <c r="BG300" s="49">
        <f>IF(AND(BG$3&gt;='Rent Roll'!$O$42-SpecBuildout,BG$3&lt;'Rent Roll'!$O$42),1,0)</f>
        <v>0</v>
      </c>
      <c r="BH300" s="49">
        <f>IF(AND(BH$3&gt;='Rent Roll'!$O$42-SpecBuildout,BH$3&lt;'Rent Roll'!$O$42),1,0)</f>
        <v>0</v>
      </c>
      <c r="BI300" s="49">
        <f>IF(AND(BI$3&gt;='Rent Roll'!$O$42-SpecBuildout,BI$3&lt;'Rent Roll'!$O$42),1,0)</f>
        <v>0</v>
      </c>
      <c r="BJ300" s="49">
        <f>IF(AND(BJ$3&gt;='Rent Roll'!$O$42-SpecBuildout,BJ$3&lt;'Rent Roll'!$O$42),1,0)</f>
        <v>0</v>
      </c>
      <c r="BK300" s="49">
        <f>IF(AND(BK$3&gt;='Rent Roll'!$O$42-SpecBuildout,BK$3&lt;'Rent Roll'!$O$42),1,0)</f>
        <v>0</v>
      </c>
      <c r="BL300" s="49">
        <f>IF(AND(BL$3&gt;='Rent Roll'!$O$42-SpecBuildout,BL$3&lt;'Rent Roll'!$O$42),1,0)</f>
        <v>0</v>
      </c>
      <c r="BM300" s="49">
        <f>IF(AND(BM$3&gt;='Rent Roll'!$O$42-SpecBuildout,BM$3&lt;'Rent Roll'!$O$42),1,0)</f>
        <v>0</v>
      </c>
      <c r="BN300" s="49">
        <f>IF(AND(BN$3&gt;='Rent Roll'!$O$42-SpecBuildout,BN$3&lt;'Rent Roll'!$O$42),1,0)</f>
        <v>0</v>
      </c>
      <c r="BO300" s="49">
        <f>IF(AND(BO$3&gt;='Rent Roll'!$O$42-SpecBuildout,BO$3&lt;'Rent Roll'!$O$42),1,0)</f>
        <v>0</v>
      </c>
      <c r="BP300" s="49">
        <f>IF(AND(BP$3&gt;='Rent Roll'!$O$42-SpecBuildout,BP$3&lt;'Rent Roll'!$O$42),1,0)</f>
        <v>0</v>
      </c>
      <c r="BQ300" s="49">
        <f>IF(AND(BQ$3&gt;='Rent Roll'!$O$42-SpecBuildout,BQ$3&lt;'Rent Roll'!$O$42),1,0)</f>
        <v>0</v>
      </c>
      <c r="BR300" s="49">
        <f>IF(AND(BR$3&gt;='Rent Roll'!$O$42-SpecBuildout,BR$3&lt;'Rent Roll'!$O$42),1,0)</f>
        <v>0</v>
      </c>
      <c r="BS300" s="49">
        <f>IF(AND(BS$3&gt;='Rent Roll'!$O$42-SpecBuildout,BS$3&lt;'Rent Roll'!$O$42),1,0)</f>
        <v>0</v>
      </c>
      <c r="BT300" s="49">
        <f>IF(AND(BT$3&gt;='Rent Roll'!$O$42-SpecBuildout,BT$3&lt;'Rent Roll'!$O$42),1,0)</f>
        <v>0</v>
      </c>
      <c r="BU300" s="49">
        <f>IF(AND(BU$3&gt;='Rent Roll'!$O$42-SpecBuildout,BU$3&lt;'Rent Roll'!$O$42),1,0)</f>
        <v>0</v>
      </c>
      <c r="BV300" s="49">
        <f>IF(AND(BV$3&gt;='Rent Roll'!$O$42-SpecBuildout,BV$3&lt;'Rent Roll'!$O$42),1,0)</f>
        <v>0</v>
      </c>
      <c r="BW300" s="49">
        <f>IF(AND(BW$3&gt;='Rent Roll'!$O$42-SpecBuildout,BW$3&lt;'Rent Roll'!$O$42),1,0)</f>
        <v>0</v>
      </c>
      <c r="BX300" s="49">
        <f>IF(AND(BX$3&gt;='Rent Roll'!$O$42-SpecBuildout,BX$3&lt;'Rent Roll'!$O$42),1,0)</f>
        <v>0</v>
      </c>
    </row>
    <row r="301" spans="1:76" outlineLevel="1">
      <c r="B301" t="s">
        <v>159</v>
      </c>
      <c r="D301" s="49">
        <f>0</f>
        <v>0</v>
      </c>
      <c r="E301" s="49">
        <f>0</f>
        <v>0</v>
      </c>
      <c r="F301" s="49">
        <f>0</f>
        <v>0</v>
      </c>
      <c r="G301" s="49">
        <f>0</f>
        <v>0</v>
      </c>
      <c r="H301" s="49">
        <f>0</f>
        <v>0</v>
      </c>
      <c r="I301" s="49">
        <f>0</f>
        <v>0</v>
      </c>
      <c r="J301" s="49">
        <f>0</f>
        <v>0</v>
      </c>
      <c r="K301" s="49">
        <f>0</f>
        <v>0</v>
      </c>
      <c r="L301" s="49">
        <f>0</f>
        <v>0</v>
      </c>
      <c r="M301" s="49">
        <f>0</f>
        <v>0</v>
      </c>
      <c r="N301" s="49">
        <f>0</f>
        <v>0</v>
      </c>
      <c r="O301" s="49">
        <f>0</f>
        <v>0</v>
      </c>
      <c r="P301" s="49">
        <f>0</f>
        <v>0</v>
      </c>
      <c r="Q301" s="49">
        <f>0</f>
        <v>0</v>
      </c>
      <c r="R301" s="49">
        <f>0</f>
        <v>0</v>
      </c>
      <c r="S301" s="49">
        <f>0</f>
        <v>0</v>
      </c>
      <c r="T301" s="49">
        <f>0</f>
        <v>0</v>
      </c>
      <c r="U301" s="49">
        <f>0</f>
        <v>0</v>
      </c>
      <c r="V301" s="49">
        <f>0</f>
        <v>0</v>
      </c>
      <c r="W301" s="49">
        <f>0</f>
        <v>0</v>
      </c>
      <c r="X301" s="49">
        <f>0</f>
        <v>0</v>
      </c>
      <c r="Y301" s="49">
        <f>0</f>
        <v>0</v>
      </c>
      <c r="Z301" s="49">
        <f>0</f>
        <v>0</v>
      </c>
      <c r="AA301" s="49">
        <f>0</f>
        <v>0</v>
      </c>
      <c r="AB301" s="49">
        <f>0</f>
        <v>0</v>
      </c>
      <c r="AC301" s="49">
        <f>0</f>
        <v>0</v>
      </c>
      <c r="AD301" s="49">
        <f>0</f>
        <v>0</v>
      </c>
      <c r="AE301" s="49">
        <f>0</f>
        <v>0</v>
      </c>
      <c r="AF301" s="49">
        <f>0</f>
        <v>0</v>
      </c>
      <c r="AG301" s="49">
        <f>0</f>
        <v>0</v>
      </c>
      <c r="AH301" s="49">
        <f>0</f>
        <v>0</v>
      </c>
      <c r="AI301" s="49">
        <f>0</f>
        <v>0</v>
      </c>
      <c r="AJ301" s="49">
        <f>0</f>
        <v>0</v>
      </c>
      <c r="AK301" s="49">
        <f>0</f>
        <v>0</v>
      </c>
      <c r="AL301" s="49">
        <f>0</f>
        <v>0</v>
      </c>
      <c r="AM301" s="49">
        <f>0</f>
        <v>0</v>
      </c>
      <c r="AN301" s="49">
        <f>0</f>
        <v>0</v>
      </c>
      <c r="AO301" s="49">
        <f>0</f>
        <v>0</v>
      </c>
      <c r="AP301" s="49">
        <f>0</f>
        <v>0</v>
      </c>
      <c r="AQ301" s="49">
        <f>0</f>
        <v>0</v>
      </c>
      <c r="AR301" s="49">
        <f>0</f>
        <v>0</v>
      </c>
      <c r="AS301" s="49">
        <f>0</f>
        <v>0</v>
      </c>
      <c r="AT301" s="49">
        <f>0</f>
        <v>0</v>
      </c>
      <c r="AU301" s="49">
        <f>0</f>
        <v>0</v>
      </c>
      <c r="AV301" s="49">
        <f>0</f>
        <v>0</v>
      </c>
      <c r="AW301" s="49">
        <f>0</f>
        <v>0</v>
      </c>
      <c r="AX301" s="49">
        <f>0</f>
        <v>0</v>
      </c>
      <c r="AY301" s="49">
        <f>0</f>
        <v>0</v>
      </c>
      <c r="AZ301" s="49">
        <f>0</f>
        <v>0</v>
      </c>
      <c r="BA301" s="49">
        <f>0</f>
        <v>0</v>
      </c>
      <c r="BB301" s="49">
        <f>0</f>
        <v>0</v>
      </c>
      <c r="BC301" s="49">
        <f>0</f>
        <v>0</v>
      </c>
      <c r="BD301" s="49">
        <f>0</f>
        <v>0</v>
      </c>
      <c r="BE301" s="49">
        <f>0</f>
        <v>0</v>
      </c>
      <c r="BF301" s="49">
        <f>0</f>
        <v>0</v>
      </c>
      <c r="BG301" s="49">
        <f>0</f>
        <v>0</v>
      </c>
      <c r="BH301" s="49">
        <f>0</f>
        <v>0</v>
      </c>
      <c r="BI301" s="49">
        <f>0</f>
        <v>0</v>
      </c>
      <c r="BJ301" s="49">
        <f>0</f>
        <v>0</v>
      </c>
      <c r="BK301" s="49">
        <f>0</f>
        <v>0</v>
      </c>
      <c r="BL301" s="49">
        <f>0</f>
        <v>0</v>
      </c>
      <c r="BM301" s="49">
        <f>0</f>
        <v>0</v>
      </c>
      <c r="BN301" s="49">
        <f>0</f>
        <v>0</v>
      </c>
      <c r="BO301" s="49">
        <f>0</f>
        <v>0</v>
      </c>
      <c r="BP301" s="49">
        <f>0</f>
        <v>0</v>
      </c>
      <c r="BQ301" s="49">
        <f>0</f>
        <v>0</v>
      </c>
      <c r="BR301" s="49">
        <f>0</f>
        <v>0</v>
      </c>
      <c r="BS301" s="49">
        <f>0</f>
        <v>0</v>
      </c>
      <c r="BT301" s="49">
        <f>0</f>
        <v>0</v>
      </c>
      <c r="BU301" s="49">
        <f>0</f>
        <v>0</v>
      </c>
      <c r="BV301" s="49">
        <f>0</f>
        <v>0</v>
      </c>
      <c r="BW301" s="49">
        <f>0</f>
        <v>0</v>
      </c>
      <c r="BX301" s="49">
        <f>0</f>
        <v>0</v>
      </c>
    </row>
    <row r="302" spans="1:76" outlineLevel="1">
      <c r="B302" t="s">
        <v>160</v>
      </c>
      <c r="D302" s="49">
        <f>IF(D$4&gt;=EOMONTH(CloseDate,'Rent Roll'!$O$42-1),1,0)</f>
        <v>0</v>
      </c>
      <c r="E302" s="49">
        <f>IF(E$4&gt;=EOMONTH(CloseDate,'Rent Roll'!$O$42-1),1,0)</f>
        <v>0</v>
      </c>
      <c r="F302" s="49">
        <f>IF(F$4&gt;=EOMONTH(CloseDate,'Rent Roll'!$O$42-1),1,0)</f>
        <v>0</v>
      </c>
      <c r="G302" s="49">
        <f>IF(G$4&gt;=EOMONTH(CloseDate,'Rent Roll'!$O$42-1),1,0)</f>
        <v>0</v>
      </c>
      <c r="H302" s="49">
        <f>IF(H$4&gt;=EOMONTH(CloseDate,'Rent Roll'!$O$42-1),1,0)</f>
        <v>0</v>
      </c>
      <c r="I302" s="49">
        <f>IF(I$4&gt;=EOMONTH(CloseDate,'Rent Roll'!$O$42-1),1,0)</f>
        <v>0</v>
      </c>
      <c r="J302" s="49">
        <f>IF(J$4&gt;=EOMONTH(CloseDate,'Rent Roll'!$O$42-1),1,0)</f>
        <v>0</v>
      </c>
      <c r="K302" s="49">
        <f>IF(K$4&gt;=EOMONTH(CloseDate,'Rent Roll'!$O$42-1),1,0)</f>
        <v>0</v>
      </c>
      <c r="L302" s="49">
        <f>IF(L$4&gt;=EOMONTH(CloseDate,'Rent Roll'!$O$42-1),1,0)</f>
        <v>0</v>
      </c>
      <c r="M302" s="49">
        <f>IF(M$4&gt;=EOMONTH(CloseDate,'Rent Roll'!$O$42-1),1,0)</f>
        <v>0</v>
      </c>
      <c r="N302" s="49">
        <f>IF(N$4&gt;=EOMONTH(CloseDate,'Rent Roll'!$O$42-1),1,0)</f>
        <v>0</v>
      </c>
      <c r="O302" s="49">
        <f>IF(O$4&gt;=EOMONTH(CloseDate,'Rent Roll'!$O$42-1),1,0)</f>
        <v>1</v>
      </c>
      <c r="P302" s="49">
        <f>IF(P$4&gt;=EOMONTH(CloseDate,'Rent Roll'!$O$42-1),1,0)</f>
        <v>1</v>
      </c>
      <c r="Q302" s="49">
        <f>IF(Q$4&gt;=EOMONTH(CloseDate,'Rent Roll'!$O$42-1),1,0)</f>
        <v>1</v>
      </c>
      <c r="R302" s="49">
        <f>IF(R$4&gt;=EOMONTH(CloseDate,'Rent Roll'!$O$42-1),1,0)</f>
        <v>1</v>
      </c>
      <c r="S302" s="49">
        <f>IF(S$4&gt;=EOMONTH(CloseDate,'Rent Roll'!$O$42-1),1,0)</f>
        <v>1</v>
      </c>
      <c r="T302" s="49">
        <f>IF(T$4&gt;=EOMONTH(CloseDate,'Rent Roll'!$O$42-1),1,0)</f>
        <v>1</v>
      </c>
      <c r="U302" s="49">
        <f>IF(U$4&gt;=EOMONTH(CloseDate,'Rent Roll'!$O$42-1),1,0)</f>
        <v>1</v>
      </c>
      <c r="V302" s="49">
        <f>IF(V$4&gt;=EOMONTH(CloseDate,'Rent Roll'!$O$42-1),1,0)</f>
        <v>1</v>
      </c>
      <c r="W302" s="49">
        <f>IF(W$4&gt;=EOMONTH(CloseDate,'Rent Roll'!$O$42-1),1,0)</f>
        <v>1</v>
      </c>
      <c r="X302" s="49">
        <f>IF(X$4&gt;=EOMONTH(CloseDate,'Rent Roll'!$O$42-1),1,0)</f>
        <v>1</v>
      </c>
      <c r="Y302" s="49">
        <f>IF(Y$4&gt;=EOMONTH(CloseDate,'Rent Roll'!$O$42-1),1,0)</f>
        <v>1</v>
      </c>
      <c r="Z302" s="49">
        <f>IF(Z$4&gt;=EOMONTH(CloseDate,'Rent Roll'!$O$42-1),1,0)</f>
        <v>1</v>
      </c>
      <c r="AA302" s="49">
        <f>IF(AA$4&gt;=EOMONTH(CloseDate,'Rent Roll'!$O$42-1),1,0)</f>
        <v>1</v>
      </c>
      <c r="AB302" s="49">
        <f>IF(AB$4&gt;=EOMONTH(CloseDate,'Rent Roll'!$O$42-1),1,0)</f>
        <v>1</v>
      </c>
      <c r="AC302" s="49">
        <f>IF(AC$4&gt;=EOMONTH(CloseDate,'Rent Roll'!$O$42-1),1,0)</f>
        <v>1</v>
      </c>
      <c r="AD302" s="49">
        <f>IF(AD$4&gt;=EOMONTH(CloseDate,'Rent Roll'!$O$42-1),1,0)</f>
        <v>1</v>
      </c>
      <c r="AE302" s="49">
        <f>IF(AE$4&gt;=EOMONTH(CloseDate,'Rent Roll'!$O$42-1),1,0)</f>
        <v>1</v>
      </c>
      <c r="AF302" s="49">
        <f>IF(AF$4&gt;=EOMONTH(CloseDate,'Rent Roll'!$O$42-1),1,0)</f>
        <v>1</v>
      </c>
      <c r="AG302" s="49">
        <f>IF(AG$4&gt;=EOMONTH(CloseDate,'Rent Roll'!$O$42-1),1,0)</f>
        <v>1</v>
      </c>
      <c r="AH302" s="49">
        <f>IF(AH$4&gt;=EOMONTH(CloseDate,'Rent Roll'!$O$42-1),1,0)</f>
        <v>1</v>
      </c>
      <c r="AI302" s="49">
        <f>IF(AI$4&gt;=EOMONTH(CloseDate,'Rent Roll'!$O$42-1),1,0)</f>
        <v>1</v>
      </c>
      <c r="AJ302" s="49">
        <f>IF(AJ$4&gt;=EOMONTH(CloseDate,'Rent Roll'!$O$42-1),1,0)</f>
        <v>1</v>
      </c>
      <c r="AK302" s="49">
        <f>IF(AK$4&gt;=EOMONTH(CloseDate,'Rent Roll'!$O$42-1),1,0)</f>
        <v>1</v>
      </c>
      <c r="AL302" s="49">
        <f>IF(AL$4&gt;=EOMONTH(CloseDate,'Rent Roll'!$O$42-1),1,0)</f>
        <v>1</v>
      </c>
      <c r="AM302" s="49">
        <f>IF(AM$4&gt;=EOMONTH(CloseDate,'Rent Roll'!$O$42-1),1,0)</f>
        <v>1</v>
      </c>
      <c r="AN302" s="49">
        <f>IF(AN$4&gt;=EOMONTH(CloseDate,'Rent Roll'!$O$42-1),1,0)</f>
        <v>1</v>
      </c>
      <c r="AO302" s="49">
        <f>IF(AO$4&gt;=EOMONTH(CloseDate,'Rent Roll'!$O$42-1),1,0)</f>
        <v>1</v>
      </c>
      <c r="AP302" s="49">
        <f>IF(AP$4&gt;=EOMONTH(CloseDate,'Rent Roll'!$O$42-1),1,0)</f>
        <v>1</v>
      </c>
      <c r="AQ302" s="49">
        <f>IF(AQ$4&gt;=EOMONTH(CloseDate,'Rent Roll'!$O$42-1),1,0)</f>
        <v>1</v>
      </c>
      <c r="AR302" s="49">
        <f>IF(AR$4&gt;=EOMONTH(CloseDate,'Rent Roll'!$O$42-1),1,0)</f>
        <v>1</v>
      </c>
      <c r="AS302" s="49">
        <f>IF(AS$4&gt;=EOMONTH(CloseDate,'Rent Roll'!$O$42-1),1,0)</f>
        <v>1</v>
      </c>
      <c r="AT302" s="49">
        <f>IF(AT$4&gt;=EOMONTH(CloseDate,'Rent Roll'!$O$42-1),1,0)</f>
        <v>1</v>
      </c>
      <c r="AU302" s="49">
        <f>IF(AU$4&gt;=EOMONTH(CloseDate,'Rent Roll'!$O$42-1),1,0)</f>
        <v>1</v>
      </c>
      <c r="AV302" s="49">
        <f>IF(AV$4&gt;=EOMONTH(CloseDate,'Rent Roll'!$O$42-1),1,0)</f>
        <v>1</v>
      </c>
      <c r="AW302" s="49">
        <f>IF(AW$4&gt;=EOMONTH(CloseDate,'Rent Roll'!$O$42-1),1,0)</f>
        <v>1</v>
      </c>
      <c r="AX302" s="49">
        <f>IF(AX$4&gt;=EOMONTH(CloseDate,'Rent Roll'!$O$42-1),1,0)</f>
        <v>1</v>
      </c>
      <c r="AY302" s="49">
        <f>IF(AY$4&gt;=EOMONTH(CloseDate,'Rent Roll'!$O$42-1),1,0)</f>
        <v>1</v>
      </c>
      <c r="AZ302" s="49">
        <f>IF(AZ$4&gt;=EOMONTH(CloseDate,'Rent Roll'!$O$42-1),1,0)</f>
        <v>1</v>
      </c>
      <c r="BA302" s="49">
        <f>IF(BA$4&gt;=EOMONTH(CloseDate,'Rent Roll'!$O$42-1),1,0)</f>
        <v>1</v>
      </c>
      <c r="BB302" s="49">
        <f>IF(BB$4&gt;=EOMONTH(CloseDate,'Rent Roll'!$O$42-1),1,0)</f>
        <v>1</v>
      </c>
      <c r="BC302" s="49">
        <f>IF(BC$4&gt;=EOMONTH(CloseDate,'Rent Roll'!$O$42-1),1,0)</f>
        <v>1</v>
      </c>
      <c r="BD302" s="49">
        <f>IF(BD$4&gt;=EOMONTH(CloseDate,'Rent Roll'!$O$42-1),1,0)</f>
        <v>1</v>
      </c>
      <c r="BE302" s="49">
        <f>IF(BE$4&gt;=EOMONTH(CloseDate,'Rent Roll'!$O$42-1),1,0)</f>
        <v>1</v>
      </c>
      <c r="BF302" s="49">
        <f>IF(BF$4&gt;=EOMONTH(CloseDate,'Rent Roll'!$O$42-1),1,0)</f>
        <v>1</v>
      </c>
      <c r="BG302" s="49">
        <f>IF(BG$4&gt;=EOMONTH(CloseDate,'Rent Roll'!$O$42-1),1,0)</f>
        <v>1</v>
      </c>
      <c r="BH302" s="49">
        <f>IF(BH$4&gt;=EOMONTH(CloseDate,'Rent Roll'!$O$42-1),1,0)</f>
        <v>1</v>
      </c>
      <c r="BI302" s="49">
        <f>IF(BI$4&gt;=EOMONTH(CloseDate,'Rent Roll'!$O$42-1),1,0)</f>
        <v>1</v>
      </c>
      <c r="BJ302" s="49">
        <f>IF(BJ$4&gt;=EOMONTH(CloseDate,'Rent Roll'!$O$42-1),1,0)</f>
        <v>1</v>
      </c>
      <c r="BK302" s="49">
        <f>IF(BK$4&gt;=EOMONTH(CloseDate,'Rent Roll'!$O$42-1),1,0)</f>
        <v>1</v>
      </c>
      <c r="BL302" s="49">
        <f>IF(BL$4&gt;=EOMONTH(CloseDate,'Rent Roll'!$O$42-1),1,0)</f>
        <v>1</v>
      </c>
      <c r="BM302" s="49">
        <f>IF(BM$4&gt;=EOMONTH(CloseDate,'Rent Roll'!$O$42-1),1,0)</f>
        <v>1</v>
      </c>
      <c r="BN302" s="49">
        <f>IF(BN$4&gt;=EOMONTH(CloseDate,'Rent Roll'!$O$42-1),1,0)</f>
        <v>1</v>
      </c>
      <c r="BO302" s="49">
        <f>IF(BO$4&gt;=EOMONTH(CloseDate,'Rent Roll'!$O$42-1),1,0)</f>
        <v>1</v>
      </c>
      <c r="BP302" s="49">
        <f>IF(BP$4&gt;=EOMONTH(CloseDate,'Rent Roll'!$O$42-1),1,0)</f>
        <v>1</v>
      </c>
      <c r="BQ302" s="49">
        <f>IF(BQ$4&gt;=EOMONTH(CloseDate,'Rent Roll'!$O$42-1),1,0)</f>
        <v>1</v>
      </c>
      <c r="BR302" s="49">
        <f>IF(BR$4&gt;=EOMONTH(CloseDate,'Rent Roll'!$O$42-1),1,0)</f>
        <v>1</v>
      </c>
      <c r="BS302" s="49">
        <f>IF(BS$4&gt;=EOMONTH(CloseDate,'Rent Roll'!$O$42-1),1,0)</f>
        <v>1</v>
      </c>
      <c r="BT302" s="49">
        <f>IF(BT$4&gt;=EOMONTH(CloseDate,'Rent Roll'!$O$42-1),1,0)</f>
        <v>1</v>
      </c>
      <c r="BU302" s="49">
        <f>IF(BU$4&gt;=EOMONTH(CloseDate,'Rent Roll'!$O$42-1),1,0)</f>
        <v>1</v>
      </c>
      <c r="BV302" s="49">
        <f>IF(BV$4&gt;=EOMONTH(CloseDate,'Rent Roll'!$O$42-1),1,0)</f>
        <v>1</v>
      </c>
      <c r="BW302" s="49">
        <f>IF(BW$4&gt;=EOMONTH(CloseDate,'Rent Roll'!$O$42-1),1,0)</f>
        <v>1</v>
      </c>
      <c r="BX302" s="49">
        <f>IF(BX$4&gt;=EOMONTH(CloseDate,'Rent Roll'!$O$42-1),1,0)</f>
        <v>1</v>
      </c>
    </row>
    <row r="303" spans="1:76" outlineLevel="1">
      <c r="B303" t="s">
        <v>162</v>
      </c>
      <c r="D303" s="49">
        <f>IF(D302=1,'Rent Roll'!$F$42*'Rent Roll'!$X$42/12*D$6,0)</f>
        <v>0</v>
      </c>
      <c r="E303" s="49">
        <f>IF(E302=1,'Rent Roll'!$F$42*'Rent Roll'!$X$42/12*E$6,0)</f>
        <v>0</v>
      </c>
      <c r="F303" s="49">
        <f>IF(F302=1,'Rent Roll'!$F$42*'Rent Roll'!$X$42/12*F$6,0)</f>
        <v>0</v>
      </c>
      <c r="G303" s="49">
        <f>IF(G302=1,'Rent Roll'!$F$42*'Rent Roll'!$X$42/12*G$6,0)</f>
        <v>0</v>
      </c>
      <c r="H303" s="49">
        <f>IF(H302=1,'Rent Roll'!$F$42*'Rent Roll'!$X$42/12*H$6,0)</f>
        <v>0</v>
      </c>
      <c r="I303" s="49">
        <f>IF(I302=1,'Rent Roll'!$F$42*'Rent Roll'!$X$42/12*I$6,0)</f>
        <v>0</v>
      </c>
      <c r="J303" s="49">
        <f>IF(J302=1,'Rent Roll'!$F$42*'Rent Roll'!$X$42/12*J$6,0)</f>
        <v>0</v>
      </c>
      <c r="K303" s="49">
        <f>IF(K302=1,'Rent Roll'!$F$42*'Rent Roll'!$X$42/12*K$6,0)</f>
        <v>0</v>
      </c>
      <c r="L303" s="49">
        <f>IF(L302=1,'Rent Roll'!$F$42*'Rent Roll'!$X$42/12*L$6,0)</f>
        <v>0</v>
      </c>
      <c r="M303" s="49">
        <f>IF(M302=1,'Rent Roll'!$F$42*'Rent Roll'!$X$42/12*M$6,0)</f>
        <v>0</v>
      </c>
      <c r="N303" s="49">
        <f>IF(N302=1,'Rent Roll'!$F$42*'Rent Roll'!$X$42/12*N$6,0)</f>
        <v>0</v>
      </c>
      <c r="O303" s="49">
        <f>IF(O302=1,'Rent Roll'!$F$42*'Rent Roll'!$X$42/12*O$6,0)</f>
        <v>28927.166666666664</v>
      </c>
      <c r="P303" s="49">
        <f>IF(P302=1,'Rent Roll'!$F$42*'Rent Roll'!$X$42/12*P$6,0)</f>
        <v>28927.166666666664</v>
      </c>
      <c r="Q303" s="49">
        <f>IF(Q302=1,'Rent Roll'!$F$42*'Rent Roll'!$X$42/12*Q$6,0)</f>
        <v>28927.166666666664</v>
      </c>
      <c r="R303" s="49">
        <f>IF(R302=1,'Rent Roll'!$F$42*'Rent Roll'!$X$42/12*R$6,0)</f>
        <v>28927.166666666664</v>
      </c>
      <c r="S303" s="49">
        <f>IF(S302=1,'Rent Roll'!$F$42*'Rent Roll'!$X$42/12*S$6,0)</f>
        <v>28927.166666666664</v>
      </c>
      <c r="T303" s="49">
        <f>IF(T302=1,'Rent Roll'!$F$42*'Rent Roll'!$X$42/12*T$6,0)</f>
        <v>28927.166666666664</v>
      </c>
      <c r="U303" s="49">
        <f>IF(U302=1,'Rent Roll'!$F$42*'Rent Roll'!$X$42/12*U$6,0)</f>
        <v>29708.200166666662</v>
      </c>
      <c r="V303" s="49">
        <f>IF(V302=1,'Rent Roll'!$F$42*'Rent Roll'!$X$42/12*V$6,0)</f>
        <v>29708.200166666662</v>
      </c>
      <c r="W303" s="49">
        <f>IF(W302=1,'Rent Roll'!$F$42*'Rent Roll'!$X$42/12*W$6,0)</f>
        <v>29708.200166666662</v>
      </c>
      <c r="X303" s="49">
        <f>IF(X302=1,'Rent Roll'!$F$42*'Rent Roll'!$X$42/12*X$6,0)</f>
        <v>29708.200166666662</v>
      </c>
      <c r="Y303" s="49">
        <f>IF(Y302=1,'Rent Roll'!$F$42*'Rent Roll'!$X$42/12*Y$6,0)</f>
        <v>29708.200166666662</v>
      </c>
      <c r="Z303" s="49">
        <f>IF(Z302=1,'Rent Roll'!$F$42*'Rent Roll'!$X$42/12*Z$6,0)</f>
        <v>29708.200166666662</v>
      </c>
      <c r="AA303" s="49">
        <f>IF(AA302=1,'Rent Roll'!$F$42*'Rent Roll'!$X$42/12*AA$6,0)</f>
        <v>29708.200166666662</v>
      </c>
      <c r="AB303" s="49">
        <f>IF(AB302=1,'Rent Roll'!$F$42*'Rent Roll'!$X$42/12*AB$6,0)</f>
        <v>29708.200166666662</v>
      </c>
      <c r="AC303" s="49">
        <f>IF(AC302=1,'Rent Roll'!$F$42*'Rent Roll'!$X$42/12*AC$6,0)</f>
        <v>29708.200166666662</v>
      </c>
      <c r="AD303" s="49">
        <f>IF(AD302=1,'Rent Roll'!$F$42*'Rent Roll'!$X$42/12*AD$6,0)</f>
        <v>29708.200166666662</v>
      </c>
      <c r="AE303" s="49">
        <f>IF(AE302=1,'Rent Roll'!$F$42*'Rent Roll'!$X$42/12*AE$6,0)</f>
        <v>29708.200166666662</v>
      </c>
      <c r="AF303" s="49">
        <f>IF(AF302=1,'Rent Roll'!$F$42*'Rent Roll'!$X$42/12*AF$6,0)</f>
        <v>29708.200166666662</v>
      </c>
      <c r="AG303" s="49">
        <f>IF(AG302=1,'Rent Roll'!$F$42*'Rent Roll'!$X$42/12*AG$6,0)</f>
        <v>30510.321571166663</v>
      </c>
      <c r="AH303" s="49">
        <f>IF(AH302=1,'Rent Roll'!$F$42*'Rent Roll'!$X$42/12*AH$6,0)</f>
        <v>30510.321571166663</v>
      </c>
      <c r="AI303" s="49">
        <f>IF(AI302=1,'Rent Roll'!$F$42*'Rent Roll'!$X$42/12*AI$6,0)</f>
        <v>30510.321571166663</v>
      </c>
      <c r="AJ303" s="49">
        <f>IF(AJ302=1,'Rent Roll'!$F$42*'Rent Roll'!$X$42/12*AJ$6,0)</f>
        <v>30510.321571166663</v>
      </c>
      <c r="AK303" s="49">
        <f>IF(AK302=1,'Rent Roll'!$F$42*'Rent Roll'!$X$42/12*AK$6,0)</f>
        <v>30510.321571166663</v>
      </c>
      <c r="AL303" s="49">
        <f>IF(AL302=1,'Rent Roll'!$F$42*'Rent Roll'!$X$42/12*AL$6,0)</f>
        <v>30510.321571166663</v>
      </c>
      <c r="AM303" s="49">
        <f>IF(AM302=1,'Rent Roll'!$F$42*'Rent Roll'!$X$42/12*AM$6,0)</f>
        <v>30510.321571166663</v>
      </c>
      <c r="AN303" s="49">
        <f>IF(AN302=1,'Rent Roll'!$F$42*'Rent Roll'!$X$42/12*AN$6,0)</f>
        <v>30510.321571166663</v>
      </c>
      <c r="AO303" s="49">
        <f>IF(AO302=1,'Rent Roll'!$F$42*'Rent Roll'!$X$42/12*AO$6,0)</f>
        <v>30510.321571166663</v>
      </c>
      <c r="AP303" s="49">
        <f>IF(AP302=1,'Rent Roll'!$F$42*'Rent Roll'!$X$42/12*AP$6,0)</f>
        <v>30510.321571166663</v>
      </c>
      <c r="AQ303" s="49">
        <f>IF(AQ302=1,'Rent Roll'!$F$42*'Rent Roll'!$X$42/12*AQ$6,0)</f>
        <v>30510.321571166663</v>
      </c>
      <c r="AR303" s="49">
        <f>IF(AR302=1,'Rent Roll'!$F$42*'Rent Roll'!$X$42/12*AR$6,0)</f>
        <v>30510.321571166663</v>
      </c>
      <c r="AS303" s="49">
        <f>IF(AS302=1,'Rent Roll'!$F$42*'Rent Roll'!$X$42/12*AS$6,0)</f>
        <v>31334.100253588156</v>
      </c>
      <c r="AT303" s="49">
        <f>IF(AT302=1,'Rent Roll'!$F$42*'Rent Roll'!$X$42/12*AT$6,0)</f>
        <v>31334.100253588156</v>
      </c>
      <c r="AU303" s="49">
        <f>IF(AU302=1,'Rent Roll'!$F$42*'Rent Roll'!$X$42/12*AU$6,0)</f>
        <v>31334.100253588156</v>
      </c>
      <c r="AV303" s="49">
        <f>IF(AV302=1,'Rent Roll'!$F$42*'Rent Roll'!$X$42/12*AV$6,0)</f>
        <v>31334.100253588156</v>
      </c>
      <c r="AW303" s="49">
        <f>IF(AW302=1,'Rent Roll'!$F$42*'Rent Roll'!$X$42/12*AW$6,0)</f>
        <v>31334.100253588156</v>
      </c>
      <c r="AX303" s="49">
        <f>IF(AX302=1,'Rent Roll'!$F$42*'Rent Roll'!$X$42/12*AX$6,0)</f>
        <v>31334.100253588156</v>
      </c>
      <c r="AY303" s="49">
        <f>IF(AY302=1,'Rent Roll'!$F$42*'Rent Roll'!$X$42/12*AY$6,0)</f>
        <v>31334.100253588156</v>
      </c>
      <c r="AZ303" s="49">
        <f>IF(AZ302=1,'Rent Roll'!$F$42*'Rent Roll'!$X$42/12*AZ$6,0)</f>
        <v>31334.100253588156</v>
      </c>
      <c r="BA303" s="49">
        <f>IF(BA302=1,'Rent Roll'!$F$42*'Rent Roll'!$X$42/12*BA$6,0)</f>
        <v>31334.100253588156</v>
      </c>
      <c r="BB303" s="49">
        <f>IF(BB302=1,'Rent Roll'!$F$42*'Rent Roll'!$X$42/12*BB$6,0)</f>
        <v>31334.100253588156</v>
      </c>
      <c r="BC303" s="49">
        <f>IF(BC302=1,'Rent Roll'!$F$42*'Rent Roll'!$X$42/12*BC$6,0)</f>
        <v>31334.100253588156</v>
      </c>
      <c r="BD303" s="49">
        <f>IF(BD302=1,'Rent Roll'!$F$42*'Rent Roll'!$X$42/12*BD$6,0)</f>
        <v>31334.100253588156</v>
      </c>
      <c r="BE303" s="49">
        <f>IF(BE302=1,'Rent Roll'!$F$42*'Rent Roll'!$X$42/12*BE$6,0)</f>
        <v>32180.120960435033</v>
      </c>
      <c r="BF303" s="49">
        <f>IF(BF302=1,'Rent Roll'!$F$42*'Rent Roll'!$X$42/12*BF$6,0)</f>
        <v>32180.120960435033</v>
      </c>
      <c r="BG303" s="49">
        <f>IF(BG302=1,'Rent Roll'!$F$42*'Rent Roll'!$X$42/12*BG$6,0)</f>
        <v>32180.120960435033</v>
      </c>
      <c r="BH303" s="49">
        <f>IF(BH302=1,'Rent Roll'!$F$42*'Rent Roll'!$X$42/12*BH$6,0)</f>
        <v>32180.120960435033</v>
      </c>
      <c r="BI303" s="49">
        <f>IF(BI302=1,'Rent Roll'!$F$42*'Rent Roll'!$X$42/12*BI$6,0)</f>
        <v>32180.120960435033</v>
      </c>
      <c r="BJ303" s="49">
        <f>IF(BJ302=1,'Rent Roll'!$F$42*'Rent Roll'!$X$42/12*BJ$6,0)</f>
        <v>32180.120960435033</v>
      </c>
      <c r="BK303" s="49">
        <f>IF(BK302=1,'Rent Roll'!$F$42*'Rent Roll'!$X$42/12*BK$6,0)</f>
        <v>32180.120960435033</v>
      </c>
      <c r="BL303" s="49">
        <f>IF(BL302=1,'Rent Roll'!$F$42*'Rent Roll'!$X$42/12*BL$6,0)</f>
        <v>32180.120960435033</v>
      </c>
      <c r="BM303" s="49">
        <f>IF(BM302=1,'Rent Roll'!$F$42*'Rent Roll'!$X$42/12*BM$6,0)</f>
        <v>32180.120960435033</v>
      </c>
      <c r="BN303" s="49">
        <f>IF(BN302=1,'Rent Roll'!$F$42*'Rent Roll'!$X$42/12*BN$6,0)</f>
        <v>32180.120960435033</v>
      </c>
      <c r="BO303" s="49">
        <f>IF(BO302=1,'Rent Roll'!$F$42*'Rent Roll'!$X$42/12*BO$6,0)</f>
        <v>32180.120960435033</v>
      </c>
      <c r="BP303" s="49">
        <f>IF(BP302=1,'Rent Roll'!$F$42*'Rent Roll'!$X$42/12*BP$6,0)</f>
        <v>32180.120960435033</v>
      </c>
      <c r="BQ303" s="49">
        <f>IF(BQ302=1,'Rent Roll'!$F$42*'Rent Roll'!$X$42/12*BQ$6,0)</f>
        <v>33048.984226366774</v>
      </c>
      <c r="BR303" s="49">
        <f>IF(BR302=1,'Rent Roll'!$F$42*'Rent Roll'!$X$42/12*BR$6,0)</f>
        <v>33048.984226366774</v>
      </c>
      <c r="BS303" s="49">
        <f>IF(BS302=1,'Rent Roll'!$F$42*'Rent Roll'!$X$42/12*BS$6,0)</f>
        <v>33048.984226366774</v>
      </c>
      <c r="BT303" s="49">
        <f>IF(BT302=1,'Rent Roll'!$F$42*'Rent Roll'!$X$42/12*BT$6,0)</f>
        <v>33048.984226366774</v>
      </c>
      <c r="BU303" s="49">
        <f>IF(BU302=1,'Rent Roll'!$F$42*'Rent Roll'!$X$42/12*BU$6,0)</f>
        <v>33048.984226366774</v>
      </c>
      <c r="BV303" s="49">
        <f>IF(BV302=1,'Rent Roll'!$F$42*'Rent Roll'!$X$42/12*BV$6,0)</f>
        <v>33048.984226366774</v>
      </c>
      <c r="BW303" s="49">
        <f>IF(BW302=1,'Rent Roll'!$F$42*'Rent Roll'!$X$42/12*BW$6,0)</f>
        <v>33048.984226366774</v>
      </c>
      <c r="BX303" s="49">
        <f>IF(BX302=1,'Rent Roll'!$F$42*'Rent Roll'!$X$42/12*BX$6,0)</f>
        <v>33048.984226366774</v>
      </c>
    </row>
    <row r="304" spans="1:76">
      <c r="B304" t="s">
        <v>163</v>
      </c>
      <c r="D304" s="49">
        <f>IF(AND(D$4&gt;=EOMONTH(CloseDate,'Rent Roll'!$O$42-1),D$4&lt;EOMONTH(CloseDate,'Rent Roll'!$O$42-1+'Rent Roll'!$V$42)),-D303,0)</f>
        <v>0</v>
      </c>
      <c r="E304" s="49">
        <f>IF(AND(E$4&gt;=EOMONTH(CloseDate,'Rent Roll'!$O$42-1),E$4&lt;EOMONTH(CloseDate,'Rent Roll'!$O$42-1+'Rent Roll'!$V$42)),-E303,0)</f>
        <v>0</v>
      </c>
      <c r="F304" s="49">
        <f>IF(AND(F$4&gt;=EOMONTH(CloseDate,'Rent Roll'!$O$42-1),F$4&lt;EOMONTH(CloseDate,'Rent Roll'!$O$42-1+'Rent Roll'!$V$42)),-F303,0)</f>
        <v>0</v>
      </c>
      <c r="G304" s="49">
        <f>IF(AND(G$4&gt;=EOMONTH(CloseDate,'Rent Roll'!$O$42-1),G$4&lt;EOMONTH(CloseDate,'Rent Roll'!$O$42-1+'Rent Roll'!$V$42)),-G303,0)</f>
        <v>0</v>
      </c>
      <c r="H304" s="49">
        <f>IF(AND(H$4&gt;=EOMONTH(CloseDate,'Rent Roll'!$O$42-1),H$4&lt;EOMONTH(CloseDate,'Rent Roll'!$O$42-1+'Rent Roll'!$V$42)),-H303,0)</f>
        <v>0</v>
      </c>
      <c r="I304" s="49">
        <f>IF(AND(I$4&gt;=EOMONTH(CloseDate,'Rent Roll'!$O$42-1),I$4&lt;EOMONTH(CloseDate,'Rent Roll'!$O$42-1+'Rent Roll'!$V$42)),-I303,0)</f>
        <v>0</v>
      </c>
      <c r="J304" s="49">
        <f>IF(AND(J$4&gt;=EOMONTH(CloseDate,'Rent Roll'!$O$42-1),J$4&lt;EOMONTH(CloseDate,'Rent Roll'!$O$42-1+'Rent Roll'!$V$42)),-J303,0)</f>
        <v>0</v>
      </c>
      <c r="K304" s="49">
        <f>IF(AND(K$4&gt;=EOMONTH(CloseDate,'Rent Roll'!$O$42-1),K$4&lt;EOMONTH(CloseDate,'Rent Roll'!$O$42-1+'Rent Roll'!$V$42)),-K303,0)</f>
        <v>0</v>
      </c>
      <c r="L304" s="49">
        <f>IF(AND(L$4&gt;=EOMONTH(CloseDate,'Rent Roll'!$O$42-1),L$4&lt;EOMONTH(CloseDate,'Rent Roll'!$O$42-1+'Rent Roll'!$V$42)),-L303,0)</f>
        <v>0</v>
      </c>
      <c r="M304" s="49">
        <f>IF(AND(M$4&gt;=EOMONTH(CloseDate,'Rent Roll'!$O$42-1),M$4&lt;EOMONTH(CloseDate,'Rent Roll'!$O$42-1+'Rent Roll'!$V$42)),-M303,0)</f>
        <v>0</v>
      </c>
      <c r="N304" s="49">
        <f>IF(AND(N$4&gt;=EOMONTH(CloseDate,'Rent Roll'!$O$42-1),N$4&lt;EOMONTH(CloseDate,'Rent Roll'!$O$42-1+'Rent Roll'!$V$42)),-N303,0)</f>
        <v>0</v>
      </c>
      <c r="O304" s="49">
        <f>IF(AND(O$4&gt;=EOMONTH(CloseDate,'Rent Roll'!$O$42-1),O$4&lt;EOMONTH(CloseDate,'Rent Roll'!$O$42-1+'Rent Roll'!$V$42)),-O303,0)</f>
        <v>-28927.166666666664</v>
      </c>
      <c r="P304" s="49">
        <f>IF(AND(P$4&gt;=EOMONTH(CloseDate,'Rent Roll'!$O$42-1),P$4&lt;EOMONTH(CloseDate,'Rent Roll'!$O$42-1+'Rent Roll'!$V$42)),-P303,0)</f>
        <v>-28927.166666666664</v>
      </c>
      <c r="Q304" s="49">
        <f>IF(AND(Q$4&gt;=EOMONTH(CloseDate,'Rent Roll'!$O$42-1),Q$4&lt;EOMONTH(CloseDate,'Rent Roll'!$O$42-1+'Rent Roll'!$V$42)),-Q303,0)</f>
        <v>0</v>
      </c>
      <c r="R304" s="49">
        <f>IF(AND(R$4&gt;=EOMONTH(CloseDate,'Rent Roll'!$O$42-1),R$4&lt;EOMONTH(CloseDate,'Rent Roll'!$O$42-1+'Rent Roll'!$V$42)),-R303,0)</f>
        <v>0</v>
      </c>
      <c r="S304" s="49">
        <f>IF(AND(S$4&gt;=EOMONTH(CloseDate,'Rent Roll'!$O$42-1),S$4&lt;EOMONTH(CloseDate,'Rent Roll'!$O$42-1+'Rent Roll'!$V$42)),-S303,0)</f>
        <v>0</v>
      </c>
      <c r="T304" s="49">
        <f>IF(AND(T$4&gt;=EOMONTH(CloseDate,'Rent Roll'!$O$42-1),T$4&lt;EOMONTH(CloseDate,'Rent Roll'!$O$42-1+'Rent Roll'!$V$42)),-T303,0)</f>
        <v>0</v>
      </c>
      <c r="U304" s="49">
        <f>IF(AND(U$4&gt;=EOMONTH(CloseDate,'Rent Roll'!$O$42-1),U$4&lt;EOMONTH(CloseDate,'Rent Roll'!$O$42-1+'Rent Roll'!$V$42)),-U303,0)</f>
        <v>0</v>
      </c>
      <c r="V304" s="49">
        <f>IF(AND(V$4&gt;=EOMONTH(CloseDate,'Rent Roll'!$O$42-1),V$4&lt;EOMONTH(CloseDate,'Rent Roll'!$O$42-1+'Rent Roll'!$V$42)),-V303,0)</f>
        <v>0</v>
      </c>
      <c r="W304" s="49">
        <f>IF(AND(W$4&gt;=EOMONTH(CloseDate,'Rent Roll'!$O$42-1),W$4&lt;EOMONTH(CloseDate,'Rent Roll'!$O$42-1+'Rent Roll'!$V$42)),-W303,0)</f>
        <v>0</v>
      </c>
      <c r="X304" s="49">
        <f>IF(AND(X$4&gt;=EOMONTH(CloseDate,'Rent Roll'!$O$42-1),X$4&lt;EOMONTH(CloseDate,'Rent Roll'!$O$42-1+'Rent Roll'!$V$42)),-X303,0)</f>
        <v>0</v>
      </c>
      <c r="Y304" s="49">
        <f>IF(AND(Y$4&gt;=EOMONTH(CloseDate,'Rent Roll'!$O$42-1),Y$4&lt;EOMONTH(CloseDate,'Rent Roll'!$O$42-1+'Rent Roll'!$V$42)),-Y303,0)</f>
        <v>0</v>
      </c>
      <c r="Z304" s="49">
        <f>IF(AND(Z$4&gt;=EOMONTH(CloseDate,'Rent Roll'!$O$42-1),Z$4&lt;EOMONTH(CloseDate,'Rent Roll'!$O$42-1+'Rent Roll'!$V$42)),-Z303,0)</f>
        <v>0</v>
      </c>
      <c r="AA304" s="49">
        <f>IF(AND(AA$4&gt;=EOMONTH(CloseDate,'Rent Roll'!$O$42-1),AA$4&lt;EOMONTH(CloseDate,'Rent Roll'!$O$42-1+'Rent Roll'!$V$42)),-AA303,0)</f>
        <v>0</v>
      </c>
      <c r="AB304" s="49">
        <f>IF(AND(AB$4&gt;=EOMONTH(CloseDate,'Rent Roll'!$O$42-1),AB$4&lt;EOMONTH(CloseDate,'Rent Roll'!$O$42-1+'Rent Roll'!$V$42)),-AB303,0)</f>
        <v>0</v>
      </c>
      <c r="AC304" s="49">
        <f>IF(AND(AC$4&gt;=EOMONTH(CloseDate,'Rent Roll'!$O$42-1),AC$4&lt;EOMONTH(CloseDate,'Rent Roll'!$O$42-1+'Rent Roll'!$V$42)),-AC303,0)</f>
        <v>0</v>
      </c>
      <c r="AD304" s="49">
        <f>IF(AND(AD$4&gt;=EOMONTH(CloseDate,'Rent Roll'!$O$42-1),AD$4&lt;EOMONTH(CloseDate,'Rent Roll'!$O$42-1+'Rent Roll'!$V$42)),-AD303,0)</f>
        <v>0</v>
      </c>
      <c r="AE304" s="49">
        <f>IF(AND(AE$4&gt;=EOMONTH(CloseDate,'Rent Roll'!$O$42-1),AE$4&lt;EOMONTH(CloseDate,'Rent Roll'!$O$42-1+'Rent Roll'!$V$42)),-AE303,0)</f>
        <v>0</v>
      </c>
      <c r="AF304" s="49">
        <f>IF(AND(AF$4&gt;=EOMONTH(CloseDate,'Rent Roll'!$O$42-1),AF$4&lt;EOMONTH(CloseDate,'Rent Roll'!$O$42-1+'Rent Roll'!$V$42)),-AF303,0)</f>
        <v>0</v>
      </c>
      <c r="AG304" s="49">
        <f>IF(AND(AG$4&gt;=EOMONTH(CloseDate,'Rent Roll'!$O$42-1),AG$4&lt;EOMONTH(CloseDate,'Rent Roll'!$O$42-1+'Rent Roll'!$V$42)),-AG303,0)</f>
        <v>0</v>
      </c>
      <c r="AH304" s="49">
        <f>IF(AND(AH$4&gt;=EOMONTH(CloseDate,'Rent Roll'!$O$42-1),AH$4&lt;EOMONTH(CloseDate,'Rent Roll'!$O$42-1+'Rent Roll'!$V$42)),-AH303,0)</f>
        <v>0</v>
      </c>
      <c r="AI304" s="49">
        <f>IF(AND(AI$4&gt;=EOMONTH(CloseDate,'Rent Roll'!$O$42-1),AI$4&lt;EOMONTH(CloseDate,'Rent Roll'!$O$42-1+'Rent Roll'!$V$42)),-AI303,0)</f>
        <v>0</v>
      </c>
      <c r="AJ304" s="49">
        <f>IF(AND(AJ$4&gt;=EOMONTH(CloseDate,'Rent Roll'!$O$42-1),AJ$4&lt;EOMONTH(CloseDate,'Rent Roll'!$O$42-1+'Rent Roll'!$V$42)),-AJ303,0)</f>
        <v>0</v>
      </c>
      <c r="AK304" s="49">
        <f>IF(AND(AK$4&gt;=EOMONTH(CloseDate,'Rent Roll'!$O$42-1),AK$4&lt;EOMONTH(CloseDate,'Rent Roll'!$O$42-1+'Rent Roll'!$V$42)),-AK303,0)</f>
        <v>0</v>
      </c>
      <c r="AL304" s="49">
        <f>IF(AND(AL$4&gt;=EOMONTH(CloseDate,'Rent Roll'!$O$42-1),AL$4&lt;EOMONTH(CloseDate,'Rent Roll'!$O$42-1+'Rent Roll'!$V$42)),-AL303,0)</f>
        <v>0</v>
      </c>
      <c r="AM304" s="49">
        <f>IF(AND(AM$4&gt;=EOMONTH(CloseDate,'Rent Roll'!$O$42-1),AM$4&lt;EOMONTH(CloseDate,'Rent Roll'!$O$42-1+'Rent Roll'!$V$42)),-AM303,0)</f>
        <v>0</v>
      </c>
      <c r="AN304" s="49">
        <f>IF(AND(AN$4&gt;=EOMONTH(CloseDate,'Rent Roll'!$O$42-1),AN$4&lt;EOMONTH(CloseDate,'Rent Roll'!$O$42-1+'Rent Roll'!$V$42)),-AN303,0)</f>
        <v>0</v>
      </c>
      <c r="AO304" s="49">
        <f>IF(AND(AO$4&gt;=EOMONTH(CloseDate,'Rent Roll'!$O$42-1),AO$4&lt;EOMONTH(CloseDate,'Rent Roll'!$O$42-1+'Rent Roll'!$V$42)),-AO303,0)</f>
        <v>0</v>
      </c>
      <c r="AP304" s="49">
        <f>IF(AND(AP$4&gt;=EOMONTH(CloseDate,'Rent Roll'!$O$42-1),AP$4&lt;EOMONTH(CloseDate,'Rent Roll'!$O$42-1+'Rent Roll'!$V$42)),-AP303,0)</f>
        <v>0</v>
      </c>
      <c r="AQ304" s="49">
        <f>IF(AND(AQ$4&gt;=EOMONTH(CloseDate,'Rent Roll'!$O$42-1),AQ$4&lt;EOMONTH(CloseDate,'Rent Roll'!$O$42-1+'Rent Roll'!$V$42)),-AQ303,0)</f>
        <v>0</v>
      </c>
      <c r="AR304" s="49">
        <f>IF(AND(AR$4&gt;=EOMONTH(CloseDate,'Rent Roll'!$O$42-1),AR$4&lt;EOMONTH(CloseDate,'Rent Roll'!$O$42-1+'Rent Roll'!$V$42)),-AR303,0)</f>
        <v>0</v>
      </c>
      <c r="AS304" s="49">
        <f>IF(AND(AS$4&gt;=EOMONTH(CloseDate,'Rent Roll'!$O$42-1),AS$4&lt;EOMONTH(CloseDate,'Rent Roll'!$O$42-1+'Rent Roll'!$V$42)),-AS303,0)</f>
        <v>0</v>
      </c>
      <c r="AT304" s="49">
        <f>IF(AND(AT$4&gt;=EOMONTH(CloseDate,'Rent Roll'!$O$42-1),AT$4&lt;EOMONTH(CloseDate,'Rent Roll'!$O$42-1+'Rent Roll'!$V$42)),-AT303,0)</f>
        <v>0</v>
      </c>
      <c r="AU304" s="49">
        <f>IF(AND(AU$4&gt;=EOMONTH(CloseDate,'Rent Roll'!$O$42-1),AU$4&lt;EOMONTH(CloseDate,'Rent Roll'!$O$42-1+'Rent Roll'!$V$42)),-AU303,0)</f>
        <v>0</v>
      </c>
      <c r="AV304" s="49">
        <f>IF(AND(AV$4&gt;=EOMONTH(CloseDate,'Rent Roll'!$O$42-1),AV$4&lt;EOMONTH(CloseDate,'Rent Roll'!$O$42-1+'Rent Roll'!$V$42)),-AV303,0)</f>
        <v>0</v>
      </c>
      <c r="AW304" s="49">
        <f>IF(AND(AW$4&gt;=EOMONTH(CloseDate,'Rent Roll'!$O$42-1),AW$4&lt;EOMONTH(CloseDate,'Rent Roll'!$O$42-1+'Rent Roll'!$V$42)),-AW303,0)</f>
        <v>0</v>
      </c>
      <c r="AX304" s="49">
        <f>IF(AND(AX$4&gt;=EOMONTH(CloseDate,'Rent Roll'!$O$42-1),AX$4&lt;EOMONTH(CloseDate,'Rent Roll'!$O$42-1+'Rent Roll'!$V$42)),-AX303,0)</f>
        <v>0</v>
      </c>
      <c r="AY304" s="49">
        <f>IF(AND(AY$4&gt;=EOMONTH(CloseDate,'Rent Roll'!$O$42-1),AY$4&lt;EOMONTH(CloseDate,'Rent Roll'!$O$42-1+'Rent Roll'!$V$42)),-AY303,0)</f>
        <v>0</v>
      </c>
      <c r="AZ304" s="49">
        <f>IF(AND(AZ$4&gt;=EOMONTH(CloseDate,'Rent Roll'!$O$42-1),AZ$4&lt;EOMONTH(CloseDate,'Rent Roll'!$O$42-1+'Rent Roll'!$V$42)),-AZ303,0)</f>
        <v>0</v>
      </c>
      <c r="BA304" s="49">
        <f>IF(AND(BA$4&gt;=EOMONTH(CloseDate,'Rent Roll'!$O$42-1),BA$4&lt;EOMONTH(CloseDate,'Rent Roll'!$O$42-1+'Rent Roll'!$V$42)),-BA303,0)</f>
        <v>0</v>
      </c>
      <c r="BB304" s="49">
        <f>IF(AND(BB$4&gt;=EOMONTH(CloseDate,'Rent Roll'!$O$42-1),BB$4&lt;EOMONTH(CloseDate,'Rent Roll'!$O$42-1+'Rent Roll'!$V$42)),-BB303,0)</f>
        <v>0</v>
      </c>
      <c r="BC304" s="49">
        <f>IF(AND(BC$4&gt;=EOMONTH(CloseDate,'Rent Roll'!$O$42-1),BC$4&lt;EOMONTH(CloseDate,'Rent Roll'!$O$42-1+'Rent Roll'!$V$42)),-BC303,0)</f>
        <v>0</v>
      </c>
      <c r="BD304" s="49">
        <f>IF(AND(BD$4&gt;=EOMONTH(CloseDate,'Rent Roll'!$O$42-1),BD$4&lt;EOMONTH(CloseDate,'Rent Roll'!$O$42-1+'Rent Roll'!$V$42)),-BD303,0)</f>
        <v>0</v>
      </c>
      <c r="BE304" s="49">
        <f>IF(AND(BE$4&gt;=EOMONTH(CloseDate,'Rent Roll'!$O$42-1),BE$4&lt;EOMONTH(CloseDate,'Rent Roll'!$O$42-1+'Rent Roll'!$V$42)),-BE303,0)</f>
        <v>0</v>
      </c>
      <c r="BF304" s="49">
        <f>IF(AND(BF$4&gt;=EOMONTH(CloseDate,'Rent Roll'!$O$42-1),BF$4&lt;EOMONTH(CloseDate,'Rent Roll'!$O$42-1+'Rent Roll'!$V$42)),-BF303,0)</f>
        <v>0</v>
      </c>
      <c r="BG304" s="49">
        <f>IF(AND(BG$4&gt;=EOMONTH(CloseDate,'Rent Roll'!$O$42-1),BG$4&lt;EOMONTH(CloseDate,'Rent Roll'!$O$42-1+'Rent Roll'!$V$42)),-BG303,0)</f>
        <v>0</v>
      </c>
      <c r="BH304" s="49">
        <f>IF(AND(BH$4&gt;=EOMONTH(CloseDate,'Rent Roll'!$O$42-1),BH$4&lt;EOMONTH(CloseDate,'Rent Roll'!$O$42-1+'Rent Roll'!$V$42)),-BH303,0)</f>
        <v>0</v>
      </c>
      <c r="BI304" s="49">
        <f>IF(AND(BI$4&gt;=EOMONTH(CloseDate,'Rent Roll'!$O$42-1),BI$4&lt;EOMONTH(CloseDate,'Rent Roll'!$O$42-1+'Rent Roll'!$V$42)),-BI303,0)</f>
        <v>0</v>
      </c>
      <c r="BJ304" s="49">
        <f>IF(AND(BJ$4&gt;=EOMONTH(CloseDate,'Rent Roll'!$O$42-1),BJ$4&lt;EOMONTH(CloseDate,'Rent Roll'!$O$42-1+'Rent Roll'!$V$42)),-BJ303,0)</f>
        <v>0</v>
      </c>
      <c r="BK304" s="49">
        <f>IF(AND(BK$4&gt;=EOMONTH(CloseDate,'Rent Roll'!$O$42-1),BK$4&lt;EOMONTH(CloseDate,'Rent Roll'!$O$42-1+'Rent Roll'!$V$42)),-BK303,0)</f>
        <v>0</v>
      </c>
      <c r="BL304" s="49">
        <f>IF(AND(BL$4&gt;=EOMONTH(CloseDate,'Rent Roll'!$O$42-1),BL$4&lt;EOMONTH(CloseDate,'Rent Roll'!$O$42-1+'Rent Roll'!$V$42)),-BL303,0)</f>
        <v>0</v>
      </c>
      <c r="BM304" s="49">
        <f>IF(AND(BM$4&gt;=EOMONTH(CloseDate,'Rent Roll'!$O$42-1),BM$4&lt;EOMONTH(CloseDate,'Rent Roll'!$O$42-1+'Rent Roll'!$V$42)),-BM303,0)</f>
        <v>0</v>
      </c>
      <c r="BN304" s="49">
        <f>IF(AND(BN$4&gt;=EOMONTH(CloseDate,'Rent Roll'!$O$42-1),BN$4&lt;EOMONTH(CloseDate,'Rent Roll'!$O$42-1+'Rent Roll'!$V$42)),-BN303,0)</f>
        <v>0</v>
      </c>
      <c r="BO304" s="49">
        <f>IF(AND(BO$4&gt;=EOMONTH(CloseDate,'Rent Roll'!$O$42-1),BO$4&lt;EOMONTH(CloseDate,'Rent Roll'!$O$42-1+'Rent Roll'!$V$42)),-BO303,0)</f>
        <v>0</v>
      </c>
      <c r="BP304" s="49">
        <f>IF(AND(BP$4&gt;=EOMONTH(CloseDate,'Rent Roll'!$O$42-1),BP$4&lt;EOMONTH(CloseDate,'Rent Roll'!$O$42-1+'Rent Roll'!$V$42)),-BP303,0)</f>
        <v>0</v>
      </c>
      <c r="BQ304" s="49">
        <f>IF(AND(BQ$4&gt;=EOMONTH(CloseDate,'Rent Roll'!$O$42-1),BQ$4&lt;EOMONTH(CloseDate,'Rent Roll'!$O$42-1+'Rent Roll'!$V$42)),-BQ303,0)</f>
        <v>0</v>
      </c>
      <c r="BR304" s="49">
        <f>IF(AND(BR$4&gt;=EOMONTH(CloseDate,'Rent Roll'!$O$42-1),BR$4&lt;EOMONTH(CloseDate,'Rent Roll'!$O$42-1+'Rent Roll'!$V$42)),-BR303,0)</f>
        <v>0</v>
      </c>
      <c r="BS304" s="49">
        <f>IF(AND(BS$4&gt;=EOMONTH(CloseDate,'Rent Roll'!$O$42-1),BS$4&lt;EOMONTH(CloseDate,'Rent Roll'!$O$42-1+'Rent Roll'!$V$42)),-BS303,0)</f>
        <v>0</v>
      </c>
      <c r="BT304" s="49">
        <f>IF(AND(BT$4&gt;=EOMONTH(CloseDate,'Rent Roll'!$O$42-1),BT$4&lt;EOMONTH(CloseDate,'Rent Roll'!$O$42-1+'Rent Roll'!$V$42)),-BT303,0)</f>
        <v>0</v>
      </c>
      <c r="BU304" s="49">
        <f>IF(AND(BU$4&gt;=EOMONTH(CloseDate,'Rent Roll'!$O$42-1),BU$4&lt;EOMONTH(CloseDate,'Rent Roll'!$O$42-1+'Rent Roll'!$V$42)),-BU303,0)</f>
        <v>0</v>
      </c>
      <c r="BV304" s="49">
        <f>IF(AND(BV$4&gt;=EOMONTH(CloseDate,'Rent Roll'!$O$42-1),BV$4&lt;EOMONTH(CloseDate,'Rent Roll'!$O$42-1+'Rent Roll'!$V$42)),-BV303,0)</f>
        <v>0</v>
      </c>
      <c r="BW304" s="49">
        <f>IF(AND(BW$4&gt;=EOMONTH(CloseDate,'Rent Roll'!$O$42-1),BW$4&lt;EOMONTH(CloseDate,'Rent Roll'!$O$42-1+'Rent Roll'!$V$42)),-BW303,0)</f>
        <v>0</v>
      </c>
      <c r="BX304" s="49">
        <f>IF(AND(BX$4&gt;=EOMONTH(CloseDate,'Rent Roll'!$O$42-1),BX$4&lt;EOMONTH(CloseDate,'Rent Roll'!$O$42-1+'Rent Roll'!$V$42)),-BX303,0)</f>
        <v>0</v>
      </c>
    </row>
    <row r="305" spans="1:76">
      <c r="B305" t="s">
        <v>84</v>
      </c>
      <c r="D305" s="49">
        <f>D301+D303+D304</f>
        <v>0</v>
      </c>
      <c r="E305" s="49">
        <f t="shared" ref="E305:BJ305" si="98">E301+E303+E304</f>
        <v>0</v>
      </c>
      <c r="F305" s="49">
        <f t="shared" si="98"/>
        <v>0</v>
      </c>
      <c r="G305" s="49">
        <f t="shared" si="98"/>
        <v>0</v>
      </c>
      <c r="H305" s="49">
        <f t="shared" si="98"/>
        <v>0</v>
      </c>
      <c r="I305" s="49">
        <f t="shared" si="98"/>
        <v>0</v>
      </c>
      <c r="J305" s="49">
        <f t="shared" si="98"/>
        <v>0</v>
      </c>
      <c r="K305" s="49">
        <f t="shared" si="98"/>
        <v>0</v>
      </c>
      <c r="L305" s="49">
        <f t="shared" si="98"/>
        <v>0</v>
      </c>
      <c r="M305" s="49">
        <f t="shared" si="98"/>
        <v>0</v>
      </c>
      <c r="N305" s="49">
        <f t="shared" si="98"/>
        <v>0</v>
      </c>
      <c r="O305" s="49">
        <f t="shared" si="98"/>
        <v>0</v>
      </c>
      <c r="P305" s="49">
        <f t="shared" si="98"/>
        <v>0</v>
      </c>
      <c r="Q305" s="49">
        <f t="shared" si="98"/>
        <v>28927.166666666664</v>
      </c>
      <c r="R305" s="49">
        <f t="shared" si="98"/>
        <v>28927.166666666664</v>
      </c>
      <c r="S305" s="49">
        <f t="shared" si="98"/>
        <v>28927.166666666664</v>
      </c>
      <c r="T305" s="49">
        <f t="shared" si="98"/>
        <v>28927.166666666664</v>
      </c>
      <c r="U305" s="49">
        <f t="shared" si="98"/>
        <v>29708.200166666662</v>
      </c>
      <c r="V305" s="49">
        <f t="shared" si="98"/>
        <v>29708.200166666662</v>
      </c>
      <c r="W305" s="49">
        <f t="shared" si="98"/>
        <v>29708.200166666662</v>
      </c>
      <c r="X305" s="49">
        <f t="shared" si="98"/>
        <v>29708.200166666662</v>
      </c>
      <c r="Y305" s="49">
        <f t="shared" si="98"/>
        <v>29708.200166666662</v>
      </c>
      <c r="Z305" s="49">
        <f t="shared" si="98"/>
        <v>29708.200166666662</v>
      </c>
      <c r="AA305" s="49">
        <f t="shared" si="98"/>
        <v>29708.200166666662</v>
      </c>
      <c r="AB305" s="49">
        <f t="shared" si="98"/>
        <v>29708.200166666662</v>
      </c>
      <c r="AC305" s="49">
        <f t="shared" si="98"/>
        <v>29708.200166666662</v>
      </c>
      <c r="AD305" s="49">
        <f t="shared" si="98"/>
        <v>29708.200166666662</v>
      </c>
      <c r="AE305" s="49">
        <f t="shared" si="98"/>
        <v>29708.200166666662</v>
      </c>
      <c r="AF305" s="49">
        <f t="shared" si="98"/>
        <v>29708.200166666662</v>
      </c>
      <c r="AG305" s="49">
        <f t="shared" si="98"/>
        <v>30510.321571166663</v>
      </c>
      <c r="AH305" s="49">
        <f t="shared" si="98"/>
        <v>30510.321571166663</v>
      </c>
      <c r="AI305" s="49">
        <f t="shared" si="98"/>
        <v>30510.321571166663</v>
      </c>
      <c r="AJ305" s="49">
        <f t="shared" si="98"/>
        <v>30510.321571166663</v>
      </c>
      <c r="AK305" s="49">
        <f t="shared" si="98"/>
        <v>30510.321571166663</v>
      </c>
      <c r="AL305" s="49">
        <f t="shared" si="98"/>
        <v>30510.321571166663</v>
      </c>
      <c r="AM305" s="49">
        <f t="shared" si="98"/>
        <v>30510.321571166663</v>
      </c>
      <c r="AN305" s="49">
        <f t="shared" si="98"/>
        <v>30510.321571166663</v>
      </c>
      <c r="AO305" s="49">
        <f t="shared" si="98"/>
        <v>30510.321571166663</v>
      </c>
      <c r="AP305" s="49">
        <f t="shared" si="98"/>
        <v>30510.321571166663</v>
      </c>
      <c r="AQ305" s="49">
        <f t="shared" si="98"/>
        <v>30510.321571166663</v>
      </c>
      <c r="AR305" s="49">
        <f t="shared" si="98"/>
        <v>30510.321571166663</v>
      </c>
      <c r="AS305" s="49">
        <f t="shared" si="98"/>
        <v>31334.100253588156</v>
      </c>
      <c r="AT305" s="49">
        <f t="shared" si="98"/>
        <v>31334.100253588156</v>
      </c>
      <c r="AU305" s="49">
        <f t="shared" si="98"/>
        <v>31334.100253588156</v>
      </c>
      <c r="AV305" s="49">
        <f t="shared" si="98"/>
        <v>31334.100253588156</v>
      </c>
      <c r="AW305" s="49">
        <f t="shared" si="98"/>
        <v>31334.100253588156</v>
      </c>
      <c r="AX305" s="49">
        <f t="shared" si="98"/>
        <v>31334.100253588156</v>
      </c>
      <c r="AY305" s="49">
        <f t="shared" si="98"/>
        <v>31334.100253588156</v>
      </c>
      <c r="AZ305" s="49">
        <f t="shared" si="98"/>
        <v>31334.100253588156</v>
      </c>
      <c r="BA305" s="49">
        <f t="shared" si="98"/>
        <v>31334.100253588156</v>
      </c>
      <c r="BB305" s="49">
        <f t="shared" si="98"/>
        <v>31334.100253588156</v>
      </c>
      <c r="BC305" s="49">
        <f t="shared" si="98"/>
        <v>31334.100253588156</v>
      </c>
      <c r="BD305" s="49">
        <f t="shared" si="98"/>
        <v>31334.100253588156</v>
      </c>
      <c r="BE305" s="49">
        <f t="shared" si="98"/>
        <v>32180.120960435033</v>
      </c>
      <c r="BF305" s="49">
        <f t="shared" si="98"/>
        <v>32180.120960435033</v>
      </c>
      <c r="BG305" s="49">
        <f t="shared" si="98"/>
        <v>32180.120960435033</v>
      </c>
      <c r="BH305" s="49">
        <f t="shared" si="98"/>
        <v>32180.120960435033</v>
      </c>
      <c r="BI305" s="49">
        <f t="shared" si="98"/>
        <v>32180.120960435033</v>
      </c>
      <c r="BJ305" s="49">
        <f t="shared" si="98"/>
        <v>32180.120960435033</v>
      </c>
      <c r="BK305" s="49">
        <f t="shared" ref="BK305" si="99">BK301+BK303+BK304</f>
        <v>32180.120960435033</v>
      </c>
      <c r="BL305" s="49">
        <f t="shared" ref="BL305:BX305" si="100">BL301+BL303+BL304</f>
        <v>32180.120960435033</v>
      </c>
      <c r="BM305" s="49">
        <f t="shared" si="100"/>
        <v>32180.120960435033</v>
      </c>
      <c r="BN305" s="49">
        <f t="shared" si="100"/>
        <v>32180.120960435033</v>
      </c>
      <c r="BO305" s="49">
        <f t="shared" si="100"/>
        <v>32180.120960435033</v>
      </c>
      <c r="BP305" s="49">
        <f t="shared" si="100"/>
        <v>32180.120960435033</v>
      </c>
      <c r="BQ305" s="49">
        <f t="shared" si="100"/>
        <v>33048.984226366774</v>
      </c>
      <c r="BR305" s="49">
        <f t="shared" si="100"/>
        <v>33048.984226366774</v>
      </c>
      <c r="BS305" s="49">
        <f t="shared" si="100"/>
        <v>33048.984226366774</v>
      </c>
      <c r="BT305" s="49">
        <f t="shared" si="100"/>
        <v>33048.984226366774</v>
      </c>
      <c r="BU305" s="49">
        <f t="shared" si="100"/>
        <v>33048.984226366774</v>
      </c>
      <c r="BV305" s="49">
        <f t="shared" si="100"/>
        <v>33048.984226366774</v>
      </c>
      <c r="BW305" s="49">
        <f t="shared" si="100"/>
        <v>33048.984226366774</v>
      </c>
      <c r="BX305" s="49">
        <f t="shared" si="100"/>
        <v>33048.984226366774</v>
      </c>
    </row>
    <row r="306" spans="1:76" outlineLevel="1">
      <c r="B306" t="s">
        <v>85</v>
      </c>
      <c r="D306" s="49">
        <f>IF(D302=1,'Rent Roll'!$F$42/BldgSF*ReimbPool/12*D$7,0)</f>
        <v>0</v>
      </c>
      <c r="E306" s="49">
        <f>IF(E302=1,'Rent Roll'!$F$42/BldgSF*ReimbPool/12*E$7,0)</f>
        <v>0</v>
      </c>
      <c r="F306" s="49">
        <f>IF(F302=1,'Rent Roll'!$F$42/BldgSF*ReimbPool/12*F$7,0)</f>
        <v>0</v>
      </c>
      <c r="G306" s="49">
        <f>IF(G302=1,'Rent Roll'!$F$42/BldgSF*ReimbPool/12*G$7,0)</f>
        <v>0</v>
      </c>
      <c r="H306" s="49">
        <f>IF(H302=1,'Rent Roll'!$F$42/BldgSF*ReimbPool/12*H$7,0)</f>
        <v>0</v>
      </c>
      <c r="I306" s="49">
        <f>IF(I302=1,'Rent Roll'!$F$42/BldgSF*ReimbPool/12*I$7,0)</f>
        <v>0</v>
      </c>
      <c r="J306" s="49">
        <f>IF(J302=1,'Rent Roll'!$F$42/BldgSF*ReimbPool/12*J$7,0)</f>
        <v>0</v>
      </c>
      <c r="K306" s="49">
        <f>IF(K302=1,'Rent Roll'!$F$42/BldgSF*ReimbPool/12*K$7,0)</f>
        <v>0</v>
      </c>
      <c r="L306" s="49">
        <f>IF(L302=1,'Rent Roll'!$F$42/BldgSF*ReimbPool/12*L$7,0)</f>
        <v>0</v>
      </c>
      <c r="M306" s="49">
        <f>IF(M302=1,'Rent Roll'!$F$42/BldgSF*ReimbPool/12*M$7,0)</f>
        <v>0</v>
      </c>
      <c r="N306" s="49">
        <f>IF(N302=1,'Rent Roll'!$F$42/BldgSF*ReimbPool/12*N$7,0)</f>
        <v>0</v>
      </c>
      <c r="O306" s="49">
        <f>IF(O302=1,'Rent Roll'!$F$42/BldgSF*ReimbPool/12*O$7,0)</f>
        <v>11648.747499999999</v>
      </c>
      <c r="P306" s="49">
        <f>IF(P302=1,'Rent Roll'!$F$42/BldgSF*ReimbPool/12*P$7,0)</f>
        <v>11648.747499999999</v>
      </c>
      <c r="Q306" s="49">
        <f>IF(Q302=1,'Rent Roll'!$F$42/BldgSF*ReimbPool/12*Q$7,0)</f>
        <v>11648.747499999999</v>
      </c>
      <c r="R306" s="49">
        <f>IF(R302=1,'Rent Roll'!$F$42/BldgSF*ReimbPool/12*R$7,0)</f>
        <v>11648.747499999999</v>
      </c>
      <c r="S306" s="49">
        <f>IF(S302=1,'Rent Roll'!$F$42/BldgSF*ReimbPool/12*S$7,0)</f>
        <v>11648.747499999999</v>
      </c>
      <c r="T306" s="49">
        <f>IF(T302=1,'Rent Roll'!$F$42/BldgSF*ReimbPool/12*T$7,0)</f>
        <v>11648.747499999999</v>
      </c>
      <c r="U306" s="49">
        <f>IF(U302=1,'Rent Roll'!$F$42/BldgSF*ReimbPool/12*U$7,0)</f>
        <v>11963.263682499997</v>
      </c>
      <c r="V306" s="49">
        <f>IF(V302=1,'Rent Roll'!$F$42/BldgSF*ReimbPool/12*V$7,0)</f>
        <v>11963.263682499997</v>
      </c>
      <c r="W306" s="49">
        <f>IF(W302=1,'Rent Roll'!$F$42/BldgSF*ReimbPool/12*W$7,0)</f>
        <v>11963.263682499997</v>
      </c>
      <c r="X306" s="49">
        <f>IF(X302=1,'Rent Roll'!$F$42/BldgSF*ReimbPool/12*X$7,0)</f>
        <v>11963.263682499997</v>
      </c>
      <c r="Y306" s="49">
        <f>IF(Y302=1,'Rent Roll'!$F$42/BldgSF*ReimbPool/12*Y$7,0)</f>
        <v>11963.263682499997</v>
      </c>
      <c r="Z306" s="49">
        <f>IF(Z302=1,'Rent Roll'!$F$42/BldgSF*ReimbPool/12*Z$7,0)</f>
        <v>11963.263682499997</v>
      </c>
      <c r="AA306" s="49">
        <f>IF(AA302=1,'Rent Roll'!$F$42/BldgSF*ReimbPool/12*AA$7,0)</f>
        <v>11963.263682499997</v>
      </c>
      <c r="AB306" s="49">
        <f>IF(AB302=1,'Rent Roll'!$F$42/BldgSF*ReimbPool/12*AB$7,0)</f>
        <v>11963.263682499997</v>
      </c>
      <c r="AC306" s="49">
        <f>IF(AC302=1,'Rent Roll'!$F$42/BldgSF*ReimbPool/12*AC$7,0)</f>
        <v>11963.263682499997</v>
      </c>
      <c r="AD306" s="49">
        <f>IF(AD302=1,'Rent Roll'!$F$42/BldgSF*ReimbPool/12*AD$7,0)</f>
        <v>11963.263682499997</v>
      </c>
      <c r="AE306" s="49">
        <f>IF(AE302=1,'Rent Roll'!$F$42/BldgSF*ReimbPool/12*AE$7,0)</f>
        <v>11963.263682499997</v>
      </c>
      <c r="AF306" s="49">
        <f>IF(AF302=1,'Rent Roll'!$F$42/BldgSF*ReimbPool/12*AF$7,0)</f>
        <v>11963.263682499997</v>
      </c>
      <c r="AG306" s="49">
        <f>IF(AG302=1,'Rent Roll'!$F$42/BldgSF*ReimbPool/12*AG$7,0)</f>
        <v>12286.271801927498</v>
      </c>
      <c r="AH306" s="49">
        <f>IF(AH302=1,'Rent Roll'!$F$42/BldgSF*ReimbPool/12*AH$7,0)</f>
        <v>12286.271801927498</v>
      </c>
      <c r="AI306" s="49">
        <f>IF(AI302=1,'Rent Roll'!$F$42/BldgSF*ReimbPool/12*AI$7,0)</f>
        <v>12286.271801927498</v>
      </c>
      <c r="AJ306" s="49">
        <f>IF(AJ302=1,'Rent Roll'!$F$42/BldgSF*ReimbPool/12*AJ$7,0)</f>
        <v>12286.271801927498</v>
      </c>
      <c r="AK306" s="49">
        <f>IF(AK302=1,'Rent Roll'!$F$42/BldgSF*ReimbPool/12*AK$7,0)</f>
        <v>12286.271801927498</v>
      </c>
      <c r="AL306" s="49">
        <f>IF(AL302=1,'Rent Roll'!$F$42/BldgSF*ReimbPool/12*AL$7,0)</f>
        <v>12286.271801927498</v>
      </c>
      <c r="AM306" s="49">
        <f>IF(AM302=1,'Rent Roll'!$F$42/BldgSF*ReimbPool/12*AM$7,0)</f>
        <v>12286.271801927498</v>
      </c>
      <c r="AN306" s="49">
        <f>IF(AN302=1,'Rent Roll'!$F$42/BldgSF*ReimbPool/12*AN$7,0)</f>
        <v>12286.271801927498</v>
      </c>
      <c r="AO306" s="49">
        <f>IF(AO302=1,'Rent Roll'!$F$42/BldgSF*ReimbPool/12*AO$7,0)</f>
        <v>12286.271801927498</v>
      </c>
      <c r="AP306" s="49">
        <f>IF(AP302=1,'Rent Roll'!$F$42/BldgSF*ReimbPool/12*AP$7,0)</f>
        <v>12286.271801927498</v>
      </c>
      <c r="AQ306" s="49">
        <f>IF(AQ302=1,'Rent Roll'!$F$42/BldgSF*ReimbPool/12*AQ$7,0)</f>
        <v>12286.271801927498</v>
      </c>
      <c r="AR306" s="49">
        <f>IF(AR302=1,'Rent Roll'!$F$42/BldgSF*ReimbPool/12*AR$7,0)</f>
        <v>12286.271801927498</v>
      </c>
      <c r="AS306" s="49">
        <f>IF(AS302=1,'Rent Roll'!$F$42/BldgSF*ReimbPool/12*AS$7,0)</f>
        <v>12618.001140579538</v>
      </c>
      <c r="AT306" s="49">
        <f>IF(AT302=1,'Rent Roll'!$F$42/BldgSF*ReimbPool/12*AT$7,0)</f>
        <v>12618.001140579538</v>
      </c>
      <c r="AU306" s="49">
        <f>IF(AU302=1,'Rent Roll'!$F$42/BldgSF*ReimbPool/12*AU$7,0)</f>
        <v>12618.001140579538</v>
      </c>
      <c r="AV306" s="49">
        <f>IF(AV302=1,'Rent Roll'!$F$42/BldgSF*ReimbPool/12*AV$7,0)</f>
        <v>12618.001140579538</v>
      </c>
      <c r="AW306" s="49">
        <f>IF(AW302=1,'Rent Roll'!$F$42/BldgSF*ReimbPool/12*AW$7,0)</f>
        <v>12618.001140579538</v>
      </c>
      <c r="AX306" s="49">
        <f>IF(AX302=1,'Rent Roll'!$F$42/BldgSF*ReimbPool/12*AX$7,0)</f>
        <v>12618.001140579538</v>
      </c>
      <c r="AY306" s="49">
        <f>IF(AY302=1,'Rent Roll'!$F$42/BldgSF*ReimbPool/12*AY$7,0)</f>
        <v>12618.001140579538</v>
      </c>
      <c r="AZ306" s="49">
        <f>IF(AZ302=1,'Rent Roll'!$F$42/BldgSF*ReimbPool/12*AZ$7,0)</f>
        <v>12618.001140579538</v>
      </c>
      <c r="BA306" s="49">
        <f>IF(BA302=1,'Rent Roll'!$F$42/BldgSF*ReimbPool/12*BA$7,0)</f>
        <v>12618.001140579538</v>
      </c>
      <c r="BB306" s="49">
        <f>IF(BB302=1,'Rent Roll'!$F$42/BldgSF*ReimbPool/12*BB$7,0)</f>
        <v>12618.001140579538</v>
      </c>
      <c r="BC306" s="49">
        <f>IF(BC302=1,'Rent Roll'!$F$42/BldgSF*ReimbPool/12*BC$7,0)</f>
        <v>12618.001140579538</v>
      </c>
      <c r="BD306" s="49">
        <f>IF(BD302=1,'Rent Roll'!$F$42/BldgSF*ReimbPool/12*BD$7,0)</f>
        <v>12618.001140579538</v>
      </c>
      <c r="BE306" s="49">
        <f>IF(BE302=1,'Rent Roll'!$F$42/BldgSF*ReimbPool/12*BE$7,0)</f>
        <v>12958.687171375184</v>
      </c>
      <c r="BF306" s="49">
        <f>IF(BF302=1,'Rent Roll'!$F$42/BldgSF*ReimbPool/12*BF$7,0)</f>
        <v>12958.687171375184</v>
      </c>
      <c r="BG306" s="49">
        <f>IF(BG302=1,'Rent Roll'!$F$42/BldgSF*ReimbPool/12*BG$7,0)</f>
        <v>12958.687171375184</v>
      </c>
      <c r="BH306" s="49">
        <f>IF(BH302=1,'Rent Roll'!$F$42/BldgSF*ReimbPool/12*BH$7,0)</f>
        <v>12958.687171375184</v>
      </c>
      <c r="BI306" s="49">
        <f>IF(BI302=1,'Rent Roll'!$F$42/BldgSF*ReimbPool/12*BI$7,0)</f>
        <v>12958.687171375184</v>
      </c>
      <c r="BJ306" s="49">
        <f>IF(BJ302=1,'Rent Roll'!$F$42/BldgSF*ReimbPool/12*BJ$7,0)</f>
        <v>12958.687171375184</v>
      </c>
      <c r="BK306" s="49">
        <f>IF(BK302=1,'Rent Roll'!$F$42/BldgSF*ReimbPool/12*BK$7,0)</f>
        <v>12958.687171375184</v>
      </c>
      <c r="BL306" s="49">
        <f>IF(BL302=1,'Rent Roll'!$F$42/BldgSF*ReimbPool/12*BL$7,0)</f>
        <v>12958.687171375184</v>
      </c>
      <c r="BM306" s="49">
        <f>IF(BM302=1,'Rent Roll'!$F$42/BldgSF*ReimbPool/12*BM$7,0)</f>
        <v>12958.687171375184</v>
      </c>
      <c r="BN306" s="49">
        <f>IF(BN302=1,'Rent Roll'!$F$42/BldgSF*ReimbPool/12*BN$7,0)</f>
        <v>12958.687171375184</v>
      </c>
      <c r="BO306" s="49">
        <f>IF(BO302=1,'Rent Roll'!$F$42/BldgSF*ReimbPool/12*BO$7,0)</f>
        <v>12958.687171375184</v>
      </c>
      <c r="BP306" s="49">
        <f>IF(BP302=1,'Rent Roll'!$F$42/BldgSF*ReimbPool/12*BP$7,0)</f>
        <v>12958.687171375184</v>
      </c>
      <c r="BQ306" s="49">
        <f>IF(BQ302=1,'Rent Roll'!$F$42/BldgSF*ReimbPool/12*BQ$7,0)</f>
        <v>13308.571725002314</v>
      </c>
      <c r="BR306" s="49">
        <f>IF(BR302=1,'Rent Roll'!$F$42/BldgSF*ReimbPool/12*BR$7,0)</f>
        <v>13308.571725002314</v>
      </c>
      <c r="BS306" s="49">
        <f>IF(BS302=1,'Rent Roll'!$F$42/BldgSF*ReimbPool/12*BS$7,0)</f>
        <v>13308.571725002314</v>
      </c>
      <c r="BT306" s="49">
        <f>IF(BT302=1,'Rent Roll'!$F$42/BldgSF*ReimbPool/12*BT$7,0)</f>
        <v>13308.571725002314</v>
      </c>
      <c r="BU306" s="49">
        <f>IF(BU302=1,'Rent Roll'!$F$42/BldgSF*ReimbPool/12*BU$7,0)</f>
        <v>13308.571725002314</v>
      </c>
      <c r="BV306" s="49">
        <f>IF(BV302=1,'Rent Roll'!$F$42/BldgSF*ReimbPool/12*BV$7,0)</f>
        <v>13308.571725002314</v>
      </c>
      <c r="BW306" s="49">
        <f>IF(BW302=1,'Rent Roll'!$F$42/BldgSF*ReimbPool/12*BW$7,0)</f>
        <v>13308.571725002314</v>
      </c>
      <c r="BX306" s="49">
        <f>IF(BX302=1,'Rent Roll'!$F$42/BldgSF*ReimbPool/12*BX$7,0)</f>
        <v>13308.571725002314</v>
      </c>
    </row>
    <row r="307" spans="1:76" outlineLevel="1">
      <c r="B307" t="s">
        <v>86</v>
      </c>
      <c r="D307" s="49">
        <f>-'Rent Roll'!$F$42*'Rent Roll'!$T$42/SpecBuildout*D300</f>
        <v>0</v>
      </c>
      <c r="E307" s="49">
        <f>-'Rent Roll'!$F$42*'Rent Roll'!$T$42/SpecBuildout*E300</f>
        <v>0</v>
      </c>
      <c r="F307" s="49">
        <f>-'Rent Roll'!$F$42*'Rent Roll'!$T$42/SpecBuildout*F300</f>
        <v>0</v>
      </c>
      <c r="G307" s="49">
        <f>-'Rent Roll'!$F$42*'Rent Roll'!$T$42/SpecBuildout*G300</f>
        <v>0</v>
      </c>
      <c r="H307" s="49">
        <f>-'Rent Roll'!$F$42*'Rent Roll'!$T$42/SpecBuildout*H300</f>
        <v>0</v>
      </c>
      <c r="I307" s="49">
        <f>-'Rent Roll'!$F$42*'Rent Roll'!$T$42/SpecBuildout*I300</f>
        <v>0</v>
      </c>
      <c r="J307" s="49">
        <f>-'Rent Roll'!$F$42*'Rent Roll'!$T$42/SpecBuildout*J300</f>
        <v>-86666.666666666672</v>
      </c>
      <c r="K307" s="49">
        <f>-'Rent Roll'!$F$42*'Rent Roll'!$T$42/SpecBuildout*K300</f>
        <v>-86666.666666666672</v>
      </c>
      <c r="L307" s="49">
        <f>-'Rent Roll'!$F$42*'Rent Roll'!$T$42/SpecBuildout*L300</f>
        <v>-86666.666666666672</v>
      </c>
      <c r="M307" s="49">
        <f>-'Rent Roll'!$F$42*'Rent Roll'!$T$42/SpecBuildout*M300</f>
        <v>-86666.666666666672</v>
      </c>
      <c r="N307" s="49">
        <f>-'Rent Roll'!$F$42*'Rent Roll'!$T$42/SpecBuildout*N300</f>
        <v>-86666.666666666672</v>
      </c>
      <c r="O307" s="49">
        <f>-'Rent Roll'!$F$42*'Rent Roll'!$T$42/SpecBuildout*O300</f>
        <v>-86666.666666666672</v>
      </c>
      <c r="P307" s="49">
        <f>-'Rent Roll'!$F$42*'Rent Roll'!$T$42/SpecBuildout*P300</f>
        <v>0</v>
      </c>
      <c r="Q307" s="49">
        <f>-'Rent Roll'!$F$42*'Rent Roll'!$T$42/SpecBuildout*Q300</f>
        <v>0</v>
      </c>
      <c r="R307" s="49">
        <f>-'Rent Roll'!$F$42*'Rent Roll'!$T$42/SpecBuildout*R300</f>
        <v>0</v>
      </c>
      <c r="S307" s="49">
        <f>-'Rent Roll'!$F$42*'Rent Roll'!$T$42/SpecBuildout*S300</f>
        <v>0</v>
      </c>
      <c r="T307" s="49">
        <f>-'Rent Roll'!$F$42*'Rent Roll'!$T$42/SpecBuildout*T300</f>
        <v>0</v>
      </c>
      <c r="U307" s="49">
        <f>-'Rent Roll'!$F$42*'Rent Roll'!$T$42/SpecBuildout*U300</f>
        <v>0</v>
      </c>
      <c r="V307" s="49">
        <f>-'Rent Roll'!$F$42*'Rent Roll'!$T$42/SpecBuildout*V300</f>
        <v>0</v>
      </c>
      <c r="W307" s="49">
        <f>-'Rent Roll'!$F$42*'Rent Roll'!$T$42/SpecBuildout*W300</f>
        <v>0</v>
      </c>
      <c r="X307" s="49">
        <f>-'Rent Roll'!$F$42*'Rent Roll'!$T$42/SpecBuildout*X300</f>
        <v>0</v>
      </c>
      <c r="Y307" s="49">
        <f>-'Rent Roll'!$F$42*'Rent Roll'!$T$42/SpecBuildout*Y300</f>
        <v>0</v>
      </c>
      <c r="Z307" s="49">
        <f>-'Rent Roll'!$F$42*'Rent Roll'!$T$42/SpecBuildout*Z300</f>
        <v>0</v>
      </c>
      <c r="AA307" s="49">
        <f>-'Rent Roll'!$F$42*'Rent Roll'!$T$42/SpecBuildout*AA300</f>
        <v>0</v>
      </c>
      <c r="AB307" s="49">
        <f>-'Rent Roll'!$F$42*'Rent Roll'!$T$42/SpecBuildout*AB300</f>
        <v>0</v>
      </c>
      <c r="AC307" s="49">
        <f>-'Rent Roll'!$F$42*'Rent Roll'!$T$42/SpecBuildout*AC300</f>
        <v>0</v>
      </c>
      <c r="AD307" s="49">
        <f>-'Rent Roll'!$F$42*'Rent Roll'!$T$42/SpecBuildout*AD300</f>
        <v>0</v>
      </c>
      <c r="AE307" s="49">
        <f>-'Rent Roll'!$F$42*'Rent Roll'!$T$42/SpecBuildout*AE300</f>
        <v>0</v>
      </c>
      <c r="AF307" s="49">
        <f>-'Rent Roll'!$F$42*'Rent Roll'!$T$42/SpecBuildout*AF300</f>
        <v>0</v>
      </c>
      <c r="AG307" s="49">
        <f>-'Rent Roll'!$F$42*'Rent Roll'!$T$42/SpecBuildout*AG300</f>
        <v>0</v>
      </c>
      <c r="AH307" s="49">
        <f>-'Rent Roll'!$F$42*'Rent Roll'!$T$42/SpecBuildout*AH300</f>
        <v>0</v>
      </c>
      <c r="AI307" s="49">
        <f>-'Rent Roll'!$F$42*'Rent Roll'!$T$42/SpecBuildout*AI300</f>
        <v>0</v>
      </c>
      <c r="AJ307" s="49">
        <f>-'Rent Roll'!$F$42*'Rent Roll'!$T$42/SpecBuildout*AJ300</f>
        <v>0</v>
      </c>
      <c r="AK307" s="49">
        <f>-'Rent Roll'!$F$42*'Rent Roll'!$T$42/SpecBuildout*AK300</f>
        <v>0</v>
      </c>
      <c r="AL307" s="49">
        <f>-'Rent Roll'!$F$42*'Rent Roll'!$T$42/SpecBuildout*AL300</f>
        <v>0</v>
      </c>
      <c r="AM307" s="49">
        <f>-'Rent Roll'!$F$42*'Rent Roll'!$T$42/SpecBuildout*AM300</f>
        <v>0</v>
      </c>
      <c r="AN307" s="49">
        <f>-'Rent Roll'!$F$42*'Rent Roll'!$T$42/SpecBuildout*AN300</f>
        <v>0</v>
      </c>
      <c r="AO307" s="49">
        <f>-'Rent Roll'!$F$42*'Rent Roll'!$T$42/SpecBuildout*AO300</f>
        <v>0</v>
      </c>
      <c r="AP307" s="49">
        <f>-'Rent Roll'!$F$42*'Rent Roll'!$T$42/SpecBuildout*AP300</f>
        <v>0</v>
      </c>
      <c r="AQ307" s="49">
        <f>-'Rent Roll'!$F$42*'Rent Roll'!$T$42/SpecBuildout*AQ300</f>
        <v>0</v>
      </c>
      <c r="AR307" s="49">
        <f>-'Rent Roll'!$F$42*'Rent Roll'!$T$42/SpecBuildout*AR300</f>
        <v>0</v>
      </c>
      <c r="AS307" s="49">
        <f>-'Rent Roll'!$F$42*'Rent Roll'!$T$42/SpecBuildout*AS300</f>
        <v>0</v>
      </c>
      <c r="AT307" s="49">
        <f>-'Rent Roll'!$F$42*'Rent Roll'!$T$42/SpecBuildout*AT300</f>
        <v>0</v>
      </c>
      <c r="AU307" s="49">
        <f>-'Rent Roll'!$F$42*'Rent Roll'!$T$42/SpecBuildout*AU300</f>
        <v>0</v>
      </c>
      <c r="AV307" s="49">
        <f>-'Rent Roll'!$F$42*'Rent Roll'!$T$42/SpecBuildout*AV300</f>
        <v>0</v>
      </c>
      <c r="AW307" s="49">
        <f>-'Rent Roll'!$F$42*'Rent Roll'!$T$42/SpecBuildout*AW300</f>
        <v>0</v>
      </c>
      <c r="AX307" s="49">
        <f>-'Rent Roll'!$F$42*'Rent Roll'!$T$42/SpecBuildout*AX300</f>
        <v>0</v>
      </c>
      <c r="AY307" s="49">
        <f>-'Rent Roll'!$F$42*'Rent Roll'!$T$42/SpecBuildout*AY300</f>
        <v>0</v>
      </c>
      <c r="AZ307" s="49">
        <f>-'Rent Roll'!$F$42*'Rent Roll'!$T$42/SpecBuildout*AZ300</f>
        <v>0</v>
      </c>
      <c r="BA307" s="49">
        <f>-'Rent Roll'!$F$42*'Rent Roll'!$T$42/SpecBuildout*BA300</f>
        <v>0</v>
      </c>
      <c r="BB307" s="49">
        <f>-'Rent Roll'!$F$42*'Rent Roll'!$T$42/SpecBuildout*BB300</f>
        <v>0</v>
      </c>
      <c r="BC307" s="49">
        <f>-'Rent Roll'!$F$42*'Rent Roll'!$T$42/SpecBuildout*BC300</f>
        <v>0</v>
      </c>
      <c r="BD307" s="49">
        <f>-'Rent Roll'!$F$42*'Rent Roll'!$T$42/SpecBuildout*BD300</f>
        <v>0</v>
      </c>
      <c r="BE307" s="49">
        <f>-'Rent Roll'!$F$42*'Rent Roll'!$T$42/SpecBuildout*BE300</f>
        <v>0</v>
      </c>
      <c r="BF307" s="49">
        <f>-'Rent Roll'!$F$42*'Rent Roll'!$T$42/SpecBuildout*BF300</f>
        <v>0</v>
      </c>
      <c r="BG307" s="49">
        <f>-'Rent Roll'!$F$42*'Rent Roll'!$T$42/SpecBuildout*BG300</f>
        <v>0</v>
      </c>
      <c r="BH307" s="49">
        <f>-'Rent Roll'!$F$42*'Rent Roll'!$T$42/SpecBuildout*BH300</f>
        <v>0</v>
      </c>
      <c r="BI307" s="49">
        <f>-'Rent Roll'!$F$42*'Rent Roll'!$T$42/SpecBuildout*BI300</f>
        <v>0</v>
      </c>
      <c r="BJ307" s="49">
        <f>-'Rent Roll'!$F$42*'Rent Roll'!$T$42/SpecBuildout*BJ300</f>
        <v>0</v>
      </c>
      <c r="BK307" s="49">
        <f>-'Rent Roll'!$F$42*'Rent Roll'!$T$42/SpecBuildout*BK300</f>
        <v>0</v>
      </c>
      <c r="BL307" s="49">
        <f>-'Rent Roll'!$F$42*'Rent Roll'!$T$42/SpecBuildout*BL300</f>
        <v>0</v>
      </c>
      <c r="BM307" s="49">
        <f>-'Rent Roll'!$F$42*'Rent Roll'!$T$42/SpecBuildout*BM300</f>
        <v>0</v>
      </c>
      <c r="BN307" s="49">
        <f>-'Rent Roll'!$F$42*'Rent Roll'!$T$42/SpecBuildout*BN300</f>
        <v>0</v>
      </c>
      <c r="BO307" s="49">
        <f>-'Rent Roll'!$F$42*'Rent Roll'!$T$42/SpecBuildout*BO300</f>
        <v>0</v>
      </c>
      <c r="BP307" s="49">
        <f>-'Rent Roll'!$F$42*'Rent Roll'!$T$42/SpecBuildout*BP300</f>
        <v>0</v>
      </c>
      <c r="BQ307" s="49">
        <f>-'Rent Roll'!$F$42*'Rent Roll'!$T$42/SpecBuildout*BQ300</f>
        <v>0</v>
      </c>
      <c r="BR307" s="49">
        <f>-'Rent Roll'!$F$42*'Rent Roll'!$T$42/SpecBuildout*BR300</f>
        <v>0</v>
      </c>
      <c r="BS307" s="49">
        <f>-'Rent Roll'!$F$42*'Rent Roll'!$T$42/SpecBuildout*BS300</f>
        <v>0</v>
      </c>
      <c r="BT307" s="49">
        <f>-'Rent Roll'!$F$42*'Rent Roll'!$T$42/SpecBuildout*BT300</f>
        <v>0</v>
      </c>
      <c r="BU307" s="49">
        <f>-'Rent Roll'!$F$42*'Rent Roll'!$T$42/SpecBuildout*BU300</f>
        <v>0</v>
      </c>
      <c r="BV307" s="49">
        <f>-'Rent Roll'!$F$42*'Rent Roll'!$T$42/SpecBuildout*BV300</f>
        <v>0</v>
      </c>
      <c r="BW307" s="49">
        <f>-'Rent Roll'!$F$42*'Rent Roll'!$T$42/SpecBuildout*BW300</f>
        <v>0</v>
      </c>
      <c r="BX307" s="49">
        <f>-'Rent Roll'!$F$42*'Rent Roll'!$T$42/SpecBuildout*BX300</f>
        <v>0</v>
      </c>
    </row>
    <row r="308" spans="1:76" outlineLevel="1">
      <c r="B308" t="s">
        <v>87</v>
      </c>
      <c r="D308" s="49">
        <f>IF(D$4=EOMONTH(CloseDate,'Rent Roll'!$O$42-1),-'Rent Roll'!$U$42*'Rent Roll'!$F$42*'Rent Roll'!$X$42,0)</f>
        <v>0</v>
      </c>
      <c r="E308" s="49">
        <f>IF(E$4=EOMONTH(CloseDate,'Rent Roll'!$O$42-1),-'Rent Roll'!$U$42*'Rent Roll'!$F$42*'Rent Roll'!$X$42,0)</f>
        <v>0</v>
      </c>
      <c r="F308" s="49">
        <f>IF(F$4=EOMONTH(CloseDate,'Rent Roll'!$O$42-1),-'Rent Roll'!$U$42*'Rent Roll'!$F$42*'Rent Roll'!$X$42,0)</f>
        <v>0</v>
      </c>
      <c r="G308" s="49">
        <f>IF(G$4=EOMONTH(CloseDate,'Rent Roll'!$O$42-1),-'Rent Roll'!$U$42*'Rent Roll'!$F$42*'Rent Roll'!$X$42,0)</f>
        <v>0</v>
      </c>
      <c r="H308" s="49">
        <f>IF(H$4=EOMONTH(CloseDate,'Rent Roll'!$O$42-1),-'Rent Roll'!$U$42*'Rent Roll'!$F$42*'Rent Roll'!$X$42,0)</f>
        <v>0</v>
      </c>
      <c r="I308" s="49">
        <f>IF(I$4=EOMONTH(CloseDate,'Rent Roll'!$O$42-1),-'Rent Roll'!$U$42*'Rent Roll'!$F$42*'Rent Roll'!$X$42,0)</f>
        <v>0</v>
      </c>
      <c r="J308" s="49">
        <f>IF(J$4=EOMONTH(CloseDate,'Rent Roll'!$O$42-1),-'Rent Roll'!$U$42*'Rent Roll'!$F$42*'Rent Roll'!$X$42,0)</f>
        <v>0</v>
      </c>
      <c r="K308" s="49">
        <f>IF(K$4=EOMONTH(CloseDate,'Rent Roll'!$O$42-1),-'Rent Roll'!$U$42*'Rent Roll'!$F$42*'Rent Roll'!$X$42,0)</f>
        <v>0</v>
      </c>
      <c r="L308" s="49">
        <f>IF(L$4=EOMONTH(CloseDate,'Rent Roll'!$O$42-1),-'Rent Roll'!$U$42*'Rent Roll'!$F$42*'Rent Roll'!$X$42,0)</f>
        <v>0</v>
      </c>
      <c r="M308" s="49">
        <f>IF(M$4=EOMONTH(CloseDate,'Rent Roll'!$O$42-1),-'Rent Roll'!$U$42*'Rent Roll'!$F$42*'Rent Roll'!$X$42,0)</f>
        <v>0</v>
      </c>
      <c r="N308" s="49">
        <f>IF(N$4=EOMONTH(CloseDate,'Rent Roll'!$O$42-1),-'Rent Roll'!$U$42*'Rent Roll'!$F$42*'Rent Roll'!$X$42,0)</f>
        <v>0</v>
      </c>
      <c r="O308" s="49">
        <f>IF(O$4=EOMONTH(CloseDate,'Rent Roll'!$O$42-1),-'Rent Roll'!$U$42*'Rent Roll'!$F$42*'Rent Roll'!$X$42,0)</f>
        <v>-16900</v>
      </c>
      <c r="P308" s="49">
        <f>IF(P$4=EOMONTH(CloseDate,'Rent Roll'!$O$42-1),-'Rent Roll'!$U$42*'Rent Roll'!$F$42*'Rent Roll'!$X$42,0)</f>
        <v>0</v>
      </c>
      <c r="Q308" s="49">
        <f>IF(Q$4=EOMONTH(CloseDate,'Rent Roll'!$O$42-1),-'Rent Roll'!$U$42*'Rent Roll'!$F$42*'Rent Roll'!$X$42,0)</f>
        <v>0</v>
      </c>
      <c r="R308" s="49">
        <f>IF(R$4=EOMONTH(CloseDate,'Rent Roll'!$O$42-1),-'Rent Roll'!$U$42*'Rent Roll'!$F$42*'Rent Roll'!$X$42,0)</f>
        <v>0</v>
      </c>
      <c r="S308" s="49">
        <f>IF(S$4=EOMONTH(CloseDate,'Rent Roll'!$O$42-1),-'Rent Roll'!$U$42*'Rent Roll'!$F$42*'Rent Roll'!$X$42,0)</f>
        <v>0</v>
      </c>
      <c r="T308" s="49">
        <f>IF(T$4=EOMONTH(CloseDate,'Rent Roll'!$O$42-1),-'Rent Roll'!$U$42*'Rent Roll'!$F$42*'Rent Roll'!$X$42,0)</f>
        <v>0</v>
      </c>
      <c r="U308" s="49">
        <f>IF(U$4=EOMONTH(CloseDate,'Rent Roll'!$O$42-1),-'Rent Roll'!$U$42*'Rent Roll'!$F$42*'Rent Roll'!$X$42,0)</f>
        <v>0</v>
      </c>
      <c r="V308" s="49">
        <f>IF(V$4=EOMONTH(CloseDate,'Rent Roll'!$O$42-1),-'Rent Roll'!$U$42*'Rent Roll'!$F$42*'Rent Roll'!$X$42,0)</f>
        <v>0</v>
      </c>
      <c r="W308" s="49">
        <f>IF(W$4=EOMONTH(CloseDate,'Rent Roll'!$O$42-1),-'Rent Roll'!$U$42*'Rent Roll'!$F$42*'Rent Roll'!$X$42,0)</f>
        <v>0</v>
      </c>
      <c r="X308" s="49">
        <f>IF(X$4=EOMONTH(CloseDate,'Rent Roll'!$O$42-1),-'Rent Roll'!$U$42*'Rent Roll'!$F$42*'Rent Roll'!$X$42,0)</f>
        <v>0</v>
      </c>
      <c r="Y308" s="49">
        <f>IF(Y$4=EOMONTH(CloseDate,'Rent Roll'!$O$42-1),-'Rent Roll'!$U$42*'Rent Roll'!$F$42*'Rent Roll'!$X$42,0)</f>
        <v>0</v>
      </c>
      <c r="Z308" s="49">
        <f>IF(Z$4=EOMONTH(CloseDate,'Rent Roll'!$O$42-1),-'Rent Roll'!$U$42*'Rent Roll'!$F$42*'Rent Roll'!$X$42,0)</f>
        <v>0</v>
      </c>
      <c r="AA308" s="49">
        <f>IF(AA$4=EOMONTH(CloseDate,'Rent Roll'!$O$42-1),-'Rent Roll'!$U$42*'Rent Roll'!$F$42*'Rent Roll'!$X$42,0)</f>
        <v>0</v>
      </c>
      <c r="AB308" s="49">
        <f>IF(AB$4=EOMONTH(CloseDate,'Rent Roll'!$O$42-1),-'Rent Roll'!$U$42*'Rent Roll'!$F$42*'Rent Roll'!$X$42,0)</f>
        <v>0</v>
      </c>
      <c r="AC308" s="49">
        <f>IF(AC$4=EOMONTH(CloseDate,'Rent Roll'!$O$42-1),-'Rent Roll'!$U$42*'Rent Roll'!$F$42*'Rent Roll'!$X$42,0)</f>
        <v>0</v>
      </c>
      <c r="AD308" s="49">
        <f>IF(AD$4=EOMONTH(CloseDate,'Rent Roll'!$O$42-1),-'Rent Roll'!$U$42*'Rent Roll'!$F$42*'Rent Roll'!$X$42,0)</f>
        <v>0</v>
      </c>
      <c r="AE308" s="49">
        <f>IF(AE$4=EOMONTH(CloseDate,'Rent Roll'!$O$42-1),-'Rent Roll'!$U$42*'Rent Roll'!$F$42*'Rent Roll'!$X$42,0)</f>
        <v>0</v>
      </c>
      <c r="AF308" s="49">
        <f>IF(AF$4=EOMONTH(CloseDate,'Rent Roll'!$O$42-1),-'Rent Roll'!$U$42*'Rent Roll'!$F$42*'Rent Roll'!$X$42,0)</f>
        <v>0</v>
      </c>
      <c r="AG308" s="49">
        <f>IF(AG$4=EOMONTH(CloseDate,'Rent Roll'!$O$42-1),-'Rent Roll'!$U$42*'Rent Roll'!$F$42*'Rent Roll'!$X$42,0)</f>
        <v>0</v>
      </c>
      <c r="AH308" s="49">
        <f>IF(AH$4=EOMONTH(CloseDate,'Rent Roll'!$O$42-1),-'Rent Roll'!$U$42*'Rent Roll'!$F$42*'Rent Roll'!$X$42,0)</f>
        <v>0</v>
      </c>
      <c r="AI308" s="49">
        <f>IF(AI$4=EOMONTH(CloseDate,'Rent Roll'!$O$42-1),-'Rent Roll'!$U$42*'Rent Roll'!$F$42*'Rent Roll'!$X$42,0)</f>
        <v>0</v>
      </c>
      <c r="AJ308" s="49">
        <f>IF(AJ$4=EOMONTH(CloseDate,'Rent Roll'!$O$42-1),-'Rent Roll'!$U$42*'Rent Roll'!$F$42*'Rent Roll'!$X$42,0)</f>
        <v>0</v>
      </c>
      <c r="AK308" s="49">
        <f>IF(AK$4=EOMONTH(CloseDate,'Rent Roll'!$O$42-1),-'Rent Roll'!$U$42*'Rent Roll'!$F$42*'Rent Roll'!$X$42,0)</f>
        <v>0</v>
      </c>
      <c r="AL308" s="49">
        <f>IF(AL$4=EOMONTH(CloseDate,'Rent Roll'!$O$42-1),-'Rent Roll'!$U$42*'Rent Roll'!$F$42*'Rent Roll'!$X$42,0)</f>
        <v>0</v>
      </c>
      <c r="AM308" s="49">
        <f>IF(AM$4=EOMONTH(CloseDate,'Rent Roll'!$O$42-1),-'Rent Roll'!$U$42*'Rent Roll'!$F$42*'Rent Roll'!$X$42,0)</f>
        <v>0</v>
      </c>
      <c r="AN308" s="49">
        <f>IF(AN$4=EOMONTH(CloseDate,'Rent Roll'!$O$42-1),-'Rent Roll'!$U$42*'Rent Roll'!$F$42*'Rent Roll'!$X$42,0)</f>
        <v>0</v>
      </c>
      <c r="AO308" s="49">
        <f>IF(AO$4=EOMONTH(CloseDate,'Rent Roll'!$O$42-1),-'Rent Roll'!$U$42*'Rent Roll'!$F$42*'Rent Roll'!$X$42,0)</f>
        <v>0</v>
      </c>
      <c r="AP308" s="49">
        <f>IF(AP$4=EOMONTH(CloseDate,'Rent Roll'!$O$42-1),-'Rent Roll'!$U$42*'Rent Roll'!$F$42*'Rent Roll'!$X$42,0)</f>
        <v>0</v>
      </c>
      <c r="AQ308" s="49">
        <f>IF(AQ$4=EOMONTH(CloseDate,'Rent Roll'!$O$42-1),-'Rent Roll'!$U$42*'Rent Roll'!$F$42*'Rent Roll'!$X$42,0)</f>
        <v>0</v>
      </c>
      <c r="AR308" s="49">
        <f>IF(AR$4=EOMONTH(CloseDate,'Rent Roll'!$O$42-1),-'Rent Roll'!$U$42*'Rent Roll'!$F$42*'Rent Roll'!$X$42,0)</f>
        <v>0</v>
      </c>
      <c r="AS308" s="49">
        <f>IF(AS$4=EOMONTH(CloseDate,'Rent Roll'!$O$42-1),-'Rent Roll'!$U$42*'Rent Roll'!$F$42*'Rent Roll'!$X$42,0)</f>
        <v>0</v>
      </c>
      <c r="AT308" s="49">
        <f>IF(AT$4=EOMONTH(CloseDate,'Rent Roll'!$O$42-1),-'Rent Roll'!$U$42*'Rent Roll'!$F$42*'Rent Roll'!$X$42,0)</f>
        <v>0</v>
      </c>
      <c r="AU308" s="49">
        <f>IF(AU$4=EOMONTH(CloseDate,'Rent Roll'!$O$42-1),-'Rent Roll'!$U$42*'Rent Roll'!$F$42*'Rent Roll'!$X$42,0)</f>
        <v>0</v>
      </c>
      <c r="AV308" s="49">
        <f>IF(AV$4=EOMONTH(CloseDate,'Rent Roll'!$O$42-1),-'Rent Roll'!$U$42*'Rent Roll'!$F$42*'Rent Roll'!$X$42,0)</f>
        <v>0</v>
      </c>
      <c r="AW308" s="49">
        <f>IF(AW$4=EOMONTH(CloseDate,'Rent Roll'!$O$42-1),-'Rent Roll'!$U$42*'Rent Roll'!$F$42*'Rent Roll'!$X$42,0)</f>
        <v>0</v>
      </c>
      <c r="AX308" s="49">
        <f>IF(AX$4=EOMONTH(CloseDate,'Rent Roll'!$O$42-1),-'Rent Roll'!$U$42*'Rent Roll'!$F$42*'Rent Roll'!$X$42,0)</f>
        <v>0</v>
      </c>
      <c r="AY308" s="49">
        <f>IF(AY$4=EOMONTH(CloseDate,'Rent Roll'!$O$42-1),-'Rent Roll'!$U$42*'Rent Roll'!$F$42*'Rent Roll'!$X$42,0)</f>
        <v>0</v>
      </c>
      <c r="AZ308" s="49">
        <f>IF(AZ$4=EOMONTH(CloseDate,'Rent Roll'!$O$42-1),-'Rent Roll'!$U$42*'Rent Roll'!$F$42*'Rent Roll'!$X$42,0)</f>
        <v>0</v>
      </c>
      <c r="BA308" s="49">
        <f>IF(BA$4=EOMONTH(CloseDate,'Rent Roll'!$O$42-1),-'Rent Roll'!$U$42*'Rent Roll'!$F$42*'Rent Roll'!$X$42,0)</f>
        <v>0</v>
      </c>
      <c r="BB308" s="49">
        <f>IF(BB$4=EOMONTH(CloseDate,'Rent Roll'!$O$42-1),-'Rent Roll'!$U$42*'Rent Roll'!$F$42*'Rent Roll'!$X$42,0)</f>
        <v>0</v>
      </c>
      <c r="BC308" s="49">
        <f>IF(BC$4=EOMONTH(CloseDate,'Rent Roll'!$O$42-1),-'Rent Roll'!$U$42*'Rent Roll'!$F$42*'Rent Roll'!$X$42,0)</f>
        <v>0</v>
      </c>
      <c r="BD308" s="49">
        <f>IF(BD$4=EOMONTH(CloseDate,'Rent Roll'!$O$42-1),-'Rent Roll'!$U$42*'Rent Roll'!$F$42*'Rent Roll'!$X$42,0)</f>
        <v>0</v>
      </c>
      <c r="BE308" s="49">
        <f>IF(BE$4=EOMONTH(CloseDate,'Rent Roll'!$O$42-1),-'Rent Roll'!$U$42*'Rent Roll'!$F$42*'Rent Roll'!$X$42,0)</f>
        <v>0</v>
      </c>
      <c r="BF308" s="49">
        <f>IF(BF$4=EOMONTH(CloseDate,'Rent Roll'!$O$42-1),-'Rent Roll'!$U$42*'Rent Roll'!$F$42*'Rent Roll'!$X$42,0)</f>
        <v>0</v>
      </c>
      <c r="BG308" s="49">
        <f>IF(BG$4=EOMONTH(CloseDate,'Rent Roll'!$O$42-1),-'Rent Roll'!$U$42*'Rent Roll'!$F$42*'Rent Roll'!$X$42,0)</f>
        <v>0</v>
      </c>
      <c r="BH308" s="49">
        <f>IF(BH$4=EOMONTH(CloseDate,'Rent Roll'!$O$42-1),-'Rent Roll'!$U$42*'Rent Roll'!$F$42*'Rent Roll'!$X$42,0)</f>
        <v>0</v>
      </c>
      <c r="BI308" s="49">
        <f>IF(BI$4=EOMONTH(CloseDate,'Rent Roll'!$O$42-1),-'Rent Roll'!$U$42*'Rent Roll'!$F$42*'Rent Roll'!$X$42,0)</f>
        <v>0</v>
      </c>
      <c r="BJ308" s="49">
        <f>IF(BJ$4=EOMONTH(CloseDate,'Rent Roll'!$O$42-1),-'Rent Roll'!$U$42*'Rent Roll'!$F$42*'Rent Roll'!$X$42,0)</f>
        <v>0</v>
      </c>
      <c r="BK308" s="49">
        <f>IF(BK$4=EOMONTH(CloseDate,'Rent Roll'!$O$42-1),-'Rent Roll'!$U$42*'Rent Roll'!$F$42*'Rent Roll'!$X$42,0)</f>
        <v>0</v>
      </c>
      <c r="BL308" s="49">
        <f>IF(BL$4=EOMONTH(CloseDate,'Rent Roll'!$O$42-1),-'Rent Roll'!$U$42*'Rent Roll'!$F$42*'Rent Roll'!$X$42,0)</f>
        <v>0</v>
      </c>
      <c r="BM308" s="49">
        <f>IF(BM$4=EOMONTH(CloseDate,'Rent Roll'!$O$42-1),-'Rent Roll'!$U$42*'Rent Roll'!$F$42*'Rent Roll'!$X$42,0)</f>
        <v>0</v>
      </c>
      <c r="BN308" s="49">
        <f>IF(BN$4=EOMONTH(CloseDate,'Rent Roll'!$O$42-1),-'Rent Roll'!$U$42*'Rent Roll'!$F$42*'Rent Roll'!$X$42,0)</f>
        <v>0</v>
      </c>
      <c r="BO308" s="49">
        <f>IF(BO$4=EOMONTH(CloseDate,'Rent Roll'!$O$42-1),-'Rent Roll'!$U$42*'Rent Roll'!$F$42*'Rent Roll'!$X$42,0)</f>
        <v>0</v>
      </c>
      <c r="BP308" s="49">
        <f>IF(BP$4=EOMONTH(CloseDate,'Rent Roll'!$O$42-1),-'Rent Roll'!$U$42*'Rent Roll'!$F$42*'Rent Roll'!$X$42,0)</f>
        <v>0</v>
      </c>
      <c r="BQ308" s="49">
        <f>IF(BQ$4=EOMONTH(CloseDate,'Rent Roll'!$O$42-1),-'Rent Roll'!$U$42*'Rent Roll'!$F$42*'Rent Roll'!$X$42,0)</f>
        <v>0</v>
      </c>
      <c r="BR308" s="49">
        <f>IF(BR$4=EOMONTH(CloseDate,'Rent Roll'!$O$42-1),-'Rent Roll'!$U$42*'Rent Roll'!$F$42*'Rent Roll'!$X$42,0)</f>
        <v>0</v>
      </c>
      <c r="BS308" s="49">
        <f>IF(BS$4=EOMONTH(CloseDate,'Rent Roll'!$O$42-1),-'Rent Roll'!$U$42*'Rent Roll'!$F$42*'Rent Roll'!$X$42,0)</f>
        <v>0</v>
      </c>
      <c r="BT308" s="49">
        <f>IF(BT$4=EOMONTH(CloseDate,'Rent Roll'!$O$42-1),-'Rent Roll'!$U$42*'Rent Roll'!$F$42*'Rent Roll'!$X$42,0)</f>
        <v>0</v>
      </c>
      <c r="BU308" s="49">
        <f>IF(BU$4=EOMONTH(CloseDate,'Rent Roll'!$O$42-1),-'Rent Roll'!$U$42*'Rent Roll'!$F$42*'Rent Roll'!$X$42,0)</f>
        <v>0</v>
      </c>
      <c r="BV308" s="49">
        <f>IF(BV$4=EOMONTH(CloseDate,'Rent Roll'!$O$42-1),-'Rent Roll'!$U$42*'Rent Roll'!$F$42*'Rent Roll'!$X$42,0)</f>
        <v>0</v>
      </c>
      <c r="BW308" s="49">
        <f>IF(BW$4=EOMONTH(CloseDate,'Rent Roll'!$O$42-1),-'Rent Roll'!$U$42*'Rent Roll'!$F$42*'Rent Roll'!$X$42,0)</f>
        <v>0</v>
      </c>
      <c r="BX308" s="49">
        <f>IF(BX$4=EOMONTH(CloseDate,'Rent Roll'!$O$42-1),-'Rent Roll'!$U$42*'Rent Roll'!$F$42*'Rent Roll'!$X$42,0)</f>
        <v>0</v>
      </c>
    </row>
    <row r="309" spans="1:76" outlineLevel="1">
      <c r="A309" s="47" t="str">
        <f>'Rent Roll'!C43</f>
        <v>Suite 710</v>
      </c>
      <c r="B309" s="57">
        <f>INDEX('Rent Roll'!$F$5:$F$46,MATCH('Rent Roll Calc'!A309,'Rent Roll'!$C$5:$C$46,0))</f>
        <v>13000</v>
      </c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  <c r="AA309" s="49"/>
      <c r="AB309" s="49"/>
      <c r="AC309" s="49"/>
      <c r="AD309" s="49"/>
      <c r="AE309" s="49"/>
      <c r="AF309" s="49"/>
      <c r="AG309" s="49"/>
      <c r="AH309" s="49"/>
      <c r="AI309" s="49"/>
      <c r="AJ309" s="49"/>
      <c r="AK309" s="49"/>
      <c r="AL309" s="49"/>
      <c r="AM309" s="49"/>
      <c r="AN309" s="49"/>
      <c r="AO309" s="49"/>
      <c r="AP309" s="49"/>
      <c r="AQ309" s="49"/>
      <c r="AR309" s="49"/>
      <c r="AS309" s="49"/>
      <c r="AT309" s="49"/>
      <c r="AU309" s="49"/>
      <c r="AV309" s="49"/>
      <c r="AW309" s="49"/>
      <c r="AX309" s="49"/>
      <c r="AY309" s="49"/>
      <c r="AZ309" s="49"/>
      <c r="BA309" s="49"/>
      <c r="BB309" s="49"/>
      <c r="BC309" s="49"/>
      <c r="BD309" s="49"/>
      <c r="BE309" s="49"/>
      <c r="BF309" s="49"/>
      <c r="BG309" s="49"/>
      <c r="BH309" s="49"/>
      <c r="BI309" s="49"/>
      <c r="BJ309" s="49"/>
      <c r="BK309" s="49"/>
      <c r="BL309" s="49"/>
      <c r="BM309" s="49"/>
      <c r="BN309" s="49"/>
      <c r="BO309" s="49"/>
      <c r="BP309" s="49"/>
      <c r="BQ309" s="49"/>
      <c r="BR309" s="49"/>
      <c r="BS309" s="49"/>
      <c r="BT309" s="49"/>
      <c r="BU309" s="49"/>
      <c r="BV309" s="49"/>
      <c r="BW309" s="49"/>
      <c r="BX309" s="49"/>
    </row>
    <row r="310" spans="1:76" outlineLevel="1">
      <c r="B310" t="s">
        <v>170</v>
      </c>
      <c r="D310" s="49">
        <f>IF(AND(D$3&gt;='Rent Roll'!$O$43-SpecBuildout,D$3&lt;'Rent Roll'!$O$43),1,0)</f>
        <v>0</v>
      </c>
      <c r="E310" s="49">
        <f>IF(AND(E$3&gt;='Rent Roll'!$O$43-SpecBuildout,E$3&lt;'Rent Roll'!$O$43),1,0)</f>
        <v>0</v>
      </c>
      <c r="F310" s="49">
        <f>IF(AND(F$3&gt;='Rent Roll'!$O$43-SpecBuildout,F$3&lt;'Rent Roll'!$O$43),1,0)</f>
        <v>0</v>
      </c>
      <c r="G310" s="49">
        <f>IF(AND(G$3&gt;='Rent Roll'!$O$43-SpecBuildout,G$3&lt;'Rent Roll'!$O$43),1,0)</f>
        <v>0</v>
      </c>
      <c r="H310" s="49">
        <f>IF(AND(H$3&gt;='Rent Roll'!$O$43-SpecBuildout,H$3&lt;'Rent Roll'!$O$43),1,0)</f>
        <v>0</v>
      </c>
      <c r="I310" s="49">
        <f>IF(AND(I$3&gt;='Rent Roll'!$O$43-SpecBuildout,I$3&lt;'Rent Roll'!$O$43),1,0)</f>
        <v>0</v>
      </c>
      <c r="J310" s="49">
        <f>IF(AND(J$3&gt;='Rent Roll'!$O$43-SpecBuildout,J$3&lt;'Rent Roll'!$O$43),1,0)</f>
        <v>0</v>
      </c>
      <c r="K310" s="49">
        <f>IF(AND(K$3&gt;='Rent Roll'!$O$43-SpecBuildout,K$3&lt;'Rent Roll'!$O$43),1,0)</f>
        <v>0</v>
      </c>
      <c r="L310" s="49">
        <f>IF(AND(L$3&gt;='Rent Roll'!$O$43-SpecBuildout,L$3&lt;'Rent Roll'!$O$43),1,0)</f>
        <v>1</v>
      </c>
      <c r="M310" s="49">
        <f>IF(AND(M$3&gt;='Rent Roll'!$O$43-SpecBuildout,M$3&lt;'Rent Roll'!$O$43),1,0)</f>
        <v>1</v>
      </c>
      <c r="N310" s="49">
        <f>IF(AND(N$3&gt;='Rent Roll'!$O$43-SpecBuildout,N$3&lt;'Rent Roll'!$O$43),1,0)</f>
        <v>1</v>
      </c>
      <c r="O310" s="49">
        <f>IF(AND(O$3&gt;='Rent Roll'!$O$43-SpecBuildout,O$3&lt;'Rent Roll'!$O$43),1,0)</f>
        <v>1</v>
      </c>
      <c r="P310" s="49">
        <f>IF(AND(P$3&gt;='Rent Roll'!$O$43-SpecBuildout,P$3&lt;'Rent Roll'!$O$43),1,0)</f>
        <v>1</v>
      </c>
      <c r="Q310" s="49">
        <f>IF(AND(Q$3&gt;='Rent Roll'!$O$43-SpecBuildout,Q$3&lt;'Rent Roll'!$O$43),1,0)</f>
        <v>1</v>
      </c>
      <c r="R310" s="49">
        <f>IF(AND(R$3&gt;='Rent Roll'!$O$43-SpecBuildout,R$3&lt;'Rent Roll'!$O$43),1,0)</f>
        <v>0</v>
      </c>
      <c r="S310" s="49">
        <f>IF(AND(S$3&gt;='Rent Roll'!$O$43-SpecBuildout,S$3&lt;'Rent Roll'!$O$43),1,0)</f>
        <v>0</v>
      </c>
      <c r="T310" s="49">
        <f>IF(AND(T$3&gt;='Rent Roll'!$O$43-SpecBuildout,T$3&lt;'Rent Roll'!$O$43),1,0)</f>
        <v>0</v>
      </c>
      <c r="U310" s="49">
        <f>IF(AND(U$3&gt;='Rent Roll'!$O$43-SpecBuildout,U$3&lt;'Rent Roll'!$O$43),1,0)</f>
        <v>0</v>
      </c>
      <c r="V310" s="49">
        <f>IF(AND(V$3&gt;='Rent Roll'!$O$43-SpecBuildout,V$3&lt;'Rent Roll'!$O$43),1,0)</f>
        <v>0</v>
      </c>
      <c r="W310" s="49">
        <f>IF(AND(W$3&gt;='Rent Roll'!$O$43-SpecBuildout,W$3&lt;'Rent Roll'!$O$43),1,0)</f>
        <v>0</v>
      </c>
      <c r="X310" s="49">
        <f>IF(AND(X$3&gt;='Rent Roll'!$O$43-SpecBuildout,X$3&lt;'Rent Roll'!$O$43),1,0)</f>
        <v>0</v>
      </c>
      <c r="Y310" s="49">
        <f>IF(AND(Y$3&gt;='Rent Roll'!$O$43-SpecBuildout,Y$3&lt;'Rent Roll'!$O$43),1,0)</f>
        <v>0</v>
      </c>
      <c r="Z310" s="49">
        <f>IF(AND(Z$3&gt;='Rent Roll'!$O$43-SpecBuildout,Z$3&lt;'Rent Roll'!$O$43),1,0)</f>
        <v>0</v>
      </c>
      <c r="AA310" s="49">
        <f>IF(AND(AA$3&gt;='Rent Roll'!$O$43-SpecBuildout,AA$3&lt;'Rent Roll'!$O$43),1,0)</f>
        <v>0</v>
      </c>
      <c r="AB310" s="49">
        <f>IF(AND(AB$3&gt;='Rent Roll'!$O$43-SpecBuildout,AB$3&lt;'Rent Roll'!$O$43),1,0)</f>
        <v>0</v>
      </c>
      <c r="AC310" s="49">
        <f>IF(AND(AC$3&gt;='Rent Roll'!$O$43-SpecBuildout,AC$3&lt;'Rent Roll'!$O$43),1,0)</f>
        <v>0</v>
      </c>
      <c r="AD310" s="49">
        <f>IF(AND(AD$3&gt;='Rent Roll'!$O$43-SpecBuildout,AD$3&lt;'Rent Roll'!$O$43),1,0)</f>
        <v>0</v>
      </c>
      <c r="AE310" s="49">
        <f>IF(AND(AE$3&gt;='Rent Roll'!$O$43-SpecBuildout,AE$3&lt;'Rent Roll'!$O$43),1,0)</f>
        <v>0</v>
      </c>
      <c r="AF310" s="49">
        <f>IF(AND(AF$3&gt;='Rent Roll'!$O$43-SpecBuildout,AF$3&lt;'Rent Roll'!$O$43),1,0)</f>
        <v>0</v>
      </c>
      <c r="AG310" s="49">
        <f>IF(AND(AG$3&gt;='Rent Roll'!$O$43-SpecBuildout,AG$3&lt;'Rent Roll'!$O$43),1,0)</f>
        <v>0</v>
      </c>
      <c r="AH310" s="49">
        <f>IF(AND(AH$3&gt;='Rent Roll'!$O$43-SpecBuildout,AH$3&lt;'Rent Roll'!$O$43),1,0)</f>
        <v>0</v>
      </c>
      <c r="AI310" s="49">
        <f>IF(AND(AI$3&gt;='Rent Roll'!$O$43-SpecBuildout,AI$3&lt;'Rent Roll'!$O$43),1,0)</f>
        <v>0</v>
      </c>
      <c r="AJ310" s="49">
        <f>IF(AND(AJ$3&gt;='Rent Roll'!$O$43-SpecBuildout,AJ$3&lt;'Rent Roll'!$O$43),1,0)</f>
        <v>0</v>
      </c>
      <c r="AK310" s="49">
        <f>IF(AND(AK$3&gt;='Rent Roll'!$O$43-SpecBuildout,AK$3&lt;'Rent Roll'!$O$43),1,0)</f>
        <v>0</v>
      </c>
      <c r="AL310" s="49">
        <f>IF(AND(AL$3&gt;='Rent Roll'!$O$43-SpecBuildout,AL$3&lt;'Rent Roll'!$O$43),1,0)</f>
        <v>0</v>
      </c>
      <c r="AM310" s="49">
        <f>IF(AND(AM$3&gt;='Rent Roll'!$O$43-SpecBuildout,AM$3&lt;'Rent Roll'!$O$43),1,0)</f>
        <v>0</v>
      </c>
      <c r="AN310" s="49">
        <f>IF(AND(AN$3&gt;='Rent Roll'!$O$43-SpecBuildout,AN$3&lt;'Rent Roll'!$O$43),1,0)</f>
        <v>0</v>
      </c>
      <c r="AO310" s="49">
        <f>IF(AND(AO$3&gt;='Rent Roll'!$O$43-SpecBuildout,AO$3&lt;'Rent Roll'!$O$43),1,0)</f>
        <v>0</v>
      </c>
      <c r="AP310" s="49">
        <f>IF(AND(AP$3&gt;='Rent Roll'!$O$43-SpecBuildout,AP$3&lt;'Rent Roll'!$O$43),1,0)</f>
        <v>0</v>
      </c>
      <c r="AQ310" s="49">
        <f>IF(AND(AQ$3&gt;='Rent Roll'!$O$43-SpecBuildout,AQ$3&lt;'Rent Roll'!$O$43),1,0)</f>
        <v>0</v>
      </c>
      <c r="AR310" s="49">
        <f>IF(AND(AR$3&gt;='Rent Roll'!$O$43-SpecBuildout,AR$3&lt;'Rent Roll'!$O$43),1,0)</f>
        <v>0</v>
      </c>
      <c r="AS310" s="49">
        <f>IF(AND(AS$3&gt;='Rent Roll'!$O$43-SpecBuildout,AS$3&lt;'Rent Roll'!$O$43),1,0)</f>
        <v>0</v>
      </c>
      <c r="AT310" s="49">
        <f>IF(AND(AT$3&gt;='Rent Roll'!$O$43-SpecBuildout,AT$3&lt;'Rent Roll'!$O$43),1,0)</f>
        <v>0</v>
      </c>
      <c r="AU310" s="49">
        <f>IF(AND(AU$3&gt;='Rent Roll'!$O$43-SpecBuildout,AU$3&lt;'Rent Roll'!$O$43),1,0)</f>
        <v>0</v>
      </c>
      <c r="AV310" s="49">
        <f>IF(AND(AV$3&gt;='Rent Roll'!$O$43-SpecBuildout,AV$3&lt;'Rent Roll'!$O$43),1,0)</f>
        <v>0</v>
      </c>
      <c r="AW310" s="49">
        <f>IF(AND(AW$3&gt;='Rent Roll'!$O$43-SpecBuildout,AW$3&lt;'Rent Roll'!$O$43),1,0)</f>
        <v>0</v>
      </c>
      <c r="AX310" s="49">
        <f>IF(AND(AX$3&gt;='Rent Roll'!$O$43-SpecBuildout,AX$3&lt;'Rent Roll'!$O$43),1,0)</f>
        <v>0</v>
      </c>
      <c r="AY310" s="49">
        <f>IF(AND(AY$3&gt;='Rent Roll'!$O$43-SpecBuildout,AY$3&lt;'Rent Roll'!$O$43),1,0)</f>
        <v>0</v>
      </c>
      <c r="AZ310" s="49">
        <f>IF(AND(AZ$3&gt;='Rent Roll'!$O$43-SpecBuildout,AZ$3&lt;'Rent Roll'!$O$43),1,0)</f>
        <v>0</v>
      </c>
      <c r="BA310" s="49">
        <f>IF(AND(BA$3&gt;='Rent Roll'!$O$43-SpecBuildout,BA$3&lt;'Rent Roll'!$O$43),1,0)</f>
        <v>0</v>
      </c>
      <c r="BB310" s="49">
        <f>IF(AND(BB$3&gt;='Rent Roll'!$O$43-SpecBuildout,BB$3&lt;'Rent Roll'!$O$43),1,0)</f>
        <v>0</v>
      </c>
      <c r="BC310" s="49">
        <f>IF(AND(BC$3&gt;='Rent Roll'!$O$43-SpecBuildout,BC$3&lt;'Rent Roll'!$O$43),1,0)</f>
        <v>0</v>
      </c>
      <c r="BD310" s="49">
        <f>IF(AND(BD$3&gt;='Rent Roll'!$O$43-SpecBuildout,BD$3&lt;'Rent Roll'!$O$43),1,0)</f>
        <v>0</v>
      </c>
      <c r="BE310" s="49">
        <f>IF(AND(BE$3&gt;='Rent Roll'!$O$43-SpecBuildout,BE$3&lt;'Rent Roll'!$O$43),1,0)</f>
        <v>0</v>
      </c>
      <c r="BF310" s="49">
        <f>IF(AND(BF$3&gt;='Rent Roll'!$O$43-SpecBuildout,BF$3&lt;'Rent Roll'!$O$43),1,0)</f>
        <v>0</v>
      </c>
      <c r="BG310" s="49">
        <f>IF(AND(BG$3&gt;='Rent Roll'!$O$43-SpecBuildout,BG$3&lt;'Rent Roll'!$O$43),1,0)</f>
        <v>0</v>
      </c>
      <c r="BH310" s="49">
        <f>IF(AND(BH$3&gt;='Rent Roll'!$O$43-SpecBuildout,BH$3&lt;'Rent Roll'!$O$43),1,0)</f>
        <v>0</v>
      </c>
      <c r="BI310" s="49">
        <f>IF(AND(BI$3&gt;='Rent Roll'!$O$43-SpecBuildout,BI$3&lt;'Rent Roll'!$O$43),1,0)</f>
        <v>0</v>
      </c>
      <c r="BJ310" s="49">
        <f>IF(AND(BJ$3&gt;='Rent Roll'!$O$43-SpecBuildout,BJ$3&lt;'Rent Roll'!$O$43),1,0)</f>
        <v>0</v>
      </c>
      <c r="BK310" s="49">
        <f>IF(AND(BK$3&gt;='Rent Roll'!$O$43-SpecBuildout,BK$3&lt;'Rent Roll'!$O$43),1,0)</f>
        <v>0</v>
      </c>
      <c r="BL310" s="49">
        <f>IF(AND(BL$3&gt;='Rent Roll'!$O$43-SpecBuildout,BL$3&lt;'Rent Roll'!$O$43),1,0)</f>
        <v>0</v>
      </c>
      <c r="BM310" s="49">
        <f>IF(AND(BM$3&gt;='Rent Roll'!$O$43-SpecBuildout,BM$3&lt;'Rent Roll'!$O$43),1,0)</f>
        <v>0</v>
      </c>
      <c r="BN310" s="49">
        <f>IF(AND(BN$3&gt;='Rent Roll'!$O$43-SpecBuildout,BN$3&lt;'Rent Roll'!$O$43),1,0)</f>
        <v>0</v>
      </c>
      <c r="BO310" s="49">
        <f>IF(AND(BO$3&gt;='Rent Roll'!$O$43-SpecBuildout,BO$3&lt;'Rent Roll'!$O$43),1,0)</f>
        <v>0</v>
      </c>
      <c r="BP310" s="49">
        <f>IF(AND(BP$3&gt;='Rent Roll'!$O$43-SpecBuildout,BP$3&lt;'Rent Roll'!$O$43),1,0)</f>
        <v>0</v>
      </c>
      <c r="BQ310" s="49">
        <f>IF(AND(BQ$3&gt;='Rent Roll'!$O$43-SpecBuildout,BQ$3&lt;'Rent Roll'!$O$43),1,0)</f>
        <v>0</v>
      </c>
      <c r="BR310" s="49">
        <f>IF(AND(BR$3&gt;='Rent Roll'!$O$43-SpecBuildout,BR$3&lt;'Rent Roll'!$O$43),1,0)</f>
        <v>0</v>
      </c>
      <c r="BS310" s="49">
        <f>IF(AND(BS$3&gt;='Rent Roll'!$O$43-SpecBuildout,BS$3&lt;'Rent Roll'!$O$43),1,0)</f>
        <v>0</v>
      </c>
      <c r="BT310" s="49">
        <f>IF(AND(BT$3&gt;='Rent Roll'!$O$43-SpecBuildout,BT$3&lt;'Rent Roll'!$O$43),1,0)</f>
        <v>0</v>
      </c>
      <c r="BU310" s="49">
        <f>IF(AND(BU$3&gt;='Rent Roll'!$O$43-SpecBuildout,BU$3&lt;'Rent Roll'!$O$43),1,0)</f>
        <v>0</v>
      </c>
      <c r="BV310" s="49">
        <f>IF(AND(BV$3&gt;='Rent Roll'!$O$43-SpecBuildout,BV$3&lt;'Rent Roll'!$O$43),1,0)</f>
        <v>0</v>
      </c>
      <c r="BW310" s="49">
        <f>IF(AND(BW$3&gt;='Rent Roll'!$O$43-SpecBuildout,BW$3&lt;'Rent Roll'!$O$43),1,0)</f>
        <v>0</v>
      </c>
      <c r="BX310" s="49">
        <f>IF(AND(BX$3&gt;='Rent Roll'!$O$43-SpecBuildout,BX$3&lt;'Rent Roll'!$O$43),1,0)</f>
        <v>0</v>
      </c>
    </row>
    <row r="311" spans="1:76" outlineLevel="1">
      <c r="B311" t="s">
        <v>159</v>
      </c>
      <c r="D311" s="49">
        <f>0</f>
        <v>0</v>
      </c>
      <c r="E311" s="49">
        <f>0</f>
        <v>0</v>
      </c>
      <c r="F311" s="49">
        <f>0</f>
        <v>0</v>
      </c>
      <c r="G311" s="49">
        <f>0</f>
        <v>0</v>
      </c>
      <c r="H311" s="49">
        <f>0</f>
        <v>0</v>
      </c>
      <c r="I311" s="49">
        <f>0</f>
        <v>0</v>
      </c>
      <c r="J311" s="49">
        <f>0</f>
        <v>0</v>
      </c>
      <c r="K311" s="49">
        <f>0</f>
        <v>0</v>
      </c>
      <c r="L311" s="49">
        <f>0</f>
        <v>0</v>
      </c>
      <c r="M311" s="49">
        <f>0</f>
        <v>0</v>
      </c>
      <c r="N311" s="49">
        <f>0</f>
        <v>0</v>
      </c>
      <c r="O311" s="49">
        <f>0</f>
        <v>0</v>
      </c>
      <c r="P311" s="49">
        <f>0</f>
        <v>0</v>
      </c>
      <c r="Q311" s="49">
        <f>0</f>
        <v>0</v>
      </c>
      <c r="R311" s="49">
        <f>0</f>
        <v>0</v>
      </c>
      <c r="S311" s="49">
        <f>0</f>
        <v>0</v>
      </c>
      <c r="T311" s="49">
        <f>0</f>
        <v>0</v>
      </c>
      <c r="U311" s="49">
        <f>0</f>
        <v>0</v>
      </c>
      <c r="V311" s="49">
        <f>0</f>
        <v>0</v>
      </c>
      <c r="W311" s="49">
        <f>0</f>
        <v>0</v>
      </c>
      <c r="X311" s="49">
        <f>0</f>
        <v>0</v>
      </c>
      <c r="Y311" s="49">
        <f>0</f>
        <v>0</v>
      </c>
      <c r="Z311" s="49">
        <f>0</f>
        <v>0</v>
      </c>
      <c r="AA311" s="49">
        <f>0</f>
        <v>0</v>
      </c>
      <c r="AB311" s="49">
        <f>0</f>
        <v>0</v>
      </c>
      <c r="AC311" s="49">
        <f>0</f>
        <v>0</v>
      </c>
      <c r="AD311" s="49">
        <f>0</f>
        <v>0</v>
      </c>
      <c r="AE311" s="49">
        <f>0</f>
        <v>0</v>
      </c>
      <c r="AF311" s="49">
        <f>0</f>
        <v>0</v>
      </c>
      <c r="AG311" s="49">
        <f>0</f>
        <v>0</v>
      </c>
      <c r="AH311" s="49">
        <f>0</f>
        <v>0</v>
      </c>
      <c r="AI311" s="49">
        <f>0</f>
        <v>0</v>
      </c>
      <c r="AJ311" s="49">
        <f>0</f>
        <v>0</v>
      </c>
      <c r="AK311" s="49">
        <f>0</f>
        <v>0</v>
      </c>
      <c r="AL311" s="49">
        <f>0</f>
        <v>0</v>
      </c>
      <c r="AM311" s="49">
        <f>0</f>
        <v>0</v>
      </c>
      <c r="AN311" s="49">
        <f>0</f>
        <v>0</v>
      </c>
      <c r="AO311" s="49">
        <f>0</f>
        <v>0</v>
      </c>
      <c r="AP311" s="49">
        <f>0</f>
        <v>0</v>
      </c>
      <c r="AQ311" s="49">
        <f>0</f>
        <v>0</v>
      </c>
      <c r="AR311" s="49">
        <f>0</f>
        <v>0</v>
      </c>
      <c r="AS311" s="49">
        <f>0</f>
        <v>0</v>
      </c>
      <c r="AT311" s="49">
        <f>0</f>
        <v>0</v>
      </c>
      <c r="AU311" s="49">
        <f>0</f>
        <v>0</v>
      </c>
      <c r="AV311" s="49">
        <f>0</f>
        <v>0</v>
      </c>
      <c r="AW311" s="49">
        <f>0</f>
        <v>0</v>
      </c>
      <c r="AX311" s="49">
        <f>0</f>
        <v>0</v>
      </c>
      <c r="AY311" s="49">
        <f>0</f>
        <v>0</v>
      </c>
      <c r="AZ311" s="49">
        <f>0</f>
        <v>0</v>
      </c>
      <c r="BA311" s="49">
        <f>0</f>
        <v>0</v>
      </c>
      <c r="BB311" s="49">
        <f>0</f>
        <v>0</v>
      </c>
      <c r="BC311" s="49">
        <f>0</f>
        <v>0</v>
      </c>
      <c r="BD311" s="49">
        <f>0</f>
        <v>0</v>
      </c>
      <c r="BE311" s="49">
        <f>0</f>
        <v>0</v>
      </c>
      <c r="BF311" s="49">
        <f>0</f>
        <v>0</v>
      </c>
      <c r="BG311" s="49">
        <f>0</f>
        <v>0</v>
      </c>
      <c r="BH311" s="49">
        <f>0</f>
        <v>0</v>
      </c>
      <c r="BI311" s="49">
        <f>0</f>
        <v>0</v>
      </c>
      <c r="BJ311" s="49">
        <f>0</f>
        <v>0</v>
      </c>
      <c r="BK311" s="49">
        <f>0</f>
        <v>0</v>
      </c>
      <c r="BL311" s="49">
        <f>0</f>
        <v>0</v>
      </c>
      <c r="BM311" s="49">
        <f>0</f>
        <v>0</v>
      </c>
      <c r="BN311" s="49">
        <f>0</f>
        <v>0</v>
      </c>
      <c r="BO311" s="49">
        <f>0</f>
        <v>0</v>
      </c>
      <c r="BP311" s="49">
        <f>0</f>
        <v>0</v>
      </c>
      <c r="BQ311" s="49">
        <f>0</f>
        <v>0</v>
      </c>
      <c r="BR311" s="49">
        <f>0</f>
        <v>0</v>
      </c>
      <c r="BS311" s="49">
        <f>0</f>
        <v>0</v>
      </c>
      <c r="BT311" s="49">
        <f>0</f>
        <v>0</v>
      </c>
      <c r="BU311" s="49">
        <f>0</f>
        <v>0</v>
      </c>
      <c r="BV311" s="49">
        <f>0</f>
        <v>0</v>
      </c>
      <c r="BW311" s="49">
        <f>0</f>
        <v>0</v>
      </c>
      <c r="BX311" s="49">
        <f>0</f>
        <v>0</v>
      </c>
    </row>
    <row r="312" spans="1:76" outlineLevel="1">
      <c r="B312" t="s">
        <v>160</v>
      </c>
      <c r="D312" s="49">
        <f>IF(D$4&gt;=EOMONTH(CloseDate,'Rent Roll'!$O$43-1),1,0)</f>
        <v>0</v>
      </c>
      <c r="E312" s="49">
        <f>IF(E$4&gt;=EOMONTH(CloseDate,'Rent Roll'!$O$43-1),1,0)</f>
        <v>0</v>
      </c>
      <c r="F312" s="49">
        <f>IF(F$4&gt;=EOMONTH(CloseDate,'Rent Roll'!$O$43-1),1,0)</f>
        <v>0</v>
      </c>
      <c r="G312" s="49">
        <f>IF(G$4&gt;=EOMONTH(CloseDate,'Rent Roll'!$O$43-1),1,0)</f>
        <v>0</v>
      </c>
      <c r="H312" s="49">
        <f>IF(H$4&gt;=EOMONTH(CloseDate,'Rent Roll'!$O$43-1),1,0)</f>
        <v>0</v>
      </c>
      <c r="I312" s="49">
        <f>IF(I$4&gt;=EOMONTH(CloseDate,'Rent Roll'!$O$43-1),1,0)</f>
        <v>0</v>
      </c>
      <c r="J312" s="49">
        <f>IF(J$4&gt;=EOMONTH(CloseDate,'Rent Roll'!$O$43-1),1,0)</f>
        <v>0</v>
      </c>
      <c r="K312" s="49">
        <f>IF(K$4&gt;=EOMONTH(CloseDate,'Rent Roll'!$O$43-1),1,0)</f>
        <v>0</v>
      </c>
      <c r="L312" s="49">
        <f>IF(L$4&gt;=EOMONTH(CloseDate,'Rent Roll'!$O$43-1),1,0)</f>
        <v>0</v>
      </c>
      <c r="M312" s="49">
        <f>IF(M$4&gt;=EOMONTH(CloseDate,'Rent Roll'!$O$43-1),1,0)</f>
        <v>0</v>
      </c>
      <c r="N312" s="49">
        <f>IF(N$4&gt;=EOMONTH(CloseDate,'Rent Roll'!$O$43-1),1,0)</f>
        <v>0</v>
      </c>
      <c r="O312" s="49">
        <f>IF(O$4&gt;=EOMONTH(CloseDate,'Rent Roll'!$O$43-1),1,0)</f>
        <v>0</v>
      </c>
      <c r="P312" s="49">
        <f>IF(P$4&gt;=EOMONTH(CloseDate,'Rent Roll'!$O$43-1),1,0)</f>
        <v>0</v>
      </c>
      <c r="Q312" s="49">
        <f>IF(Q$4&gt;=EOMONTH(CloseDate,'Rent Roll'!$O$43-1),1,0)</f>
        <v>1</v>
      </c>
      <c r="R312" s="49">
        <f>IF(R$4&gt;=EOMONTH(CloseDate,'Rent Roll'!$O$43-1),1,0)</f>
        <v>1</v>
      </c>
      <c r="S312" s="49">
        <f>IF(S$4&gt;=EOMONTH(CloseDate,'Rent Roll'!$O$43-1),1,0)</f>
        <v>1</v>
      </c>
      <c r="T312" s="49">
        <f>IF(T$4&gt;=EOMONTH(CloseDate,'Rent Roll'!$O$43-1),1,0)</f>
        <v>1</v>
      </c>
      <c r="U312" s="49">
        <f>IF(U$4&gt;=EOMONTH(CloseDate,'Rent Roll'!$O$43-1),1,0)</f>
        <v>1</v>
      </c>
      <c r="V312" s="49">
        <f>IF(V$4&gt;=EOMONTH(CloseDate,'Rent Roll'!$O$43-1),1,0)</f>
        <v>1</v>
      </c>
      <c r="W312" s="49">
        <f>IF(W$4&gt;=EOMONTH(CloseDate,'Rent Roll'!$O$43-1),1,0)</f>
        <v>1</v>
      </c>
      <c r="X312" s="49">
        <f>IF(X$4&gt;=EOMONTH(CloseDate,'Rent Roll'!$O$43-1),1,0)</f>
        <v>1</v>
      </c>
      <c r="Y312" s="49">
        <f>IF(Y$4&gt;=EOMONTH(CloseDate,'Rent Roll'!$O$43-1),1,0)</f>
        <v>1</v>
      </c>
      <c r="Z312" s="49">
        <f>IF(Z$4&gt;=EOMONTH(CloseDate,'Rent Roll'!$O$43-1),1,0)</f>
        <v>1</v>
      </c>
      <c r="AA312" s="49">
        <f>IF(AA$4&gt;=EOMONTH(CloseDate,'Rent Roll'!$O$43-1),1,0)</f>
        <v>1</v>
      </c>
      <c r="AB312" s="49">
        <f>IF(AB$4&gt;=EOMONTH(CloseDate,'Rent Roll'!$O$43-1),1,0)</f>
        <v>1</v>
      </c>
      <c r="AC312" s="49">
        <f>IF(AC$4&gt;=EOMONTH(CloseDate,'Rent Roll'!$O$43-1),1,0)</f>
        <v>1</v>
      </c>
      <c r="AD312" s="49">
        <f>IF(AD$4&gt;=EOMONTH(CloseDate,'Rent Roll'!$O$43-1),1,0)</f>
        <v>1</v>
      </c>
      <c r="AE312" s="49">
        <f>IF(AE$4&gt;=EOMONTH(CloseDate,'Rent Roll'!$O$43-1),1,0)</f>
        <v>1</v>
      </c>
      <c r="AF312" s="49">
        <f>IF(AF$4&gt;=EOMONTH(CloseDate,'Rent Roll'!$O$43-1),1,0)</f>
        <v>1</v>
      </c>
      <c r="AG312" s="49">
        <f>IF(AG$4&gt;=EOMONTH(CloseDate,'Rent Roll'!$O$43-1),1,0)</f>
        <v>1</v>
      </c>
      <c r="AH312" s="49">
        <f>IF(AH$4&gt;=EOMONTH(CloseDate,'Rent Roll'!$O$43-1),1,0)</f>
        <v>1</v>
      </c>
      <c r="AI312" s="49">
        <f>IF(AI$4&gt;=EOMONTH(CloseDate,'Rent Roll'!$O$43-1),1,0)</f>
        <v>1</v>
      </c>
      <c r="AJ312" s="49">
        <f>IF(AJ$4&gt;=EOMONTH(CloseDate,'Rent Roll'!$O$43-1),1,0)</f>
        <v>1</v>
      </c>
      <c r="AK312" s="49">
        <f>IF(AK$4&gt;=EOMONTH(CloseDate,'Rent Roll'!$O$43-1),1,0)</f>
        <v>1</v>
      </c>
      <c r="AL312" s="49">
        <f>IF(AL$4&gt;=EOMONTH(CloseDate,'Rent Roll'!$O$43-1),1,0)</f>
        <v>1</v>
      </c>
      <c r="AM312" s="49">
        <f>IF(AM$4&gt;=EOMONTH(CloseDate,'Rent Roll'!$O$43-1),1,0)</f>
        <v>1</v>
      </c>
      <c r="AN312" s="49">
        <f>IF(AN$4&gt;=EOMONTH(CloseDate,'Rent Roll'!$O$43-1),1,0)</f>
        <v>1</v>
      </c>
      <c r="AO312" s="49">
        <f>IF(AO$4&gt;=EOMONTH(CloseDate,'Rent Roll'!$O$43-1),1,0)</f>
        <v>1</v>
      </c>
      <c r="AP312" s="49">
        <f>IF(AP$4&gt;=EOMONTH(CloseDate,'Rent Roll'!$O$43-1),1,0)</f>
        <v>1</v>
      </c>
      <c r="AQ312" s="49">
        <f>IF(AQ$4&gt;=EOMONTH(CloseDate,'Rent Roll'!$O$43-1),1,0)</f>
        <v>1</v>
      </c>
      <c r="AR312" s="49">
        <f>IF(AR$4&gt;=EOMONTH(CloseDate,'Rent Roll'!$O$43-1),1,0)</f>
        <v>1</v>
      </c>
      <c r="AS312" s="49">
        <f>IF(AS$4&gt;=EOMONTH(CloseDate,'Rent Roll'!$O$43-1),1,0)</f>
        <v>1</v>
      </c>
      <c r="AT312" s="49">
        <f>IF(AT$4&gt;=EOMONTH(CloseDate,'Rent Roll'!$O$43-1),1,0)</f>
        <v>1</v>
      </c>
      <c r="AU312" s="49">
        <f>IF(AU$4&gt;=EOMONTH(CloseDate,'Rent Roll'!$O$43-1),1,0)</f>
        <v>1</v>
      </c>
      <c r="AV312" s="49">
        <f>IF(AV$4&gt;=EOMONTH(CloseDate,'Rent Roll'!$O$43-1),1,0)</f>
        <v>1</v>
      </c>
      <c r="AW312" s="49">
        <f>IF(AW$4&gt;=EOMONTH(CloseDate,'Rent Roll'!$O$43-1),1,0)</f>
        <v>1</v>
      </c>
      <c r="AX312" s="49">
        <f>IF(AX$4&gt;=EOMONTH(CloseDate,'Rent Roll'!$O$43-1),1,0)</f>
        <v>1</v>
      </c>
      <c r="AY312" s="49">
        <f>IF(AY$4&gt;=EOMONTH(CloseDate,'Rent Roll'!$O$43-1),1,0)</f>
        <v>1</v>
      </c>
      <c r="AZ312" s="49">
        <f>IF(AZ$4&gt;=EOMONTH(CloseDate,'Rent Roll'!$O$43-1),1,0)</f>
        <v>1</v>
      </c>
      <c r="BA312" s="49">
        <f>IF(BA$4&gt;=EOMONTH(CloseDate,'Rent Roll'!$O$43-1),1,0)</f>
        <v>1</v>
      </c>
      <c r="BB312" s="49">
        <f>IF(BB$4&gt;=EOMONTH(CloseDate,'Rent Roll'!$O$43-1),1,0)</f>
        <v>1</v>
      </c>
      <c r="BC312" s="49">
        <f>IF(BC$4&gt;=EOMONTH(CloseDate,'Rent Roll'!$O$43-1),1,0)</f>
        <v>1</v>
      </c>
      <c r="BD312" s="49">
        <f>IF(BD$4&gt;=EOMONTH(CloseDate,'Rent Roll'!$O$43-1),1,0)</f>
        <v>1</v>
      </c>
      <c r="BE312" s="49">
        <f>IF(BE$4&gt;=EOMONTH(CloseDate,'Rent Roll'!$O$43-1),1,0)</f>
        <v>1</v>
      </c>
      <c r="BF312" s="49">
        <f>IF(BF$4&gt;=EOMONTH(CloseDate,'Rent Roll'!$O$43-1),1,0)</f>
        <v>1</v>
      </c>
      <c r="BG312" s="49">
        <f>IF(BG$4&gt;=EOMONTH(CloseDate,'Rent Roll'!$O$43-1),1,0)</f>
        <v>1</v>
      </c>
      <c r="BH312" s="49">
        <f>IF(BH$4&gt;=EOMONTH(CloseDate,'Rent Roll'!$O$43-1),1,0)</f>
        <v>1</v>
      </c>
      <c r="BI312" s="49">
        <f>IF(BI$4&gt;=EOMONTH(CloseDate,'Rent Roll'!$O$43-1),1,0)</f>
        <v>1</v>
      </c>
      <c r="BJ312" s="49">
        <f>IF(BJ$4&gt;=EOMONTH(CloseDate,'Rent Roll'!$O$43-1),1,0)</f>
        <v>1</v>
      </c>
      <c r="BK312" s="49">
        <f>IF(BK$4&gt;=EOMONTH(CloseDate,'Rent Roll'!$O$43-1),1,0)</f>
        <v>1</v>
      </c>
      <c r="BL312" s="49">
        <f>IF(BL$4&gt;=EOMONTH(CloseDate,'Rent Roll'!$O$43-1),1,0)</f>
        <v>1</v>
      </c>
      <c r="BM312" s="49">
        <f>IF(BM$4&gt;=EOMONTH(CloseDate,'Rent Roll'!$O$43-1),1,0)</f>
        <v>1</v>
      </c>
      <c r="BN312" s="49">
        <f>IF(BN$4&gt;=EOMONTH(CloseDate,'Rent Roll'!$O$43-1),1,0)</f>
        <v>1</v>
      </c>
      <c r="BO312" s="49">
        <f>IF(BO$4&gt;=EOMONTH(CloseDate,'Rent Roll'!$O$43-1),1,0)</f>
        <v>1</v>
      </c>
      <c r="BP312" s="49">
        <f>IF(BP$4&gt;=EOMONTH(CloseDate,'Rent Roll'!$O$43-1),1,0)</f>
        <v>1</v>
      </c>
      <c r="BQ312" s="49">
        <f>IF(BQ$4&gt;=EOMONTH(CloseDate,'Rent Roll'!$O$43-1),1,0)</f>
        <v>1</v>
      </c>
      <c r="BR312" s="49">
        <f>IF(BR$4&gt;=EOMONTH(CloseDate,'Rent Roll'!$O$43-1),1,0)</f>
        <v>1</v>
      </c>
      <c r="BS312" s="49">
        <f>IF(BS$4&gt;=EOMONTH(CloseDate,'Rent Roll'!$O$43-1),1,0)</f>
        <v>1</v>
      </c>
      <c r="BT312" s="49">
        <f>IF(BT$4&gt;=EOMONTH(CloseDate,'Rent Roll'!$O$43-1),1,0)</f>
        <v>1</v>
      </c>
      <c r="BU312" s="49">
        <f>IF(BU$4&gt;=EOMONTH(CloseDate,'Rent Roll'!$O$43-1),1,0)</f>
        <v>1</v>
      </c>
      <c r="BV312" s="49">
        <f>IF(BV$4&gt;=EOMONTH(CloseDate,'Rent Roll'!$O$43-1),1,0)</f>
        <v>1</v>
      </c>
      <c r="BW312" s="49">
        <f>IF(BW$4&gt;=EOMONTH(CloseDate,'Rent Roll'!$O$43-1),1,0)</f>
        <v>1</v>
      </c>
      <c r="BX312" s="49">
        <f>IF(BX$4&gt;=EOMONTH(CloseDate,'Rent Roll'!$O$43-1),1,0)</f>
        <v>1</v>
      </c>
    </row>
    <row r="313" spans="1:76" outlineLevel="1">
      <c r="B313" t="s">
        <v>162</v>
      </c>
      <c r="D313" s="49">
        <f>IF(D312=1,'Rent Roll'!$F$43*'Rent Roll'!$X$43/12*D$6,0)</f>
        <v>0</v>
      </c>
      <c r="E313" s="49">
        <f>IF(E312=1,'Rent Roll'!$F$43*'Rent Roll'!$X$43/12*E$6,0)</f>
        <v>0</v>
      </c>
      <c r="F313" s="49">
        <f>IF(F312=1,'Rent Roll'!$F$43*'Rent Roll'!$X$43/12*F$6,0)</f>
        <v>0</v>
      </c>
      <c r="G313" s="49">
        <f>IF(G312=1,'Rent Roll'!$F$43*'Rent Roll'!$X$43/12*G$6,0)</f>
        <v>0</v>
      </c>
      <c r="H313" s="49">
        <f>IF(H312=1,'Rent Roll'!$F$43*'Rent Roll'!$X$43/12*H$6,0)</f>
        <v>0</v>
      </c>
      <c r="I313" s="49">
        <f>IF(I312=1,'Rent Roll'!$F$43*'Rent Roll'!$X$43/12*I$6,0)</f>
        <v>0</v>
      </c>
      <c r="J313" s="49">
        <f>IF(J312=1,'Rent Roll'!$F$43*'Rent Roll'!$X$43/12*J$6,0)</f>
        <v>0</v>
      </c>
      <c r="K313" s="49">
        <f>IF(K312=1,'Rent Roll'!$F$43*'Rent Roll'!$X$43/12*K$6,0)</f>
        <v>0</v>
      </c>
      <c r="L313" s="49">
        <f>IF(L312=1,'Rent Roll'!$F$43*'Rent Roll'!$X$43/12*L$6,0)</f>
        <v>0</v>
      </c>
      <c r="M313" s="49">
        <f>IF(M312=1,'Rent Roll'!$F$43*'Rent Roll'!$X$43/12*M$6,0)</f>
        <v>0</v>
      </c>
      <c r="N313" s="49">
        <f>IF(N312=1,'Rent Roll'!$F$43*'Rent Roll'!$X$43/12*N$6,0)</f>
        <v>0</v>
      </c>
      <c r="O313" s="49">
        <f>IF(O312=1,'Rent Roll'!$F$43*'Rent Roll'!$X$43/12*O$6,0)</f>
        <v>0</v>
      </c>
      <c r="P313" s="49">
        <f>IF(P312=1,'Rent Roll'!$F$43*'Rent Roll'!$X$43/12*P$6,0)</f>
        <v>0</v>
      </c>
      <c r="Q313" s="49">
        <f>IF(Q312=1,'Rent Roll'!$F$43*'Rent Roll'!$X$43/12*Q$6,0)</f>
        <v>28927.166666666664</v>
      </c>
      <c r="R313" s="49">
        <f>IF(R312=1,'Rent Roll'!$F$43*'Rent Roll'!$X$43/12*R$6,0)</f>
        <v>28927.166666666664</v>
      </c>
      <c r="S313" s="49">
        <f>IF(S312=1,'Rent Roll'!$F$43*'Rent Roll'!$X$43/12*S$6,0)</f>
        <v>28927.166666666664</v>
      </c>
      <c r="T313" s="49">
        <f>IF(T312=1,'Rent Roll'!$F$43*'Rent Roll'!$X$43/12*T$6,0)</f>
        <v>28927.166666666664</v>
      </c>
      <c r="U313" s="49">
        <f>IF(U312=1,'Rent Roll'!$F$43*'Rent Roll'!$X$43/12*U$6,0)</f>
        <v>29708.200166666662</v>
      </c>
      <c r="V313" s="49">
        <f>IF(V312=1,'Rent Roll'!$F$43*'Rent Roll'!$X$43/12*V$6,0)</f>
        <v>29708.200166666662</v>
      </c>
      <c r="W313" s="49">
        <f>IF(W312=1,'Rent Roll'!$F$43*'Rent Roll'!$X$43/12*W$6,0)</f>
        <v>29708.200166666662</v>
      </c>
      <c r="X313" s="49">
        <f>IF(X312=1,'Rent Roll'!$F$43*'Rent Roll'!$X$43/12*X$6,0)</f>
        <v>29708.200166666662</v>
      </c>
      <c r="Y313" s="49">
        <f>IF(Y312=1,'Rent Roll'!$F$43*'Rent Roll'!$X$43/12*Y$6,0)</f>
        <v>29708.200166666662</v>
      </c>
      <c r="Z313" s="49">
        <f>IF(Z312=1,'Rent Roll'!$F$43*'Rent Roll'!$X$43/12*Z$6,0)</f>
        <v>29708.200166666662</v>
      </c>
      <c r="AA313" s="49">
        <f>IF(AA312=1,'Rent Roll'!$F$43*'Rent Roll'!$X$43/12*AA$6,0)</f>
        <v>29708.200166666662</v>
      </c>
      <c r="AB313" s="49">
        <f>IF(AB312=1,'Rent Roll'!$F$43*'Rent Roll'!$X$43/12*AB$6,0)</f>
        <v>29708.200166666662</v>
      </c>
      <c r="AC313" s="49">
        <f>IF(AC312=1,'Rent Roll'!$F$43*'Rent Roll'!$X$43/12*AC$6,0)</f>
        <v>29708.200166666662</v>
      </c>
      <c r="AD313" s="49">
        <f>IF(AD312=1,'Rent Roll'!$F$43*'Rent Roll'!$X$43/12*AD$6,0)</f>
        <v>29708.200166666662</v>
      </c>
      <c r="AE313" s="49">
        <f>IF(AE312=1,'Rent Roll'!$F$43*'Rent Roll'!$X$43/12*AE$6,0)</f>
        <v>29708.200166666662</v>
      </c>
      <c r="AF313" s="49">
        <f>IF(AF312=1,'Rent Roll'!$F$43*'Rent Roll'!$X$43/12*AF$6,0)</f>
        <v>29708.200166666662</v>
      </c>
      <c r="AG313" s="49">
        <f>IF(AG312=1,'Rent Roll'!$F$43*'Rent Roll'!$X$43/12*AG$6,0)</f>
        <v>30510.321571166663</v>
      </c>
      <c r="AH313" s="49">
        <f>IF(AH312=1,'Rent Roll'!$F$43*'Rent Roll'!$X$43/12*AH$6,0)</f>
        <v>30510.321571166663</v>
      </c>
      <c r="AI313" s="49">
        <f>IF(AI312=1,'Rent Roll'!$F$43*'Rent Roll'!$X$43/12*AI$6,0)</f>
        <v>30510.321571166663</v>
      </c>
      <c r="AJ313" s="49">
        <f>IF(AJ312=1,'Rent Roll'!$F$43*'Rent Roll'!$X$43/12*AJ$6,0)</f>
        <v>30510.321571166663</v>
      </c>
      <c r="AK313" s="49">
        <f>IF(AK312=1,'Rent Roll'!$F$43*'Rent Roll'!$X$43/12*AK$6,0)</f>
        <v>30510.321571166663</v>
      </c>
      <c r="AL313" s="49">
        <f>IF(AL312=1,'Rent Roll'!$F$43*'Rent Roll'!$X$43/12*AL$6,0)</f>
        <v>30510.321571166663</v>
      </c>
      <c r="AM313" s="49">
        <f>IF(AM312=1,'Rent Roll'!$F$43*'Rent Roll'!$X$43/12*AM$6,0)</f>
        <v>30510.321571166663</v>
      </c>
      <c r="AN313" s="49">
        <f>IF(AN312=1,'Rent Roll'!$F$43*'Rent Roll'!$X$43/12*AN$6,0)</f>
        <v>30510.321571166663</v>
      </c>
      <c r="AO313" s="49">
        <f>IF(AO312=1,'Rent Roll'!$F$43*'Rent Roll'!$X$43/12*AO$6,0)</f>
        <v>30510.321571166663</v>
      </c>
      <c r="AP313" s="49">
        <f>IF(AP312=1,'Rent Roll'!$F$43*'Rent Roll'!$X$43/12*AP$6,0)</f>
        <v>30510.321571166663</v>
      </c>
      <c r="AQ313" s="49">
        <f>IF(AQ312=1,'Rent Roll'!$F$43*'Rent Roll'!$X$43/12*AQ$6,0)</f>
        <v>30510.321571166663</v>
      </c>
      <c r="AR313" s="49">
        <f>IF(AR312=1,'Rent Roll'!$F$43*'Rent Roll'!$X$43/12*AR$6,0)</f>
        <v>30510.321571166663</v>
      </c>
      <c r="AS313" s="49">
        <f>IF(AS312=1,'Rent Roll'!$F$43*'Rent Roll'!$X$43/12*AS$6,0)</f>
        <v>31334.100253588156</v>
      </c>
      <c r="AT313" s="49">
        <f>IF(AT312=1,'Rent Roll'!$F$43*'Rent Roll'!$X$43/12*AT$6,0)</f>
        <v>31334.100253588156</v>
      </c>
      <c r="AU313" s="49">
        <f>IF(AU312=1,'Rent Roll'!$F$43*'Rent Roll'!$X$43/12*AU$6,0)</f>
        <v>31334.100253588156</v>
      </c>
      <c r="AV313" s="49">
        <f>IF(AV312=1,'Rent Roll'!$F$43*'Rent Roll'!$X$43/12*AV$6,0)</f>
        <v>31334.100253588156</v>
      </c>
      <c r="AW313" s="49">
        <f>IF(AW312=1,'Rent Roll'!$F$43*'Rent Roll'!$X$43/12*AW$6,0)</f>
        <v>31334.100253588156</v>
      </c>
      <c r="AX313" s="49">
        <f>IF(AX312=1,'Rent Roll'!$F$43*'Rent Roll'!$X$43/12*AX$6,0)</f>
        <v>31334.100253588156</v>
      </c>
      <c r="AY313" s="49">
        <f>IF(AY312=1,'Rent Roll'!$F$43*'Rent Roll'!$X$43/12*AY$6,0)</f>
        <v>31334.100253588156</v>
      </c>
      <c r="AZ313" s="49">
        <f>IF(AZ312=1,'Rent Roll'!$F$43*'Rent Roll'!$X$43/12*AZ$6,0)</f>
        <v>31334.100253588156</v>
      </c>
      <c r="BA313" s="49">
        <f>IF(BA312=1,'Rent Roll'!$F$43*'Rent Roll'!$X$43/12*BA$6,0)</f>
        <v>31334.100253588156</v>
      </c>
      <c r="BB313" s="49">
        <f>IF(BB312=1,'Rent Roll'!$F$43*'Rent Roll'!$X$43/12*BB$6,0)</f>
        <v>31334.100253588156</v>
      </c>
      <c r="BC313" s="49">
        <f>IF(BC312=1,'Rent Roll'!$F$43*'Rent Roll'!$X$43/12*BC$6,0)</f>
        <v>31334.100253588156</v>
      </c>
      <c r="BD313" s="49">
        <f>IF(BD312=1,'Rent Roll'!$F$43*'Rent Roll'!$X$43/12*BD$6,0)</f>
        <v>31334.100253588156</v>
      </c>
      <c r="BE313" s="49">
        <f>IF(BE312=1,'Rent Roll'!$F$43*'Rent Roll'!$X$43/12*BE$6,0)</f>
        <v>32180.120960435033</v>
      </c>
      <c r="BF313" s="49">
        <f>IF(BF312=1,'Rent Roll'!$F$43*'Rent Roll'!$X$43/12*BF$6,0)</f>
        <v>32180.120960435033</v>
      </c>
      <c r="BG313" s="49">
        <f>IF(BG312=1,'Rent Roll'!$F$43*'Rent Roll'!$X$43/12*BG$6,0)</f>
        <v>32180.120960435033</v>
      </c>
      <c r="BH313" s="49">
        <f>IF(BH312=1,'Rent Roll'!$F$43*'Rent Roll'!$X$43/12*BH$6,0)</f>
        <v>32180.120960435033</v>
      </c>
      <c r="BI313" s="49">
        <f>IF(BI312=1,'Rent Roll'!$F$43*'Rent Roll'!$X$43/12*BI$6,0)</f>
        <v>32180.120960435033</v>
      </c>
      <c r="BJ313" s="49">
        <f>IF(BJ312=1,'Rent Roll'!$F$43*'Rent Roll'!$X$43/12*BJ$6,0)</f>
        <v>32180.120960435033</v>
      </c>
      <c r="BK313" s="49">
        <f>IF(BK312=1,'Rent Roll'!$F$43*'Rent Roll'!$X$43/12*BK$6,0)</f>
        <v>32180.120960435033</v>
      </c>
      <c r="BL313" s="49">
        <f>IF(BL312=1,'Rent Roll'!$F$43*'Rent Roll'!$X$43/12*BL$6,0)</f>
        <v>32180.120960435033</v>
      </c>
      <c r="BM313" s="49">
        <f>IF(BM312=1,'Rent Roll'!$F$43*'Rent Roll'!$X$43/12*BM$6,0)</f>
        <v>32180.120960435033</v>
      </c>
      <c r="BN313" s="49">
        <f>IF(BN312=1,'Rent Roll'!$F$43*'Rent Roll'!$X$43/12*BN$6,0)</f>
        <v>32180.120960435033</v>
      </c>
      <c r="BO313" s="49">
        <f>IF(BO312=1,'Rent Roll'!$F$43*'Rent Roll'!$X$43/12*BO$6,0)</f>
        <v>32180.120960435033</v>
      </c>
      <c r="BP313" s="49">
        <f>IF(BP312=1,'Rent Roll'!$F$43*'Rent Roll'!$X$43/12*BP$6,0)</f>
        <v>32180.120960435033</v>
      </c>
      <c r="BQ313" s="49">
        <f>IF(BQ312=1,'Rent Roll'!$F$43*'Rent Roll'!$X$43/12*BQ$6,0)</f>
        <v>33048.984226366774</v>
      </c>
      <c r="BR313" s="49">
        <f>IF(BR312=1,'Rent Roll'!$F$43*'Rent Roll'!$X$43/12*BR$6,0)</f>
        <v>33048.984226366774</v>
      </c>
      <c r="BS313" s="49">
        <f>IF(BS312=1,'Rent Roll'!$F$43*'Rent Roll'!$X$43/12*BS$6,0)</f>
        <v>33048.984226366774</v>
      </c>
      <c r="BT313" s="49">
        <f>IF(BT312=1,'Rent Roll'!$F$43*'Rent Roll'!$X$43/12*BT$6,0)</f>
        <v>33048.984226366774</v>
      </c>
      <c r="BU313" s="49">
        <f>IF(BU312=1,'Rent Roll'!$F$43*'Rent Roll'!$X$43/12*BU$6,0)</f>
        <v>33048.984226366774</v>
      </c>
      <c r="BV313" s="49">
        <f>IF(BV312=1,'Rent Roll'!$F$43*'Rent Roll'!$X$43/12*BV$6,0)</f>
        <v>33048.984226366774</v>
      </c>
      <c r="BW313" s="49">
        <f>IF(BW312=1,'Rent Roll'!$F$43*'Rent Roll'!$X$43/12*BW$6,0)</f>
        <v>33048.984226366774</v>
      </c>
      <c r="BX313" s="49">
        <f>IF(BX312=1,'Rent Roll'!$F$43*'Rent Roll'!$X$43/12*BX$6,0)</f>
        <v>33048.984226366774</v>
      </c>
    </row>
    <row r="314" spans="1:76" outlineLevel="1">
      <c r="B314" t="s">
        <v>163</v>
      </c>
      <c r="D314" s="49">
        <f>IF(AND(D$4&gt;=EOMONTH(CloseDate,'Rent Roll'!$O$43-1),D$4&lt;EOMONTH(CloseDate,'Rent Roll'!$O$43-1+'Rent Roll'!$V$43)),-D313,0)</f>
        <v>0</v>
      </c>
      <c r="E314" s="49">
        <f>IF(AND(E$4&gt;=EOMONTH(CloseDate,'Rent Roll'!$O$43-1),E$4&lt;EOMONTH(CloseDate,'Rent Roll'!$O$43-1+'Rent Roll'!$V$43)),-E313,0)</f>
        <v>0</v>
      </c>
      <c r="F314" s="49">
        <f>IF(AND(F$4&gt;=EOMONTH(CloseDate,'Rent Roll'!$O$43-1),F$4&lt;EOMONTH(CloseDate,'Rent Roll'!$O$43-1+'Rent Roll'!$V$43)),-F313,0)</f>
        <v>0</v>
      </c>
      <c r="G314" s="49">
        <f>IF(AND(G$4&gt;=EOMONTH(CloseDate,'Rent Roll'!$O$43-1),G$4&lt;EOMONTH(CloseDate,'Rent Roll'!$O$43-1+'Rent Roll'!$V$43)),-G313,0)</f>
        <v>0</v>
      </c>
      <c r="H314" s="49">
        <f>IF(AND(H$4&gt;=EOMONTH(CloseDate,'Rent Roll'!$O$43-1),H$4&lt;EOMONTH(CloseDate,'Rent Roll'!$O$43-1+'Rent Roll'!$V$43)),-H313,0)</f>
        <v>0</v>
      </c>
      <c r="I314" s="49">
        <f>IF(AND(I$4&gt;=EOMONTH(CloseDate,'Rent Roll'!$O$43-1),I$4&lt;EOMONTH(CloseDate,'Rent Roll'!$O$43-1+'Rent Roll'!$V$43)),-I313,0)</f>
        <v>0</v>
      </c>
      <c r="J314" s="49">
        <f>IF(AND(J$4&gt;=EOMONTH(CloseDate,'Rent Roll'!$O$43-1),J$4&lt;EOMONTH(CloseDate,'Rent Roll'!$O$43-1+'Rent Roll'!$V$43)),-J313,0)</f>
        <v>0</v>
      </c>
      <c r="K314" s="49">
        <f>IF(AND(K$4&gt;=EOMONTH(CloseDate,'Rent Roll'!$O$43-1),K$4&lt;EOMONTH(CloseDate,'Rent Roll'!$O$43-1+'Rent Roll'!$V$43)),-K313,0)</f>
        <v>0</v>
      </c>
      <c r="L314" s="49">
        <f>IF(AND(L$4&gt;=EOMONTH(CloseDate,'Rent Roll'!$O$43-1),L$4&lt;EOMONTH(CloseDate,'Rent Roll'!$O$43-1+'Rent Roll'!$V$43)),-L313,0)</f>
        <v>0</v>
      </c>
      <c r="M314" s="49">
        <f>IF(AND(M$4&gt;=EOMONTH(CloseDate,'Rent Roll'!$O$43-1),M$4&lt;EOMONTH(CloseDate,'Rent Roll'!$O$43-1+'Rent Roll'!$V$43)),-M313,0)</f>
        <v>0</v>
      </c>
      <c r="N314" s="49">
        <f>IF(AND(N$4&gt;=EOMONTH(CloseDate,'Rent Roll'!$O$43-1),N$4&lt;EOMONTH(CloseDate,'Rent Roll'!$O$43-1+'Rent Roll'!$V$43)),-N313,0)</f>
        <v>0</v>
      </c>
      <c r="O314" s="49">
        <f>IF(AND(O$4&gt;=EOMONTH(CloseDate,'Rent Roll'!$O$43-1),O$4&lt;EOMONTH(CloseDate,'Rent Roll'!$O$43-1+'Rent Roll'!$V$43)),-O313,0)</f>
        <v>0</v>
      </c>
      <c r="P314" s="49">
        <f>IF(AND(P$4&gt;=EOMONTH(CloseDate,'Rent Roll'!$O$43-1),P$4&lt;EOMONTH(CloseDate,'Rent Roll'!$O$43-1+'Rent Roll'!$V$43)),-P313,0)</f>
        <v>0</v>
      </c>
      <c r="Q314" s="49">
        <f>IF(AND(Q$4&gt;=EOMONTH(CloseDate,'Rent Roll'!$O$43-1),Q$4&lt;EOMONTH(CloseDate,'Rent Roll'!$O$43-1+'Rent Roll'!$V$43)),-Q313,0)</f>
        <v>-28927.166666666664</v>
      </c>
      <c r="R314" s="49">
        <f>IF(AND(R$4&gt;=EOMONTH(CloseDate,'Rent Roll'!$O$43-1),R$4&lt;EOMONTH(CloseDate,'Rent Roll'!$O$43-1+'Rent Roll'!$V$43)),-R313,0)</f>
        <v>-28927.166666666664</v>
      </c>
      <c r="S314" s="49">
        <f>IF(AND(S$4&gt;=EOMONTH(CloseDate,'Rent Roll'!$O$43-1),S$4&lt;EOMONTH(CloseDate,'Rent Roll'!$O$43-1+'Rent Roll'!$V$43)),-S313,0)</f>
        <v>0</v>
      </c>
      <c r="T314" s="49">
        <f>IF(AND(T$4&gt;=EOMONTH(CloseDate,'Rent Roll'!$O$43-1),T$4&lt;EOMONTH(CloseDate,'Rent Roll'!$O$43-1+'Rent Roll'!$V$43)),-T313,0)</f>
        <v>0</v>
      </c>
      <c r="U314" s="49">
        <f>IF(AND(U$4&gt;=EOMONTH(CloseDate,'Rent Roll'!$O$43-1),U$4&lt;EOMONTH(CloseDate,'Rent Roll'!$O$43-1+'Rent Roll'!$V$43)),-U313,0)</f>
        <v>0</v>
      </c>
      <c r="V314" s="49">
        <f>IF(AND(V$4&gt;=EOMONTH(CloseDate,'Rent Roll'!$O$43-1),V$4&lt;EOMONTH(CloseDate,'Rent Roll'!$O$43-1+'Rent Roll'!$V$43)),-V313,0)</f>
        <v>0</v>
      </c>
      <c r="W314" s="49">
        <f>IF(AND(W$4&gt;=EOMONTH(CloseDate,'Rent Roll'!$O$43-1),W$4&lt;EOMONTH(CloseDate,'Rent Roll'!$O$43-1+'Rent Roll'!$V$43)),-W313,0)</f>
        <v>0</v>
      </c>
      <c r="X314" s="49">
        <f>IF(AND(X$4&gt;=EOMONTH(CloseDate,'Rent Roll'!$O$43-1),X$4&lt;EOMONTH(CloseDate,'Rent Roll'!$O$43-1+'Rent Roll'!$V$43)),-X313,0)</f>
        <v>0</v>
      </c>
      <c r="Y314" s="49">
        <f>IF(AND(Y$4&gt;=EOMONTH(CloseDate,'Rent Roll'!$O$43-1),Y$4&lt;EOMONTH(CloseDate,'Rent Roll'!$O$43-1+'Rent Roll'!$V$43)),-Y313,0)</f>
        <v>0</v>
      </c>
      <c r="Z314" s="49">
        <f>IF(AND(Z$4&gt;=EOMONTH(CloseDate,'Rent Roll'!$O$43-1),Z$4&lt;EOMONTH(CloseDate,'Rent Roll'!$O$43-1+'Rent Roll'!$V$43)),-Z313,0)</f>
        <v>0</v>
      </c>
      <c r="AA314" s="49">
        <f>IF(AND(AA$4&gt;=EOMONTH(CloseDate,'Rent Roll'!$O$43-1),AA$4&lt;EOMONTH(CloseDate,'Rent Roll'!$O$43-1+'Rent Roll'!$V$43)),-AA313,0)</f>
        <v>0</v>
      </c>
      <c r="AB314" s="49">
        <f>IF(AND(AB$4&gt;=EOMONTH(CloseDate,'Rent Roll'!$O$43-1),AB$4&lt;EOMONTH(CloseDate,'Rent Roll'!$O$43-1+'Rent Roll'!$V$43)),-AB313,0)</f>
        <v>0</v>
      </c>
      <c r="AC314" s="49">
        <f>IF(AND(AC$4&gt;=EOMONTH(CloseDate,'Rent Roll'!$O$43-1),AC$4&lt;EOMONTH(CloseDate,'Rent Roll'!$O$43-1+'Rent Roll'!$V$43)),-AC313,0)</f>
        <v>0</v>
      </c>
      <c r="AD314" s="49">
        <f>IF(AND(AD$4&gt;=EOMONTH(CloseDate,'Rent Roll'!$O$43-1),AD$4&lt;EOMONTH(CloseDate,'Rent Roll'!$O$43-1+'Rent Roll'!$V$43)),-AD313,0)</f>
        <v>0</v>
      </c>
      <c r="AE314" s="49">
        <f>IF(AND(AE$4&gt;=EOMONTH(CloseDate,'Rent Roll'!$O$43-1),AE$4&lt;EOMONTH(CloseDate,'Rent Roll'!$O$43-1+'Rent Roll'!$V$43)),-AE313,0)</f>
        <v>0</v>
      </c>
      <c r="AF314" s="49">
        <f>IF(AND(AF$4&gt;=EOMONTH(CloseDate,'Rent Roll'!$O$43-1),AF$4&lt;EOMONTH(CloseDate,'Rent Roll'!$O$43-1+'Rent Roll'!$V$43)),-AF313,0)</f>
        <v>0</v>
      </c>
      <c r="AG314" s="49">
        <f>IF(AND(AG$4&gt;=EOMONTH(CloseDate,'Rent Roll'!$O$43-1),AG$4&lt;EOMONTH(CloseDate,'Rent Roll'!$O$43-1+'Rent Roll'!$V$43)),-AG313,0)</f>
        <v>0</v>
      </c>
      <c r="AH314" s="49">
        <f>IF(AND(AH$4&gt;=EOMONTH(CloseDate,'Rent Roll'!$O$43-1),AH$4&lt;EOMONTH(CloseDate,'Rent Roll'!$O$43-1+'Rent Roll'!$V$43)),-AH313,0)</f>
        <v>0</v>
      </c>
      <c r="AI314" s="49">
        <f>IF(AND(AI$4&gt;=EOMONTH(CloseDate,'Rent Roll'!$O$43-1),AI$4&lt;EOMONTH(CloseDate,'Rent Roll'!$O$43-1+'Rent Roll'!$V$43)),-AI313,0)</f>
        <v>0</v>
      </c>
      <c r="AJ314" s="49">
        <f>IF(AND(AJ$4&gt;=EOMONTH(CloseDate,'Rent Roll'!$O$43-1),AJ$4&lt;EOMONTH(CloseDate,'Rent Roll'!$O$43-1+'Rent Roll'!$V$43)),-AJ313,0)</f>
        <v>0</v>
      </c>
      <c r="AK314" s="49">
        <f>IF(AND(AK$4&gt;=EOMONTH(CloseDate,'Rent Roll'!$O$43-1),AK$4&lt;EOMONTH(CloseDate,'Rent Roll'!$O$43-1+'Rent Roll'!$V$43)),-AK313,0)</f>
        <v>0</v>
      </c>
      <c r="AL314" s="49">
        <f>IF(AND(AL$4&gt;=EOMONTH(CloseDate,'Rent Roll'!$O$43-1),AL$4&lt;EOMONTH(CloseDate,'Rent Roll'!$O$43-1+'Rent Roll'!$V$43)),-AL313,0)</f>
        <v>0</v>
      </c>
      <c r="AM314" s="49">
        <f>IF(AND(AM$4&gt;=EOMONTH(CloseDate,'Rent Roll'!$O$43-1),AM$4&lt;EOMONTH(CloseDate,'Rent Roll'!$O$43-1+'Rent Roll'!$V$43)),-AM313,0)</f>
        <v>0</v>
      </c>
      <c r="AN314" s="49">
        <f>IF(AND(AN$4&gt;=EOMONTH(CloseDate,'Rent Roll'!$O$43-1),AN$4&lt;EOMONTH(CloseDate,'Rent Roll'!$O$43-1+'Rent Roll'!$V$43)),-AN313,0)</f>
        <v>0</v>
      </c>
      <c r="AO314" s="49">
        <f>IF(AND(AO$4&gt;=EOMONTH(CloseDate,'Rent Roll'!$O$43-1),AO$4&lt;EOMONTH(CloseDate,'Rent Roll'!$O$43-1+'Rent Roll'!$V$43)),-AO313,0)</f>
        <v>0</v>
      </c>
      <c r="AP314" s="49">
        <f>IF(AND(AP$4&gt;=EOMONTH(CloseDate,'Rent Roll'!$O$43-1),AP$4&lt;EOMONTH(CloseDate,'Rent Roll'!$O$43-1+'Rent Roll'!$V$43)),-AP313,0)</f>
        <v>0</v>
      </c>
      <c r="AQ314" s="49">
        <f>IF(AND(AQ$4&gt;=EOMONTH(CloseDate,'Rent Roll'!$O$43-1),AQ$4&lt;EOMONTH(CloseDate,'Rent Roll'!$O$43-1+'Rent Roll'!$V$43)),-AQ313,0)</f>
        <v>0</v>
      </c>
      <c r="AR314" s="49">
        <f>IF(AND(AR$4&gt;=EOMONTH(CloseDate,'Rent Roll'!$O$43-1),AR$4&lt;EOMONTH(CloseDate,'Rent Roll'!$O$43-1+'Rent Roll'!$V$43)),-AR313,0)</f>
        <v>0</v>
      </c>
      <c r="AS314" s="49">
        <f>IF(AND(AS$4&gt;=EOMONTH(CloseDate,'Rent Roll'!$O$43-1),AS$4&lt;EOMONTH(CloseDate,'Rent Roll'!$O$43-1+'Rent Roll'!$V$43)),-AS313,0)</f>
        <v>0</v>
      </c>
      <c r="AT314" s="49">
        <f>IF(AND(AT$4&gt;=EOMONTH(CloseDate,'Rent Roll'!$O$43-1),AT$4&lt;EOMONTH(CloseDate,'Rent Roll'!$O$43-1+'Rent Roll'!$V$43)),-AT313,0)</f>
        <v>0</v>
      </c>
      <c r="AU314" s="49">
        <f>IF(AND(AU$4&gt;=EOMONTH(CloseDate,'Rent Roll'!$O$43-1),AU$4&lt;EOMONTH(CloseDate,'Rent Roll'!$O$43-1+'Rent Roll'!$V$43)),-AU313,0)</f>
        <v>0</v>
      </c>
      <c r="AV314" s="49">
        <f>IF(AND(AV$4&gt;=EOMONTH(CloseDate,'Rent Roll'!$O$43-1),AV$4&lt;EOMONTH(CloseDate,'Rent Roll'!$O$43-1+'Rent Roll'!$V$43)),-AV313,0)</f>
        <v>0</v>
      </c>
      <c r="AW314" s="49">
        <f>IF(AND(AW$4&gt;=EOMONTH(CloseDate,'Rent Roll'!$O$43-1),AW$4&lt;EOMONTH(CloseDate,'Rent Roll'!$O$43-1+'Rent Roll'!$V$43)),-AW313,0)</f>
        <v>0</v>
      </c>
      <c r="AX314" s="49">
        <f>IF(AND(AX$4&gt;=EOMONTH(CloseDate,'Rent Roll'!$O$43-1),AX$4&lt;EOMONTH(CloseDate,'Rent Roll'!$O$43-1+'Rent Roll'!$V$43)),-AX313,0)</f>
        <v>0</v>
      </c>
      <c r="AY314" s="49">
        <f>IF(AND(AY$4&gt;=EOMONTH(CloseDate,'Rent Roll'!$O$43-1),AY$4&lt;EOMONTH(CloseDate,'Rent Roll'!$O$43-1+'Rent Roll'!$V$43)),-AY313,0)</f>
        <v>0</v>
      </c>
      <c r="AZ314" s="49">
        <f>IF(AND(AZ$4&gt;=EOMONTH(CloseDate,'Rent Roll'!$O$43-1),AZ$4&lt;EOMONTH(CloseDate,'Rent Roll'!$O$43-1+'Rent Roll'!$V$43)),-AZ313,0)</f>
        <v>0</v>
      </c>
      <c r="BA314" s="49">
        <f>IF(AND(BA$4&gt;=EOMONTH(CloseDate,'Rent Roll'!$O$43-1),BA$4&lt;EOMONTH(CloseDate,'Rent Roll'!$O$43-1+'Rent Roll'!$V$43)),-BA313,0)</f>
        <v>0</v>
      </c>
      <c r="BB314" s="49">
        <f>IF(AND(BB$4&gt;=EOMONTH(CloseDate,'Rent Roll'!$O$43-1),BB$4&lt;EOMONTH(CloseDate,'Rent Roll'!$O$43-1+'Rent Roll'!$V$43)),-BB313,0)</f>
        <v>0</v>
      </c>
      <c r="BC314" s="49">
        <f>IF(AND(BC$4&gt;=EOMONTH(CloseDate,'Rent Roll'!$O$43-1),BC$4&lt;EOMONTH(CloseDate,'Rent Roll'!$O$43-1+'Rent Roll'!$V$43)),-BC313,0)</f>
        <v>0</v>
      </c>
      <c r="BD314" s="49">
        <f>IF(AND(BD$4&gt;=EOMONTH(CloseDate,'Rent Roll'!$O$43-1),BD$4&lt;EOMONTH(CloseDate,'Rent Roll'!$O$43-1+'Rent Roll'!$V$43)),-BD313,0)</f>
        <v>0</v>
      </c>
      <c r="BE314" s="49">
        <f>IF(AND(BE$4&gt;=EOMONTH(CloseDate,'Rent Roll'!$O$43-1),BE$4&lt;EOMONTH(CloseDate,'Rent Roll'!$O$43-1+'Rent Roll'!$V$43)),-BE313,0)</f>
        <v>0</v>
      </c>
      <c r="BF314" s="49">
        <f>IF(AND(BF$4&gt;=EOMONTH(CloseDate,'Rent Roll'!$O$43-1),BF$4&lt;EOMONTH(CloseDate,'Rent Roll'!$O$43-1+'Rent Roll'!$V$43)),-BF313,0)</f>
        <v>0</v>
      </c>
      <c r="BG314" s="49">
        <f>IF(AND(BG$4&gt;=EOMONTH(CloseDate,'Rent Roll'!$O$43-1),BG$4&lt;EOMONTH(CloseDate,'Rent Roll'!$O$43-1+'Rent Roll'!$V$43)),-BG313,0)</f>
        <v>0</v>
      </c>
      <c r="BH314" s="49">
        <f>IF(AND(BH$4&gt;=EOMONTH(CloseDate,'Rent Roll'!$O$43-1),BH$4&lt;EOMONTH(CloseDate,'Rent Roll'!$O$43-1+'Rent Roll'!$V$43)),-BH313,0)</f>
        <v>0</v>
      </c>
      <c r="BI314" s="49">
        <f>IF(AND(BI$4&gt;=EOMONTH(CloseDate,'Rent Roll'!$O$43-1),BI$4&lt;EOMONTH(CloseDate,'Rent Roll'!$O$43-1+'Rent Roll'!$V$43)),-BI313,0)</f>
        <v>0</v>
      </c>
      <c r="BJ314" s="49">
        <f>IF(AND(BJ$4&gt;=EOMONTH(CloseDate,'Rent Roll'!$O$43-1),BJ$4&lt;EOMONTH(CloseDate,'Rent Roll'!$O$43-1+'Rent Roll'!$V$43)),-BJ313,0)</f>
        <v>0</v>
      </c>
      <c r="BK314" s="49">
        <f>IF(AND(BK$4&gt;=EOMONTH(CloseDate,'Rent Roll'!$O$43-1),BK$4&lt;EOMONTH(CloseDate,'Rent Roll'!$O$43-1+'Rent Roll'!$V$43)),-BK313,0)</f>
        <v>0</v>
      </c>
      <c r="BL314" s="49">
        <f>IF(AND(BL$4&gt;=EOMONTH(CloseDate,'Rent Roll'!$O$43-1),BL$4&lt;EOMONTH(CloseDate,'Rent Roll'!$O$43-1+'Rent Roll'!$V$43)),-BL313,0)</f>
        <v>0</v>
      </c>
      <c r="BM314" s="49">
        <f>IF(AND(BM$4&gt;=EOMONTH(CloseDate,'Rent Roll'!$O$43-1),BM$4&lt;EOMONTH(CloseDate,'Rent Roll'!$O$43-1+'Rent Roll'!$V$43)),-BM313,0)</f>
        <v>0</v>
      </c>
      <c r="BN314" s="49">
        <f>IF(AND(BN$4&gt;=EOMONTH(CloseDate,'Rent Roll'!$O$43-1),BN$4&lt;EOMONTH(CloseDate,'Rent Roll'!$O$43-1+'Rent Roll'!$V$43)),-BN313,0)</f>
        <v>0</v>
      </c>
      <c r="BO314" s="49">
        <f>IF(AND(BO$4&gt;=EOMONTH(CloseDate,'Rent Roll'!$O$43-1),BO$4&lt;EOMONTH(CloseDate,'Rent Roll'!$O$43-1+'Rent Roll'!$V$43)),-BO313,0)</f>
        <v>0</v>
      </c>
      <c r="BP314" s="49">
        <f>IF(AND(BP$4&gt;=EOMONTH(CloseDate,'Rent Roll'!$O$43-1),BP$4&lt;EOMONTH(CloseDate,'Rent Roll'!$O$43-1+'Rent Roll'!$V$43)),-BP313,0)</f>
        <v>0</v>
      </c>
      <c r="BQ314" s="49">
        <f>IF(AND(BQ$4&gt;=EOMONTH(CloseDate,'Rent Roll'!$O$43-1),BQ$4&lt;EOMONTH(CloseDate,'Rent Roll'!$O$43-1+'Rent Roll'!$V$43)),-BQ313,0)</f>
        <v>0</v>
      </c>
      <c r="BR314" s="49">
        <f>IF(AND(BR$4&gt;=EOMONTH(CloseDate,'Rent Roll'!$O$43-1),BR$4&lt;EOMONTH(CloseDate,'Rent Roll'!$O$43-1+'Rent Roll'!$V$43)),-BR313,0)</f>
        <v>0</v>
      </c>
      <c r="BS314" s="49">
        <f>IF(AND(BS$4&gt;=EOMONTH(CloseDate,'Rent Roll'!$O$43-1),BS$4&lt;EOMONTH(CloseDate,'Rent Roll'!$O$43-1+'Rent Roll'!$V$43)),-BS313,0)</f>
        <v>0</v>
      </c>
      <c r="BT314" s="49">
        <f>IF(AND(BT$4&gt;=EOMONTH(CloseDate,'Rent Roll'!$O$43-1),BT$4&lt;EOMONTH(CloseDate,'Rent Roll'!$O$43-1+'Rent Roll'!$V$43)),-BT313,0)</f>
        <v>0</v>
      </c>
      <c r="BU314" s="49">
        <f>IF(AND(BU$4&gt;=EOMONTH(CloseDate,'Rent Roll'!$O$43-1),BU$4&lt;EOMONTH(CloseDate,'Rent Roll'!$O$43-1+'Rent Roll'!$V$43)),-BU313,0)</f>
        <v>0</v>
      </c>
      <c r="BV314" s="49">
        <f>IF(AND(BV$4&gt;=EOMONTH(CloseDate,'Rent Roll'!$O$43-1),BV$4&lt;EOMONTH(CloseDate,'Rent Roll'!$O$43-1+'Rent Roll'!$V$43)),-BV313,0)</f>
        <v>0</v>
      </c>
      <c r="BW314" s="49">
        <f>IF(AND(BW$4&gt;=EOMONTH(CloseDate,'Rent Roll'!$O$43-1),BW$4&lt;EOMONTH(CloseDate,'Rent Roll'!$O$43-1+'Rent Roll'!$V$43)),-BW313,0)</f>
        <v>0</v>
      </c>
      <c r="BX314" s="49">
        <f>IF(AND(BX$4&gt;=EOMONTH(CloseDate,'Rent Roll'!$O$43-1),BX$4&lt;EOMONTH(CloseDate,'Rent Roll'!$O$43-1+'Rent Roll'!$V$43)),-BX313,0)</f>
        <v>0</v>
      </c>
    </row>
    <row r="315" spans="1:76" outlineLevel="1">
      <c r="B315" t="s">
        <v>84</v>
      </c>
      <c r="D315" s="49">
        <f>D311+D313+D314</f>
        <v>0</v>
      </c>
      <c r="E315" s="49">
        <f t="shared" ref="E315:BJ315" si="101">E311+E313+E314</f>
        <v>0</v>
      </c>
      <c r="F315" s="49">
        <f t="shared" si="101"/>
        <v>0</v>
      </c>
      <c r="G315" s="49">
        <f t="shared" si="101"/>
        <v>0</v>
      </c>
      <c r="H315" s="49">
        <f t="shared" si="101"/>
        <v>0</v>
      </c>
      <c r="I315" s="49">
        <f t="shared" si="101"/>
        <v>0</v>
      </c>
      <c r="J315" s="49">
        <f t="shared" si="101"/>
        <v>0</v>
      </c>
      <c r="K315" s="49">
        <f t="shared" si="101"/>
        <v>0</v>
      </c>
      <c r="L315" s="49">
        <f t="shared" si="101"/>
        <v>0</v>
      </c>
      <c r="M315" s="49">
        <f t="shared" si="101"/>
        <v>0</v>
      </c>
      <c r="N315" s="49">
        <f t="shared" si="101"/>
        <v>0</v>
      </c>
      <c r="O315" s="49">
        <f t="shared" si="101"/>
        <v>0</v>
      </c>
      <c r="P315" s="49">
        <f t="shared" si="101"/>
        <v>0</v>
      </c>
      <c r="Q315" s="49">
        <f t="shared" si="101"/>
        <v>0</v>
      </c>
      <c r="R315" s="49">
        <f t="shared" si="101"/>
        <v>0</v>
      </c>
      <c r="S315" s="49">
        <f t="shared" si="101"/>
        <v>28927.166666666664</v>
      </c>
      <c r="T315" s="49">
        <f t="shared" si="101"/>
        <v>28927.166666666664</v>
      </c>
      <c r="U315" s="49">
        <f t="shared" si="101"/>
        <v>29708.200166666662</v>
      </c>
      <c r="V315" s="49">
        <f t="shared" si="101"/>
        <v>29708.200166666662</v>
      </c>
      <c r="W315" s="49">
        <f t="shared" si="101"/>
        <v>29708.200166666662</v>
      </c>
      <c r="X315" s="49">
        <f t="shared" si="101"/>
        <v>29708.200166666662</v>
      </c>
      <c r="Y315" s="49">
        <f t="shared" si="101"/>
        <v>29708.200166666662</v>
      </c>
      <c r="Z315" s="49">
        <f t="shared" si="101"/>
        <v>29708.200166666662</v>
      </c>
      <c r="AA315" s="49">
        <f t="shared" si="101"/>
        <v>29708.200166666662</v>
      </c>
      <c r="AB315" s="49">
        <f t="shared" si="101"/>
        <v>29708.200166666662</v>
      </c>
      <c r="AC315" s="49">
        <f t="shared" si="101"/>
        <v>29708.200166666662</v>
      </c>
      <c r="AD315" s="49">
        <f t="shared" si="101"/>
        <v>29708.200166666662</v>
      </c>
      <c r="AE315" s="49">
        <f t="shared" si="101"/>
        <v>29708.200166666662</v>
      </c>
      <c r="AF315" s="49">
        <f t="shared" si="101"/>
        <v>29708.200166666662</v>
      </c>
      <c r="AG315" s="49">
        <f t="shared" si="101"/>
        <v>30510.321571166663</v>
      </c>
      <c r="AH315" s="49">
        <f t="shared" si="101"/>
        <v>30510.321571166663</v>
      </c>
      <c r="AI315" s="49">
        <f t="shared" si="101"/>
        <v>30510.321571166663</v>
      </c>
      <c r="AJ315" s="49">
        <f t="shared" si="101"/>
        <v>30510.321571166663</v>
      </c>
      <c r="AK315" s="49">
        <f t="shared" si="101"/>
        <v>30510.321571166663</v>
      </c>
      <c r="AL315" s="49">
        <f t="shared" si="101"/>
        <v>30510.321571166663</v>
      </c>
      <c r="AM315" s="49">
        <f t="shared" si="101"/>
        <v>30510.321571166663</v>
      </c>
      <c r="AN315" s="49">
        <f t="shared" si="101"/>
        <v>30510.321571166663</v>
      </c>
      <c r="AO315" s="49">
        <f t="shared" si="101"/>
        <v>30510.321571166663</v>
      </c>
      <c r="AP315" s="49">
        <f t="shared" si="101"/>
        <v>30510.321571166663</v>
      </c>
      <c r="AQ315" s="49">
        <f t="shared" si="101"/>
        <v>30510.321571166663</v>
      </c>
      <c r="AR315" s="49">
        <f t="shared" si="101"/>
        <v>30510.321571166663</v>
      </c>
      <c r="AS315" s="49">
        <f t="shared" si="101"/>
        <v>31334.100253588156</v>
      </c>
      <c r="AT315" s="49">
        <f t="shared" si="101"/>
        <v>31334.100253588156</v>
      </c>
      <c r="AU315" s="49">
        <f t="shared" si="101"/>
        <v>31334.100253588156</v>
      </c>
      <c r="AV315" s="49">
        <f t="shared" si="101"/>
        <v>31334.100253588156</v>
      </c>
      <c r="AW315" s="49">
        <f t="shared" si="101"/>
        <v>31334.100253588156</v>
      </c>
      <c r="AX315" s="49">
        <f t="shared" si="101"/>
        <v>31334.100253588156</v>
      </c>
      <c r="AY315" s="49">
        <f t="shared" si="101"/>
        <v>31334.100253588156</v>
      </c>
      <c r="AZ315" s="49">
        <f t="shared" si="101"/>
        <v>31334.100253588156</v>
      </c>
      <c r="BA315" s="49">
        <f t="shared" si="101"/>
        <v>31334.100253588156</v>
      </c>
      <c r="BB315" s="49">
        <f t="shared" si="101"/>
        <v>31334.100253588156</v>
      </c>
      <c r="BC315" s="49">
        <f t="shared" si="101"/>
        <v>31334.100253588156</v>
      </c>
      <c r="BD315" s="49">
        <f t="shared" si="101"/>
        <v>31334.100253588156</v>
      </c>
      <c r="BE315" s="49">
        <f t="shared" si="101"/>
        <v>32180.120960435033</v>
      </c>
      <c r="BF315" s="49">
        <f t="shared" si="101"/>
        <v>32180.120960435033</v>
      </c>
      <c r="BG315" s="49">
        <f t="shared" si="101"/>
        <v>32180.120960435033</v>
      </c>
      <c r="BH315" s="49">
        <f t="shared" si="101"/>
        <v>32180.120960435033</v>
      </c>
      <c r="BI315" s="49">
        <f t="shared" si="101"/>
        <v>32180.120960435033</v>
      </c>
      <c r="BJ315" s="49">
        <f t="shared" si="101"/>
        <v>32180.120960435033</v>
      </c>
      <c r="BK315" s="49">
        <f t="shared" ref="BK315" si="102">BK311+BK313+BK314</f>
        <v>32180.120960435033</v>
      </c>
      <c r="BL315" s="49">
        <f t="shared" ref="BL315:BX315" si="103">BL311+BL313+BL314</f>
        <v>32180.120960435033</v>
      </c>
      <c r="BM315" s="49">
        <f t="shared" si="103"/>
        <v>32180.120960435033</v>
      </c>
      <c r="BN315" s="49">
        <f t="shared" si="103"/>
        <v>32180.120960435033</v>
      </c>
      <c r="BO315" s="49">
        <f t="shared" si="103"/>
        <v>32180.120960435033</v>
      </c>
      <c r="BP315" s="49">
        <f t="shared" si="103"/>
        <v>32180.120960435033</v>
      </c>
      <c r="BQ315" s="49">
        <f t="shared" si="103"/>
        <v>33048.984226366774</v>
      </c>
      <c r="BR315" s="49">
        <f t="shared" si="103"/>
        <v>33048.984226366774</v>
      </c>
      <c r="BS315" s="49">
        <f t="shared" si="103"/>
        <v>33048.984226366774</v>
      </c>
      <c r="BT315" s="49">
        <f t="shared" si="103"/>
        <v>33048.984226366774</v>
      </c>
      <c r="BU315" s="49">
        <f t="shared" si="103"/>
        <v>33048.984226366774</v>
      </c>
      <c r="BV315" s="49">
        <f t="shared" si="103"/>
        <v>33048.984226366774</v>
      </c>
      <c r="BW315" s="49">
        <f t="shared" si="103"/>
        <v>33048.984226366774</v>
      </c>
      <c r="BX315" s="49">
        <f t="shared" si="103"/>
        <v>33048.984226366774</v>
      </c>
    </row>
    <row r="316" spans="1:76" outlineLevel="1">
      <c r="B316" t="s">
        <v>85</v>
      </c>
      <c r="D316" s="49">
        <f>IF(D312=1,'Rent Roll'!$F$43/BldgSF*ReimbPool/12*D$7,0)</f>
        <v>0</v>
      </c>
      <c r="E316" s="49">
        <f>IF(E312=1,'Rent Roll'!$F$43/BldgSF*ReimbPool/12*E$7,0)</f>
        <v>0</v>
      </c>
      <c r="F316" s="49">
        <f>IF(F312=1,'Rent Roll'!$F$43/BldgSF*ReimbPool/12*F$7,0)</f>
        <v>0</v>
      </c>
      <c r="G316" s="49">
        <f>IF(G312=1,'Rent Roll'!$F$43/BldgSF*ReimbPool/12*G$7,0)</f>
        <v>0</v>
      </c>
      <c r="H316" s="49">
        <f>IF(H312=1,'Rent Roll'!$F$43/BldgSF*ReimbPool/12*H$7,0)</f>
        <v>0</v>
      </c>
      <c r="I316" s="49">
        <f>IF(I312=1,'Rent Roll'!$F$43/BldgSF*ReimbPool/12*I$7,0)</f>
        <v>0</v>
      </c>
      <c r="J316" s="49">
        <f>IF(J312=1,'Rent Roll'!$F$43/BldgSF*ReimbPool/12*J$7,0)</f>
        <v>0</v>
      </c>
      <c r="K316" s="49">
        <f>IF(K312=1,'Rent Roll'!$F$43/BldgSF*ReimbPool/12*K$7,0)</f>
        <v>0</v>
      </c>
      <c r="L316" s="49">
        <f>IF(L312=1,'Rent Roll'!$F$43/BldgSF*ReimbPool/12*L$7,0)</f>
        <v>0</v>
      </c>
      <c r="M316" s="49">
        <f>IF(M312=1,'Rent Roll'!$F$43/BldgSF*ReimbPool/12*M$7,0)</f>
        <v>0</v>
      </c>
      <c r="N316" s="49">
        <f>IF(N312=1,'Rent Roll'!$F$43/BldgSF*ReimbPool/12*N$7,0)</f>
        <v>0</v>
      </c>
      <c r="O316" s="49">
        <f>IF(O312=1,'Rent Roll'!$F$43/BldgSF*ReimbPool/12*O$7,0)</f>
        <v>0</v>
      </c>
      <c r="P316" s="49">
        <f>IF(P312=1,'Rent Roll'!$F$43/BldgSF*ReimbPool/12*P$7,0)</f>
        <v>0</v>
      </c>
      <c r="Q316" s="49">
        <f>IF(Q312=1,'Rent Roll'!$F$43/BldgSF*ReimbPool/12*Q$7,0)</f>
        <v>11648.747499999999</v>
      </c>
      <c r="R316" s="49">
        <f>IF(R312=1,'Rent Roll'!$F$43/BldgSF*ReimbPool/12*R$7,0)</f>
        <v>11648.747499999999</v>
      </c>
      <c r="S316" s="49">
        <f>IF(S312=1,'Rent Roll'!$F$43/BldgSF*ReimbPool/12*S$7,0)</f>
        <v>11648.747499999999</v>
      </c>
      <c r="T316" s="49">
        <f>IF(T312=1,'Rent Roll'!$F$43/BldgSF*ReimbPool/12*T$7,0)</f>
        <v>11648.747499999999</v>
      </c>
      <c r="U316" s="49">
        <f>IF(U312=1,'Rent Roll'!$F$43/BldgSF*ReimbPool/12*U$7,0)</f>
        <v>11963.263682499997</v>
      </c>
      <c r="V316" s="49">
        <f>IF(V312=1,'Rent Roll'!$F$43/BldgSF*ReimbPool/12*V$7,0)</f>
        <v>11963.263682499997</v>
      </c>
      <c r="W316" s="49">
        <f>IF(W312=1,'Rent Roll'!$F$43/BldgSF*ReimbPool/12*W$7,0)</f>
        <v>11963.263682499997</v>
      </c>
      <c r="X316" s="49">
        <f>IF(X312=1,'Rent Roll'!$F$43/BldgSF*ReimbPool/12*X$7,0)</f>
        <v>11963.263682499997</v>
      </c>
      <c r="Y316" s="49">
        <f>IF(Y312=1,'Rent Roll'!$F$43/BldgSF*ReimbPool/12*Y$7,0)</f>
        <v>11963.263682499997</v>
      </c>
      <c r="Z316" s="49">
        <f>IF(Z312=1,'Rent Roll'!$F$43/BldgSF*ReimbPool/12*Z$7,0)</f>
        <v>11963.263682499997</v>
      </c>
      <c r="AA316" s="49">
        <f>IF(AA312=1,'Rent Roll'!$F$43/BldgSF*ReimbPool/12*AA$7,0)</f>
        <v>11963.263682499997</v>
      </c>
      <c r="AB316" s="49">
        <f>IF(AB312=1,'Rent Roll'!$F$43/BldgSF*ReimbPool/12*AB$7,0)</f>
        <v>11963.263682499997</v>
      </c>
      <c r="AC316" s="49">
        <f>IF(AC312=1,'Rent Roll'!$F$43/BldgSF*ReimbPool/12*AC$7,0)</f>
        <v>11963.263682499997</v>
      </c>
      <c r="AD316" s="49">
        <f>IF(AD312=1,'Rent Roll'!$F$43/BldgSF*ReimbPool/12*AD$7,0)</f>
        <v>11963.263682499997</v>
      </c>
      <c r="AE316" s="49">
        <f>IF(AE312=1,'Rent Roll'!$F$43/BldgSF*ReimbPool/12*AE$7,0)</f>
        <v>11963.263682499997</v>
      </c>
      <c r="AF316" s="49">
        <f>IF(AF312=1,'Rent Roll'!$F$43/BldgSF*ReimbPool/12*AF$7,0)</f>
        <v>11963.263682499997</v>
      </c>
      <c r="AG316" s="49">
        <f>IF(AG312=1,'Rent Roll'!$F$43/BldgSF*ReimbPool/12*AG$7,0)</f>
        <v>12286.271801927498</v>
      </c>
      <c r="AH316" s="49">
        <f>IF(AH312=1,'Rent Roll'!$F$43/BldgSF*ReimbPool/12*AH$7,0)</f>
        <v>12286.271801927498</v>
      </c>
      <c r="AI316" s="49">
        <f>IF(AI312=1,'Rent Roll'!$F$43/BldgSF*ReimbPool/12*AI$7,0)</f>
        <v>12286.271801927498</v>
      </c>
      <c r="AJ316" s="49">
        <f>IF(AJ312=1,'Rent Roll'!$F$43/BldgSF*ReimbPool/12*AJ$7,0)</f>
        <v>12286.271801927498</v>
      </c>
      <c r="AK316" s="49">
        <f>IF(AK312=1,'Rent Roll'!$F$43/BldgSF*ReimbPool/12*AK$7,0)</f>
        <v>12286.271801927498</v>
      </c>
      <c r="AL316" s="49">
        <f>IF(AL312=1,'Rent Roll'!$F$43/BldgSF*ReimbPool/12*AL$7,0)</f>
        <v>12286.271801927498</v>
      </c>
      <c r="AM316" s="49">
        <f>IF(AM312=1,'Rent Roll'!$F$43/BldgSF*ReimbPool/12*AM$7,0)</f>
        <v>12286.271801927498</v>
      </c>
      <c r="AN316" s="49">
        <f>IF(AN312=1,'Rent Roll'!$F$43/BldgSF*ReimbPool/12*AN$7,0)</f>
        <v>12286.271801927498</v>
      </c>
      <c r="AO316" s="49">
        <f>IF(AO312=1,'Rent Roll'!$F$43/BldgSF*ReimbPool/12*AO$7,0)</f>
        <v>12286.271801927498</v>
      </c>
      <c r="AP316" s="49">
        <f>IF(AP312=1,'Rent Roll'!$F$43/BldgSF*ReimbPool/12*AP$7,0)</f>
        <v>12286.271801927498</v>
      </c>
      <c r="AQ316" s="49">
        <f>IF(AQ312=1,'Rent Roll'!$F$43/BldgSF*ReimbPool/12*AQ$7,0)</f>
        <v>12286.271801927498</v>
      </c>
      <c r="AR316" s="49">
        <f>IF(AR312=1,'Rent Roll'!$F$43/BldgSF*ReimbPool/12*AR$7,0)</f>
        <v>12286.271801927498</v>
      </c>
      <c r="AS316" s="49">
        <f>IF(AS312=1,'Rent Roll'!$F$43/BldgSF*ReimbPool/12*AS$7,0)</f>
        <v>12618.001140579538</v>
      </c>
      <c r="AT316" s="49">
        <f>IF(AT312=1,'Rent Roll'!$F$43/BldgSF*ReimbPool/12*AT$7,0)</f>
        <v>12618.001140579538</v>
      </c>
      <c r="AU316" s="49">
        <f>IF(AU312=1,'Rent Roll'!$F$43/BldgSF*ReimbPool/12*AU$7,0)</f>
        <v>12618.001140579538</v>
      </c>
      <c r="AV316" s="49">
        <f>IF(AV312=1,'Rent Roll'!$F$43/BldgSF*ReimbPool/12*AV$7,0)</f>
        <v>12618.001140579538</v>
      </c>
      <c r="AW316" s="49">
        <f>IF(AW312=1,'Rent Roll'!$F$43/BldgSF*ReimbPool/12*AW$7,0)</f>
        <v>12618.001140579538</v>
      </c>
      <c r="AX316" s="49">
        <f>IF(AX312=1,'Rent Roll'!$F$43/BldgSF*ReimbPool/12*AX$7,0)</f>
        <v>12618.001140579538</v>
      </c>
      <c r="AY316" s="49">
        <f>IF(AY312=1,'Rent Roll'!$F$43/BldgSF*ReimbPool/12*AY$7,0)</f>
        <v>12618.001140579538</v>
      </c>
      <c r="AZ316" s="49">
        <f>IF(AZ312=1,'Rent Roll'!$F$43/BldgSF*ReimbPool/12*AZ$7,0)</f>
        <v>12618.001140579538</v>
      </c>
      <c r="BA316" s="49">
        <f>IF(BA312=1,'Rent Roll'!$F$43/BldgSF*ReimbPool/12*BA$7,0)</f>
        <v>12618.001140579538</v>
      </c>
      <c r="BB316" s="49">
        <f>IF(BB312=1,'Rent Roll'!$F$43/BldgSF*ReimbPool/12*BB$7,0)</f>
        <v>12618.001140579538</v>
      </c>
      <c r="BC316" s="49">
        <f>IF(BC312=1,'Rent Roll'!$F$43/BldgSF*ReimbPool/12*BC$7,0)</f>
        <v>12618.001140579538</v>
      </c>
      <c r="BD316" s="49">
        <f>IF(BD312=1,'Rent Roll'!$F$43/BldgSF*ReimbPool/12*BD$7,0)</f>
        <v>12618.001140579538</v>
      </c>
      <c r="BE316" s="49">
        <f>IF(BE312=1,'Rent Roll'!$F$43/BldgSF*ReimbPool/12*BE$7,0)</f>
        <v>12958.687171375184</v>
      </c>
      <c r="BF316" s="49">
        <f>IF(BF312=1,'Rent Roll'!$F$43/BldgSF*ReimbPool/12*BF$7,0)</f>
        <v>12958.687171375184</v>
      </c>
      <c r="BG316" s="49">
        <f>IF(BG312=1,'Rent Roll'!$F$43/BldgSF*ReimbPool/12*BG$7,0)</f>
        <v>12958.687171375184</v>
      </c>
      <c r="BH316" s="49">
        <f>IF(BH312=1,'Rent Roll'!$F$43/BldgSF*ReimbPool/12*BH$7,0)</f>
        <v>12958.687171375184</v>
      </c>
      <c r="BI316" s="49">
        <f>IF(BI312=1,'Rent Roll'!$F$43/BldgSF*ReimbPool/12*BI$7,0)</f>
        <v>12958.687171375184</v>
      </c>
      <c r="BJ316" s="49">
        <f>IF(BJ312=1,'Rent Roll'!$F$43/BldgSF*ReimbPool/12*BJ$7,0)</f>
        <v>12958.687171375184</v>
      </c>
      <c r="BK316" s="49">
        <f>IF(BK312=1,'Rent Roll'!$F$43/BldgSF*ReimbPool/12*BK$7,0)</f>
        <v>12958.687171375184</v>
      </c>
      <c r="BL316" s="49">
        <f>IF(BL312=1,'Rent Roll'!$F$43/BldgSF*ReimbPool/12*BL$7,0)</f>
        <v>12958.687171375184</v>
      </c>
      <c r="BM316" s="49">
        <f>IF(BM312=1,'Rent Roll'!$F$43/BldgSF*ReimbPool/12*BM$7,0)</f>
        <v>12958.687171375184</v>
      </c>
      <c r="BN316" s="49">
        <f>IF(BN312=1,'Rent Roll'!$F$43/BldgSF*ReimbPool/12*BN$7,0)</f>
        <v>12958.687171375184</v>
      </c>
      <c r="BO316" s="49">
        <f>IF(BO312=1,'Rent Roll'!$F$43/BldgSF*ReimbPool/12*BO$7,0)</f>
        <v>12958.687171375184</v>
      </c>
      <c r="BP316" s="49">
        <f>IF(BP312=1,'Rent Roll'!$F$43/BldgSF*ReimbPool/12*BP$7,0)</f>
        <v>12958.687171375184</v>
      </c>
      <c r="BQ316" s="49">
        <f>IF(BQ312=1,'Rent Roll'!$F$43/BldgSF*ReimbPool/12*BQ$7,0)</f>
        <v>13308.571725002314</v>
      </c>
      <c r="BR316" s="49">
        <f>IF(BR312=1,'Rent Roll'!$F$43/BldgSF*ReimbPool/12*BR$7,0)</f>
        <v>13308.571725002314</v>
      </c>
      <c r="BS316" s="49">
        <f>IF(BS312=1,'Rent Roll'!$F$43/BldgSF*ReimbPool/12*BS$7,0)</f>
        <v>13308.571725002314</v>
      </c>
      <c r="BT316" s="49">
        <f>IF(BT312=1,'Rent Roll'!$F$43/BldgSF*ReimbPool/12*BT$7,0)</f>
        <v>13308.571725002314</v>
      </c>
      <c r="BU316" s="49">
        <f>IF(BU312=1,'Rent Roll'!$F$43/BldgSF*ReimbPool/12*BU$7,0)</f>
        <v>13308.571725002314</v>
      </c>
      <c r="BV316" s="49">
        <f>IF(BV312=1,'Rent Roll'!$F$43/BldgSF*ReimbPool/12*BV$7,0)</f>
        <v>13308.571725002314</v>
      </c>
      <c r="BW316" s="49">
        <f>IF(BW312=1,'Rent Roll'!$F$43/BldgSF*ReimbPool/12*BW$7,0)</f>
        <v>13308.571725002314</v>
      </c>
      <c r="BX316" s="49">
        <f>IF(BX312=1,'Rent Roll'!$F$43/BldgSF*ReimbPool/12*BX$7,0)</f>
        <v>13308.571725002314</v>
      </c>
    </row>
    <row r="317" spans="1:76">
      <c r="B317" t="s">
        <v>86</v>
      </c>
      <c r="D317" s="49">
        <f>-'Rent Roll'!$F$43*'Rent Roll'!$T$43/SpecBuildout*D310</f>
        <v>0</v>
      </c>
      <c r="E317" s="49">
        <f>-'Rent Roll'!$F$43*'Rent Roll'!$T$43/SpecBuildout*E310</f>
        <v>0</v>
      </c>
      <c r="F317" s="49">
        <f>-'Rent Roll'!$F$43*'Rent Roll'!$T$43/SpecBuildout*F310</f>
        <v>0</v>
      </c>
      <c r="G317" s="49">
        <f>-'Rent Roll'!$F$43*'Rent Roll'!$T$43/SpecBuildout*G310</f>
        <v>0</v>
      </c>
      <c r="H317" s="49">
        <f>-'Rent Roll'!$F$43*'Rent Roll'!$T$43/SpecBuildout*H310</f>
        <v>0</v>
      </c>
      <c r="I317" s="49">
        <f>-'Rent Roll'!$F$43*'Rent Roll'!$T$43/SpecBuildout*I310</f>
        <v>0</v>
      </c>
      <c r="J317" s="49">
        <f>-'Rent Roll'!$F$43*'Rent Roll'!$T$43/SpecBuildout*J310</f>
        <v>0</v>
      </c>
      <c r="K317" s="49">
        <f>-'Rent Roll'!$F$43*'Rent Roll'!$T$43/SpecBuildout*K310</f>
        <v>0</v>
      </c>
      <c r="L317" s="49">
        <f>-'Rent Roll'!$F$43*'Rent Roll'!$T$43/SpecBuildout*L310</f>
        <v>-86666.666666666672</v>
      </c>
      <c r="M317" s="49">
        <f>-'Rent Roll'!$F$43*'Rent Roll'!$T$43/SpecBuildout*M310</f>
        <v>-86666.666666666672</v>
      </c>
      <c r="N317" s="49">
        <f>-'Rent Roll'!$F$43*'Rent Roll'!$T$43/SpecBuildout*N310</f>
        <v>-86666.666666666672</v>
      </c>
      <c r="O317" s="49">
        <f>-'Rent Roll'!$F$43*'Rent Roll'!$T$43/SpecBuildout*O310</f>
        <v>-86666.666666666672</v>
      </c>
      <c r="P317" s="49">
        <f>-'Rent Roll'!$F$43*'Rent Roll'!$T$43/SpecBuildout*P310</f>
        <v>-86666.666666666672</v>
      </c>
      <c r="Q317" s="49">
        <f>-'Rent Roll'!$F$43*'Rent Roll'!$T$43/SpecBuildout*Q310</f>
        <v>-86666.666666666672</v>
      </c>
      <c r="R317" s="49">
        <f>-'Rent Roll'!$F$43*'Rent Roll'!$T$43/SpecBuildout*R310</f>
        <v>0</v>
      </c>
      <c r="S317" s="49">
        <f>-'Rent Roll'!$F$43*'Rent Roll'!$T$43/SpecBuildout*S310</f>
        <v>0</v>
      </c>
      <c r="T317" s="49">
        <f>-'Rent Roll'!$F$43*'Rent Roll'!$T$43/SpecBuildout*T310</f>
        <v>0</v>
      </c>
      <c r="U317" s="49">
        <f>-'Rent Roll'!$F$43*'Rent Roll'!$T$43/SpecBuildout*U310</f>
        <v>0</v>
      </c>
      <c r="V317" s="49">
        <f>-'Rent Roll'!$F$43*'Rent Roll'!$T$43/SpecBuildout*V310</f>
        <v>0</v>
      </c>
      <c r="W317" s="49">
        <f>-'Rent Roll'!$F$43*'Rent Roll'!$T$43/SpecBuildout*W310</f>
        <v>0</v>
      </c>
      <c r="X317" s="49">
        <f>-'Rent Roll'!$F$43*'Rent Roll'!$T$43/SpecBuildout*X310</f>
        <v>0</v>
      </c>
      <c r="Y317" s="49">
        <f>-'Rent Roll'!$F$43*'Rent Roll'!$T$43/SpecBuildout*Y310</f>
        <v>0</v>
      </c>
      <c r="Z317" s="49">
        <f>-'Rent Roll'!$F$43*'Rent Roll'!$T$43/SpecBuildout*Z310</f>
        <v>0</v>
      </c>
      <c r="AA317" s="49">
        <f>-'Rent Roll'!$F$43*'Rent Roll'!$T$43/SpecBuildout*AA310</f>
        <v>0</v>
      </c>
      <c r="AB317" s="49">
        <f>-'Rent Roll'!$F$43*'Rent Roll'!$T$43/SpecBuildout*AB310</f>
        <v>0</v>
      </c>
      <c r="AC317" s="49">
        <f>-'Rent Roll'!$F$43*'Rent Roll'!$T$43/SpecBuildout*AC310</f>
        <v>0</v>
      </c>
      <c r="AD317" s="49">
        <f>-'Rent Roll'!$F$43*'Rent Roll'!$T$43/SpecBuildout*AD310</f>
        <v>0</v>
      </c>
      <c r="AE317" s="49">
        <f>-'Rent Roll'!$F$43*'Rent Roll'!$T$43/SpecBuildout*AE310</f>
        <v>0</v>
      </c>
      <c r="AF317" s="49">
        <f>-'Rent Roll'!$F$43*'Rent Roll'!$T$43/SpecBuildout*AF310</f>
        <v>0</v>
      </c>
      <c r="AG317" s="49">
        <f>-'Rent Roll'!$F$43*'Rent Roll'!$T$43/SpecBuildout*AG310</f>
        <v>0</v>
      </c>
      <c r="AH317" s="49">
        <f>-'Rent Roll'!$F$43*'Rent Roll'!$T$43/SpecBuildout*AH310</f>
        <v>0</v>
      </c>
      <c r="AI317" s="49">
        <f>-'Rent Roll'!$F$43*'Rent Roll'!$T$43/SpecBuildout*AI310</f>
        <v>0</v>
      </c>
      <c r="AJ317" s="49">
        <f>-'Rent Roll'!$F$43*'Rent Roll'!$T$43/SpecBuildout*AJ310</f>
        <v>0</v>
      </c>
      <c r="AK317" s="49">
        <f>-'Rent Roll'!$F$43*'Rent Roll'!$T$43/SpecBuildout*AK310</f>
        <v>0</v>
      </c>
      <c r="AL317" s="49">
        <f>-'Rent Roll'!$F$43*'Rent Roll'!$T$43/SpecBuildout*AL310</f>
        <v>0</v>
      </c>
      <c r="AM317" s="49">
        <f>-'Rent Roll'!$F$43*'Rent Roll'!$T$43/SpecBuildout*AM310</f>
        <v>0</v>
      </c>
      <c r="AN317" s="49">
        <f>-'Rent Roll'!$F$43*'Rent Roll'!$T$43/SpecBuildout*AN310</f>
        <v>0</v>
      </c>
      <c r="AO317" s="49">
        <f>-'Rent Roll'!$F$43*'Rent Roll'!$T$43/SpecBuildout*AO310</f>
        <v>0</v>
      </c>
      <c r="AP317" s="49">
        <f>-'Rent Roll'!$F$43*'Rent Roll'!$T$43/SpecBuildout*AP310</f>
        <v>0</v>
      </c>
      <c r="AQ317" s="49">
        <f>-'Rent Roll'!$F$43*'Rent Roll'!$T$43/SpecBuildout*AQ310</f>
        <v>0</v>
      </c>
      <c r="AR317" s="49">
        <f>-'Rent Roll'!$F$43*'Rent Roll'!$T$43/SpecBuildout*AR310</f>
        <v>0</v>
      </c>
      <c r="AS317" s="49">
        <f>-'Rent Roll'!$F$43*'Rent Roll'!$T$43/SpecBuildout*AS310</f>
        <v>0</v>
      </c>
      <c r="AT317" s="49">
        <f>-'Rent Roll'!$F$43*'Rent Roll'!$T$43/SpecBuildout*AT310</f>
        <v>0</v>
      </c>
      <c r="AU317" s="49">
        <f>-'Rent Roll'!$F$43*'Rent Roll'!$T$43/SpecBuildout*AU310</f>
        <v>0</v>
      </c>
      <c r="AV317" s="49">
        <f>-'Rent Roll'!$F$43*'Rent Roll'!$T$43/SpecBuildout*AV310</f>
        <v>0</v>
      </c>
      <c r="AW317" s="49">
        <f>-'Rent Roll'!$F$43*'Rent Roll'!$T$43/SpecBuildout*AW310</f>
        <v>0</v>
      </c>
      <c r="AX317" s="49">
        <f>-'Rent Roll'!$F$43*'Rent Roll'!$T$43/SpecBuildout*AX310</f>
        <v>0</v>
      </c>
      <c r="AY317" s="49">
        <f>-'Rent Roll'!$F$43*'Rent Roll'!$T$43/SpecBuildout*AY310</f>
        <v>0</v>
      </c>
      <c r="AZ317" s="49">
        <f>-'Rent Roll'!$F$43*'Rent Roll'!$T$43/SpecBuildout*AZ310</f>
        <v>0</v>
      </c>
      <c r="BA317" s="49">
        <f>-'Rent Roll'!$F$43*'Rent Roll'!$T$43/SpecBuildout*BA310</f>
        <v>0</v>
      </c>
      <c r="BB317" s="49">
        <f>-'Rent Roll'!$F$43*'Rent Roll'!$T$43/SpecBuildout*BB310</f>
        <v>0</v>
      </c>
      <c r="BC317" s="49">
        <f>-'Rent Roll'!$F$43*'Rent Roll'!$T$43/SpecBuildout*BC310</f>
        <v>0</v>
      </c>
      <c r="BD317" s="49">
        <f>-'Rent Roll'!$F$43*'Rent Roll'!$T$43/SpecBuildout*BD310</f>
        <v>0</v>
      </c>
      <c r="BE317" s="49">
        <f>-'Rent Roll'!$F$43*'Rent Roll'!$T$43/SpecBuildout*BE310</f>
        <v>0</v>
      </c>
      <c r="BF317" s="49">
        <f>-'Rent Roll'!$F$43*'Rent Roll'!$T$43/SpecBuildout*BF310</f>
        <v>0</v>
      </c>
      <c r="BG317" s="49">
        <f>-'Rent Roll'!$F$43*'Rent Roll'!$T$43/SpecBuildout*BG310</f>
        <v>0</v>
      </c>
      <c r="BH317" s="49">
        <f>-'Rent Roll'!$F$43*'Rent Roll'!$T$43/SpecBuildout*BH310</f>
        <v>0</v>
      </c>
      <c r="BI317" s="49">
        <f>-'Rent Roll'!$F$43*'Rent Roll'!$T$43/SpecBuildout*BI310</f>
        <v>0</v>
      </c>
      <c r="BJ317" s="49">
        <f>-'Rent Roll'!$F$43*'Rent Roll'!$T$43/SpecBuildout*BJ310</f>
        <v>0</v>
      </c>
      <c r="BK317" s="49">
        <f>-'Rent Roll'!$F$43*'Rent Roll'!$T$43/SpecBuildout*BK310</f>
        <v>0</v>
      </c>
      <c r="BL317" s="49">
        <f>-'Rent Roll'!$F$43*'Rent Roll'!$T$43/SpecBuildout*BL310</f>
        <v>0</v>
      </c>
      <c r="BM317" s="49">
        <f>-'Rent Roll'!$F$43*'Rent Roll'!$T$43/SpecBuildout*BM310</f>
        <v>0</v>
      </c>
      <c r="BN317" s="49">
        <f>-'Rent Roll'!$F$43*'Rent Roll'!$T$43/SpecBuildout*BN310</f>
        <v>0</v>
      </c>
      <c r="BO317" s="49">
        <f>-'Rent Roll'!$F$43*'Rent Roll'!$T$43/SpecBuildout*BO310</f>
        <v>0</v>
      </c>
      <c r="BP317" s="49">
        <f>-'Rent Roll'!$F$43*'Rent Roll'!$T$43/SpecBuildout*BP310</f>
        <v>0</v>
      </c>
      <c r="BQ317" s="49">
        <f>-'Rent Roll'!$F$43*'Rent Roll'!$T$43/SpecBuildout*BQ310</f>
        <v>0</v>
      </c>
      <c r="BR317" s="49">
        <f>-'Rent Roll'!$F$43*'Rent Roll'!$T$43/SpecBuildout*BR310</f>
        <v>0</v>
      </c>
      <c r="BS317" s="49">
        <f>-'Rent Roll'!$F$43*'Rent Roll'!$T$43/SpecBuildout*BS310</f>
        <v>0</v>
      </c>
      <c r="BT317" s="49">
        <f>-'Rent Roll'!$F$43*'Rent Roll'!$T$43/SpecBuildout*BT310</f>
        <v>0</v>
      </c>
      <c r="BU317" s="49">
        <f>-'Rent Roll'!$F$43*'Rent Roll'!$T$43/SpecBuildout*BU310</f>
        <v>0</v>
      </c>
      <c r="BV317" s="49">
        <f>-'Rent Roll'!$F$43*'Rent Roll'!$T$43/SpecBuildout*BV310</f>
        <v>0</v>
      </c>
      <c r="BW317" s="49">
        <f>-'Rent Roll'!$F$43*'Rent Roll'!$T$43/SpecBuildout*BW310</f>
        <v>0</v>
      </c>
      <c r="BX317" s="49">
        <f>-'Rent Roll'!$F$43*'Rent Roll'!$T$43/SpecBuildout*BX310</f>
        <v>0</v>
      </c>
    </row>
    <row r="318" spans="1:76">
      <c r="B318" t="s">
        <v>87</v>
      </c>
      <c r="D318" s="49">
        <f>IF(D$4=EOMONTH(CloseDate,'Rent Roll'!$O$43-1),-'Rent Roll'!$U$43*'Rent Roll'!$F$43*'Rent Roll'!$X$43,0)</f>
        <v>0</v>
      </c>
      <c r="E318" s="49">
        <f>IF(E$4=EOMONTH(CloseDate,'Rent Roll'!$O$43-1),-'Rent Roll'!$U$43*'Rent Roll'!$F$43*'Rent Roll'!$X$43,0)</f>
        <v>0</v>
      </c>
      <c r="F318" s="49">
        <f>IF(F$4=EOMONTH(CloseDate,'Rent Roll'!$O$43-1),-'Rent Roll'!$U$43*'Rent Roll'!$F$43*'Rent Roll'!$X$43,0)</f>
        <v>0</v>
      </c>
      <c r="G318" s="49">
        <f>IF(G$4=EOMONTH(CloseDate,'Rent Roll'!$O$43-1),-'Rent Roll'!$U$43*'Rent Roll'!$F$43*'Rent Roll'!$X$43,0)</f>
        <v>0</v>
      </c>
      <c r="H318" s="49">
        <f>IF(H$4=EOMONTH(CloseDate,'Rent Roll'!$O$43-1),-'Rent Roll'!$U$43*'Rent Roll'!$F$43*'Rent Roll'!$X$43,0)</f>
        <v>0</v>
      </c>
      <c r="I318" s="49">
        <f>IF(I$4=EOMONTH(CloseDate,'Rent Roll'!$O$43-1),-'Rent Roll'!$U$43*'Rent Roll'!$F$43*'Rent Roll'!$X$43,0)</f>
        <v>0</v>
      </c>
      <c r="J318" s="49">
        <f>IF(J$4=EOMONTH(CloseDate,'Rent Roll'!$O$43-1),-'Rent Roll'!$U$43*'Rent Roll'!$F$43*'Rent Roll'!$X$43,0)</f>
        <v>0</v>
      </c>
      <c r="K318" s="49">
        <f>IF(K$4=EOMONTH(CloseDate,'Rent Roll'!$O$43-1),-'Rent Roll'!$U$43*'Rent Roll'!$F$43*'Rent Roll'!$X$43,0)</f>
        <v>0</v>
      </c>
      <c r="L318" s="49">
        <f>IF(L$4=EOMONTH(CloseDate,'Rent Roll'!$O$43-1),-'Rent Roll'!$U$43*'Rent Roll'!$F$43*'Rent Roll'!$X$43,0)</f>
        <v>0</v>
      </c>
      <c r="M318" s="49">
        <f>IF(M$4=EOMONTH(CloseDate,'Rent Roll'!$O$43-1),-'Rent Roll'!$U$43*'Rent Roll'!$F$43*'Rent Roll'!$X$43,0)</f>
        <v>0</v>
      </c>
      <c r="N318" s="49">
        <f>IF(N$4=EOMONTH(CloseDate,'Rent Roll'!$O$43-1),-'Rent Roll'!$U$43*'Rent Roll'!$F$43*'Rent Roll'!$X$43,0)</f>
        <v>0</v>
      </c>
      <c r="O318" s="49">
        <f>IF(O$4=EOMONTH(CloseDate,'Rent Roll'!$O$43-1),-'Rent Roll'!$U$43*'Rent Roll'!$F$43*'Rent Roll'!$X$43,0)</f>
        <v>0</v>
      </c>
      <c r="P318" s="49">
        <f>IF(P$4=EOMONTH(CloseDate,'Rent Roll'!$O$43-1),-'Rent Roll'!$U$43*'Rent Roll'!$F$43*'Rent Roll'!$X$43,0)</f>
        <v>0</v>
      </c>
      <c r="Q318" s="49">
        <f>IF(Q$4=EOMONTH(CloseDate,'Rent Roll'!$O$43-1),-'Rent Roll'!$U$43*'Rent Roll'!$F$43*'Rent Roll'!$X$43,0)</f>
        <v>-16900</v>
      </c>
      <c r="R318" s="49">
        <f>IF(R$4=EOMONTH(CloseDate,'Rent Roll'!$O$43-1),-'Rent Roll'!$U$43*'Rent Roll'!$F$43*'Rent Roll'!$X$43,0)</f>
        <v>0</v>
      </c>
      <c r="S318" s="49">
        <f>IF(S$4=EOMONTH(CloseDate,'Rent Roll'!$O$43-1),-'Rent Roll'!$U$43*'Rent Roll'!$F$43*'Rent Roll'!$X$43,0)</f>
        <v>0</v>
      </c>
      <c r="T318" s="49">
        <f>IF(T$4=EOMONTH(CloseDate,'Rent Roll'!$O$43-1),-'Rent Roll'!$U$43*'Rent Roll'!$F$43*'Rent Roll'!$X$43,0)</f>
        <v>0</v>
      </c>
      <c r="U318" s="49">
        <f>IF(U$4=EOMONTH(CloseDate,'Rent Roll'!$O$43-1),-'Rent Roll'!$U$43*'Rent Roll'!$F$43*'Rent Roll'!$X$43,0)</f>
        <v>0</v>
      </c>
      <c r="V318" s="49">
        <f>IF(V$4=EOMONTH(CloseDate,'Rent Roll'!$O$43-1),-'Rent Roll'!$U$43*'Rent Roll'!$F$43*'Rent Roll'!$X$43,0)</f>
        <v>0</v>
      </c>
      <c r="W318" s="49">
        <f>IF(W$4=EOMONTH(CloseDate,'Rent Roll'!$O$43-1),-'Rent Roll'!$U$43*'Rent Roll'!$F$43*'Rent Roll'!$X$43,0)</f>
        <v>0</v>
      </c>
      <c r="X318" s="49">
        <f>IF(X$4=EOMONTH(CloseDate,'Rent Roll'!$O$43-1),-'Rent Roll'!$U$43*'Rent Roll'!$F$43*'Rent Roll'!$X$43,0)</f>
        <v>0</v>
      </c>
      <c r="Y318" s="49">
        <f>IF(Y$4=EOMONTH(CloseDate,'Rent Roll'!$O$43-1),-'Rent Roll'!$U$43*'Rent Roll'!$F$43*'Rent Roll'!$X$43,0)</f>
        <v>0</v>
      </c>
      <c r="Z318" s="49">
        <f>IF(Z$4=EOMONTH(CloseDate,'Rent Roll'!$O$43-1),-'Rent Roll'!$U$43*'Rent Roll'!$F$43*'Rent Roll'!$X$43,0)</f>
        <v>0</v>
      </c>
      <c r="AA318" s="49">
        <f>IF(AA$4=EOMONTH(CloseDate,'Rent Roll'!$O$43-1),-'Rent Roll'!$U$43*'Rent Roll'!$F$43*'Rent Roll'!$X$43,0)</f>
        <v>0</v>
      </c>
      <c r="AB318" s="49">
        <f>IF(AB$4=EOMONTH(CloseDate,'Rent Roll'!$O$43-1),-'Rent Roll'!$U$43*'Rent Roll'!$F$43*'Rent Roll'!$X$43,0)</f>
        <v>0</v>
      </c>
      <c r="AC318" s="49">
        <f>IF(AC$4=EOMONTH(CloseDate,'Rent Roll'!$O$43-1),-'Rent Roll'!$U$43*'Rent Roll'!$F$43*'Rent Roll'!$X$43,0)</f>
        <v>0</v>
      </c>
      <c r="AD318" s="49">
        <f>IF(AD$4=EOMONTH(CloseDate,'Rent Roll'!$O$43-1),-'Rent Roll'!$U$43*'Rent Roll'!$F$43*'Rent Roll'!$X$43,0)</f>
        <v>0</v>
      </c>
      <c r="AE318" s="49">
        <f>IF(AE$4=EOMONTH(CloseDate,'Rent Roll'!$O$43-1),-'Rent Roll'!$U$43*'Rent Roll'!$F$43*'Rent Roll'!$X$43,0)</f>
        <v>0</v>
      </c>
      <c r="AF318" s="49">
        <f>IF(AF$4=EOMONTH(CloseDate,'Rent Roll'!$O$43-1),-'Rent Roll'!$U$43*'Rent Roll'!$F$43*'Rent Roll'!$X$43,0)</f>
        <v>0</v>
      </c>
      <c r="AG318" s="49">
        <f>IF(AG$4=EOMONTH(CloseDate,'Rent Roll'!$O$43-1),-'Rent Roll'!$U$43*'Rent Roll'!$F$43*'Rent Roll'!$X$43,0)</f>
        <v>0</v>
      </c>
      <c r="AH318" s="49">
        <f>IF(AH$4=EOMONTH(CloseDate,'Rent Roll'!$O$43-1),-'Rent Roll'!$U$43*'Rent Roll'!$F$43*'Rent Roll'!$X$43,0)</f>
        <v>0</v>
      </c>
      <c r="AI318" s="49">
        <f>IF(AI$4=EOMONTH(CloseDate,'Rent Roll'!$O$43-1),-'Rent Roll'!$U$43*'Rent Roll'!$F$43*'Rent Roll'!$X$43,0)</f>
        <v>0</v>
      </c>
      <c r="AJ318" s="49">
        <f>IF(AJ$4=EOMONTH(CloseDate,'Rent Roll'!$O$43-1),-'Rent Roll'!$U$43*'Rent Roll'!$F$43*'Rent Roll'!$X$43,0)</f>
        <v>0</v>
      </c>
      <c r="AK318" s="49">
        <f>IF(AK$4=EOMONTH(CloseDate,'Rent Roll'!$O$43-1),-'Rent Roll'!$U$43*'Rent Roll'!$F$43*'Rent Roll'!$X$43,0)</f>
        <v>0</v>
      </c>
      <c r="AL318" s="49">
        <f>IF(AL$4=EOMONTH(CloseDate,'Rent Roll'!$O$43-1),-'Rent Roll'!$U$43*'Rent Roll'!$F$43*'Rent Roll'!$X$43,0)</f>
        <v>0</v>
      </c>
      <c r="AM318" s="49">
        <f>IF(AM$4=EOMONTH(CloseDate,'Rent Roll'!$O$43-1),-'Rent Roll'!$U$43*'Rent Roll'!$F$43*'Rent Roll'!$X$43,0)</f>
        <v>0</v>
      </c>
      <c r="AN318" s="49">
        <f>IF(AN$4=EOMONTH(CloseDate,'Rent Roll'!$O$43-1),-'Rent Roll'!$U$43*'Rent Roll'!$F$43*'Rent Roll'!$X$43,0)</f>
        <v>0</v>
      </c>
      <c r="AO318" s="49">
        <f>IF(AO$4=EOMONTH(CloseDate,'Rent Roll'!$O$43-1),-'Rent Roll'!$U$43*'Rent Roll'!$F$43*'Rent Roll'!$X$43,0)</f>
        <v>0</v>
      </c>
      <c r="AP318" s="49">
        <f>IF(AP$4=EOMONTH(CloseDate,'Rent Roll'!$O$43-1),-'Rent Roll'!$U$43*'Rent Roll'!$F$43*'Rent Roll'!$X$43,0)</f>
        <v>0</v>
      </c>
      <c r="AQ318" s="49">
        <f>IF(AQ$4=EOMONTH(CloseDate,'Rent Roll'!$O$43-1),-'Rent Roll'!$U$43*'Rent Roll'!$F$43*'Rent Roll'!$X$43,0)</f>
        <v>0</v>
      </c>
      <c r="AR318" s="49">
        <f>IF(AR$4=EOMONTH(CloseDate,'Rent Roll'!$O$43-1),-'Rent Roll'!$U$43*'Rent Roll'!$F$43*'Rent Roll'!$X$43,0)</f>
        <v>0</v>
      </c>
      <c r="AS318" s="49">
        <f>IF(AS$4=EOMONTH(CloseDate,'Rent Roll'!$O$43-1),-'Rent Roll'!$U$43*'Rent Roll'!$F$43*'Rent Roll'!$X$43,0)</f>
        <v>0</v>
      </c>
      <c r="AT318" s="49">
        <f>IF(AT$4=EOMONTH(CloseDate,'Rent Roll'!$O$43-1),-'Rent Roll'!$U$43*'Rent Roll'!$F$43*'Rent Roll'!$X$43,0)</f>
        <v>0</v>
      </c>
      <c r="AU318" s="49">
        <f>IF(AU$4=EOMONTH(CloseDate,'Rent Roll'!$O$43-1),-'Rent Roll'!$U$43*'Rent Roll'!$F$43*'Rent Roll'!$X$43,0)</f>
        <v>0</v>
      </c>
      <c r="AV318" s="49">
        <f>IF(AV$4=EOMONTH(CloseDate,'Rent Roll'!$O$43-1),-'Rent Roll'!$U$43*'Rent Roll'!$F$43*'Rent Roll'!$X$43,0)</f>
        <v>0</v>
      </c>
      <c r="AW318" s="49">
        <f>IF(AW$4=EOMONTH(CloseDate,'Rent Roll'!$O$43-1),-'Rent Roll'!$U$43*'Rent Roll'!$F$43*'Rent Roll'!$X$43,0)</f>
        <v>0</v>
      </c>
      <c r="AX318" s="49">
        <f>IF(AX$4=EOMONTH(CloseDate,'Rent Roll'!$O$43-1),-'Rent Roll'!$U$43*'Rent Roll'!$F$43*'Rent Roll'!$X$43,0)</f>
        <v>0</v>
      </c>
      <c r="AY318" s="49">
        <f>IF(AY$4=EOMONTH(CloseDate,'Rent Roll'!$O$43-1),-'Rent Roll'!$U$43*'Rent Roll'!$F$43*'Rent Roll'!$X$43,0)</f>
        <v>0</v>
      </c>
      <c r="AZ318" s="49">
        <f>IF(AZ$4=EOMONTH(CloseDate,'Rent Roll'!$O$43-1),-'Rent Roll'!$U$43*'Rent Roll'!$F$43*'Rent Roll'!$X$43,0)</f>
        <v>0</v>
      </c>
      <c r="BA318" s="49">
        <f>IF(BA$4=EOMONTH(CloseDate,'Rent Roll'!$O$43-1),-'Rent Roll'!$U$43*'Rent Roll'!$F$43*'Rent Roll'!$X$43,0)</f>
        <v>0</v>
      </c>
      <c r="BB318" s="49">
        <f>IF(BB$4=EOMONTH(CloseDate,'Rent Roll'!$O$43-1),-'Rent Roll'!$U$43*'Rent Roll'!$F$43*'Rent Roll'!$X$43,0)</f>
        <v>0</v>
      </c>
      <c r="BC318" s="49">
        <f>IF(BC$4=EOMONTH(CloseDate,'Rent Roll'!$O$43-1),-'Rent Roll'!$U$43*'Rent Roll'!$F$43*'Rent Roll'!$X$43,0)</f>
        <v>0</v>
      </c>
      <c r="BD318" s="49">
        <f>IF(BD$4=EOMONTH(CloseDate,'Rent Roll'!$O$43-1),-'Rent Roll'!$U$43*'Rent Roll'!$F$43*'Rent Roll'!$X$43,0)</f>
        <v>0</v>
      </c>
      <c r="BE318" s="49">
        <f>IF(BE$4=EOMONTH(CloseDate,'Rent Roll'!$O$43-1),-'Rent Roll'!$U$43*'Rent Roll'!$F$43*'Rent Roll'!$X$43,0)</f>
        <v>0</v>
      </c>
      <c r="BF318" s="49">
        <f>IF(BF$4=EOMONTH(CloseDate,'Rent Roll'!$O$43-1),-'Rent Roll'!$U$43*'Rent Roll'!$F$43*'Rent Roll'!$X$43,0)</f>
        <v>0</v>
      </c>
      <c r="BG318" s="49">
        <f>IF(BG$4=EOMONTH(CloseDate,'Rent Roll'!$O$43-1),-'Rent Roll'!$U$43*'Rent Roll'!$F$43*'Rent Roll'!$X$43,0)</f>
        <v>0</v>
      </c>
      <c r="BH318" s="49">
        <f>IF(BH$4=EOMONTH(CloseDate,'Rent Roll'!$O$43-1),-'Rent Roll'!$U$43*'Rent Roll'!$F$43*'Rent Roll'!$X$43,0)</f>
        <v>0</v>
      </c>
      <c r="BI318" s="49">
        <f>IF(BI$4=EOMONTH(CloseDate,'Rent Roll'!$O$43-1),-'Rent Roll'!$U$43*'Rent Roll'!$F$43*'Rent Roll'!$X$43,0)</f>
        <v>0</v>
      </c>
      <c r="BJ318" s="49">
        <f>IF(BJ$4=EOMONTH(CloseDate,'Rent Roll'!$O$43-1),-'Rent Roll'!$U$43*'Rent Roll'!$F$43*'Rent Roll'!$X$43,0)</f>
        <v>0</v>
      </c>
      <c r="BK318" s="49">
        <f>IF(BK$4=EOMONTH(CloseDate,'Rent Roll'!$O$43-1),-'Rent Roll'!$U$43*'Rent Roll'!$F$43*'Rent Roll'!$X$43,0)</f>
        <v>0</v>
      </c>
      <c r="BL318" s="49">
        <f>IF(BL$4=EOMONTH(CloseDate,'Rent Roll'!$O$43-1),-'Rent Roll'!$U$43*'Rent Roll'!$F$43*'Rent Roll'!$X$43,0)</f>
        <v>0</v>
      </c>
      <c r="BM318" s="49">
        <f>IF(BM$4=EOMONTH(CloseDate,'Rent Roll'!$O$43-1),-'Rent Roll'!$U$43*'Rent Roll'!$F$43*'Rent Roll'!$X$43,0)</f>
        <v>0</v>
      </c>
      <c r="BN318" s="49">
        <f>IF(BN$4=EOMONTH(CloseDate,'Rent Roll'!$O$43-1),-'Rent Roll'!$U$43*'Rent Roll'!$F$43*'Rent Roll'!$X$43,0)</f>
        <v>0</v>
      </c>
      <c r="BO318" s="49">
        <f>IF(BO$4=EOMONTH(CloseDate,'Rent Roll'!$O$43-1),-'Rent Roll'!$U$43*'Rent Roll'!$F$43*'Rent Roll'!$X$43,0)</f>
        <v>0</v>
      </c>
      <c r="BP318" s="49">
        <f>IF(BP$4=EOMONTH(CloseDate,'Rent Roll'!$O$43-1),-'Rent Roll'!$U$43*'Rent Roll'!$F$43*'Rent Roll'!$X$43,0)</f>
        <v>0</v>
      </c>
      <c r="BQ318" s="49">
        <f>IF(BQ$4=EOMONTH(CloseDate,'Rent Roll'!$O$43-1),-'Rent Roll'!$U$43*'Rent Roll'!$F$43*'Rent Roll'!$X$43,0)</f>
        <v>0</v>
      </c>
      <c r="BR318" s="49">
        <f>IF(BR$4=EOMONTH(CloseDate,'Rent Roll'!$O$43-1),-'Rent Roll'!$U$43*'Rent Roll'!$F$43*'Rent Roll'!$X$43,0)</f>
        <v>0</v>
      </c>
      <c r="BS318" s="49">
        <f>IF(BS$4=EOMONTH(CloseDate,'Rent Roll'!$O$43-1),-'Rent Roll'!$U$43*'Rent Roll'!$F$43*'Rent Roll'!$X$43,0)</f>
        <v>0</v>
      </c>
      <c r="BT318" s="49">
        <f>IF(BT$4=EOMONTH(CloseDate,'Rent Roll'!$O$43-1),-'Rent Roll'!$U$43*'Rent Roll'!$F$43*'Rent Roll'!$X$43,0)</f>
        <v>0</v>
      </c>
      <c r="BU318" s="49">
        <f>IF(BU$4=EOMONTH(CloseDate,'Rent Roll'!$O$43-1),-'Rent Roll'!$U$43*'Rent Roll'!$F$43*'Rent Roll'!$X$43,0)</f>
        <v>0</v>
      </c>
      <c r="BV318" s="49">
        <f>IF(BV$4=EOMONTH(CloseDate,'Rent Roll'!$O$43-1),-'Rent Roll'!$U$43*'Rent Roll'!$F$43*'Rent Roll'!$X$43,0)</f>
        <v>0</v>
      </c>
      <c r="BW318" s="49">
        <f>IF(BW$4=EOMONTH(CloseDate,'Rent Roll'!$O$43-1),-'Rent Roll'!$U$43*'Rent Roll'!$F$43*'Rent Roll'!$X$43,0)</f>
        <v>0</v>
      </c>
      <c r="BX318" s="49">
        <f>IF(BX$4=EOMONTH(CloseDate,'Rent Roll'!$O$43-1),-'Rent Roll'!$U$43*'Rent Roll'!$F$43*'Rent Roll'!$X$43,0)</f>
        <v>0</v>
      </c>
    </row>
    <row r="319" spans="1:76" outlineLevel="1">
      <c r="A319" s="47" t="str">
        <f>'Rent Roll'!C44</f>
        <v>Suite 720</v>
      </c>
      <c r="B319" s="57">
        <f>INDEX('Rent Roll'!$F$5:$F$46,MATCH('Rent Roll Calc'!A319,'Rent Roll'!$C$5:$C$46,0))</f>
        <v>12000</v>
      </c>
      <c r="D319" s="49"/>
      <c r="E319" s="49"/>
      <c r="F319" s="49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  <c r="AA319" s="49"/>
      <c r="AB319" s="49"/>
      <c r="AC319" s="49"/>
      <c r="AD319" s="49"/>
      <c r="AE319" s="49"/>
      <c r="AF319" s="49"/>
      <c r="AG319" s="49"/>
      <c r="AH319" s="49"/>
      <c r="AI319" s="49"/>
      <c r="AJ319" s="49"/>
      <c r="AK319" s="49"/>
      <c r="AL319" s="49"/>
      <c r="AM319" s="49"/>
      <c r="AN319" s="49"/>
      <c r="AO319" s="49"/>
      <c r="AP319" s="49"/>
      <c r="AQ319" s="49"/>
      <c r="AR319" s="49"/>
      <c r="AS319" s="49"/>
      <c r="AT319" s="49"/>
      <c r="AU319" s="49"/>
      <c r="AV319" s="49"/>
      <c r="AW319" s="49"/>
      <c r="AX319" s="49"/>
      <c r="AY319" s="49"/>
      <c r="AZ319" s="49"/>
      <c r="BA319" s="49"/>
      <c r="BB319" s="49"/>
      <c r="BC319" s="49"/>
      <c r="BD319" s="49"/>
      <c r="BE319" s="49"/>
      <c r="BF319" s="49"/>
      <c r="BG319" s="49"/>
      <c r="BH319" s="49"/>
      <c r="BI319" s="49"/>
      <c r="BJ319" s="49"/>
      <c r="BK319" s="49"/>
      <c r="BL319" s="49"/>
      <c r="BM319" s="49"/>
      <c r="BN319" s="49"/>
      <c r="BO319" s="49"/>
      <c r="BP319" s="49"/>
      <c r="BQ319" s="49"/>
      <c r="BR319" s="49"/>
      <c r="BS319" s="49"/>
      <c r="BT319" s="49"/>
      <c r="BU319" s="49"/>
      <c r="BV319" s="49"/>
      <c r="BW319" s="49"/>
      <c r="BX319" s="49"/>
    </row>
    <row r="320" spans="1:76" outlineLevel="1">
      <c r="B320" t="s">
        <v>170</v>
      </c>
      <c r="D320" s="49">
        <f>IF(AND(D$3&gt;='Rent Roll'!$O$44-SpecBuildout,D$3&lt;'Rent Roll'!$O$44),1,0)</f>
        <v>0</v>
      </c>
      <c r="E320" s="49">
        <f>IF(AND(E$3&gt;='Rent Roll'!$O$44-SpecBuildout,E$3&lt;'Rent Roll'!$O$44),1,0)</f>
        <v>0</v>
      </c>
      <c r="F320" s="49">
        <f>IF(AND(F$3&gt;='Rent Roll'!$O$44-SpecBuildout,F$3&lt;'Rent Roll'!$O$44),1,0)</f>
        <v>0</v>
      </c>
      <c r="G320" s="49">
        <f>IF(AND(G$3&gt;='Rent Roll'!$O$44-SpecBuildout,G$3&lt;'Rent Roll'!$O$44),1,0)</f>
        <v>0</v>
      </c>
      <c r="H320" s="49">
        <f>IF(AND(H$3&gt;='Rent Roll'!$O$44-SpecBuildout,H$3&lt;'Rent Roll'!$O$44),1,0)</f>
        <v>0</v>
      </c>
      <c r="I320" s="49">
        <f>IF(AND(I$3&gt;='Rent Roll'!$O$44-SpecBuildout,I$3&lt;'Rent Roll'!$O$44),1,0)</f>
        <v>0</v>
      </c>
      <c r="J320" s="49">
        <f>IF(AND(J$3&gt;='Rent Roll'!$O$44-SpecBuildout,J$3&lt;'Rent Roll'!$O$44),1,0)</f>
        <v>0</v>
      </c>
      <c r="K320" s="49">
        <f>IF(AND(K$3&gt;='Rent Roll'!$O$44-SpecBuildout,K$3&lt;'Rent Roll'!$O$44),1,0)</f>
        <v>0</v>
      </c>
      <c r="L320" s="49">
        <f>IF(AND(L$3&gt;='Rent Roll'!$O$44-SpecBuildout,L$3&lt;'Rent Roll'!$O$44),1,0)</f>
        <v>1</v>
      </c>
      <c r="M320" s="49">
        <f>IF(AND(M$3&gt;='Rent Roll'!$O$44-SpecBuildout,M$3&lt;'Rent Roll'!$O$44),1,0)</f>
        <v>1</v>
      </c>
      <c r="N320" s="49">
        <f>IF(AND(N$3&gt;='Rent Roll'!$O$44-SpecBuildout,N$3&lt;'Rent Roll'!$O$44),1,0)</f>
        <v>1</v>
      </c>
      <c r="O320" s="49">
        <f>IF(AND(O$3&gt;='Rent Roll'!$O$44-SpecBuildout,O$3&lt;'Rent Roll'!$O$44),1,0)</f>
        <v>1</v>
      </c>
      <c r="P320" s="49">
        <f>IF(AND(P$3&gt;='Rent Roll'!$O$44-SpecBuildout,P$3&lt;'Rent Roll'!$O$44),1,0)</f>
        <v>1</v>
      </c>
      <c r="Q320" s="49">
        <f>IF(AND(Q$3&gt;='Rent Roll'!$O$44-SpecBuildout,Q$3&lt;'Rent Roll'!$O$44),1,0)</f>
        <v>1</v>
      </c>
      <c r="R320" s="49">
        <f>IF(AND(R$3&gt;='Rent Roll'!$O$44-SpecBuildout,R$3&lt;'Rent Roll'!$O$44),1,0)</f>
        <v>0</v>
      </c>
      <c r="S320" s="49">
        <f>IF(AND(S$3&gt;='Rent Roll'!$O$44-SpecBuildout,S$3&lt;'Rent Roll'!$O$44),1,0)</f>
        <v>0</v>
      </c>
      <c r="T320" s="49">
        <f>IF(AND(T$3&gt;='Rent Roll'!$O$44-SpecBuildout,T$3&lt;'Rent Roll'!$O$44),1,0)</f>
        <v>0</v>
      </c>
      <c r="U320" s="49">
        <f>IF(AND(U$3&gt;='Rent Roll'!$O$44-SpecBuildout,U$3&lt;'Rent Roll'!$O$44),1,0)</f>
        <v>0</v>
      </c>
      <c r="V320" s="49">
        <f>IF(AND(V$3&gt;='Rent Roll'!$O$44-SpecBuildout,V$3&lt;'Rent Roll'!$O$44),1,0)</f>
        <v>0</v>
      </c>
      <c r="W320" s="49">
        <f>IF(AND(W$3&gt;='Rent Roll'!$O$44-SpecBuildout,W$3&lt;'Rent Roll'!$O$44),1,0)</f>
        <v>0</v>
      </c>
      <c r="X320" s="49">
        <f>IF(AND(X$3&gt;='Rent Roll'!$O$44-SpecBuildout,X$3&lt;'Rent Roll'!$O$44),1,0)</f>
        <v>0</v>
      </c>
      <c r="Y320" s="49">
        <f>IF(AND(Y$3&gt;='Rent Roll'!$O$44-SpecBuildout,Y$3&lt;'Rent Roll'!$O$44),1,0)</f>
        <v>0</v>
      </c>
      <c r="Z320" s="49">
        <f>IF(AND(Z$3&gt;='Rent Roll'!$O$44-SpecBuildout,Z$3&lt;'Rent Roll'!$O$44),1,0)</f>
        <v>0</v>
      </c>
      <c r="AA320" s="49">
        <f>IF(AND(AA$3&gt;='Rent Roll'!$O$44-SpecBuildout,AA$3&lt;'Rent Roll'!$O$44),1,0)</f>
        <v>0</v>
      </c>
      <c r="AB320" s="49">
        <f>IF(AND(AB$3&gt;='Rent Roll'!$O$44-SpecBuildout,AB$3&lt;'Rent Roll'!$O$44),1,0)</f>
        <v>0</v>
      </c>
      <c r="AC320" s="49">
        <f>IF(AND(AC$3&gt;='Rent Roll'!$O$44-SpecBuildout,AC$3&lt;'Rent Roll'!$O$44),1,0)</f>
        <v>0</v>
      </c>
      <c r="AD320" s="49">
        <f>IF(AND(AD$3&gt;='Rent Roll'!$O$44-SpecBuildout,AD$3&lt;'Rent Roll'!$O$44),1,0)</f>
        <v>0</v>
      </c>
      <c r="AE320" s="49">
        <f>IF(AND(AE$3&gt;='Rent Roll'!$O$44-SpecBuildout,AE$3&lt;'Rent Roll'!$O$44),1,0)</f>
        <v>0</v>
      </c>
      <c r="AF320" s="49">
        <f>IF(AND(AF$3&gt;='Rent Roll'!$O$44-SpecBuildout,AF$3&lt;'Rent Roll'!$O$44),1,0)</f>
        <v>0</v>
      </c>
      <c r="AG320" s="49">
        <f>IF(AND(AG$3&gt;='Rent Roll'!$O$44-SpecBuildout,AG$3&lt;'Rent Roll'!$O$44),1,0)</f>
        <v>0</v>
      </c>
      <c r="AH320" s="49">
        <f>IF(AND(AH$3&gt;='Rent Roll'!$O$44-SpecBuildout,AH$3&lt;'Rent Roll'!$O$44),1,0)</f>
        <v>0</v>
      </c>
      <c r="AI320" s="49">
        <f>IF(AND(AI$3&gt;='Rent Roll'!$O$44-SpecBuildout,AI$3&lt;'Rent Roll'!$O$44),1,0)</f>
        <v>0</v>
      </c>
      <c r="AJ320" s="49">
        <f>IF(AND(AJ$3&gt;='Rent Roll'!$O$44-SpecBuildout,AJ$3&lt;'Rent Roll'!$O$44),1,0)</f>
        <v>0</v>
      </c>
      <c r="AK320" s="49">
        <f>IF(AND(AK$3&gt;='Rent Roll'!$O$44-SpecBuildout,AK$3&lt;'Rent Roll'!$O$44),1,0)</f>
        <v>0</v>
      </c>
      <c r="AL320" s="49">
        <f>IF(AND(AL$3&gt;='Rent Roll'!$O$44-SpecBuildout,AL$3&lt;'Rent Roll'!$O$44),1,0)</f>
        <v>0</v>
      </c>
      <c r="AM320" s="49">
        <f>IF(AND(AM$3&gt;='Rent Roll'!$O$44-SpecBuildout,AM$3&lt;'Rent Roll'!$O$44),1,0)</f>
        <v>0</v>
      </c>
      <c r="AN320" s="49">
        <f>IF(AND(AN$3&gt;='Rent Roll'!$O$44-SpecBuildout,AN$3&lt;'Rent Roll'!$O$44),1,0)</f>
        <v>0</v>
      </c>
      <c r="AO320" s="49">
        <f>IF(AND(AO$3&gt;='Rent Roll'!$O$44-SpecBuildout,AO$3&lt;'Rent Roll'!$O$44),1,0)</f>
        <v>0</v>
      </c>
      <c r="AP320" s="49">
        <f>IF(AND(AP$3&gt;='Rent Roll'!$O$44-SpecBuildout,AP$3&lt;'Rent Roll'!$O$44),1,0)</f>
        <v>0</v>
      </c>
      <c r="AQ320" s="49">
        <f>IF(AND(AQ$3&gt;='Rent Roll'!$O$44-SpecBuildout,AQ$3&lt;'Rent Roll'!$O$44),1,0)</f>
        <v>0</v>
      </c>
      <c r="AR320" s="49">
        <f>IF(AND(AR$3&gt;='Rent Roll'!$O$44-SpecBuildout,AR$3&lt;'Rent Roll'!$O$44),1,0)</f>
        <v>0</v>
      </c>
      <c r="AS320" s="49">
        <f>IF(AND(AS$3&gt;='Rent Roll'!$O$44-SpecBuildout,AS$3&lt;'Rent Roll'!$O$44),1,0)</f>
        <v>0</v>
      </c>
      <c r="AT320" s="49">
        <f>IF(AND(AT$3&gt;='Rent Roll'!$O$44-SpecBuildout,AT$3&lt;'Rent Roll'!$O$44),1,0)</f>
        <v>0</v>
      </c>
      <c r="AU320" s="49">
        <f>IF(AND(AU$3&gt;='Rent Roll'!$O$44-SpecBuildout,AU$3&lt;'Rent Roll'!$O$44),1,0)</f>
        <v>0</v>
      </c>
      <c r="AV320" s="49">
        <f>IF(AND(AV$3&gt;='Rent Roll'!$O$44-SpecBuildout,AV$3&lt;'Rent Roll'!$O$44),1,0)</f>
        <v>0</v>
      </c>
      <c r="AW320" s="49">
        <f>IF(AND(AW$3&gt;='Rent Roll'!$O$44-SpecBuildout,AW$3&lt;'Rent Roll'!$O$44),1,0)</f>
        <v>0</v>
      </c>
      <c r="AX320" s="49">
        <f>IF(AND(AX$3&gt;='Rent Roll'!$O$44-SpecBuildout,AX$3&lt;'Rent Roll'!$O$44),1,0)</f>
        <v>0</v>
      </c>
      <c r="AY320" s="49">
        <f>IF(AND(AY$3&gt;='Rent Roll'!$O$44-SpecBuildout,AY$3&lt;'Rent Roll'!$O$44),1,0)</f>
        <v>0</v>
      </c>
      <c r="AZ320" s="49">
        <f>IF(AND(AZ$3&gt;='Rent Roll'!$O$44-SpecBuildout,AZ$3&lt;'Rent Roll'!$O$44),1,0)</f>
        <v>0</v>
      </c>
      <c r="BA320" s="49">
        <f>IF(AND(BA$3&gt;='Rent Roll'!$O$44-SpecBuildout,BA$3&lt;'Rent Roll'!$O$44),1,0)</f>
        <v>0</v>
      </c>
      <c r="BB320" s="49">
        <f>IF(AND(BB$3&gt;='Rent Roll'!$O$44-SpecBuildout,BB$3&lt;'Rent Roll'!$O$44),1,0)</f>
        <v>0</v>
      </c>
      <c r="BC320" s="49">
        <f>IF(AND(BC$3&gt;='Rent Roll'!$O$44-SpecBuildout,BC$3&lt;'Rent Roll'!$O$44),1,0)</f>
        <v>0</v>
      </c>
      <c r="BD320" s="49">
        <f>IF(AND(BD$3&gt;='Rent Roll'!$O$44-SpecBuildout,BD$3&lt;'Rent Roll'!$O$44),1,0)</f>
        <v>0</v>
      </c>
      <c r="BE320" s="49">
        <f>IF(AND(BE$3&gt;='Rent Roll'!$O$44-SpecBuildout,BE$3&lt;'Rent Roll'!$O$44),1,0)</f>
        <v>0</v>
      </c>
      <c r="BF320" s="49">
        <f>IF(AND(BF$3&gt;='Rent Roll'!$O$44-SpecBuildout,BF$3&lt;'Rent Roll'!$O$44),1,0)</f>
        <v>0</v>
      </c>
      <c r="BG320" s="49">
        <f>IF(AND(BG$3&gt;='Rent Roll'!$O$44-SpecBuildout,BG$3&lt;'Rent Roll'!$O$44),1,0)</f>
        <v>0</v>
      </c>
      <c r="BH320" s="49">
        <f>IF(AND(BH$3&gt;='Rent Roll'!$O$44-SpecBuildout,BH$3&lt;'Rent Roll'!$O$44),1,0)</f>
        <v>0</v>
      </c>
      <c r="BI320" s="49">
        <f>IF(AND(BI$3&gt;='Rent Roll'!$O$44-SpecBuildout,BI$3&lt;'Rent Roll'!$O$44),1,0)</f>
        <v>0</v>
      </c>
      <c r="BJ320" s="49">
        <f>IF(AND(BJ$3&gt;='Rent Roll'!$O$44-SpecBuildout,BJ$3&lt;'Rent Roll'!$O$44),1,0)</f>
        <v>0</v>
      </c>
      <c r="BK320" s="49">
        <f>IF(AND(BK$3&gt;='Rent Roll'!$O$44-SpecBuildout,BK$3&lt;'Rent Roll'!$O$44),1,0)</f>
        <v>0</v>
      </c>
      <c r="BL320" s="49">
        <f>IF(AND(BL$3&gt;='Rent Roll'!$O$44-SpecBuildout,BL$3&lt;'Rent Roll'!$O$44),1,0)</f>
        <v>0</v>
      </c>
      <c r="BM320" s="49">
        <f>IF(AND(BM$3&gt;='Rent Roll'!$O$44-SpecBuildout,BM$3&lt;'Rent Roll'!$O$44),1,0)</f>
        <v>0</v>
      </c>
      <c r="BN320" s="49">
        <f>IF(AND(BN$3&gt;='Rent Roll'!$O$44-SpecBuildout,BN$3&lt;'Rent Roll'!$O$44),1,0)</f>
        <v>0</v>
      </c>
      <c r="BO320" s="49">
        <f>IF(AND(BO$3&gt;='Rent Roll'!$O$44-SpecBuildout,BO$3&lt;'Rent Roll'!$O$44),1,0)</f>
        <v>0</v>
      </c>
      <c r="BP320" s="49">
        <f>IF(AND(BP$3&gt;='Rent Roll'!$O$44-SpecBuildout,BP$3&lt;'Rent Roll'!$O$44),1,0)</f>
        <v>0</v>
      </c>
      <c r="BQ320" s="49">
        <f>IF(AND(BQ$3&gt;='Rent Roll'!$O$44-SpecBuildout,BQ$3&lt;'Rent Roll'!$O$44),1,0)</f>
        <v>0</v>
      </c>
      <c r="BR320" s="49">
        <f>IF(AND(BR$3&gt;='Rent Roll'!$O$44-SpecBuildout,BR$3&lt;'Rent Roll'!$O$44),1,0)</f>
        <v>0</v>
      </c>
      <c r="BS320" s="49">
        <f>IF(AND(BS$3&gt;='Rent Roll'!$O$44-SpecBuildout,BS$3&lt;'Rent Roll'!$O$44),1,0)</f>
        <v>0</v>
      </c>
      <c r="BT320" s="49">
        <f>IF(AND(BT$3&gt;='Rent Roll'!$O$44-SpecBuildout,BT$3&lt;'Rent Roll'!$O$44),1,0)</f>
        <v>0</v>
      </c>
      <c r="BU320" s="49">
        <f>IF(AND(BU$3&gt;='Rent Roll'!$O$44-SpecBuildout,BU$3&lt;'Rent Roll'!$O$44),1,0)</f>
        <v>0</v>
      </c>
      <c r="BV320" s="49">
        <f>IF(AND(BV$3&gt;='Rent Roll'!$O$44-SpecBuildout,BV$3&lt;'Rent Roll'!$O$44),1,0)</f>
        <v>0</v>
      </c>
      <c r="BW320" s="49">
        <f>IF(AND(BW$3&gt;='Rent Roll'!$O$44-SpecBuildout,BW$3&lt;'Rent Roll'!$O$44),1,0)</f>
        <v>0</v>
      </c>
      <c r="BX320" s="49">
        <f>IF(AND(BX$3&gt;='Rent Roll'!$O$44-SpecBuildout,BX$3&lt;'Rent Roll'!$O$44),1,0)</f>
        <v>0</v>
      </c>
    </row>
    <row r="321" spans="1:76" outlineLevel="1">
      <c r="B321" t="s">
        <v>159</v>
      </c>
      <c r="D321" s="49">
        <f>0</f>
        <v>0</v>
      </c>
      <c r="E321" s="49">
        <f>0</f>
        <v>0</v>
      </c>
      <c r="F321" s="49">
        <f>0</f>
        <v>0</v>
      </c>
      <c r="G321" s="49">
        <f>0</f>
        <v>0</v>
      </c>
      <c r="H321" s="49">
        <f>0</f>
        <v>0</v>
      </c>
      <c r="I321" s="49">
        <f>0</f>
        <v>0</v>
      </c>
      <c r="J321" s="49">
        <f>0</f>
        <v>0</v>
      </c>
      <c r="K321" s="49">
        <f>0</f>
        <v>0</v>
      </c>
      <c r="L321" s="49">
        <f>0</f>
        <v>0</v>
      </c>
      <c r="M321" s="49">
        <f>0</f>
        <v>0</v>
      </c>
      <c r="N321" s="49">
        <f>0</f>
        <v>0</v>
      </c>
      <c r="O321" s="49">
        <f>0</f>
        <v>0</v>
      </c>
      <c r="P321" s="49">
        <f>0</f>
        <v>0</v>
      </c>
      <c r="Q321" s="49">
        <f>0</f>
        <v>0</v>
      </c>
      <c r="R321" s="49">
        <f>0</f>
        <v>0</v>
      </c>
      <c r="S321" s="49">
        <f>0</f>
        <v>0</v>
      </c>
      <c r="T321" s="49">
        <f>0</f>
        <v>0</v>
      </c>
      <c r="U321" s="49">
        <f>0</f>
        <v>0</v>
      </c>
      <c r="V321" s="49">
        <f>0</f>
        <v>0</v>
      </c>
      <c r="W321" s="49">
        <f>0</f>
        <v>0</v>
      </c>
      <c r="X321" s="49">
        <f>0</f>
        <v>0</v>
      </c>
      <c r="Y321" s="49">
        <f>0</f>
        <v>0</v>
      </c>
      <c r="Z321" s="49">
        <f>0</f>
        <v>0</v>
      </c>
      <c r="AA321" s="49">
        <f>0</f>
        <v>0</v>
      </c>
      <c r="AB321" s="49">
        <f>0</f>
        <v>0</v>
      </c>
      <c r="AC321" s="49">
        <f>0</f>
        <v>0</v>
      </c>
      <c r="AD321" s="49">
        <f>0</f>
        <v>0</v>
      </c>
      <c r="AE321" s="49">
        <f>0</f>
        <v>0</v>
      </c>
      <c r="AF321" s="49">
        <f>0</f>
        <v>0</v>
      </c>
      <c r="AG321" s="49">
        <f>0</f>
        <v>0</v>
      </c>
      <c r="AH321" s="49">
        <f>0</f>
        <v>0</v>
      </c>
      <c r="AI321" s="49">
        <f>0</f>
        <v>0</v>
      </c>
      <c r="AJ321" s="49">
        <f>0</f>
        <v>0</v>
      </c>
      <c r="AK321" s="49">
        <f>0</f>
        <v>0</v>
      </c>
      <c r="AL321" s="49">
        <f>0</f>
        <v>0</v>
      </c>
      <c r="AM321" s="49">
        <f>0</f>
        <v>0</v>
      </c>
      <c r="AN321" s="49">
        <f>0</f>
        <v>0</v>
      </c>
      <c r="AO321" s="49">
        <f>0</f>
        <v>0</v>
      </c>
      <c r="AP321" s="49">
        <f>0</f>
        <v>0</v>
      </c>
      <c r="AQ321" s="49">
        <f>0</f>
        <v>0</v>
      </c>
      <c r="AR321" s="49">
        <f>0</f>
        <v>0</v>
      </c>
      <c r="AS321" s="49">
        <f>0</f>
        <v>0</v>
      </c>
      <c r="AT321" s="49">
        <f>0</f>
        <v>0</v>
      </c>
      <c r="AU321" s="49">
        <f>0</f>
        <v>0</v>
      </c>
      <c r="AV321" s="49">
        <f>0</f>
        <v>0</v>
      </c>
      <c r="AW321" s="49">
        <f>0</f>
        <v>0</v>
      </c>
      <c r="AX321" s="49">
        <f>0</f>
        <v>0</v>
      </c>
      <c r="AY321" s="49">
        <f>0</f>
        <v>0</v>
      </c>
      <c r="AZ321" s="49">
        <f>0</f>
        <v>0</v>
      </c>
      <c r="BA321" s="49">
        <f>0</f>
        <v>0</v>
      </c>
      <c r="BB321" s="49">
        <f>0</f>
        <v>0</v>
      </c>
      <c r="BC321" s="49">
        <f>0</f>
        <v>0</v>
      </c>
      <c r="BD321" s="49">
        <f>0</f>
        <v>0</v>
      </c>
      <c r="BE321" s="49">
        <f>0</f>
        <v>0</v>
      </c>
      <c r="BF321" s="49">
        <f>0</f>
        <v>0</v>
      </c>
      <c r="BG321" s="49">
        <f>0</f>
        <v>0</v>
      </c>
      <c r="BH321" s="49">
        <f>0</f>
        <v>0</v>
      </c>
      <c r="BI321" s="49">
        <f>0</f>
        <v>0</v>
      </c>
      <c r="BJ321" s="49">
        <f>0</f>
        <v>0</v>
      </c>
      <c r="BK321" s="49">
        <f>0</f>
        <v>0</v>
      </c>
      <c r="BL321" s="49">
        <f>0</f>
        <v>0</v>
      </c>
      <c r="BM321" s="49">
        <f>0</f>
        <v>0</v>
      </c>
      <c r="BN321" s="49">
        <f>0</f>
        <v>0</v>
      </c>
      <c r="BO321" s="49">
        <f>0</f>
        <v>0</v>
      </c>
      <c r="BP321" s="49">
        <f>0</f>
        <v>0</v>
      </c>
      <c r="BQ321" s="49">
        <f>0</f>
        <v>0</v>
      </c>
      <c r="BR321" s="49">
        <f>0</f>
        <v>0</v>
      </c>
      <c r="BS321" s="49">
        <f>0</f>
        <v>0</v>
      </c>
      <c r="BT321" s="49">
        <f>0</f>
        <v>0</v>
      </c>
      <c r="BU321" s="49">
        <f>0</f>
        <v>0</v>
      </c>
      <c r="BV321" s="49">
        <f>0</f>
        <v>0</v>
      </c>
      <c r="BW321" s="49">
        <f>0</f>
        <v>0</v>
      </c>
      <c r="BX321" s="49">
        <f>0</f>
        <v>0</v>
      </c>
    </row>
    <row r="322" spans="1:76" outlineLevel="1">
      <c r="B322" t="s">
        <v>160</v>
      </c>
      <c r="D322" s="49">
        <f>IF(D$4&gt;=EOMONTH(CloseDate,'Rent Roll'!$O$44-1),1,0)</f>
        <v>0</v>
      </c>
      <c r="E322" s="49">
        <f>IF(E$4&gt;=EOMONTH(CloseDate,'Rent Roll'!$O$44-1),1,0)</f>
        <v>0</v>
      </c>
      <c r="F322" s="49">
        <f>IF(F$4&gt;=EOMONTH(CloseDate,'Rent Roll'!$O$44-1),1,0)</f>
        <v>0</v>
      </c>
      <c r="G322" s="49">
        <f>IF(G$4&gt;=EOMONTH(CloseDate,'Rent Roll'!$O$44-1),1,0)</f>
        <v>0</v>
      </c>
      <c r="H322" s="49">
        <f>IF(H$4&gt;=EOMONTH(CloseDate,'Rent Roll'!$O$44-1),1,0)</f>
        <v>0</v>
      </c>
      <c r="I322" s="49">
        <f>IF(I$4&gt;=EOMONTH(CloseDate,'Rent Roll'!$O$44-1),1,0)</f>
        <v>0</v>
      </c>
      <c r="J322" s="49">
        <f>IF(J$4&gt;=EOMONTH(CloseDate,'Rent Roll'!$O$44-1),1,0)</f>
        <v>0</v>
      </c>
      <c r="K322" s="49">
        <f>IF(K$4&gt;=EOMONTH(CloseDate,'Rent Roll'!$O$44-1),1,0)</f>
        <v>0</v>
      </c>
      <c r="L322" s="49">
        <f>IF(L$4&gt;=EOMONTH(CloseDate,'Rent Roll'!$O$44-1),1,0)</f>
        <v>0</v>
      </c>
      <c r="M322" s="49">
        <f>IF(M$4&gt;=EOMONTH(CloseDate,'Rent Roll'!$O$44-1),1,0)</f>
        <v>0</v>
      </c>
      <c r="N322" s="49">
        <f>IF(N$4&gt;=EOMONTH(CloseDate,'Rent Roll'!$O$44-1),1,0)</f>
        <v>0</v>
      </c>
      <c r="O322" s="49">
        <f>IF(O$4&gt;=EOMONTH(CloseDate,'Rent Roll'!$O$44-1),1,0)</f>
        <v>0</v>
      </c>
      <c r="P322" s="49">
        <f>IF(P$4&gt;=EOMONTH(CloseDate,'Rent Roll'!$O$44-1),1,0)</f>
        <v>0</v>
      </c>
      <c r="Q322" s="49">
        <f>IF(Q$4&gt;=EOMONTH(CloseDate,'Rent Roll'!$O$44-1),1,0)</f>
        <v>1</v>
      </c>
      <c r="R322" s="49">
        <f>IF(R$4&gt;=EOMONTH(CloseDate,'Rent Roll'!$O$44-1),1,0)</f>
        <v>1</v>
      </c>
      <c r="S322" s="49">
        <f>IF(S$4&gt;=EOMONTH(CloseDate,'Rent Roll'!$O$44-1),1,0)</f>
        <v>1</v>
      </c>
      <c r="T322" s="49">
        <f>IF(T$4&gt;=EOMONTH(CloseDate,'Rent Roll'!$O$44-1),1,0)</f>
        <v>1</v>
      </c>
      <c r="U322" s="49">
        <f>IF(U$4&gt;=EOMONTH(CloseDate,'Rent Roll'!$O$44-1),1,0)</f>
        <v>1</v>
      </c>
      <c r="V322" s="49">
        <f>IF(V$4&gt;=EOMONTH(CloseDate,'Rent Roll'!$O$44-1),1,0)</f>
        <v>1</v>
      </c>
      <c r="W322" s="49">
        <f>IF(W$4&gt;=EOMONTH(CloseDate,'Rent Roll'!$O$44-1),1,0)</f>
        <v>1</v>
      </c>
      <c r="X322" s="49">
        <f>IF(X$4&gt;=EOMONTH(CloseDate,'Rent Roll'!$O$44-1),1,0)</f>
        <v>1</v>
      </c>
      <c r="Y322" s="49">
        <f>IF(Y$4&gt;=EOMONTH(CloseDate,'Rent Roll'!$O$44-1),1,0)</f>
        <v>1</v>
      </c>
      <c r="Z322" s="49">
        <f>IF(Z$4&gt;=EOMONTH(CloseDate,'Rent Roll'!$O$44-1),1,0)</f>
        <v>1</v>
      </c>
      <c r="AA322" s="49">
        <f>IF(AA$4&gt;=EOMONTH(CloseDate,'Rent Roll'!$O$44-1),1,0)</f>
        <v>1</v>
      </c>
      <c r="AB322" s="49">
        <f>IF(AB$4&gt;=EOMONTH(CloseDate,'Rent Roll'!$O$44-1),1,0)</f>
        <v>1</v>
      </c>
      <c r="AC322" s="49">
        <f>IF(AC$4&gt;=EOMONTH(CloseDate,'Rent Roll'!$O$44-1),1,0)</f>
        <v>1</v>
      </c>
      <c r="AD322" s="49">
        <f>IF(AD$4&gt;=EOMONTH(CloseDate,'Rent Roll'!$O$44-1),1,0)</f>
        <v>1</v>
      </c>
      <c r="AE322" s="49">
        <f>IF(AE$4&gt;=EOMONTH(CloseDate,'Rent Roll'!$O$44-1),1,0)</f>
        <v>1</v>
      </c>
      <c r="AF322" s="49">
        <f>IF(AF$4&gt;=EOMONTH(CloseDate,'Rent Roll'!$O$44-1),1,0)</f>
        <v>1</v>
      </c>
      <c r="AG322" s="49">
        <f>IF(AG$4&gt;=EOMONTH(CloseDate,'Rent Roll'!$O$44-1),1,0)</f>
        <v>1</v>
      </c>
      <c r="AH322" s="49">
        <f>IF(AH$4&gt;=EOMONTH(CloseDate,'Rent Roll'!$O$44-1),1,0)</f>
        <v>1</v>
      </c>
      <c r="AI322" s="49">
        <f>IF(AI$4&gt;=EOMONTH(CloseDate,'Rent Roll'!$O$44-1),1,0)</f>
        <v>1</v>
      </c>
      <c r="AJ322" s="49">
        <f>IF(AJ$4&gt;=EOMONTH(CloseDate,'Rent Roll'!$O$44-1),1,0)</f>
        <v>1</v>
      </c>
      <c r="AK322" s="49">
        <f>IF(AK$4&gt;=EOMONTH(CloseDate,'Rent Roll'!$O$44-1),1,0)</f>
        <v>1</v>
      </c>
      <c r="AL322" s="49">
        <f>IF(AL$4&gt;=EOMONTH(CloseDate,'Rent Roll'!$O$44-1),1,0)</f>
        <v>1</v>
      </c>
      <c r="AM322" s="49">
        <f>IF(AM$4&gt;=EOMONTH(CloseDate,'Rent Roll'!$O$44-1),1,0)</f>
        <v>1</v>
      </c>
      <c r="AN322" s="49">
        <f>IF(AN$4&gt;=EOMONTH(CloseDate,'Rent Roll'!$O$44-1),1,0)</f>
        <v>1</v>
      </c>
      <c r="AO322" s="49">
        <f>IF(AO$4&gt;=EOMONTH(CloseDate,'Rent Roll'!$O$44-1),1,0)</f>
        <v>1</v>
      </c>
      <c r="AP322" s="49">
        <f>IF(AP$4&gt;=EOMONTH(CloseDate,'Rent Roll'!$O$44-1),1,0)</f>
        <v>1</v>
      </c>
      <c r="AQ322" s="49">
        <f>IF(AQ$4&gt;=EOMONTH(CloseDate,'Rent Roll'!$O$44-1),1,0)</f>
        <v>1</v>
      </c>
      <c r="AR322" s="49">
        <f>IF(AR$4&gt;=EOMONTH(CloseDate,'Rent Roll'!$O$44-1),1,0)</f>
        <v>1</v>
      </c>
      <c r="AS322" s="49">
        <f>IF(AS$4&gt;=EOMONTH(CloseDate,'Rent Roll'!$O$44-1),1,0)</f>
        <v>1</v>
      </c>
      <c r="AT322" s="49">
        <f>IF(AT$4&gt;=EOMONTH(CloseDate,'Rent Roll'!$O$44-1),1,0)</f>
        <v>1</v>
      </c>
      <c r="AU322" s="49">
        <f>IF(AU$4&gt;=EOMONTH(CloseDate,'Rent Roll'!$O$44-1),1,0)</f>
        <v>1</v>
      </c>
      <c r="AV322" s="49">
        <f>IF(AV$4&gt;=EOMONTH(CloseDate,'Rent Roll'!$O$44-1),1,0)</f>
        <v>1</v>
      </c>
      <c r="AW322" s="49">
        <f>IF(AW$4&gt;=EOMONTH(CloseDate,'Rent Roll'!$O$44-1),1,0)</f>
        <v>1</v>
      </c>
      <c r="AX322" s="49">
        <f>IF(AX$4&gt;=EOMONTH(CloseDate,'Rent Roll'!$O$44-1),1,0)</f>
        <v>1</v>
      </c>
      <c r="AY322" s="49">
        <f>IF(AY$4&gt;=EOMONTH(CloseDate,'Rent Roll'!$O$44-1),1,0)</f>
        <v>1</v>
      </c>
      <c r="AZ322" s="49">
        <f>IF(AZ$4&gt;=EOMONTH(CloseDate,'Rent Roll'!$O$44-1),1,0)</f>
        <v>1</v>
      </c>
      <c r="BA322" s="49">
        <f>IF(BA$4&gt;=EOMONTH(CloseDate,'Rent Roll'!$O$44-1),1,0)</f>
        <v>1</v>
      </c>
      <c r="BB322" s="49">
        <f>IF(BB$4&gt;=EOMONTH(CloseDate,'Rent Roll'!$O$44-1),1,0)</f>
        <v>1</v>
      </c>
      <c r="BC322" s="49">
        <f>IF(BC$4&gt;=EOMONTH(CloseDate,'Rent Roll'!$O$44-1),1,0)</f>
        <v>1</v>
      </c>
      <c r="BD322" s="49">
        <f>IF(BD$4&gt;=EOMONTH(CloseDate,'Rent Roll'!$O$44-1),1,0)</f>
        <v>1</v>
      </c>
      <c r="BE322" s="49">
        <f>IF(BE$4&gt;=EOMONTH(CloseDate,'Rent Roll'!$O$44-1),1,0)</f>
        <v>1</v>
      </c>
      <c r="BF322" s="49">
        <f>IF(BF$4&gt;=EOMONTH(CloseDate,'Rent Roll'!$O$44-1),1,0)</f>
        <v>1</v>
      </c>
      <c r="BG322" s="49">
        <f>IF(BG$4&gt;=EOMONTH(CloseDate,'Rent Roll'!$O$44-1),1,0)</f>
        <v>1</v>
      </c>
      <c r="BH322" s="49">
        <f>IF(BH$4&gt;=EOMONTH(CloseDate,'Rent Roll'!$O$44-1),1,0)</f>
        <v>1</v>
      </c>
      <c r="BI322" s="49">
        <f>IF(BI$4&gt;=EOMONTH(CloseDate,'Rent Roll'!$O$44-1),1,0)</f>
        <v>1</v>
      </c>
      <c r="BJ322" s="49">
        <f>IF(BJ$4&gt;=EOMONTH(CloseDate,'Rent Roll'!$O$44-1),1,0)</f>
        <v>1</v>
      </c>
      <c r="BK322" s="49">
        <f>IF(BK$4&gt;=EOMONTH(CloseDate,'Rent Roll'!$O$44-1),1,0)</f>
        <v>1</v>
      </c>
      <c r="BL322" s="49">
        <f>IF(BL$4&gt;=EOMONTH(CloseDate,'Rent Roll'!$O$44-1),1,0)</f>
        <v>1</v>
      </c>
      <c r="BM322" s="49">
        <f>IF(BM$4&gt;=EOMONTH(CloseDate,'Rent Roll'!$O$44-1),1,0)</f>
        <v>1</v>
      </c>
      <c r="BN322" s="49">
        <f>IF(BN$4&gt;=EOMONTH(CloseDate,'Rent Roll'!$O$44-1),1,0)</f>
        <v>1</v>
      </c>
      <c r="BO322" s="49">
        <f>IF(BO$4&gt;=EOMONTH(CloseDate,'Rent Roll'!$O$44-1),1,0)</f>
        <v>1</v>
      </c>
      <c r="BP322" s="49">
        <f>IF(BP$4&gt;=EOMONTH(CloseDate,'Rent Roll'!$O$44-1),1,0)</f>
        <v>1</v>
      </c>
      <c r="BQ322" s="49">
        <f>IF(BQ$4&gt;=EOMONTH(CloseDate,'Rent Roll'!$O$44-1),1,0)</f>
        <v>1</v>
      </c>
      <c r="BR322" s="49">
        <f>IF(BR$4&gt;=EOMONTH(CloseDate,'Rent Roll'!$O$44-1),1,0)</f>
        <v>1</v>
      </c>
      <c r="BS322" s="49">
        <f>IF(BS$4&gt;=EOMONTH(CloseDate,'Rent Roll'!$O$44-1),1,0)</f>
        <v>1</v>
      </c>
      <c r="BT322" s="49">
        <f>IF(BT$4&gt;=EOMONTH(CloseDate,'Rent Roll'!$O$44-1),1,0)</f>
        <v>1</v>
      </c>
      <c r="BU322" s="49">
        <f>IF(BU$4&gt;=EOMONTH(CloseDate,'Rent Roll'!$O$44-1),1,0)</f>
        <v>1</v>
      </c>
      <c r="BV322" s="49">
        <f>IF(BV$4&gt;=EOMONTH(CloseDate,'Rent Roll'!$O$44-1),1,0)</f>
        <v>1</v>
      </c>
      <c r="BW322" s="49">
        <f>IF(BW$4&gt;=EOMONTH(CloseDate,'Rent Roll'!$O$44-1),1,0)</f>
        <v>1</v>
      </c>
      <c r="BX322" s="49">
        <f>IF(BX$4&gt;=EOMONTH(CloseDate,'Rent Roll'!$O$44-1),1,0)</f>
        <v>1</v>
      </c>
    </row>
    <row r="323" spans="1:76" outlineLevel="1">
      <c r="B323" t="s">
        <v>162</v>
      </c>
      <c r="D323" s="49">
        <f>IF(D322=1,'Rent Roll'!$F$44*'Rent Roll'!$X$44/12*D$6,0)</f>
        <v>0</v>
      </c>
      <c r="E323" s="49">
        <f>IF(E322=1,'Rent Roll'!$F$44*'Rent Roll'!$X$44/12*E$6,0)</f>
        <v>0</v>
      </c>
      <c r="F323" s="49">
        <f>IF(F322=1,'Rent Roll'!$F$44*'Rent Roll'!$X$44/12*F$6,0)</f>
        <v>0</v>
      </c>
      <c r="G323" s="49">
        <f>IF(G322=1,'Rent Roll'!$F$44*'Rent Roll'!$X$44/12*G$6,0)</f>
        <v>0</v>
      </c>
      <c r="H323" s="49">
        <f>IF(H322=1,'Rent Roll'!$F$44*'Rent Roll'!$X$44/12*H$6,0)</f>
        <v>0</v>
      </c>
      <c r="I323" s="49">
        <f>IF(I322=1,'Rent Roll'!$F$44*'Rent Roll'!$X$44/12*I$6,0)</f>
        <v>0</v>
      </c>
      <c r="J323" s="49">
        <f>IF(J322=1,'Rent Roll'!$F$44*'Rent Roll'!$X$44/12*J$6,0)</f>
        <v>0</v>
      </c>
      <c r="K323" s="49">
        <f>IF(K322=1,'Rent Roll'!$F$44*'Rent Roll'!$X$44/12*K$6,0)</f>
        <v>0</v>
      </c>
      <c r="L323" s="49">
        <f>IF(L322=1,'Rent Roll'!$F$44*'Rent Roll'!$X$44/12*L$6,0)</f>
        <v>0</v>
      </c>
      <c r="M323" s="49">
        <f>IF(M322=1,'Rent Roll'!$F$44*'Rent Roll'!$X$44/12*M$6,0)</f>
        <v>0</v>
      </c>
      <c r="N323" s="49">
        <f>IF(N322=1,'Rent Roll'!$F$44*'Rent Roll'!$X$44/12*N$6,0)</f>
        <v>0</v>
      </c>
      <c r="O323" s="49">
        <f>IF(O322=1,'Rent Roll'!$F$44*'Rent Roll'!$X$44/12*O$6,0)</f>
        <v>0</v>
      </c>
      <c r="P323" s="49">
        <f>IF(P322=1,'Rent Roll'!$F$44*'Rent Roll'!$X$44/12*P$6,0)</f>
        <v>0</v>
      </c>
      <c r="Q323" s="49">
        <f>IF(Q322=1,'Rent Roll'!$F$44*'Rent Roll'!$X$44/12*Q$6,0)</f>
        <v>26701.999999999996</v>
      </c>
      <c r="R323" s="49">
        <f>IF(R322=1,'Rent Roll'!$F$44*'Rent Roll'!$X$44/12*R$6,0)</f>
        <v>26701.999999999996</v>
      </c>
      <c r="S323" s="49">
        <f>IF(S322=1,'Rent Roll'!$F$44*'Rent Roll'!$X$44/12*S$6,0)</f>
        <v>26701.999999999996</v>
      </c>
      <c r="T323" s="49">
        <f>IF(T322=1,'Rent Roll'!$F$44*'Rent Roll'!$X$44/12*T$6,0)</f>
        <v>26701.999999999996</v>
      </c>
      <c r="U323" s="49">
        <f>IF(U322=1,'Rent Roll'!$F$44*'Rent Roll'!$X$44/12*U$6,0)</f>
        <v>27422.953999999994</v>
      </c>
      <c r="V323" s="49">
        <f>IF(V322=1,'Rent Roll'!$F$44*'Rent Roll'!$X$44/12*V$6,0)</f>
        <v>27422.953999999994</v>
      </c>
      <c r="W323" s="49">
        <f>IF(W322=1,'Rent Roll'!$F$44*'Rent Roll'!$X$44/12*W$6,0)</f>
        <v>27422.953999999994</v>
      </c>
      <c r="X323" s="49">
        <f>IF(X322=1,'Rent Roll'!$F$44*'Rent Roll'!$X$44/12*X$6,0)</f>
        <v>27422.953999999994</v>
      </c>
      <c r="Y323" s="49">
        <f>IF(Y322=1,'Rent Roll'!$F$44*'Rent Roll'!$X$44/12*Y$6,0)</f>
        <v>27422.953999999994</v>
      </c>
      <c r="Z323" s="49">
        <f>IF(Z322=1,'Rent Roll'!$F$44*'Rent Roll'!$X$44/12*Z$6,0)</f>
        <v>27422.953999999994</v>
      </c>
      <c r="AA323" s="49">
        <f>IF(AA322=1,'Rent Roll'!$F$44*'Rent Roll'!$X$44/12*AA$6,0)</f>
        <v>27422.953999999994</v>
      </c>
      <c r="AB323" s="49">
        <f>IF(AB322=1,'Rent Roll'!$F$44*'Rent Roll'!$X$44/12*AB$6,0)</f>
        <v>27422.953999999994</v>
      </c>
      <c r="AC323" s="49">
        <f>IF(AC322=1,'Rent Roll'!$F$44*'Rent Roll'!$X$44/12*AC$6,0)</f>
        <v>27422.953999999994</v>
      </c>
      <c r="AD323" s="49">
        <f>IF(AD322=1,'Rent Roll'!$F$44*'Rent Roll'!$X$44/12*AD$6,0)</f>
        <v>27422.953999999994</v>
      </c>
      <c r="AE323" s="49">
        <f>IF(AE322=1,'Rent Roll'!$F$44*'Rent Roll'!$X$44/12*AE$6,0)</f>
        <v>27422.953999999994</v>
      </c>
      <c r="AF323" s="49">
        <f>IF(AF322=1,'Rent Roll'!$F$44*'Rent Roll'!$X$44/12*AF$6,0)</f>
        <v>27422.953999999994</v>
      </c>
      <c r="AG323" s="49">
        <f>IF(AG322=1,'Rent Roll'!$F$44*'Rent Roll'!$X$44/12*AG$6,0)</f>
        <v>28163.373757999994</v>
      </c>
      <c r="AH323" s="49">
        <f>IF(AH322=1,'Rent Roll'!$F$44*'Rent Roll'!$X$44/12*AH$6,0)</f>
        <v>28163.373757999994</v>
      </c>
      <c r="AI323" s="49">
        <f>IF(AI322=1,'Rent Roll'!$F$44*'Rent Roll'!$X$44/12*AI$6,0)</f>
        <v>28163.373757999994</v>
      </c>
      <c r="AJ323" s="49">
        <f>IF(AJ322=1,'Rent Roll'!$F$44*'Rent Roll'!$X$44/12*AJ$6,0)</f>
        <v>28163.373757999994</v>
      </c>
      <c r="AK323" s="49">
        <f>IF(AK322=1,'Rent Roll'!$F$44*'Rent Roll'!$X$44/12*AK$6,0)</f>
        <v>28163.373757999994</v>
      </c>
      <c r="AL323" s="49">
        <f>IF(AL322=1,'Rent Roll'!$F$44*'Rent Roll'!$X$44/12*AL$6,0)</f>
        <v>28163.373757999994</v>
      </c>
      <c r="AM323" s="49">
        <f>IF(AM322=1,'Rent Roll'!$F$44*'Rent Roll'!$X$44/12*AM$6,0)</f>
        <v>28163.373757999994</v>
      </c>
      <c r="AN323" s="49">
        <f>IF(AN322=1,'Rent Roll'!$F$44*'Rent Roll'!$X$44/12*AN$6,0)</f>
        <v>28163.373757999994</v>
      </c>
      <c r="AO323" s="49">
        <f>IF(AO322=1,'Rent Roll'!$F$44*'Rent Roll'!$X$44/12*AO$6,0)</f>
        <v>28163.373757999994</v>
      </c>
      <c r="AP323" s="49">
        <f>IF(AP322=1,'Rent Roll'!$F$44*'Rent Roll'!$X$44/12*AP$6,0)</f>
        <v>28163.373757999994</v>
      </c>
      <c r="AQ323" s="49">
        <f>IF(AQ322=1,'Rent Roll'!$F$44*'Rent Roll'!$X$44/12*AQ$6,0)</f>
        <v>28163.373757999994</v>
      </c>
      <c r="AR323" s="49">
        <f>IF(AR322=1,'Rent Roll'!$F$44*'Rent Roll'!$X$44/12*AR$6,0)</f>
        <v>28163.373757999994</v>
      </c>
      <c r="AS323" s="49">
        <f>IF(AS322=1,'Rent Roll'!$F$44*'Rent Roll'!$X$44/12*AS$6,0)</f>
        <v>28923.784849465988</v>
      </c>
      <c r="AT323" s="49">
        <f>IF(AT322=1,'Rent Roll'!$F$44*'Rent Roll'!$X$44/12*AT$6,0)</f>
        <v>28923.784849465988</v>
      </c>
      <c r="AU323" s="49">
        <f>IF(AU322=1,'Rent Roll'!$F$44*'Rent Roll'!$X$44/12*AU$6,0)</f>
        <v>28923.784849465988</v>
      </c>
      <c r="AV323" s="49">
        <f>IF(AV322=1,'Rent Roll'!$F$44*'Rent Roll'!$X$44/12*AV$6,0)</f>
        <v>28923.784849465988</v>
      </c>
      <c r="AW323" s="49">
        <f>IF(AW322=1,'Rent Roll'!$F$44*'Rent Roll'!$X$44/12*AW$6,0)</f>
        <v>28923.784849465988</v>
      </c>
      <c r="AX323" s="49">
        <f>IF(AX322=1,'Rent Roll'!$F$44*'Rent Roll'!$X$44/12*AX$6,0)</f>
        <v>28923.784849465988</v>
      </c>
      <c r="AY323" s="49">
        <f>IF(AY322=1,'Rent Roll'!$F$44*'Rent Roll'!$X$44/12*AY$6,0)</f>
        <v>28923.784849465988</v>
      </c>
      <c r="AZ323" s="49">
        <f>IF(AZ322=1,'Rent Roll'!$F$44*'Rent Roll'!$X$44/12*AZ$6,0)</f>
        <v>28923.784849465988</v>
      </c>
      <c r="BA323" s="49">
        <f>IF(BA322=1,'Rent Roll'!$F$44*'Rent Roll'!$X$44/12*BA$6,0)</f>
        <v>28923.784849465988</v>
      </c>
      <c r="BB323" s="49">
        <f>IF(BB322=1,'Rent Roll'!$F$44*'Rent Roll'!$X$44/12*BB$6,0)</f>
        <v>28923.784849465988</v>
      </c>
      <c r="BC323" s="49">
        <f>IF(BC322=1,'Rent Roll'!$F$44*'Rent Roll'!$X$44/12*BC$6,0)</f>
        <v>28923.784849465988</v>
      </c>
      <c r="BD323" s="49">
        <f>IF(BD322=1,'Rent Roll'!$F$44*'Rent Roll'!$X$44/12*BD$6,0)</f>
        <v>28923.784849465988</v>
      </c>
      <c r="BE323" s="49">
        <f>IF(BE322=1,'Rent Roll'!$F$44*'Rent Roll'!$X$44/12*BE$6,0)</f>
        <v>29704.727040401569</v>
      </c>
      <c r="BF323" s="49">
        <f>IF(BF322=1,'Rent Roll'!$F$44*'Rent Roll'!$X$44/12*BF$6,0)</f>
        <v>29704.727040401569</v>
      </c>
      <c r="BG323" s="49">
        <f>IF(BG322=1,'Rent Roll'!$F$44*'Rent Roll'!$X$44/12*BG$6,0)</f>
        <v>29704.727040401569</v>
      </c>
      <c r="BH323" s="49">
        <f>IF(BH322=1,'Rent Roll'!$F$44*'Rent Roll'!$X$44/12*BH$6,0)</f>
        <v>29704.727040401569</v>
      </c>
      <c r="BI323" s="49">
        <f>IF(BI322=1,'Rent Roll'!$F$44*'Rent Roll'!$X$44/12*BI$6,0)</f>
        <v>29704.727040401569</v>
      </c>
      <c r="BJ323" s="49">
        <f>IF(BJ322=1,'Rent Roll'!$F$44*'Rent Roll'!$X$44/12*BJ$6,0)</f>
        <v>29704.727040401569</v>
      </c>
      <c r="BK323" s="49">
        <f>IF(BK322=1,'Rent Roll'!$F$44*'Rent Roll'!$X$44/12*BK$6,0)</f>
        <v>29704.727040401569</v>
      </c>
      <c r="BL323" s="49">
        <f>IF(BL322=1,'Rent Roll'!$F$44*'Rent Roll'!$X$44/12*BL$6,0)</f>
        <v>29704.727040401569</v>
      </c>
      <c r="BM323" s="49">
        <f>IF(BM322=1,'Rent Roll'!$F$44*'Rent Roll'!$X$44/12*BM$6,0)</f>
        <v>29704.727040401569</v>
      </c>
      <c r="BN323" s="49">
        <f>IF(BN322=1,'Rent Roll'!$F$44*'Rent Roll'!$X$44/12*BN$6,0)</f>
        <v>29704.727040401569</v>
      </c>
      <c r="BO323" s="49">
        <f>IF(BO322=1,'Rent Roll'!$F$44*'Rent Roll'!$X$44/12*BO$6,0)</f>
        <v>29704.727040401569</v>
      </c>
      <c r="BP323" s="49">
        <f>IF(BP322=1,'Rent Roll'!$F$44*'Rent Roll'!$X$44/12*BP$6,0)</f>
        <v>29704.727040401569</v>
      </c>
      <c r="BQ323" s="49">
        <f>IF(BQ322=1,'Rent Roll'!$F$44*'Rent Roll'!$X$44/12*BQ$6,0)</f>
        <v>30506.754670492406</v>
      </c>
      <c r="BR323" s="49">
        <f>IF(BR322=1,'Rent Roll'!$F$44*'Rent Roll'!$X$44/12*BR$6,0)</f>
        <v>30506.754670492406</v>
      </c>
      <c r="BS323" s="49">
        <f>IF(BS322=1,'Rent Roll'!$F$44*'Rent Roll'!$X$44/12*BS$6,0)</f>
        <v>30506.754670492406</v>
      </c>
      <c r="BT323" s="49">
        <f>IF(BT322=1,'Rent Roll'!$F$44*'Rent Roll'!$X$44/12*BT$6,0)</f>
        <v>30506.754670492406</v>
      </c>
      <c r="BU323" s="49">
        <f>IF(BU322=1,'Rent Roll'!$F$44*'Rent Roll'!$X$44/12*BU$6,0)</f>
        <v>30506.754670492406</v>
      </c>
      <c r="BV323" s="49">
        <f>IF(BV322=1,'Rent Roll'!$F$44*'Rent Roll'!$X$44/12*BV$6,0)</f>
        <v>30506.754670492406</v>
      </c>
      <c r="BW323" s="49">
        <f>IF(BW322=1,'Rent Roll'!$F$44*'Rent Roll'!$X$44/12*BW$6,0)</f>
        <v>30506.754670492406</v>
      </c>
      <c r="BX323" s="49">
        <f>IF(BX322=1,'Rent Roll'!$F$44*'Rent Roll'!$X$44/12*BX$6,0)</f>
        <v>30506.754670492406</v>
      </c>
    </row>
    <row r="324" spans="1:76" outlineLevel="1">
      <c r="B324" t="s">
        <v>163</v>
      </c>
      <c r="D324" s="49">
        <f>IF(AND(D$4&gt;=EOMONTH(CloseDate,'Rent Roll'!$O$44-1),D$4&lt;EOMONTH(CloseDate,'Rent Roll'!$O$44-1+'Rent Roll'!$V$44)),-D323,0)</f>
        <v>0</v>
      </c>
      <c r="E324" s="49">
        <f>IF(AND(E$4&gt;=EOMONTH(CloseDate,'Rent Roll'!$O$44-1),E$4&lt;EOMONTH(CloseDate,'Rent Roll'!$O$44-1+'Rent Roll'!$V$44)),-E323,0)</f>
        <v>0</v>
      </c>
      <c r="F324" s="49">
        <f>IF(AND(F$4&gt;=EOMONTH(CloseDate,'Rent Roll'!$O$44-1),F$4&lt;EOMONTH(CloseDate,'Rent Roll'!$O$44-1+'Rent Roll'!$V$44)),-F323,0)</f>
        <v>0</v>
      </c>
      <c r="G324" s="49">
        <f>IF(AND(G$4&gt;=EOMONTH(CloseDate,'Rent Roll'!$O$44-1),G$4&lt;EOMONTH(CloseDate,'Rent Roll'!$O$44-1+'Rent Roll'!$V$44)),-G323,0)</f>
        <v>0</v>
      </c>
      <c r="H324" s="49">
        <f>IF(AND(H$4&gt;=EOMONTH(CloseDate,'Rent Roll'!$O$44-1),H$4&lt;EOMONTH(CloseDate,'Rent Roll'!$O$44-1+'Rent Roll'!$V$44)),-H323,0)</f>
        <v>0</v>
      </c>
      <c r="I324" s="49">
        <f>IF(AND(I$4&gt;=EOMONTH(CloseDate,'Rent Roll'!$O$44-1),I$4&lt;EOMONTH(CloseDate,'Rent Roll'!$O$44-1+'Rent Roll'!$V$44)),-I323,0)</f>
        <v>0</v>
      </c>
      <c r="J324" s="49">
        <f>IF(AND(J$4&gt;=EOMONTH(CloseDate,'Rent Roll'!$O$44-1),J$4&lt;EOMONTH(CloseDate,'Rent Roll'!$O$44-1+'Rent Roll'!$V$44)),-J323,0)</f>
        <v>0</v>
      </c>
      <c r="K324" s="49">
        <f>IF(AND(K$4&gt;=EOMONTH(CloseDate,'Rent Roll'!$O$44-1),K$4&lt;EOMONTH(CloseDate,'Rent Roll'!$O$44-1+'Rent Roll'!$V$44)),-K323,0)</f>
        <v>0</v>
      </c>
      <c r="L324" s="49">
        <f>IF(AND(L$4&gt;=EOMONTH(CloseDate,'Rent Roll'!$O$44-1),L$4&lt;EOMONTH(CloseDate,'Rent Roll'!$O$44-1+'Rent Roll'!$V$44)),-L323,0)</f>
        <v>0</v>
      </c>
      <c r="M324" s="49">
        <f>IF(AND(M$4&gt;=EOMONTH(CloseDate,'Rent Roll'!$O$44-1),M$4&lt;EOMONTH(CloseDate,'Rent Roll'!$O$44-1+'Rent Roll'!$V$44)),-M323,0)</f>
        <v>0</v>
      </c>
      <c r="N324" s="49">
        <f>IF(AND(N$4&gt;=EOMONTH(CloseDate,'Rent Roll'!$O$44-1),N$4&lt;EOMONTH(CloseDate,'Rent Roll'!$O$44-1+'Rent Roll'!$V$44)),-N323,0)</f>
        <v>0</v>
      </c>
      <c r="O324" s="49">
        <f>IF(AND(O$4&gt;=EOMONTH(CloseDate,'Rent Roll'!$O$44-1),O$4&lt;EOMONTH(CloseDate,'Rent Roll'!$O$44-1+'Rent Roll'!$V$44)),-O323,0)</f>
        <v>0</v>
      </c>
      <c r="P324" s="49">
        <f>IF(AND(P$4&gt;=EOMONTH(CloseDate,'Rent Roll'!$O$44-1),P$4&lt;EOMONTH(CloseDate,'Rent Roll'!$O$44-1+'Rent Roll'!$V$44)),-P323,0)</f>
        <v>0</v>
      </c>
      <c r="Q324" s="49">
        <f>IF(AND(Q$4&gt;=EOMONTH(CloseDate,'Rent Roll'!$O$44-1),Q$4&lt;EOMONTH(CloseDate,'Rent Roll'!$O$44-1+'Rent Roll'!$V$44)),-Q323,0)</f>
        <v>-26701.999999999996</v>
      </c>
      <c r="R324" s="49">
        <f>IF(AND(R$4&gt;=EOMONTH(CloseDate,'Rent Roll'!$O$44-1),R$4&lt;EOMONTH(CloseDate,'Rent Roll'!$O$44-1+'Rent Roll'!$V$44)),-R323,0)</f>
        <v>-26701.999999999996</v>
      </c>
      <c r="S324" s="49">
        <f>IF(AND(S$4&gt;=EOMONTH(CloseDate,'Rent Roll'!$O$44-1),S$4&lt;EOMONTH(CloseDate,'Rent Roll'!$O$44-1+'Rent Roll'!$V$44)),-S323,0)</f>
        <v>0</v>
      </c>
      <c r="T324" s="49">
        <f>IF(AND(T$4&gt;=EOMONTH(CloseDate,'Rent Roll'!$O$44-1),T$4&lt;EOMONTH(CloseDate,'Rent Roll'!$O$44-1+'Rent Roll'!$V$44)),-T323,0)</f>
        <v>0</v>
      </c>
      <c r="U324" s="49">
        <f>IF(AND(U$4&gt;=EOMONTH(CloseDate,'Rent Roll'!$O$44-1),U$4&lt;EOMONTH(CloseDate,'Rent Roll'!$O$44-1+'Rent Roll'!$V$44)),-U323,0)</f>
        <v>0</v>
      </c>
      <c r="V324" s="49">
        <f>IF(AND(V$4&gt;=EOMONTH(CloseDate,'Rent Roll'!$O$44-1),V$4&lt;EOMONTH(CloseDate,'Rent Roll'!$O$44-1+'Rent Roll'!$V$44)),-V323,0)</f>
        <v>0</v>
      </c>
      <c r="W324" s="49">
        <f>IF(AND(W$4&gt;=EOMONTH(CloseDate,'Rent Roll'!$O$44-1),W$4&lt;EOMONTH(CloseDate,'Rent Roll'!$O$44-1+'Rent Roll'!$V$44)),-W323,0)</f>
        <v>0</v>
      </c>
      <c r="X324" s="49">
        <f>IF(AND(X$4&gt;=EOMONTH(CloseDate,'Rent Roll'!$O$44-1),X$4&lt;EOMONTH(CloseDate,'Rent Roll'!$O$44-1+'Rent Roll'!$V$44)),-X323,0)</f>
        <v>0</v>
      </c>
      <c r="Y324" s="49">
        <f>IF(AND(Y$4&gt;=EOMONTH(CloseDate,'Rent Roll'!$O$44-1),Y$4&lt;EOMONTH(CloseDate,'Rent Roll'!$O$44-1+'Rent Roll'!$V$44)),-Y323,0)</f>
        <v>0</v>
      </c>
      <c r="Z324" s="49">
        <f>IF(AND(Z$4&gt;=EOMONTH(CloseDate,'Rent Roll'!$O$44-1),Z$4&lt;EOMONTH(CloseDate,'Rent Roll'!$O$44-1+'Rent Roll'!$V$44)),-Z323,0)</f>
        <v>0</v>
      </c>
      <c r="AA324" s="49">
        <f>IF(AND(AA$4&gt;=EOMONTH(CloseDate,'Rent Roll'!$O$44-1),AA$4&lt;EOMONTH(CloseDate,'Rent Roll'!$O$44-1+'Rent Roll'!$V$44)),-AA323,0)</f>
        <v>0</v>
      </c>
      <c r="AB324" s="49">
        <f>IF(AND(AB$4&gt;=EOMONTH(CloseDate,'Rent Roll'!$O$44-1),AB$4&lt;EOMONTH(CloseDate,'Rent Roll'!$O$44-1+'Rent Roll'!$V$44)),-AB323,0)</f>
        <v>0</v>
      </c>
      <c r="AC324" s="49">
        <f>IF(AND(AC$4&gt;=EOMONTH(CloseDate,'Rent Roll'!$O$44-1),AC$4&lt;EOMONTH(CloseDate,'Rent Roll'!$O$44-1+'Rent Roll'!$V$44)),-AC323,0)</f>
        <v>0</v>
      </c>
      <c r="AD324" s="49">
        <f>IF(AND(AD$4&gt;=EOMONTH(CloseDate,'Rent Roll'!$O$44-1),AD$4&lt;EOMONTH(CloseDate,'Rent Roll'!$O$44-1+'Rent Roll'!$V$44)),-AD323,0)</f>
        <v>0</v>
      </c>
      <c r="AE324" s="49">
        <f>IF(AND(AE$4&gt;=EOMONTH(CloseDate,'Rent Roll'!$O$44-1),AE$4&lt;EOMONTH(CloseDate,'Rent Roll'!$O$44-1+'Rent Roll'!$V$44)),-AE323,0)</f>
        <v>0</v>
      </c>
      <c r="AF324" s="49">
        <f>IF(AND(AF$4&gt;=EOMONTH(CloseDate,'Rent Roll'!$O$44-1),AF$4&lt;EOMONTH(CloseDate,'Rent Roll'!$O$44-1+'Rent Roll'!$V$44)),-AF323,0)</f>
        <v>0</v>
      </c>
      <c r="AG324" s="49">
        <f>IF(AND(AG$4&gt;=EOMONTH(CloseDate,'Rent Roll'!$O$44-1),AG$4&lt;EOMONTH(CloseDate,'Rent Roll'!$O$44-1+'Rent Roll'!$V$44)),-AG323,0)</f>
        <v>0</v>
      </c>
      <c r="AH324" s="49">
        <f>IF(AND(AH$4&gt;=EOMONTH(CloseDate,'Rent Roll'!$O$44-1),AH$4&lt;EOMONTH(CloseDate,'Rent Roll'!$O$44-1+'Rent Roll'!$V$44)),-AH323,0)</f>
        <v>0</v>
      </c>
      <c r="AI324" s="49">
        <f>IF(AND(AI$4&gt;=EOMONTH(CloseDate,'Rent Roll'!$O$44-1),AI$4&lt;EOMONTH(CloseDate,'Rent Roll'!$O$44-1+'Rent Roll'!$V$44)),-AI323,0)</f>
        <v>0</v>
      </c>
      <c r="AJ324" s="49">
        <f>IF(AND(AJ$4&gt;=EOMONTH(CloseDate,'Rent Roll'!$O$44-1),AJ$4&lt;EOMONTH(CloseDate,'Rent Roll'!$O$44-1+'Rent Roll'!$V$44)),-AJ323,0)</f>
        <v>0</v>
      </c>
      <c r="AK324" s="49">
        <f>IF(AND(AK$4&gt;=EOMONTH(CloseDate,'Rent Roll'!$O$44-1),AK$4&lt;EOMONTH(CloseDate,'Rent Roll'!$O$44-1+'Rent Roll'!$V$44)),-AK323,0)</f>
        <v>0</v>
      </c>
      <c r="AL324" s="49">
        <f>IF(AND(AL$4&gt;=EOMONTH(CloseDate,'Rent Roll'!$O$44-1),AL$4&lt;EOMONTH(CloseDate,'Rent Roll'!$O$44-1+'Rent Roll'!$V$44)),-AL323,0)</f>
        <v>0</v>
      </c>
      <c r="AM324" s="49">
        <f>IF(AND(AM$4&gt;=EOMONTH(CloseDate,'Rent Roll'!$O$44-1),AM$4&lt;EOMONTH(CloseDate,'Rent Roll'!$O$44-1+'Rent Roll'!$V$44)),-AM323,0)</f>
        <v>0</v>
      </c>
      <c r="AN324" s="49">
        <f>IF(AND(AN$4&gt;=EOMONTH(CloseDate,'Rent Roll'!$O$44-1),AN$4&lt;EOMONTH(CloseDate,'Rent Roll'!$O$44-1+'Rent Roll'!$V$44)),-AN323,0)</f>
        <v>0</v>
      </c>
      <c r="AO324" s="49">
        <f>IF(AND(AO$4&gt;=EOMONTH(CloseDate,'Rent Roll'!$O$44-1),AO$4&lt;EOMONTH(CloseDate,'Rent Roll'!$O$44-1+'Rent Roll'!$V$44)),-AO323,0)</f>
        <v>0</v>
      </c>
      <c r="AP324" s="49">
        <f>IF(AND(AP$4&gt;=EOMONTH(CloseDate,'Rent Roll'!$O$44-1),AP$4&lt;EOMONTH(CloseDate,'Rent Roll'!$O$44-1+'Rent Roll'!$V$44)),-AP323,0)</f>
        <v>0</v>
      </c>
      <c r="AQ324" s="49">
        <f>IF(AND(AQ$4&gt;=EOMONTH(CloseDate,'Rent Roll'!$O$44-1),AQ$4&lt;EOMONTH(CloseDate,'Rent Roll'!$O$44-1+'Rent Roll'!$V$44)),-AQ323,0)</f>
        <v>0</v>
      </c>
      <c r="AR324" s="49">
        <f>IF(AND(AR$4&gt;=EOMONTH(CloseDate,'Rent Roll'!$O$44-1),AR$4&lt;EOMONTH(CloseDate,'Rent Roll'!$O$44-1+'Rent Roll'!$V$44)),-AR323,0)</f>
        <v>0</v>
      </c>
      <c r="AS324" s="49">
        <f>IF(AND(AS$4&gt;=EOMONTH(CloseDate,'Rent Roll'!$O$44-1),AS$4&lt;EOMONTH(CloseDate,'Rent Roll'!$O$44-1+'Rent Roll'!$V$44)),-AS323,0)</f>
        <v>0</v>
      </c>
      <c r="AT324" s="49">
        <f>IF(AND(AT$4&gt;=EOMONTH(CloseDate,'Rent Roll'!$O$44-1),AT$4&lt;EOMONTH(CloseDate,'Rent Roll'!$O$44-1+'Rent Roll'!$V$44)),-AT323,0)</f>
        <v>0</v>
      </c>
      <c r="AU324" s="49">
        <f>IF(AND(AU$4&gt;=EOMONTH(CloseDate,'Rent Roll'!$O$44-1),AU$4&lt;EOMONTH(CloseDate,'Rent Roll'!$O$44-1+'Rent Roll'!$V$44)),-AU323,0)</f>
        <v>0</v>
      </c>
      <c r="AV324" s="49">
        <f>IF(AND(AV$4&gt;=EOMONTH(CloseDate,'Rent Roll'!$O$44-1),AV$4&lt;EOMONTH(CloseDate,'Rent Roll'!$O$44-1+'Rent Roll'!$V$44)),-AV323,0)</f>
        <v>0</v>
      </c>
      <c r="AW324" s="49">
        <f>IF(AND(AW$4&gt;=EOMONTH(CloseDate,'Rent Roll'!$O$44-1),AW$4&lt;EOMONTH(CloseDate,'Rent Roll'!$O$44-1+'Rent Roll'!$V$44)),-AW323,0)</f>
        <v>0</v>
      </c>
      <c r="AX324" s="49">
        <f>IF(AND(AX$4&gt;=EOMONTH(CloseDate,'Rent Roll'!$O$44-1),AX$4&lt;EOMONTH(CloseDate,'Rent Roll'!$O$44-1+'Rent Roll'!$V$44)),-AX323,0)</f>
        <v>0</v>
      </c>
      <c r="AY324" s="49">
        <f>IF(AND(AY$4&gt;=EOMONTH(CloseDate,'Rent Roll'!$O$44-1),AY$4&lt;EOMONTH(CloseDate,'Rent Roll'!$O$44-1+'Rent Roll'!$V$44)),-AY323,0)</f>
        <v>0</v>
      </c>
      <c r="AZ324" s="49">
        <f>IF(AND(AZ$4&gt;=EOMONTH(CloseDate,'Rent Roll'!$O$44-1),AZ$4&lt;EOMONTH(CloseDate,'Rent Roll'!$O$44-1+'Rent Roll'!$V$44)),-AZ323,0)</f>
        <v>0</v>
      </c>
      <c r="BA324" s="49">
        <f>IF(AND(BA$4&gt;=EOMONTH(CloseDate,'Rent Roll'!$O$44-1),BA$4&lt;EOMONTH(CloseDate,'Rent Roll'!$O$44-1+'Rent Roll'!$V$44)),-BA323,0)</f>
        <v>0</v>
      </c>
      <c r="BB324" s="49">
        <f>IF(AND(BB$4&gt;=EOMONTH(CloseDate,'Rent Roll'!$O$44-1),BB$4&lt;EOMONTH(CloseDate,'Rent Roll'!$O$44-1+'Rent Roll'!$V$44)),-BB323,0)</f>
        <v>0</v>
      </c>
      <c r="BC324" s="49">
        <f>IF(AND(BC$4&gt;=EOMONTH(CloseDate,'Rent Roll'!$O$44-1),BC$4&lt;EOMONTH(CloseDate,'Rent Roll'!$O$44-1+'Rent Roll'!$V$44)),-BC323,0)</f>
        <v>0</v>
      </c>
      <c r="BD324" s="49">
        <f>IF(AND(BD$4&gt;=EOMONTH(CloseDate,'Rent Roll'!$O$44-1),BD$4&lt;EOMONTH(CloseDate,'Rent Roll'!$O$44-1+'Rent Roll'!$V$44)),-BD323,0)</f>
        <v>0</v>
      </c>
      <c r="BE324" s="49">
        <f>IF(AND(BE$4&gt;=EOMONTH(CloseDate,'Rent Roll'!$O$44-1),BE$4&lt;EOMONTH(CloseDate,'Rent Roll'!$O$44-1+'Rent Roll'!$V$44)),-BE323,0)</f>
        <v>0</v>
      </c>
      <c r="BF324" s="49">
        <f>IF(AND(BF$4&gt;=EOMONTH(CloseDate,'Rent Roll'!$O$44-1),BF$4&lt;EOMONTH(CloseDate,'Rent Roll'!$O$44-1+'Rent Roll'!$V$44)),-BF323,0)</f>
        <v>0</v>
      </c>
      <c r="BG324" s="49">
        <f>IF(AND(BG$4&gt;=EOMONTH(CloseDate,'Rent Roll'!$O$44-1),BG$4&lt;EOMONTH(CloseDate,'Rent Roll'!$O$44-1+'Rent Roll'!$V$44)),-BG323,0)</f>
        <v>0</v>
      </c>
      <c r="BH324" s="49">
        <f>IF(AND(BH$4&gt;=EOMONTH(CloseDate,'Rent Roll'!$O$44-1),BH$4&lt;EOMONTH(CloseDate,'Rent Roll'!$O$44-1+'Rent Roll'!$V$44)),-BH323,0)</f>
        <v>0</v>
      </c>
      <c r="BI324" s="49">
        <f>IF(AND(BI$4&gt;=EOMONTH(CloseDate,'Rent Roll'!$O$44-1),BI$4&lt;EOMONTH(CloseDate,'Rent Roll'!$O$44-1+'Rent Roll'!$V$44)),-BI323,0)</f>
        <v>0</v>
      </c>
      <c r="BJ324" s="49">
        <f>IF(AND(BJ$4&gt;=EOMONTH(CloseDate,'Rent Roll'!$O$44-1),BJ$4&lt;EOMONTH(CloseDate,'Rent Roll'!$O$44-1+'Rent Roll'!$V$44)),-BJ323,0)</f>
        <v>0</v>
      </c>
      <c r="BK324" s="49">
        <f>IF(AND(BK$4&gt;=EOMONTH(CloseDate,'Rent Roll'!$O$44-1),BK$4&lt;EOMONTH(CloseDate,'Rent Roll'!$O$44-1+'Rent Roll'!$V$44)),-BK323,0)</f>
        <v>0</v>
      </c>
      <c r="BL324" s="49">
        <f>IF(AND(BL$4&gt;=EOMONTH(CloseDate,'Rent Roll'!$O$44-1),BL$4&lt;EOMONTH(CloseDate,'Rent Roll'!$O$44-1+'Rent Roll'!$V$44)),-BL323,0)</f>
        <v>0</v>
      </c>
      <c r="BM324" s="49">
        <f>IF(AND(BM$4&gt;=EOMONTH(CloseDate,'Rent Roll'!$O$44-1),BM$4&lt;EOMONTH(CloseDate,'Rent Roll'!$O$44-1+'Rent Roll'!$V$44)),-BM323,0)</f>
        <v>0</v>
      </c>
      <c r="BN324" s="49">
        <f>IF(AND(BN$4&gt;=EOMONTH(CloseDate,'Rent Roll'!$O$44-1),BN$4&lt;EOMONTH(CloseDate,'Rent Roll'!$O$44-1+'Rent Roll'!$V$44)),-BN323,0)</f>
        <v>0</v>
      </c>
      <c r="BO324" s="49">
        <f>IF(AND(BO$4&gt;=EOMONTH(CloseDate,'Rent Roll'!$O$44-1),BO$4&lt;EOMONTH(CloseDate,'Rent Roll'!$O$44-1+'Rent Roll'!$V$44)),-BO323,0)</f>
        <v>0</v>
      </c>
      <c r="BP324" s="49">
        <f>IF(AND(BP$4&gt;=EOMONTH(CloseDate,'Rent Roll'!$O$44-1),BP$4&lt;EOMONTH(CloseDate,'Rent Roll'!$O$44-1+'Rent Roll'!$V$44)),-BP323,0)</f>
        <v>0</v>
      </c>
      <c r="BQ324" s="49">
        <f>IF(AND(BQ$4&gt;=EOMONTH(CloseDate,'Rent Roll'!$O$44-1),BQ$4&lt;EOMONTH(CloseDate,'Rent Roll'!$O$44-1+'Rent Roll'!$V$44)),-BQ323,0)</f>
        <v>0</v>
      </c>
      <c r="BR324" s="49">
        <f>IF(AND(BR$4&gt;=EOMONTH(CloseDate,'Rent Roll'!$O$44-1),BR$4&lt;EOMONTH(CloseDate,'Rent Roll'!$O$44-1+'Rent Roll'!$V$44)),-BR323,0)</f>
        <v>0</v>
      </c>
      <c r="BS324" s="49">
        <f>IF(AND(BS$4&gt;=EOMONTH(CloseDate,'Rent Roll'!$O$44-1),BS$4&lt;EOMONTH(CloseDate,'Rent Roll'!$O$44-1+'Rent Roll'!$V$44)),-BS323,0)</f>
        <v>0</v>
      </c>
      <c r="BT324" s="49">
        <f>IF(AND(BT$4&gt;=EOMONTH(CloseDate,'Rent Roll'!$O$44-1),BT$4&lt;EOMONTH(CloseDate,'Rent Roll'!$O$44-1+'Rent Roll'!$V$44)),-BT323,0)</f>
        <v>0</v>
      </c>
      <c r="BU324" s="49">
        <f>IF(AND(BU$4&gt;=EOMONTH(CloseDate,'Rent Roll'!$O$44-1),BU$4&lt;EOMONTH(CloseDate,'Rent Roll'!$O$44-1+'Rent Roll'!$V$44)),-BU323,0)</f>
        <v>0</v>
      </c>
      <c r="BV324" s="49">
        <f>IF(AND(BV$4&gt;=EOMONTH(CloseDate,'Rent Roll'!$O$44-1),BV$4&lt;EOMONTH(CloseDate,'Rent Roll'!$O$44-1+'Rent Roll'!$V$44)),-BV323,0)</f>
        <v>0</v>
      </c>
      <c r="BW324" s="49">
        <f>IF(AND(BW$4&gt;=EOMONTH(CloseDate,'Rent Roll'!$O$44-1),BW$4&lt;EOMONTH(CloseDate,'Rent Roll'!$O$44-1+'Rent Roll'!$V$44)),-BW323,0)</f>
        <v>0</v>
      </c>
      <c r="BX324" s="49">
        <f>IF(AND(BX$4&gt;=EOMONTH(CloseDate,'Rent Roll'!$O$44-1),BX$4&lt;EOMONTH(CloseDate,'Rent Roll'!$O$44-1+'Rent Roll'!$V$44)),-BX323,0)</f>
        <v>0</v>
      </c>
    </row>
    <row r="325" spans="1:76" outlineLevel="1">
      <c r="B325" t="s">
        <v>84</v>
      </c>
      <c r="D325" s="49">
        <f>D321+D323+D324</f>
        <v>0</v>
      </c>
      <c r="E325" s="49">
        <f t="shared" ref="E325:BJ325" si="104">E321+E323+E324</f>
        <v>0</v>
      </c>
      <c r="F325" s="49">
        <f t="shared" si="104"/>
        <v>0</v>
      </c>
      <c r="G325" s="49">
        <f t="shared" si="104"/>
        <v>0</v>
      </c>
      <c r="H325" s="49">
        <f t="shared" si="104"/>
        <v>0</v>
      </c>
      <c r="I325" s="49">
        <f t="shared" si="104"/>
        <v>0</v>
      </c>
      <c r="J325" s="49">
        <f t="shared" si="104"/>
        <v>0</v>
      </c>
      <c r="K325" s="49">
        <f t="shared" si="104"/>
        <v>0</v>
      </c>
      <c r="L325" s="49">
        <f t="shared" si="104"/>
        <v>0</v>
      </c>
      <c r="M325" s="49">
        <f t="shared" si="104"/>
        <v>0</v>
      </c>
      <c r="N325" s="49">
        <f t="shared" si="104"/>
        <v>0</v>
      </c>
      <c r="O325" s="49">
        <f t="shared" si="104"/>
        <v>0</v>
      </c>
      <c r="P325" s="49">
        <f t="shared" si="104"/>
        <v>0</v>
      </c>
      <c r="Q325" s="49">
        <f t="shared" si="104"/>
        <v>0</v>
      </c>
      <c r="R325" s="49">
        <f t="shared" si="104"/>
        <v>0</v>
      </c>
      <c r="S325" s="49">
        <f t="shared" si="104"/>
        <v>26701.999999999996</v>
      </c>
      <c r="T325" s="49">
        <f t="shared" si="104"/>
        <v>26701.999999999996</v>
      </c>
      <c r="U325" s="49">
        <f t="shared" si="104"/>
        <v>27422.953999999994</v>
      </c>
      <c r="V325" s="49">
        <f t="shared" si="104"/>
        <v>27422.953999999994</v>
      </c>
      <c r="W325" s="49">
        <f t="shared" si="104"/>
        <v>27422.953999999994</v>
      </c>
      <c r="X325" s="49">
        <f t="shared" si="104"/>
        <v>27422.953999999994</v>
      </c>
      <c r="Y325" s="49">
        <f t="shared" si="104"/>
        <v>27422.953999999994</v>
      </c>
      <c r="Z325" s="49">
        <f t="shared" si="104"/>
        <v>27422.953999999994</v>
      </c>
      <c r="AA325" s="49">
        <f t="shared" si="104"/>
        <v>27422.953999999994</v>
      </c>
      <c r="AB325" s="49">
        <f t="shared" si="104"/>
        <v>27422.953999999994</v>
      </c>
      <c r="AC325" s="49">
        <f t="shared" si="104"/>
        <v>27422.953999999994</v>
      </c>
      <c r="AD325" s="49">
        <f t="shared" si="104"/>
        <v>27422.953999999994</v>
      </c>
      <c r="AE325" s="49">
        <f t="shared" si="104"/>
        <v>27422.953999999994</v>
      </c>
      <c r="AF325" s="49">
        <f t="shared" si="104"/>
        <v>27422.953999999994</v>
      </c>
      <c r="AG325" s="49">
        <f t="shared" si="104"/>
        <v>28163.373757999994</v>
      </c>
      <c r="AH325" s="49">
        <f t="shared" si="104"/>
        <v>28163.373757999994</v>
      </c>
      <c r="AI325" s="49">
        <f t="shared" si="104"/>
        <v>28163.373757999994</v>
      </c>
      <c r="AJ325" s="49">
        <f t="shared" si="104"/>
        <v>28163.373757999994</v>
      </c>
      <c r="AK325" s="49">
        <f t="shared" si="104"/>
        <v>28163.373757999994</v>
      </c>
      <c r="AL325" s="49">
        <f t="shared" si="104"/>
        <v>28163.373757999994</v>
      </c>
      <c r="AM325" s="49">
        <f t="shared" si="104"/>
        <v>28163.373757999994</v>
      </c>
      <c r="AN325" s="49">
        <f t="shared" si="104"/>
        <v>28163.373757999994</v>
      </c>
      <c r="AO325" s="49">
        <f t="shared" si="104"/>
        <v>28163.373757999994</v>
      </c>
      <c r="AP325" s="49">
        <f t="shared" si="104"/>
        <v>28163.373757999994</v>
      </c>
      <c r="AQ325" s="49">
        <f t="shared" si="104"/>
        <v>28163.373757999994</v>
      </c>
      <c r="AR325" s="49">
        <f t="shared" si="104"/>
        <v>28163.373757999994</v>
      </c>
      <c r="AS325" s="49">
        <f t="shared" si="104"/>
        <v>28923.784849465988</v>
      </c>
      <c r="AT325" s="49">
        <f t="shared" si="104"/>
        <v>28923.784849465988</v>
      </c>
      <c r="AU325" s="49">
        <f t="shared" si="104"/>
        <v>28923.784849465988</v>
      </c>
      <c r="AV325" s="49">
        <f t="shared" si="104"/>
        <v>28923.784849465988</v>
      </c>
      <c r="AW325" s="49">
        <f t="shared" si="104"/>
        <v>28923.784849465988</v>
      </c>
      <c r="AX325" s="49">
        <f t="shared" si="104"/>
        <v>28923.784849465988</v>
      </c>
      <c r="AY325" s="49">
        <f t="shared" si="104"/>
        <v>28923.784849465988</v>
      </c>
      <c r="AZ325" s="49">
        <f t="shared" si="104"/>
        <v>28923.784849465988</v>
      </c>
      <c r="BA325" s="49">
        <f t="shared" si="104"/>
        <v>28923.784849465988</v>
      </c>
      <c r="BB325" s="49">
        <f t="shared" si="104"/>
        <v>28923.784849465988</v>
      </c>
      <c r="BC325" s="49">
        <f t="shared" si="104"/>
        <v>28923.784849465988</v>
      </c>
      <c r="BD325" s="49">
        <f t="shared" si="104"/>
        <v>28923.784849465988</v>
      </c>
      <c r="BE325" s="49">
        <f t="shared" si="104"/>
        <v>29704.727040401569</v>
      </c>
      <c r="BF325" s="49">
        <f t="shared" si="104"/>
        <v>29704.727040401569</v>
      </c>
      <c r="BG325" s="49">
        <f t="shared" si="104"/>
        <v>29704.727040401569</v>
      </c>
      <c r="BH325" s="49">
        <f t="shared" si="104"/>
        <v>29704.727040401569</v>
      </c>
      <c r="BI325" s="49">
        <f t="shared" si="104"/>
        <v>29704.727040401569</v>
      </c>
      <c r="BJ325" s="49">
        <f t="shared" si="104"/>
        <v>29704.727040401569</v>
      </c>
      <c r="BK325" s="49">
        <f t="shared" ref="BK325" si="105">BK321+BK323+BK324</f>
        <v>29704.727040401569</v>
      </c>
      <c r="BL325" s="49">
        <f t="shared" ref="BL325:BX325" si="106">BL321+BL323+BL324</f>
        <v>29704.727040401569</v>
      </c>
      <c r="BM325" s="49">
        <f t="shared" si="106"/>
        <v>29704.727040401569</v>
      </c>
      <c r="BN325" s="49">
        <f t="shared" si="106"/>
        <v>29704.727040401569</v>
      </c>
      <c r="BO325" s="49">
        <f t="shared" si="106"/>
        <v>29704.727040401569</v>
      </c>
      <c r="BP325" s="49">
        <f t="shared" si="106"/>
        <v>29704.727040401569</v>
      </c>
      <c r="BQ325" s="49">
        <f t="shared" si="106"/>
        <v>30506.754670492406</v>
      </c>
      <c r="BR325" s="49">
        <f t="shared" si="106"/>
        <v>30506.754670492406</v>
      </c>
      <c r="BS325" s="49">
        <f t="shared" si="106"/>
        <v>30506.754670492406</v>
      </c>
      <c r="BT325" s="49">
        <f t="shared" si="106"/>
        <v>30506.754670492406</v>
      </c>
      <c r="BU325" s="49">
        <f t="shared" si="106"/>
        <v>30506.754670492406</v>
      </c>
      <c r="BV325" s="49">
        <f t="shared" si="106"/>
        <v>30506.754670492406</v>
      </c>
      <c r="BW325" s="49">
        <f t="shared" si="106"/>
        <v>30506.754670492406</v>
      </c>
      <c r="BX325" s="49">
        <f t="shared" si="106"/>
        <v>30506.754670492406</v>
      </c>
    </row>
    <row r="326" spans="1:76" outlineLevel="1">
      <c r="B326" t="s">
        <v>85</v>
      </c>
      <c r="D326" s="49">
        <f>IF(D322=1,'Rent Roll'!$F$44/BldgSF*ReimbPool/12*D$7,0)</f>
        <v>0</v>
      </c>
      <c r="E326" s="49">
        <f>IF(E322=1,'Rent Roll'!$F$44/BldgSF*ReimbPool/12*E$7,0)</f>
        <v>0</v>
      </c>
      <c r="F326" s="49">
        <f>IF(F322=1,'Rent Roll'!$F$44/BldgSF*ReimbPool/12*F$7,0)</f>
        <v>0</v>
      </c>
      <c r="G326" s="49">
        <f>IF(G322=1,'Rent Roll'!$F$44/BldgSF*ReimbPool/12*G$7,0)</f>
        <v>0</v>
      </c>
      <c r="H326" s="49">
        <f>IF(H322=1,'Rent Roll'!$F$44/BldgSF*ReimbPool/12*H$7,0)</f>
        <v>0</v>
      </c>
      <c r="I326" s="49">
        <f>IF(I322=1,'Rent Roll'!$F$44/BldgSF*ReimbPool/12*I$7,0)</f>
        <v>0</v>
      </c>
      <c r="J326" s="49">
        <f>IF(J322=1,'Rent Roll'!$F$44/BldgSF*ReimbPool/12*J$7,0)</f>
        <v>0</v>
      </c>
      <c r="K326" s="49">
        <f>IF(K322=1,'Rent Roll'!$F$44/BldgSF*ReimbPool/12*K$7,0)</f>
        <v>0</v>
      </c>
      <c r="L326" s="49">
        <f>IF(L322=1,'Rent Roll'!$F$44/BldgSF*ReimbPool/12*L$7,0)</f>
        <v>0</v>
      </c>
      <c r="M326" s="49">
        <f>IF(M322=1,'Rent Roll'!$F$44/BldgSF*ReimbPool/12*M$7,0)</f>
        <v>0</v>
      </c>
      <c r="N326" s="49">
        <f>IF(N322=1,'Rent Roll'!$F$44/BldgSF*ReimbPool/12*N$7,0)</f>
        <v>0</v>
      </c>
      <c r="O326" s="49">
        <f>IF(O322=1,'Rent Roll'!$F$44/BldgSF*ReimbPool/12*O$7,0)</f>
        <v>0</v>
      </c>
      <c r="P326" s="49">
        <f>IF(P322=1,'Rent Roll'!$F$44/BldgSF*ReimbPool/12*P$7,0)</f>
        <v>0</v>
      </c>
      <c r="Q326" s="49">
        <f>IF(Q322=1,'Rent Roll'!$F$44/BldgSF*ReimbPool/12*Q$7,0)</f>
        <v>10752.689999999999</v>
      </c>
      <c r="R326" s="49">
        <f>IF(R322=1,'Rent Roll'!$F$44/BldgSF*ReimbPool/12*R$7,0)</f>
        <v>10752.689999999999</v>
      </c>
      <c r="S326" s="49">
        <f>IF(S322=1,'Rent Roll'!$F$44/BldgSF*ReimbPool/12*S$7,0)</f>
        <v>10752.689999999999</v>
      </c>
      <c r="T326" s="49">
        <f>IF(T322=1,'Rent Roll'!$F$44/BldgSF*ReimbPool/12*T$7,0)</f>
        <v>10752.689999999999</v>
      </c>
      <c r="U326" s="49">
        <f>IF(U322=1,'Rent Roll'!$F$44/BldgSF*ReimbPool/12*U$7,0)</f>
        <v>11043.012629999997</v>
      </c>
      <c r="V326" s="49">
        <f>IF(V322=1,'Rent Roll'!$F$44/BldgSF*ReimbPool/12*V$7,0)</f>
        <v>11043.012629999997</v>
      </c>
      <c r="W326" s="49">
        <f>IF(W322=1,'Rent Roll'!$F$44/BldgSF*ReimbPool/12*W$7,0)</f>
        <v>11043.012629999997</v>
      </c>
      <c r="X326" s="49">
        <f>IF(X322=1,'Rent Roll'!$F$44/BldgSF*ReimbPool/12*X$7,0)</f>
        <v>11043.012629999997</v>
      </c>
      <c r="Y326" s="49">
        <f>IF(Y322=1,'Rent Roll'!$F$44/BldgSF*ReimbPool/12*Y$7,0)</f>
        <v>11043.012629999997</v>
      </c>
      <c r="Z326" s="49">
        <f>IF(Z322=1,'Rent Roll'!$F$44/BldgSF*ReimbPool/12*Z$7,0)</f>
        <v>11043.012629999997</v>
      </c>
      <c r="AA326" s="49">
        <f>IF(AA322=1,'Rent Roll'!$F$44/BldgSF*ReimbPool/12*AA$7,0)</f>
        <v>11043.012629999997</v>
      </c>
      <c r="AB326" s="49">
        <f>IF(AB322=1,'Rent Roll'!$F$44/BldgSF*ReimbPool/12*AB$7,0)</f>
        <v>11043.012629999997</v>
      </c>
      <c r="AC326" s="49">
        <f>IF(AC322=1,'Rent Roll'!$F$44/BldgSF*ReimbPool/12*AC$7,0)</f>
        <v>11043.012629999997</v>
      </c>
      <c r="AD326" s="49">
        <f>IF(AD322=1,'Rent Roll'!$F$44/BldgSF*ReimbPool/12*AD$7,0)</f>
        <v>11043.012629999997</v>
      </c>
      <c r="AE326" s="49">
        <f>IF(AE322=1,'Rent Roll'!$F$44/BldgSF*ReimbPool/12*AE$7,0)</f>
        <v>11043.012629999997</v>
      </c>
      <c r="AF326" s="49">
        <f>IF(AF322=1,'Rent Roll'!$F$44/BldgSF*ReimbPool/12*AF$7,0)</f>
        <v>11043.012629999997</v>
      </c>
      <c r="AG326" s="49">
        <f>IF(AG322=1,'Rent Roll'!$F$44/BldgSF*ReimbPool/12*AG$7,0)</f>
        <v>11341.173971009997</v>
      </c>
      <c r="AH326" s="49">
        <f>IF(AH322=1,'Rent Roll'!$F$44/BldgSF*ReimbPool/12*AH$7,0)</f>
        <v>11341.173971009997</v>
      </c>
      <c r="AI326" s="49">
        <f>IF(AI322=1,'Rent Roll'!$F$44/BldgSF*ReimbPool/12*AI$7,0)</f>
        <v>11341.173971009997</v>
      </c>
      <c r="AJ326" s="49">
        <f>IF(AJ322=1,'Rent Roll'!$F$44/BldgSF*ReimbPool/12*AJ$7,0)</f>
        <v>11341.173971009997</v>
      </c>
      <c r="AK326" s="49">
        <f>IF(AK322=1,'Rent Roll'!$F$44/BldgSF*ReimbPool/12*AK$7,0)</f>
        <v>11341.173971009997</v>
      </c>
      <c r="AL326" s="49">
        <f>IF(AL322=1,'Rent Roll'!$F$44/BldgSF*ReimbPool/12*AL$7,0)</f>
        <v>11341.173971009997</v>
      </c>
      <c r="AM326" s="49">
        <f>IF(AM322=1,'Rent Roll'!$F$44/BldgSF*ReimbPool/12*AM$7,0)</f>
        <v>11341.173971009997</v>
      </c>
      <c r="AN326" s="49">
        <f>IF(AN322=1,'Rent Roll'!$F$44/BldgSF*ReimbPool/12*AN$7,0)</f>
        <v>11341.173971009997</v>
      </c>
      <c r="AO326" s="49">
        <f>IF(AO322=1,'Rent Roll'!$F$44/BldgSF*ReimbPool/12*AO$7,0)</f>
        <v>11341.173971009997</v>
      </c>
      <c r="AP326" s="49">
        <f>IF(AP322=1,'Rent Roll'!$F$44/BldgSF*ReimbPool/12*AP$7,0)</f>
        <v>11341.173971009997</v>
      </c>
      <c r="AQ326" s="49">
        <f>IF(AQ322=1,'Rent Roll'!$F$44/BldgSF*ReimbPool/12*AQ$7,0)</f>
        <v>11341.173971009997</v>
      </c>
      <c r="AR326" s="49">
        <f>IF(AR322=1,'Rent Roll'!$F$44/BldgSF*ReimbPool/12*AR$7,0)</f>
        <v>11341.173971009997</v>
      </c>
      <c r="AS326" s="49">
        <f>IF(AS322=1,'Rent Roll'!$F$44/BldgSF*ReimbPool/12*AS$7,0)</f>
        <v>11647.385668227265</v>
      </c>
      <c r="AT326" s="49">
        <f>IF(AT322=1,'Rent Roll'!$F$44/BldgSF*ReimbPool/12*AT$7,0)</f>
        <v>11647.385668227265</v>
      </c>
      <c r="AU326" s="49">
        <f>IF(AU322=1,'Rent Roll'!$F$44/BldgSF*ReimbPool/12*AU$7,0)</f>
        <v>11647.385668227265</v>
      </c>
      <c r="AV326" s="49">
        <f>IF(AV322=1,'Rent Roll'!$F$44/BldgSF*ReimbPool/12*AV$7,0)</f>
        <v>11647.385668227265</v>
      </c>
      <c r="AW326" s="49">
        <f>IF(AW322=1,'Rent Roll'!$F$44/BldgSF*ReimbPool/12*AW$7,0)</f>
        <v>11647.385668227265</v>
      </c>
      <c r="AX326" s="49">
        <f>IF(AX322=1,'Rent Roll'!$F$44/BldgSF*ReimbPool/12*AX$7,0)</f>
        <v>11647.385668227265</v>
      </c>
      <c r="AY326" s="49">
        <f>IF(AY322=1,'Rent Roll'!$F$44/BldgSF*ReimbPool/12*AY$7,0)</f>
        <v>11647.385668227265</v>
      </c>
      <c r="AZ326" s="49">
        <f>IF(AZ322=1,'Rent Roll'!$F$44/BldgSF*ReimbPool/12*AZ$7,0)</f>
        <v>11647.385668227265</v>
      </c>
      <c r="BA326" s="49">
        <f>IF(BA322=1,'Rent Roll'!$F$44/BldgSF*ReimbPool/12*BA$7,0)</f>
        <v>11647.385668227265</v>
      </c>
      <c r="BB326" s="49">
        <f>IF(BB322=1,'Rent Roll'!$F$44/BldgSF*ReimbPool/12*BB$7,0)</f>
        <v>11647.385668227265</v>
      </c>
      <c r="BC326" s="49">
        <f>IF(BC322=1,'Rent Roll'!$F$44/BldgSF*ReimbPool/12*BC$7,0)</f>
        <v>11647.385668227265</v>
      </c>
      <c r="BD326" s="49">
        <f>IF(BD322=1,'Rent Roll'!$F$44/BldgSF*ReimbPool/12*BD$7,0)</f>
        <v>11647.385668227265</v>
      </c>
      <c r="BE326" s="49">
        <f>IF(BE322=1,'Rent Roll'!$F$44/BldgSF*ReimbPool/12*BE$7,0)</f>
        <v>11961.865081269401</v>
      </c>
      <c r="BF326" s="49">
        <f>IF(BF322=1,'Rent Roll'!$F$44/BldgSF*ReimbPool/12*BF$7,0)</f>
        <v>11961.865081269401</v>
      </c>
      <c r="BG326" s="49">
        <f>IF(BG322=1,'Rent Roll'!$F$44/BldgSF*ReimbPool/12*BG$7,0)</f>
        <v>11961.865081269401</v>
      </c>
      <c r="BH326" s="49">
        <f>IF(BH322=1,'Rent Roll'!$F$44/BldgSF*ReimbPool/12*BH$7,0)</f>
        <v>11961.865081269401</v>
      </c>
      <c r="BI326" s="49">
        <f>IF(BI322=1,'Rent Roll'!$F$44/BldgSF*ReimbPool/12*BI$7,0)</f>
        <v>11961.865081269401</v>
      </c>
      <c r="BJ326" s="49">
        <f>IF(BJ322=1,'Rent Roll'!$F$44/BldgSF*ReimbPool/12*BJ$7,0)</f>
        <v>11961.865081269401</v>
      </c>
      <c r="BK326" s="49">
        <f>IF(BK322=1,'Rent Roll'!$F$44/BldgSF*ReimbPool/12*BK$7,0)</f>
        <v>11961.865081269401</v>
      </c>
      <c r="BL326" s="49">
        <f>IF(BL322=1,'Rent Roll'!$F$44/BldgSF*ReimbPool/12*BL$7,0)</f>
        <v>11961.865081269401</v>
      </c>
      <c r="BM326" s="49">
        <f>IF(BM322=1,'Rent Roll'!$F$44/BldgSF*ReimbPool/12*BM$7,0)</f>
        <v>11961.865081269401</v>
      </c>
      <c r="BN326" s="49">
        <f>IF(BN322=1,'Rent Roll'!$F$44/BldgSF*ReimbPool/12*BN$7,0)</f>
        <v>11961.865081269401</v>
      </c>
      <c r="BO326" s="49">
        <f>IF(BO322=1,'Rent Roll'!$F$44/BldgSF*ReimbPool/12*BO$7,0)</f>
        <v>11961.865081269401</v>
      </c>
      <c r="BP326" s="49">
        <f>IF(BP322=1,'Rent Roll'!$F$44/BldgSF*ReimbPool/12*BP$7,0)</f>
        <v>11961.865081269401</v>
      </c>
      <c r="BQ326" s="49">
        <f>IF(BQ322=1,'Rent Roll'!$F$44/BldgSF*ReimbPool/12*BQ$7,0)</f>
        <v>12284.835438463673</v>
      </c>
      <c r="BR326" s="49">
        <f>IF(BR322=1,'Rent Roll'!$F$44/BldgSF*ReimbPool/12*BR$7,0)</f>
        <v>12284.835438463673</v>
      </c>
      <c r="BS326" s="49">
        <f>IF(BS322=1,'Rent Roll'!$F$44/BldgSF*ReimbPool/12*BS$7,0)</f>
        <v>12284.835438463673</v>
      </c>
      <c r="BT326" s="49">
        <f>IF(BT322=1,'Rent Roll'!$F$44/BldgSF*ReimbPool/12*BT$7,0)</f>
        <v>12284.835438463673</v>
      </c>
      <c r="BU326" s="49">
        <f>IF(BU322=1,'Rent Roll'!$F$44/BldgSF*ReimbPool/12*BU$7,0)</f>
        <v>12284.835438463673</v>
      </c>
      <c r="BV326" s="49">
        <f>IF(BV322=1,'Rent Roll'!$F$44/BldgSF*ReimbPool/12*BV$7,0)</f>
        <v>12284.835438463673</v>
      </c>
      <c r="BW326" s="49">
        <f>IF(BW322=1,'Rent Roll'!$F$44/BldgSF*ReimbPool/12*BW$7,0)</f>
        <v>12284.835438463673</v>
      </c>
      <c r="BX326" s="49">
        <f>IF(BX322=1,'Rent Roll'!$F$44/BldgSF*ReimbPool/12*BX$7,0)</f>
        <v>12284.835438463673</v>
      </c>
    </row>
    <row r="327" spans="1:76" outlineLevel="1">
      <c r="B327" t="s">
        <v>86</v>
      </c>
      <c r="D327" s="49">
        <f>-'Rent Roll'!$F$44*'Rent Roll'!$T$44/SpecBuildout*D320</f>
        <v>0</v>
      </c>
      <c r="E327" s="49">
        <f>-'Rent Roll'!$F$44*'Rent Roll'!$T$44/SpecBuildout*E320</f>
        <v>0</v>
      </c>
      <c r="F327" s="49">
        <f>-'Rent Roll'!$F$44*'Rent Roll'!$T$44/SpecBuildout*F320</f>
        <v>0</v>
      </c>
      <c r="G327" s="49">
        <f>-'Rent Roll'!$F$44*'Rent Roll'!$T$44/SpecBuildout*G320</f>
        <v>0</v>
      </c>
      <c r="H327" s="49">
        <f>-'Rent Roll'!$F$44*'Rent Roll'!$T$44/SpecBuildout*H320</f>
        <v>0</v>
      </c>
      <c r="I327" s="49">
        <f>-'Rent Roll'!$F$44*'Rent Roll'!$T$44/SpecBuildout*I320</f>
        <v>0</v>
      </c>
      <c r="J327" s="49">
        <f>-'Rent Roll'!$F$44*'Rent Roll'!$T$44/SpecBuildout*J320</f>
        <v>0</v>
      </c>
      <c r="K327" s="49">
        <f>-'Rent Roll'!$F$44*'Rent Roll'!$T$44/SpecBuildout*K320</f>
        <v>0</v>
      </c>
      <c r="L327" s="49">
        <f>-'Rent Roll'!$F$44*'Rent Roll'!$T$44/SpecBuildout*L320</f>
        <v>-80000</v>
      </c>
      <c r="M327" s="49">
        <f>-'Rent Roll'!$F$44*'Rent Roll'!$T$44/SpecBuildout*M320</f>
        <v>-80000</v>
      </c>
      <c r="N327" s="49">
        <f>-'Rent Roll'!$F$44*'Rent Roll'!$T$44/SpecBuildout*N320</f>
        <v>-80000</v>
      </c>
      <c r="O327" s="49">
        <f>-'Rent Roll'!$F$44*'Rent Roll'!$T$44/SpecBuildout*O320</f>
        <v>-80000</v>
      </c>
      <c r="P327" s="49">
        <f>-'Rent Roll'!$F$44*'Rent Roll'!$T$44/SpecBuildout*P320</f>
        <v>-80000</v>
      </c>
      <c r="Q327" s="49">
        <f>-'Rent Roll'!$F$44*'Rent Roll'!$T$44/SpecBuildout*Q320</f>
        <v>-80000</v>
      </c>
      <c r="R327" s="49">
        <f>-'Rent Roll'!$F$44*'Rent Roll'!$T$44/SpecBuildout*R320</f>
        <v>0</v>
      </c>
      <c r="S327" s="49">
        <f>-'Rent Roll'!$F$44*'Rent Roll'!$T$44/SpecBuildout*S320</f>
        <v>0</v>
      </c>
      <c r="T327" s="49">
        <f>-'Rent Roll'!$F$44*'Rent Roll'!$T$44/SpecBuildout*T320</f>
        <v>0</v>
      </c>
      <c r="U327" s="49">
        <f>-'Rent Roll'!$F$44*'Rent Roll'!$T$44/SpecBuildout*U320</f>
        <v>0</v>
      </c>
      <c r="V327" s="49">
        <f>-'Rent Roll'!$F$44*'Rent Roll'!$T$44/SpecBuildout*V320</f>
        <v>0</v>
      </c>
      <c r="W327" s="49">
        <f>-'Rent Roll'!$F$44*'Rent Roll'!$T$44/SpecBuildout*W320</f>
        <v>0</v>
      </c>
      <c r="X327" s="49">
        <f>-'Rent Roll'!$F$44*'Rent Roll'!$T$44/SpecBuildout*X320</f>
        <v>0</v>
      </c>
      <c r="Y327" s="49">
        <f>-'Rent Roll'!$F$44*'Rent Roll'!$T$44/SpecBuildout*Y320</f>
        <v>0</v>
      </c>
      <c r="Z327" s="49">
        <f>-'Rent Roll'!$F$44*'Rent Roll'!$T$44/SpecBuildout*Z320</f>
        <v>0</v>
      </c>
      <c r="AA327" s="49">
        <f>-'Rent Roll'!$F$44*'Rent Roll'!$T$44/SpecBuildout*AA320</f>
        <v>0</v>
      </c>
      <c r="AB327" s="49">
        <f>-'Rent Roll'!$F$44*'Rent Roll'!$T$44/SpecBuildout*AB320</f>
        <v>0</v>
      </c>
      <c r="AC327" s="49">
        <f>-'Rent Roll'!$F$44*'Rent Roll'!$T$44/SpecBuildout*AC320</f>
        <v>0</v>
      </c>
      <c r="AD327" s="49">
        <f>-'Rent Roll'!$F$44*'Rent Roll'!$T$44/SpecBuildout*AD320</f>
        <v>0</v>
      </c>
      <c r="AE327" s="49">
        <f>-'Rent Roll'!$F$44*'Rent Roll'!$T$44/SpecBuildout*AE320</f>
        <v>0</v>
      </c>
      <c r="AF327" s="49">
        <f>-'Rent Roll'!$F$44*'Rent Roll'!$T$44/SpecBuildout*AF320</f>
        <v>0</v>
      </c>
      <c r="AG327" s="49">
        <f>-'Rent Roll'!$F$44*'Rent Roll'!$T$44/SpecBuildout*AG320</f>
        <v>0</v>
      </c>
      <c r="AH327" s="49">
        <f>-'Rent Roll'!$F$44*'Rent Roll'!$T$44/SpecBuildout*AH320</f>
        <v>0</v>
      </c>
      <c r="AI327" s="49">
        <f>-'Rent Roll'!$F$44*'Rent Roll'!$T$44/SpecBuildout*AI320</f>
        <v>0</v>
      </c>
      <c r="AJ327" s="49">
        <f>-'Rent Roll'!$F$44*'Rent Roll'!$T$44/SpecBuildout*AJ320</f>
        <v>0</v>
      </c>
      <c r="AK327" s="49">
        <f>-'Rent Roll'!$F$44*'Rent Roll'!$T$44/SpecBuildout*AK320</f>
        <v>0</v>
      </c>
      <c r="AL327" s="49">
        <f>-'Rent Roll'!$F$44*'Rent Roll'!$T$44/SpecBuildout*AL320</f>
        <v>0</v>
      </c>
      <c r="AM327" s="49">
        <f>-'Rent Roll'!$F$44*'Rent Roll'!$T$44/SpecBuildout*AM320</f>
        <v>0</v>
      </c>
      <c r="AN327" s="49">
        <f>-'Rent Roll'!$F$44*'Rent Roll'!$T$44/SpecBuildout*AN320</f>
        <v>0</v>
      </c>
      <c r="AO327" s="49">
        <f>-'Rent Roll'!$F$44*'Rent Roll'!$T$44/SpecBuildout*AO320</f>
        <v>0</v>
      </c>
      <c r="AP327" s="49">
        <f>-'Rent Roll'!$F$44*'Rent Roll'!$T$44/SpecBuildout*AP320</f>
        <v>0</v>
      </c>
      <c r="AQ327" s="49">
        <f>-'Rent Roll'!$F$44*'Rent Roll'!$T$44/SpecBuildout*AQ320</f>
        <v>0</v>
      </c>
      <c r="AR327" s="49">
        <f>-'Rent Roll'!$F$44*'Rent Roll'!$T$44/SpecBuildout*AR320</f>
        <v>0</v>
      </c>
      <c r="AS327" s="49">
        <f>-'Rent Roll'!$F$44*'Rent Roll'!$T$44/SpecBuildout*AS320</f>
        <v>0</v>
      </c>
      <c r="AT327" s="49">
        <f>-'Rent Roll'!$F$44*'Rent Roll'!$T$44/SpecBuildout*AT320</f>
        <v>0</v>
      </c>
      <c r="AU327" s="49">
        <f>-'Rent Roll'!$F$44*'Rent Roll'!$T$44/SpecBuildout*AU320</f>
        <v>0</v>
      </c>
      <c r="AV327" s="49">
        <f>-'Rent Roll'!$F$44*'Rent Roll'!$T$44/SpecBuildout*AV320</f>
        <v>0</v>
      </c>
      <c r="AW327" s="49">
        <f>-'Rent Roll'!$F$44*'Rent Roll'!$T$44/SpecBuildout*AW320</f>
        <v>0</v>
      </c>
      <c r="AX327" s="49">
        <f>-'Rent Roll'!$F$44*'Rent Roll'!$T$44/SpecBuildout*AX320</f>
        <v>0</v>
      </c>
      <c r="AY327" s="49">
        <f>-'Rent Roll'!$F$44*'Rent Roll'!$T$44/SpecBuildout*AY320</f>
        <v>0</v>
      </c>
      <c r="AZ327" s="49">
        <f>-'Rent Roll'!$F$44*'Rent Roll'!$T$44/SpecBuildout*AZ320</f>
        <v>0</v>
      </c>
      <c r="BA327" s="49">
        <f>-'Rent Roll'!$F$44*'Rent Roll'!$T$44/SpecBuildout*BA320</f>
        <v>0</v>
      </c>
      <c r="BB327" s="49">
        <f>-'Rent Roll'!$F$44*'Rent Roll'!$T$44/SpecBuildout*BB320</f>
        <v>0</v>
      </c>
      <c r="BC327" s="49">
        <f>-'Rent Roll'!$F$44*'Rent Roll'!$T$44/SpecBuildout*BC320</f>
        <v>0</v>
      </c>
      <c r="BD327" s="49">
        <f>-'Rent Roll'!$F$44*'Rent Roll'!$T$44/SpecBuildout*BD320</f>
        <v>0</v>
      </c>
      <c r="BE327" s="49">
        <f>-'Rent Roll'!$F$44*'Rent Roll'!$T$44/SpecBuildout*BE320</f>
        <v>0</v>
      </c>
      <c r="BF327" s="49">
        <f>-'Rent Roll'!$F$44*'Rent Roll'!$T$44/SpecBuildout*BF320</f>
        <v>0</v>
      </c>
      <c r="BG327" s="49">
        <f>-'Rent Roll'!$F$44*'Rent Roll'!$T$44/SpecBuildout*BG320</f>
        <v>0</v>
      </c>
      <c r="BH327" s="49">
        <f>-'Rent Roll'!$F$44*'Rent Roll'!$T$44/SpecBuildout*BH320</f>
        <v>0</v>
      </c>
      <c r="BI327" s="49">
        <f>-'Rent Roll'!$F$44*'Rent Roll'!$T$44/SpecBuildout*BI320</f>
        <v>0</v>
      </c>
      <c r="BJ327" s="49">
        <f>-'Rent Roll'!$F$44*'Rent Roll'!$T$44/SpecBuildout*BJ320</f>
        <v>0</v>
      </c>
      <c r="BK327" s="49">
        <f>-'Rent Roll'!$F$44*'Rent Roll'!$T$44/SpecBuildout*BK320</f>
        <v>0</v>
      </c>
      <c r="BL327" s="49">
        <f>-'Rent Roll'!$F$44*'Rent Roll'!$T$44/SpecBuildout*BL320</f>
        <v>0</v>
      </c>
      <c r="BM327" s="49">
        <f>-'Rent Roll'!$F$44*'Rent Roll'!$T$44/SpecBuildout*BM320</f>
        <v>0</v>
      </c>
      <c r="BN327" s="49">
        <f>-'Rent Roll'!$F$44*'Rent Roll'!$T$44/SpecBuildout*BN320</f>
        <v>0</v>
      </c>
      <c r="BO327" s="49">
        <f>-'Rent Roll'!$F$44*'Rent Roll'!$T$44/SpecBuildout*BO320</f>
        <v>0</v>
      </c>
      <c r="BP327" s="49">
        <f>-'Rent Roll'!$F$44*'Rent Roll'!$T$44/SpecBuildout*BP320</f>
        <v>0</v>
      </c>
      <c r="BQ327" s="49">
        <f>-'Rent Roll'!$F$44*'Rent Roll'!$T$44/SpecBuildout*BQ320</f>
        <v>0</v>
      </c>
      <c r="BR327" s="49">
        <f>-'Rent Roll'!$F$44*'Rent Roll'!$T$44/SpecBuildout*BR320</f>
        <v>0</v>
      </c>
      <c r="BS327" s="49">
        <f>-'Rent Roll'!$F$44*'Rent Roll'!$T$44/SpecBuildout*BS320</f>
        <v>0</v>
      </c>
      <c r="BT327" s="49">
        <f>-'Rent Roll'!$F$44*'Rent Roll'!$T$44/SpecBuildout*BT320</f>
        <v>0</v>
      </c>
      <c r="BU327" s="49">
        <f>-'Rent Roll'!$F$44*'Rent Roll'!$T$44/SpecBuildout*BU320</f>
        <v>0</v>
      </c>
      <c r="BV327" s="49">
        <f>-'Rent Roll'!$F$44*'Rent Roll'!$T$44/SpecBuildout*BV320</f>
        <v>0</v>
      </c>
      <c r="BW327" s="49">
        <f>-'Rent Roll'!$F$44*'Rent Roll'!$T$44/SpecBuildout*BW320</f>
        <v>0</v>
      </c>
      <c r="BX327" s="49">
        <f>-'Rent Roll'!$F$44*'Rent Roll'!$T$44/SpecBuildout*BX320</f>
        <v>0</v>
      </c>
    </row>
    <row r="328" spans="1:76" outlineLevel="1">
      <c r="B328" t="s">
        <v>87</v>
      </c>
      <c r="D328" s="49">
        <f>IF(D$4=EOMONTH(CloseDate,'Rent Roll'!$O$44-1),-'Rent Roll'!$U$44*'Rent Roll'!$F$44*'Rent Roll'!$X$44,0)</f>
        <v>0</v>
      </c>
      <c r="E328" s="49">
        <f>IF(E$4=EOMONTH(CloseDate,'Rent Roll'!$O$44-1),-'Rent Roll'!$U$44*'Rent Roll'!$F$44*'Rent Roll'!$X$44,0)</f>
        <v>0</v>
      </c>
      <c r="F328" s="49">
        <f>IF(F$4=EOMONTH(CloseDate,'Rent Roll'!$O$44-1),-'Rent Roll'!$U$44*'Rent Roll'!$F$44*'Rent Roll'!$X$44,0)</f>
        <v>0</v>
      </c>
      <c r="G328" s="49">
        <f>IF(G$4=EOMONTH(CloseDate,'Rent Roll'!$O$44-1),-'Rent Roll'!$U$44*'Rent Roll'!$F$44*'Rent Roll'!$X$44,0)</f>
        <v>0</v>
      </c>
      <c r="H328" s="49">
        <f>IF(H$4=EOMONTH(CloseDate,'Rent Roll'!$O$44-1),-'Rent Roll'!$U$44*'Rent Roll'!$F$44*'Rent Roll'!$X$44,0)</f>
        <v>0</v>
      </c>
      <c r="I328" s="49">
        <f>IF(I$4=EOMONTH(CloseDate,'Rent Roll'!$O$44-1),-'Rent Roll'!$U$44*'Rent Roll'!$F$44*'Rent Roll'!$X$44,0)</f>
        <v>0</v>
      </c>
      <c r="J328" s="49">
        <f>IF(J$4=EOMONTH(CloseDate,'Rent Roll'!$O$44-1),-'Rent Roll'!$U$44*'Rent Roll'!$F$44*'Rent Roll'!$X$44,0)</f>
        <v>0</v>
      </c>
      <c r="K328" s="49">
        <f>IF(K$4=EOMONTH(CloseDate,'Rent Roll'!$O$44-1),-'Rent Roll'!$U$44*'Rent Roll'!$F$44*'Rent Roll'!$X$44,0)</f>
        <v>0</v>
      </c>
      <c r="L328" s="49">
        <f>IF(L$4=EOMONTH(CloseDate,'Rent Roll'!$O$44-1),-'Rent Roll'!$U$44*'Rent Roll'!$F$44*'Rent Roll'!$X$44,0)</f>
        <v>0</v>
      </c>
      <c r="M328" s="49">
        <f>IF(M$4=EOMONTH(CloseDate,'Rent Roll'!$O$44-1),-'Rent Roll'!$U$44*'Rent Roll'!$F$44*'Rent Roll'!$X$44,0)</f>
        <v>0</v>
      </c>
      <c r="N328" s="49">
        <f>IF(N$4=EOMONTH(CloseDate,'Rent Roll'!$O$44-1),-'Rent Roll'!$U$44*'Rent Roll'!$F$44*'Rent Roll'!$X$44,0)</f>
        <v>0</v>
      </c>
      <c r="O328" s="49">
        <f>IF(O$4=EOMONTH(CloseDate,'Rent Roll'!$O$44-1),-'Rent Roll'!$U$44*'Rent Roll'!$F$44*'Rent Roll'!$X$44,0)</f>
        <v>0</v>
      </c>
      <c r="P328" s="49">
        <f>IF(P$4=EOMONTH(CloseDate,'Rent Roll'!$O$44-1),-'Rent Roll'!$U$44*'Rent Roll'!$F$44*'Rent Roll'!$X$44,0)</f>
        <v>0</v>
      </c>
      <c r="Q328" s="49">
        <f>IF(Q$4=EOMONTH(CloseDate,'Rent Roll'!$O$44-1),-'Rent Roll'!$U$44*'Rent Roll'!$F$44*'Rent Roll'!$X$44,0)</f>
        <v>-15600</v>
      </c>
      <c r="R328" s="49">
        <f>IF(R$4=EOMONTH(CloseDate,'Rent Roll'!$O$44-1),-'Rent Roll'!$U$44*'Rent Roll'!$F$44*'Rent Roll'!$X$44,0)</f>
        <v>0</v>
      </c>
      <c r="S328" s="49">
        <f>IF(S$4=EOMONTH(CloseDate,'Rent Roll'!$O$44-1),-'Rent Roll'!$U$44*'Rent Roll'!$F$44*'Rent Roll'!$X$44,0)</f>
        <v>0</v>
      </c>
      <c r="T328" s="49">
        <f>IF(T$4=EOMONTH(CloseDate,'Rent Roll'!$O$44-1),-'Rent Roll'!$U$44*'Rent Roll'!$F$44*'Rent Roll'!$X$44,0)</f>
        <v>0</v>
      </c>
      <c r="U328" s="49">
        <f>IF(U$4=EOMONTH(CloseDate,'Rent Roll'!$O$44-1),-'Rent Roll'!$U$44*'Rent Roll'!$F$44*'Rent Roll'!$X$44,0)</f>
        <v>0</v>
      </c>
      <c r="V328" s="49">
        <f>IF(V$4=EOMONTH(CloseDate,'Rent Roll'!$O$44-1),-'Rent Roll'!$U$44*'Rent Roll'!$F$44*'Rent Roll'!$X$44,0)</f>
        <v>0</v>
      </c>
      <c r="W328" s="49">
        <f>IF(W$4=EOMONTH(CloseDate,'Rent Roll'!$O$44-1),-'Rent Roll'!$U$44*'Rent Roll'!$F$44*'Rent Roll'!$X$44,0)</f>
        <v>0</v>
      </c>
      <c r="X328" s="49">
        <f>IF(X$4=EOMONTH(CloseDate,'Rent Roll'!$O$44-1),-'Rent Roll'!$U$44*'Rent Roll'!$F$44*'Rent Roll'!$X$44,0)</f>
        <v>0</v>
      </c>
      <c r="Y328" s="49">
        <f>IF(Y$4=EOMONTH(CloseDate,'Rent Roll'!$O$44-1),-'Rent Roll'!$U$44*'Rent Roll'!$F$44*'Rent Roll'!$X$44,0)</f>
        <v>0</v>
      </c>
      <c r="Z328" s="49">
        <f>IF(Z$4=EOMONTH(CloseDate,'Rent Roll'!$O$44-1),-'Rent Roll'!$U$44*'Rent Roll'!$F$44*'Rent Roll'!$X$44,0)</f>
        <v>0</v>
      </c>
      <c r="AA328" s="49">
        <f>IF(AA$4=EOMONTH(CloseDate,'Rent Roll'!$O$44-1),-'Rent Roll'!$U$44*'Rent Roll'!$F$44*'Rent Roll'!$X$44,0)</f>
        <v>0</v>
      </c>
      <c r="AB328" s="49">
        <f>IF(AB$4=EOMONTH(CloseDate,'Rent Roll'!$O$44-1),-'Rent Roll'!$U$44*'Rent Roll'!$F$44*'Rent Roll'!$X$44,0)</f>
        <v>0</v>
      </c>
      <c r="AC328" s="49">
        <f>IF(AC$4=EOMONTH(CloseDate,'Rent Roll'!$O$44-1),-'Rent Roll'!$U$44*'Rent Roll'!$F$44*'Rent Roll'!$X$44,0)</f>
        <v>0</v>
      </c>
      <c r="AD328" s="49">
        <f>IF(AD$4=EOMONTH(CloseDate,'Rent Roll'!$O$44-1),-'Rent Roll'!$U$44*'Rent Roll'!$F$44*'Rent Roll'!$X$44,0)</f>
        <v>0</v>
      </c>
      <c r="AE328" s="49">
        <f>IF(AE$4=EOMONTH(CloseDate,'Rent Roll'!$O$44-1),-'Rent Roll'!$U$44*'Rent Roll'!$F$44*'Rent Roll'!$X$44,0)</f>
        <v>0</v>
      </c>
      <c r="AF328" s="49">
        <f>IF(AF$4=EOMONTH(CloseDate,'Rent Roll'!$O$44-1),-'Rent Roll'!$U$44*'Rent Roll'!$F$44*'Rent Roll'!$X$44,0)</f>
        <v>0</v>
      </c>
      <c r="AG328" s="49">
        <f>IF(AG$4=EOMONTH(CloseDate,'Rent Roll'!$O$44-1),-'Rent Roll'!$U$44*'Rent Roll'!$F$44*'Rent Roll'!$X$44,0)</f>
        <v>0</v>
      </c>
      <c r="AH328" s="49">
        <f>IF(AH$4=EOMONTH(CloseDate,'Rent Roll'!$O$44-1),-'Rent Roll'!$U$44*'Rent Roll'!$F$44*'Rent Roll'!$X$44,0)</f>
        <v>0</v>
      </c>
      <c r="AI328" s="49">
        <f>IF(AI$4=EOMONTH(CloseDate,'Rent Roll'!$O$44-1),-'Rent Roll'!$U$44*'Rent Roll'!$F$44*'Rent Roll'!$X$44,0)</f>
        <v>0</v>
      </c>
      <c r="AJ328" s="49">
        <f>IF(AJ$4=EOMONTH(CloseDate,'Rent Roll'!$O$44-1),-'Rent Roll'!$U$44*'Rent Roll'!$F$44*'Rent Roll'!$X$44,0)</f>
        <v>0</v>
      </c>
      <c r="AK328" s="49">
        <f>IF(AK$4=EOMONTH(CloseDate,'Rent Roll'!$O$44-1),-'Rent Roll'!$U$44*'Rent Roll'!$F$44*'Rent Roll'!$X$44,0)</f>
        <v>0</v>
      </c>
      <c r="AL328" s="49">
        <f>IF(AL$4=EOMONTH(CloseDate,'Rent Roll'!$O$44-1),-'Rent Roll'!$U$44*'Rent Roll'!$F$44*'Rent Roll'!$X$44,0)</f>
        <v>0</v>
      </c>
      <c r="AM328" s="49">
        <f>IF(AM$4=EOMONTH(CloseDate,'Rent Roll'!$O$44-1),-'Rent Roll'!$U$44*'Rent Roll'!$F$44*'Rent Roll'!$X$44,0)</f>
        <v>0</v>
      </c>
      <c r="AN328" s="49">
        <f>IF(AN$4=EOMONTH(CloseDate,'Rent Roll'!$O$44-1),-'Rent Roll'!$U$44*'Rent Roll'!$F$44*'Rent Roll'!$X$44,0)</f>
        <v>0</v>
      </c>
      <c r="AO328" s="49">
        <f>IF(AO$4=EOMONTH(CloseDate,'Rent Roll'!$O$44-1),-'Rent Roll'!$U$44*'Rent Roll'!$F$44*'Rent Roll'!$X$44,0)</f>
        <v>0</v>
      </c>
      <c r="AP328" s="49">
        <f>IF(AP$4=EOMONTH(CloseDate,'Rent Roll'!$O$44-1),-'Rent Roll'!$U$44*'Rent Roll'!$F$44*'Rent Roll'!$X$44,0)</f>
        <v>0</v>
      </c>
      <c r="AQ328" s="49">
        <f>IF(AQ$4=EOMONTH(CloseDate,'Rent Roll'!$O$44-1),-'Rent Roll'!$U$44*'Rent Roll'!$F$44*'Rent Roll'!$X$44,0)</f>
        <v>0</v>
      </c>
      <c r="AR328" s="49">
        <f>IF(AR$4=EOMONTH(CloseDate,'Rent Roll'!$O$44-1),-'Rent Roll'!$U$44*'Rent Roll'!$F$44*'Rent Roll'!$X$44,0)</f>
        <v>0</v>
      </c>
      <c r="AS328" s="49">
        <f>IF(AS$4=EOMONTH(CloseDate,'Rent Roll'!$O$44-1),-'Rent Roll'!$U$44*'Rent Roll'!$F$44*'Rent Roll'!$X$44,0)</f>
        <v>0</v>
      </c>
      <c r="AT328" s="49">
        <f>IF(AT$4=EOMONTH(CloseDate,'Rent Roll'!$O$44-1),-'Rent Roll'!$U$44*'Rent Roll'!$F$44*'Rent Roll'!$X$44,0)</f>
        <v>0</v>
      </c>
      <c r="AU328" s="49">
        <f>IF(AU$4=EOMONTH(CloseDate,'Rent Roll'!$O$44-1),-'Rent Roll'!$U$44*'Rent Roll'!$F$44*'Rent Roll'!$X$44,0)</f>
        <v>0</v>
      </c>
      <c r="AV328" s="49">
        <f>IF(AV$4=EOMONTH(CloseDate,'Rent Roll'!$O$44-1),-'Rent Roll'!$U$44*'Rent Roll'!$F$44*'Rent Roll'!$X$44,0)</f>
        <v>0</v>
      </c>
      <c r="AW328" s="49">
        <f>IF(AW$4=EOMONTH(CloseDate,'Rent Roll'!$O$44-1),-'Rent Roll'!$U$44*'Rent Roll'!$F$44*'Rent Roll'!$X$44,0)</f>
        <v>0</v>
      </c>
      <c r="AX328" s="49">
        <f>IF(AX$4=EOMONTH(CloseDate,'Rent Roll'!$O$44-1),-'Rent Roll'!$U$44*'Rent Roll'!$F$44*'Rent Roll'!$X$44,0)</f>
        <v>0</v>
      </c>
      <c r="AY328" s="49">
        <f>IF(AY$4=EOMONTH(CloseDate,'Rent Roll'!$O$44-1),-'Rent Roll'!$U$44*'Rent Roll'!$F$44*'Rent Roll'!$X$44,0)</f>
        <v>0</v>
      </c>
      <c r="AZ328" s="49">
        <f>IF(AZ$4=EOMONTH(CloseDate,'Rent Roll'!$O$44-1),-'Rent Roll'!$U$44*'Rent Roll'!$F$44*'Rent Roll'!$X$44,0)</f>
        <v>0</v>
      </c>
      <c r="BA328" s="49">
        <f>IF(BA$4=EOMONTH(CloseDate,'Rent Roll'!$O$44-1),-'Rent Roll'!$U$44*'Rent Roll'!$F$44*'Rent Roll'!$X$44,0)</f>
        <v>0</v>
      </c>
      <c r="BB328" s="49">
        <f>IF(BB$4=EOMONTH(CloseDate,'Rent Roll'!$O$44-1),-'Rent Roll'!$U$44*'Rent Roll'!$F$44*'Rent Roll'!$X$44,0)</f>
        <v>0</v>
      </c>
      <c r="BC328" s="49">
        <f>IF(BC$4=EOMONTH(CloseDate,'Rent Roll'!$O$44-1),-'Rent Roll'!$U$44*'Rent Roll'!$F$44*'Rent Roll'!$X$44,0)</f>
        <v>0</v>
      </c>
      <c r="BD328" s="49">
        <f>IF(BD$4=EOMONTH(CloseDate,'Rent Roll'!$O$44-1),-'Rent Roll'!$U$44*'Rent Roll'!$F$44*'Rent Roll'!$X$44,0)</f>
        <v>0</v>
      </c>
      <c r="BE328" s="49">
        <f>IF(BE$4=EOMONTH(CloseDate,'Rent Roll'!$O$44-1),-'Rent Roll'!$U$44*'Rent Roll'!$F$44*'Rent Roll'!$X$44,0)</f>
        <v>0</v>
      </c>
      <c r="BF328" s="49">
        <f>IF(BF$4=EOMONTH(CloseDate,'Rent Roll'!$O$44-1),-'Rent Roll'!$U$44*'Rent Roll'!$F$44*'Rent Roll'!$X$44,0)</f>
        <v>0</v>
      </c>
      <c r="BG328" s="49">
        <f>IF(BG$4=EOMONTH(CloseDate,'Rent Roll'!$O$44-1),-'Rent Roll'!$U$44*'Rent Roll'!$F$44*'Rent Roll'!$X$44,0)</f>
        <v>0</v>
      </c>
      <c r="BH328" s="49">
        <f>IF(BH$4=EOMONTH(CloseDate,'Rent Roll'!$O$44-1),-'Rent Roll'!$U$44*'Rent Roll'!$F$44*'Rent Roll'!$X$44,0)</f>
        <v>0</v>
      </c>
      <c r="BI328" s="49">
        <f>IF(BI$4=EOMONTH(CloseDate,'Rent Roll'!$O$44-1),-'Rent Roll'!$U$44*'Rent Roll'!$F$44*'Rent Roll'!$X$44,0)</f>
        <v>0</v>
      </c>
      <c r="BJ328" s="49">
        <f>IF(BJ$4=EOMONTH(CloseDate,'Rent Roll'!$O$44-1),-'Rent Roll'!$U$44*'Rent Roll'!$F$44*'Rent Roll'!$X$44,0)</f>
        <v>0</v>
      </c>
      <c r="BK328" s="49">
        <f>IF(BK$4=EOMONTH(CloseDate,'Rent Roll'!$O$44-1),-'Rent Roll'!$U$44*'Rent Roll'!$F$44*'Rent Roll'!$X$44,0)</f>
        <v>0</v>
      </c>
      <c r="BL328" s="49">
        <f>IF(BL$4=EOMONTH(CloseDate,'Rent Roll'!$O$44-1),-'Rent Roll'!$U$44*'Rent Roll'!$F$44*'Rent Roll'!$X$44,0)</f>
        <v>0</v>
      </c>
      <c r="BM328" s="49">
        <f>IF(BM$4=EOMONTH(CloseDate,'Rent Roll'!$O$44-1),-'Rent Roll'!$U$44*'Rent Roll'!$F$44*'Rent Roll'!$X$44,0)</f>
        <v>0</v>
      </c>
      <c r="BN328" s="49">
        <f>IF(BN$4=EOMONTH(CloseDate,'Rent Roll'!$O$44-1),-'Rent Roll'!$U$44*'Rent Roll'!$F$44*'Rent Roll'!$X$44,0)</f>
        <v>0</v>
      </c>
      <c r="BO328" s="49">
        <f>IF(BO$4=EOMONTH(CloseDate,'Rent Roll'!$O$44-1),-'Rent Roll'!$U$44*'Rent Roll'!$F$44*'Rent Roll'!$X$44,0)</f>
        <v>0</v>
      </c>
      <c r="BP328" s="49">
        <f>IF(BP$4=EOMONTH(CloseDate,'Rent Roll'!$O$44-1),-'Rent Roll'!$U$44*'Rent Roll'!$F$44*'Rent Roll'!$X$44,0)</f>
        <v>0</v>
      </c>
      <c r="BQ328" s="49">
        <f>IF(BQ$4=EOMONTH(CloseDate,'Rent Roll'!$O$44-1),-'Rent Roll'!$U$44*'Rent Roll'!$F$44*'Rent Roll'!$X$44,0)</f>
        <v>0</v>
      </c>
      <c r="BR328" s="49">
        <f>IF(BR$4=EOMONTH(CloseDate,'Rent Roll'!$O$44-1),-'Rent Roll'!$U$44*'Rent Roll'!$F$44*'Rent Roll'!$X$44,0)</f>
        <v>0</v>
      </c>
      <c r="BS328" s="49">
        <f>IF(BS$4=EOMONTH(CloseDate,'Rent Roll'!$O$44-1),-'Rent Roll'!$U$44*'Rent Roll'!$F$44*'Rent Roll'!$X$44,0)</f>
        <v>0</v>
      </c>
      <c r="BT328" s="49">
        <f>IF(BT$4=EOMONTH(CloseDate,'Rent Roll'!$O$44-1),-'Rent Roll'!$U$44*'Rent Roll'!$F$44*'Rent Roll'!$X$44,0)</f>
        <v>0</v>
      </c>
      <c r="BU328" s="49">
        <f>IF(BU$4=EOMONTH(CloseDate,'Rent Roll'!$O$44-1),-'Rent Roll'!$U$44*'Rent Roll'!$F$44*'Rent Roll'!$X$44,0)</f>
        <v>0</v>
      </c>
      <c r="BV328" s="49">
        <f>IF(BV$4=EOMONTH(CloseDate,'Rent Roll'!$O$44-1),-'Rent Roll'!$U$44*'Rent Roll'!$F$44*'Rent Roll'!$X$44,0)</f>
        <v>0</v>
      </c>
      <c r="BW328" s="49">
        <f>IF(BW$4=EOMONTH(CloseDate,'Rent Roll'!$O$44-1),-'Rent Roll'!$U$44*'Rent Roll'!$F$44*'Rent Roll'!$X$44,0)</f>
        <v>0</v>
      </c>
      <c r="BX328" s="49">
        <f>IF(BX$4=EOMONTH(CloseDate,'Rent Roll'!$O$44-1),-'Rent Roll'!$U$44*'Rent Roll'!$F$44*'Rent Roll'!$X$44,0)</f>
        <v>0</v>
      </c>
    </row>
    <row r="329" spans="1:76" outlineLevel="1">
      <c r="A329" s="47" t="str">
        <f>'Rent Roll'!C45</f>
        <v>Suite 810</v>
      </c>
      <c r="B329" s="57">
        <f>INDEX('Rent Roll'!$F$5:$F$46,MATCH('Rent Roll Calc'!A329,'Rent Roll'!$C$5:$C$46,0))</f>
        <v>12500</v>
      </c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  <c r="AA329" s="49"/>
      <c r="AB329" s="49"/>
      <c r="AC329" s="49"/>
      <c r="AD329" s="49"/>
      <c r="AE329" s="49"/>
      <c r="AF329" s="49"/>
      <c r="AG329" s="49"/>
      <c r="AH329" s="49"/>
      <c r="AI329" s="49"/>
      <c r="AJ329" s="49"/>
      <c r="AK329" s="49"/>
      <c r="AL329" s="49"/>
      <c r="AM329" s="49"/>
      <c r="AN329" s="49"/>
      <c r="AO329" s="49"/>
      <c r="AP329" s="49"/>
      <c r="AQ329" s="49"/>
      <c r="AR329" s="49"/>
      <c r="AS329" s="49"/>
      <c r="AT329" s="49"/>
      <c r="AU329" s="49"/>
      <c r="AV329" s="49"/>
      <c r="AW329" s="49"/>
      <c r="AX329" s="49"/>
      <c r="AY329" s="49"/>
      <c r="AZ329" s="49"/>
      <c r="BA329" s="49"/>
      <c r="BB329" s="49"/>
      <c r="BC329" s="49"/>
      <c r="BD329" s="49"/>
      <c r="BE329" s="49"/>
      <c r="BF329" s="49"/>
      <c r="BG329" s="49"/>
      <c r="BH329" s="49"/>
      <c r="BI329" s="49"/>
      <c r="BJ329" s="49"/>
      <c r="BK329" s="49"/>
      <c r="BL329" s="49"/>
      <c r="BM329" s="49"/>
      <c r="BN329" s="49"/>
      <c r="BO329" s="49"/>
      <c r="BP329" s="49"/>
      <c r="BQ329" s="49"/>
      <c r="BR329" s="49"/>
      <c r="BS329" s="49"/>
      <c r="BT329" s="49"/>
      <c r="BU329" s="49"/>
      <c r="BV329" s="49"/>
      <c r="BW329" s="49"/>
      <c r="BX329" s="49"/>
    </row>
    <row r="330" spans="1:76">
      <c r="B330" t="s">
        <v>170</v>
      </c>
      <c r="D330" s="49">
        <f>IF(AND(D$3&gt;='Rent Roll'!$O$45-SpecBuildout,D$3&lt;'Rent Roll'!$O$45),1,0)</f>
        <v>0</v>
      </c>
      <c r="E330" s="49">
        <f>IF(AND(E$3&gt;='Rent Roll'!$O$45-SpecBuildout,E$3&lt;'Rent Roll'!$O$45),1,0)</f>
        <v>0</v>
      </c>
      <c r="F330" s="49">
        <f>IF(AND(F$3&gt;='Rent Roll'!$O$45-SpecBuildout,F$3&lt;'Rent Roll'!$O$45),1,0)</f>
        <v>0</v>
      </c>
      <c r="G330" s="49">
        <f>IF(AND(G$3&gt;='Rent Roll'!$O$45-SpecBuildout,G$3&lt;'Rent Roll'!$O$45),1,0)</f>
        <v>0</v>
      </c>
      <c r="H330" s="49">
        <f>IF(AND(H$3&gt;='Rent Roll'!$O$45-SpecBuildout,H$3&lt;'Rent Roll'!$O$45),1,0)</f>
        <v>0</v>
      </c>
      <c r="I330" s="49">
        <f>IF(AND(I$3&gt;='Rent Roll'!$O$45-SpecBuildout,I$3&lt;'Rent Roll'!$O$45),1,0)</f>
        <v>0</v>
      </c>
      <c r="J330" s="49">
        <f>IF(AND(J$3&gt;='Rent Roll'!$O$45-SpecBuildout,J$3&lt;'Rent Roll'!$O$45),1,0)</f>
        <v>0</v>
      </c>
      <c r="K330" s="49">
        <f>IF(AND(K$3&gt;='Rent Roll'!$O$45-SpecBuildout,K$3&lt;'Rent Roll'!$O$45),1,0)</f>
        <v>0</v>
      </c>
      <c r="L330" s="49">
        <f>IF(AND(L$3&gt;='Rent Roll'!$O$45-SpecBuildout,L$3&lt;'Rent Roll'!$O$45),1,0)</f>
        <v>0</v>
      </c>
      <c r="M330" s="49">
        <f>IF(AND(M$3&gt;='Rent Roll'!$O$45-SpecBuildout,M$3&lt;'Rent Roll'!$O$45),1,0)</f>
        <v>0</v>
      </c>
      <c r="N330" s="49">
        <f>IF(AND(N$3&gt;='Rent Roll'!$O$45-SpecBuildout,N$3&lt;'Rent Roll'!$O$45),1,0)</f>
        <v>1</v>
      </c>
      <c r="O330" s="49">
        <f>IF(AND(O$3&gt;='Rent Roll'!$O$45-SpecBuildout,O$3&lt;'Rent Roll'!$O$45),1,0)</f>
        <v>1</v>
      </c>
      <c r="P330" s="49">
        <f>IF(AND(P$3&gt;='Rent Roll'!$O$45-SpecBuildout,P$3&lt;'Rent Roll'!$O$45),1,0)</f>
        <v>1</v>
      </c>
      <c r="Q330" s="49">
        <f>IF(AND(Q$3&gt;='Rent Roll'!$O$45-SpecBuildout,Q$3&lt;'Rent Roll'!$O$45),1,0)</f>
        <v>1</v>
      </c>
      <c r="R330" s="49">
        <f>IF(AND(R$3&gt;='Rent Roll'!$O$45-SpecBuildout,R$3&lt;'Rent Roll'!$O$45),1,0)</f>
        <v>1</v>
      </c>
      <c r="S330" s="49">
        <f>IF(AND(S$3&gt;='Rent Roll'!$O$45-SpecBuildout,S$3&lt;'Rent Roll'!$O$45),1,0)</f>
        <v>1</v>
      </c>
      <c r="T330" s="49">
        <f>IF(AND(T$3&gt;='Rent Roll'!$O$45-SpecBuildout,T$3&lt;'Rent Roll'!$O$45),1,0)</f>
        <v>0</v>
      </c>
      <c r="U330" s="49">
        <f>IF(AND(U$3&gt;='Rent Roll'!$O$45-SpecBuildout,U$3&lt;'Rent Roll'!$O$45),1,0)</f>
        <v>0</v>
      </c>
      <c r="V330" s="49">
        <f>IF(AND(V$3&gt;='Rent Roll'!$O$45-SpecBuildout,V$3&lt;'Rent Roll'!$O$45),1,0)</f>
        <v>0</v>
      </c>
      <c r="W330" s="49">
        <f>IF(AND(W$3&gt;='Rent Roll'!$O$45-SpecBuildout,W$3&lt;'Rent Roll'!$O$45),1,0)</f>
        <v>0</v>
      </c>
      <c r="X330" s="49">
        <f>IF(AND(X$3&gt;='Rent Roll'!$O$45-SpecBuildout,X$3&lt;'Rent Roll'!$O$45),1,0)</f>
        <v>0</v>
      </c>
      <c r="Y330" s="49">
        <f>IF(AND(Y$3&gt;='Rent Roll'!$O$45-SpecBuildout,Y$3&lt;'Rent Roll'!$O$45),1,0)</f>
        <v>0</v>
      </c>
      <c r="Z330" s="49">
        <f>IF(AND(Z$3&gt;='Rent Roll'!$O$45-SpecBuildout,Z$3&lt;'Rent Roll'!$O$45),1,0)</f>
        <v>0</v>
      </c>
      <c r="AA330" s="49">
        <f>IF(AND(AA$3&gt;='Rent Roll'!$O$45-SpecBuildout,AA$3&lt;'Rent Roll'!$O$45),1,0)</f>
        <v>0</v>
      </c>
      <c r="AB330" s="49">
        <f>IF(AND(AB$3&gt;='Rent Roll'!$O$45-SpecBuildout,AB$3&lt;'Rent Roll'!$O$45),1,0)</f>
        <v>0</v>
      </c>
      <c r="AC330" s="49">
        <f>IF(AND(AC$3&gt;='Rent Roll'!$O$45-SpecBuildout,AC$3&lt;'Rent Roll'!$O$45),1,0)</f>
        <v>0</v>
      </c>
      <c r="AD330" s="49">
        <f>IF(AND(AD$3&gt;='Rent Roll'!$O$45-SpecBuildout,AD$3&lt;'Rent Roll'!$O$45),1,0)</f>
        <v>0</v>
      </c>
      <c r="AE330" s="49">
        <f>IF(AND(AE$3&gt;='Rent Roll'!$O$45-SpecBuildout,AE$3&lt;'Rent Roll'!$O$45),1,0)</f>
        <v>0</v>
      </c>
      <c r="AF330" s="49">
        <f>IF(AND(AF$3&gt;='Rent Roll'!$O$45-SpecBuildout,AF$3&lt;'Rent Roll'!$O$45),1,0)</f>
        <v>0</v>
      </c>
      <c r="AG330" s="49">
        <f>IF(AND(AG$3&gt;='Rent Roll'!$O$45-SpecBuildout,AG$3&lt;'Rent Roll'!$O$45),1,0)</f>
        <v>0</v>
      </c>
      <c r="AH330" s="49">
        <f>IF(AND(AH$3&gt;='Rent Roll'!$O$45-SpecBuildout,AH$3&lt;'Rent Roll'!$O$45),1,0)</f>
        <v>0</v>
      </c>
      <c r="AI330" s="49">
        <f>IF(AND(AI$3&gt;='Rent Roll'!$O$45-SpecBuildout,AI$3&lt;'Rent Roll'!$O$45),1,0)</f>
        <v>0</v>
      </c>
      <c r="AJ330" s="49">
        <f>IF(AND(AJ$3&gt;='Rent Roll'!$O$45-SpecBuildout,AJ$3&lt;'Rent Roll'!$O$45),1,0)</f>
        <v>0</v>
      </c>
      <c r="AK330" s="49">
        <f>IF(AND(AK$3&gt;='Rent Roll'!$O$45-SpecBuildout,AK$3&lt;'Rent Roll'!$O$45),1,0)</f>
        <v>0</v>
      </c>
      <c r="AL330" s="49">
        <f>IF(AND(AL$3&gt;='Rent Roll'!$O$45-SpecBuildout,AL$3&lt;'Rent Roll'!$O$45),1,0)</f>
        <v>0</v>
      </c>
      <c r="AM330" s="49">
        <f>IF(AND(AM$3&gt;='Rent Roll'!$O$45-SpecBuildout,AM$3&lt;'Rent Roll'!$O$45),1,0)</f>
        <v>0</v>
      </c>
      <c r="AN330" s="49">
        <f>IF(AND(AN$3&gt;='Rent Roll'!$O$45-SpecBuildout,AN$3&lt;'Rent Roll'!$O$45),1,0)</f>
        <v>0</v>
      </c>
      <c r="AO330" s="49">
        <f>IF(AND(AO$3&gt;='Rent Roll'!$O$45-SpecBuildout,AO$3&lt;'Rent Roll'!$O$45),1,0)</f>
        <v>0</v>
      </c>
      <c r="AP330" s="49">
        <f>IF(AND(AP$3&gt;='Rent Roll'!$O$45-SpecBuildout,AP$3&lt;'Rent Roll'!$O$45),1,0)</f>
        <v>0</v>
      </c>
      <c r="AQ330" s="49">
        <f>IF(AND(AQ$3&gt;='Rent Roll'!$O$45-SpecBuildout,AQ$3&lt;'Rent Roll'!$O$45),1,0)</f>
        <v>0</v>
      </c>
      <c r="AR330" s="49">
        <f>IF(AND(AR$3&gt;='Rent Roll'!$O$45-SpecBuildout,AR$3&lt;'Rent Roll'!$O$45),1,0)</f>
        <v>0</v>
      </c>
      <c r="AS330" s="49">
        <f>IF(AND(AS$3&gt;='Rent Roll'!$O$45-SpecBuildout,AS$3&lt;'Rent Roll'!$O$45),1,0)</f>
        <v>0</v>
      </c>
      <c r="AT330" s="49">
        <f>IF(AND(AT$3&gt;='Rent Roll'!$O$45-SpecBuildout,AT$3&lt;'Rent Roll'!$O$45),1,0)</f>
        <v>0</v>
      </c>
      <c r="AU330" s="49">
        <f>IF(AND(AU$3&gt;='Rent Roll'!$O$45-SpecBuildout,AU$3&lt;'Rent Roll'!$O$45),1,0)</f>
        <v>0</v>
      </c>
      <c r="AV330" s="49">
        <f>IF(AND(AV$3&gt;='Rent Roll'!$O$45-SpecBuildout,AV$3&lt;'Rent Roll'!$O$45),1,0)</f>
        <v>0</v>
      </c>
      <c r="AW330" s="49">
        <f>IF(AND(AW$3&gt;='Rent Roll'!$O$45-SpecBuildout,AW$3&lt;'Rent Roll'!$O$45),1,0)</f>
        <v>0</v>
      </c>
      <c r="AX330" s="49">
        <f>IF(AND(AX$3&gt;='Rent Roll'!$O$45-SpecBuildout,AX$3&lt;'Rent Roll'!$O$45),1,0)</f>
        <v>0</v>
      </c>
      <c r="AY330" s="49">
        <f>IF(AND(AY$3&gt;='Rent Roll'!$O$45-SpecBuildout,AY$3&lt;'Rent Roll'!$O$45),1,0)</f>
        <v>0</v>
      </c>
      <c r="AZ330" s="49">
        <f>IF(AND(AZ$3&gt;='Rent Roll'!$O$45-SpecBuildout,AZ$3&lt;'Rent Roll'!$O$45),1,0)</f>
        <v>0</v>
      </c>
      <c r="BA330" s="49">
        <f>IF(AND(BA$3&gt;='Rent Roll'!$O$45-SpecBuildout,BA$3&lt;'Rent Roll'!$O$45),1,0)</f>
        <v>0</v>
      </c>
      <c r="BB330" s="49">
        <f>IF(AND(BB$3&gt;='Rent Roll'!$O$45-SpecBuildout,BB$3&lt;'Rent Roll'!$O$45),1,0)</f>
        <v>0</v>
      </c>
      <c r="BC330" s="49">
        <f>IF(AND(BC$3&gt;='Rent Roll'!$O$45-SpecBuildout,BC$3&lt;'Rent Roll'!$O$45),1,0)</f>
        <v>0</v>
      </c>
      <c r="BD330" s="49">
        <f>IF(AND(BD$3&gt;='Rent Roll'!$O$45-SpecBuildout,BD$3&lt;'Rent Roll'!$O$45),1,0)</f>
        <v>0</v>
      </c>
      <c r="BE330" s="49">
        <f>IF(AND(BE$3&gt;='Rent Roll'!$O$45-SpecBuildout,BE$3&lt;'Rent Roll'!$O$45),1,0)</f>
        <v>0</v>
      </c>
      <c r="BF330" s="49">
        <f>IF(AND(BF$3&gt;='Rent Roll'!$O$45-SpecBuildout,BF$3&lt;'Rent Roll'!$O$45),1,0)</f>
        <v>0</v>
      </c>
      <c r="BG330" s="49">
        <f>IF(AND(BG$3&gt;='Rent Roll'!$O$45-SpecBuildout,BG$3&lt;'Rent Roll'!$O$45),1,0)</f>
        <v>0</v>
      </c>
      <c r="BH330" s="49">
        <f>IF(AND(BH$3&gt;='Rent Roll'!$O$45-SpecBuildout,BH$3&lt;'Rent Roll'!$O$45),1,0)</f>
        <v>0</v>
      </c>
      <c r="BI330" s="49">
        <f>IF(AND(BI$3&gt;='Rent Roll'!$O$45-SpecBuildout,BI$3&lt;'Rent Roll'!$O$45),1,0)</f>
        <v>0</v>
      </c>
      <c r="BJ330" s="49">
        <f>IF(AND(BJ$3&gt;='Rent Roll'!$O$45-SpecBuildout,BJ$3&lt;'Rent Roll'!$O$45),1,0)</f>
        <v>0</v>
      </c>
      <c r="BK330" s="49">
        <f>IF(AND(BK$3&gt;='Rent Roll'!$O$45-SpecBuildout,BK$3&lt;'Rent Roll'!$O$45),1,0)</f>
        <v>0</v>
      </c>
      <c r="BL330" s="49">
        <f>IF(AND(BL$3&gt;='Rent Roll'!$O$45-SpecBuildout,BL$3&lt;'Rent Roll'!$O$45),1,0)</f>
        <v>0</v>
      </c>
      <c r="BM330" s="49">
        <f>IF(AND(BM$3&gt;='Rent Roll'!$O$45-SpecBuildout,BM$3&lt;'Rent Roll'!$O$45),1,0)</f>
        <v>0</v>
      </c>
      <c r="BN330" s="49">
        <f>IF(AND(BN$3&gt;='Rent Roll'!$O$45-SpecBuildout,BN$3&lt;'Rent Roll'!$O$45),1,0)</f>
        <v>0</v>
      </c>
      <c r="BO330" s="49">
        <f>IF(AND(BO$3&gt;='Rent Roll'!$O$45-SpecBuildout,BO$3&lt;'Rent Roll'!$O$45),1,0)</f>
        <v>0</v>
      </c>
      <c r="BP330" s="49">
        <f>IF(AND(BP$3&gt;='Rent Roll'!$O$45-SpecBuildout,BP$3&lt;'Rent Roll'!$O$45),1,0)</f>
        <v>0</v>
      </c>
      <c r="BQ330" s="49">
        <f>IF(AND(BQ$3&gt;='Rent Roll'!$O$45-SpecBuildout,BQ$3&lt;'Rent Roll'!$O$45),1,0)</f>
        <v>0</v>
      </c>
      <c r="BR330" s="49">
        <f>IF(AND(BR$3&gt;='Rent Roll'!$O$45-SpecBuildout,BR$3&lt;'Rent Roll'!$O$45),1,0)</f>
        <v>0</v>
      </c>
      <c r="BS330" s="49">
        <f>IF(AND(BS$3&gt;='Rent Roll'!$O$45-SpecBuildout,BS$3&lt;'Rent Roll'!$O$45),1,0)</f>
        <v>0</v>
      </c>
      <c r="BT330" s="49">
        <f>IF(AND(BT$3&gt;='Rent Roll'!$O$45-SpecBuildout,BT$3&lt;'Rent Roll'!$O$45),1,0)</f>
        <v>0</v>
      </c>
      <c r="BU330" s="49">
        <f>IF(AND(BU$3&gt;='Rent Roll'!$O$45-SpecBuildout,BU$3&lt;'Rent Roll'!$O$45),1,0)</f>
        <v>0</v>
      </c>
      <c r="BV330" s="49">
        <f>IF(AND(BV$3&gt;='Rent Roll'!$O$45-SpecBuildout,BV$3&lt;'Rent Roll'!$O$45),1,0)</f>
        <v>0</v>
      </c>
      <c r="BW330" s="49">
        <f>IF(AND(BW$3&gt;='Rent Roll'!$O$45-SpecBuildout,BW$3&lt;'Rent Roll'!$O$45),1,0)</f>
        <v>0</v>
      </c>
      <c r="BX330" s="49">
        <f>IF(AND(BX$3&gt;='Rent Roll'!$O$45-SpecBuildout,BX$3&lt;'Rent Roll'!$O$45),1,0)</f>
        <v>0</v>
      </c>
    </row>
    <row r="331" spans="1:76">
      <c r="B331" t="s">
        <v>159</v>
      </c>
      <c r="D331" s="49">
        <f>0</f>
        <v>0</v>
      </c>
      <c r="E331" s="49">
        <f>0</f>
        <v>0</v>
      </c>
      <c r="F331" s="49">
        <f>0</f>
        <v>0</v>
      </c>
      <c r="G331" s="49">
        <f>0</f>
        <v>0</v>
      </c>
      <c r="H331" s="49">
        <f>0</f>
        <v>0</v>
      </c>
      <c r="I331" s="49">
        <f>0</f>
        <v>0</v>
      </c>
      <c r="J331" s="49">
        <f>0</f>
        <v>0</v>
      </c>
      <c r="K331" s="49">
        <f>0</f>
        <v>0</v>
      </c>
      <c r="L331" s="49">
        <f>0</f>
        <v>0</v>
      </c>
      <c r="M331" s="49">
        <f>0</f>
        <v>0</v>
      </c>
      <c r="N331" s="49">
        <f>0</f>
        <v>0</v>
      </c>
      <c r="O331" s="49">
        <f>0</f>
        <v>0</v>
      </c>
      <c r="P331" s="49">
        <f>0</f>
        <v>0</v>
      </c>
      <c r="Q331" s="49">
        <f>0</f>
        <v>0</v>
      </c>
      <c r="R331" s="49">
        <f>0</f>
        <v>0</v>
      </c>
      <c r="S331" s="49">
        <f>0</f>
        <v>0</v>
      </c>
      <c r="T331" s="49">
        <f>0</f>
        <v>0</v>
      </c>
      <c r="U331" s="49">
        <f>0</f>
        <v>0</v>
      </c>
      <c r="V331" s="49">
        <f>0</f>
        <v>0</v>
      </c>
      <c r="W331" s="49">
        <f>0</f>
        <v>0</v>
      </c>
      <c r="X331" s="49">
        <f>0</f>
        <v>0</v>
      </c>
      <c r="Y331" s="49">
        <f>0</f>
        <v>0</v>
      </c>
      <c r="Z331" s="49">
        <f>0</f>
        <v>0</v>
      </c>
      <c r="AA331" s="49">
        <f>0</f>
        <v>0</v>
      </c>
      <c r="AB331" s="49">
        <f>0</f>
        <v>0</v>
      </c>
      <c r="AC331" s="49">
        <f>0</f>
        <v>0</v>
      </c>
      <c r="AD331" s="49">
        <f>0</f>
        <v>0</v>
      </c>
      <c r="AE331" s="49">
        <f>0</f>
        <v>0</v>
      </c>
      <c r="AF331" s="49">
        <f>0</f>
        <v>0</v>
      </c>
      <c r="AG331" s="49">
        <f>0</f>
        <v>0</v>
      </c>
      <c r="AH331" s="49">
        <f>0</f>
        <v>0</v>
      </c>
      <c r="AI331" s="49">
        <f>0</f>
        <v>0</v>
      </c>
      <c r="AJ331" s="49">
        <f>0</f>
        <v>0</v>
      </c>
      <c r="AK331" s="49">
        <f>0</f>
        <v>0</v>
      </c>
      <c r="AL331" s="49">
        <f>0</f>
        <v>0</v>
      </c>
      <c r="AM331" s="49">
        <f>0</f>
        <v>0</v>
      </c>
      <c r="AN331" s="49">
        <f>0</f>
        <v>0</v>
      </c>
      <c r="AO331" s="49">
        <f>0</f>
        <v>0</v>
      </c>
      <c r="AP331" s="49">
        <f>0</f>
        <v>0</v>
      </c>
      <c r="AQ331" s="49">
        <f>0</f>
        <v>0</v>
      </c>
      <c r="AR331" s="49">
        <f>0</f>
        <v>0</v>
      </c>
      <c r="AS331" s="49">
        <f>0</f>
        <v>0</v>
      </c>
      <c r="AT331" s="49">
        <f>0</f>
        <v>0</v>
      </c>
      <c r="AU331" s="49">
        <f>0</f>
        <v>0</v>
      </c>
      <c r="AV331" s="49">
        <f>0</f>
        <v>0</v>
      </c>
      <c r="AW331" s="49">
        <f>0</f>
        <v>0</v>
      </c>
      <c r="AX331" s="49">
        <f>0</f>
        <v>0</v>
      </c>
      <c r="AY331" s="49">
        <f>0</f>
        <v>0</v>
      </c>
      <c r="AZ331" s="49">
        <f>0</f>
        <v>0</v>
      </c>
      <c r="BA331" s="49">
        <f>0</f>
        <v>0</v>
      </c>
      <c r="BB331" s="49">
        <f>0</f>
        <v>0</v>
      </c>
      <c r="BC331" s="49">
        <f>0</f>
        <v>0</v>
      </c>
      <c r="BD331" s="49">
        <f>0</f>
        <v>0</v>
      </c>
      <c r="BE331" s="49">
        <f>0</f>
        <v>0</v>
      </c>
      <c r="BF331" s="49">
        <f>0</f>
        <v>0</v>
      </c>
      <c r="BG331" s="49">
        <f>0</f>
        <v>0</v>
      </c>
      <c r="BH331" s="49">
        <f>0</f>
        <v>0</v>
      </c>
      <c r="BI331" s="49">
        <f>0</f>
        <v>0</v>
      </c>
      <c r="BJ331" s="49">
        <f>0</f>
        <v>0</v>
      </c>
      <c r="BK331" s="49">
        <f>0</f>
        <v>0</v>
      </c>
      <c r="BL331" s="49">
        <f>0</f>
        <v>0</v>
      </c>
      <c r="BM331" s="49">
        <f>0</f>
        <v>0</v>
      </c>
      <c r="BN331" s="49">
        <f>0</f>
        <v>0</v>
      </c>
      <c r="BO331" s="49">
        <f>0</f>
        <v>0</v>
      </c>
      <c r="BP331" s="49">
        <f>0</f>
        <v>0</v>
      </c>
      <c r="BQ331" s="49">
        <f>0</f>
        <v>0</v>
      </c>
      <c r="BR331" s="49">
        <f>0</f>
        <v>0</v>
      </c>
      <c r="BS331" s="49">
        <f>0</f>
        <v>0</v>
      </c>
      <c r="BT331" s="49">
        <f>0</f>
        <v>0</v>
      </c>
      <c r="BU331" s="49">
        <f>0</f>
        <v>0</v>
      </c>
      <c r="BV331" s="49">
        <f>0</f>
        <v>0</v>
      </c>
      <c r="BW331" s="49">
        <f>0</f>
        <v>0</v>
      </c>
      <c r="BX331" s="49">
        <f>0</f>
        <v>0</v>
      </c>
    </row>
    <row r="332" spans="1:76" hidden="1" outlineLevel="1">
      <c r="B332" t="s">
        <v>160</v>
      </c>
      <c r="D332" s="49">
        <f>IF(D$4&gt;=EOMONTH(CloseDate,'Rent Roll'!$O$45-1),1,0)</f>
        <v>0</v>
      </c>
      <c r="E332" s="49">
        <f>IF(E$4&gt;=EOMONTH(CloseDate,'Rent Roll'!$O$45-1),1,0)</f>
        <v>0</v>
      </c>
      <c r="F332" s="49">
        <f>IF(F$4&gt;=EOMONTH(CloseDate,'Rent Roll'!$O$45-1),1,0)</f>
        <v>0</v>
      </c>
      <c r="G332" s="49">
        <f>IF(G$4&gt;=EOMONTH(CloseDate,'Rent Roll'!$O$45-1),1,0)</f>
        <v>0</v>
      </c>
      <c r="H332" s="49">
        <f>IF(H$4&gt;=EOMONTH(CloseDate,'Rent Roll'!$O$45-1),1,0)</f>
        <v>0</v>
      </c>
      <c r="I332" s="49">
        <f>IF(I$4&gt;=EOMONTH(CloseDate,'Rent Roll'!$O$45-1),1,0)</f>
        <v>0</v>
      </c>
      <c r="J332" s="49">
        <f>IF(J$4&gt;=EOMONTH(CloseDate,'Rent Roll'!$O$45-1),1,0)</f>
        <v>0</v>
      </c>
      <c r="K332" s="49">
        <f>IF(K$4&gt;=EOMONTH(CloseDate,'Rent Roll'!$O$45-1),1,0)</f>
        <v>0</v>
      </c>
      <c r="L332" s="49">
        <f>IF(L$4&gt;=EOMONTH(CloseDate,'Rent Roll'!$O$45-1),1,0)</f>
        <v>0</v>
      </c>
      <c r="M332" s="49">
        <f>IF(M$4&gt;=EOMONTH(CloseDate,'Rent Roll'!$O$45-1),1,0)</f>
        <v>0</v>
      </c>
      <c r="N332" s="49">
        <f>IF(N$4&gt;=EOMONTH(CloseDate,'Rent Roll'!$O$45-1),1,0)</f>
        <v>0</v>
      </c>
      <c r="O332" s="49">
        <f>IF(O$4&gt;=EOMONTH(CloseDate,'Rent Roll'!$O$45-1),1,0)</f>
        <v>0</v>
      </c>
      <c r="P332" s="49">
        <f>IF(P$4&gt;=EOMONTH(CloseDate,'Rent Roll'!$O$45-1),1,0)</f>
        <v>0</v>
      </c>
      <c r="Q332" s="49">
        <f>IF(Q$4&gt;=EOMONTH(CloseDate,'Rent Roll'!$O$45-1),1,0)</f>
        <v>0</v>
      </c>
      <c r="R332" s="49">
        <f>IF(R$4&gt;=EOMONTH(CloseDate,'Rent Roll'!$O$45-1),1,0)</f>
        <v>0</v>
      </c>
      <c r="S332" s="49">
        <f>IF(S$4&gt;=EOMONTH(CloseDate,'Rent Roll'!$O$45-1),1,0)</f>
        <v>1</v>
      </c>
      <c r="T332" s="49">
        <f>IF(T$4&gt;=EOMONTH(CloseDate,'Rent Roll'!$O$45-1),1,0)</f>
        <v>1</v>
      </c>
      <c r="U332" s="49">
        <f>IF(U$4&gt;=EOMONTH(CloseDate,'Rent Roll'!$O$45-1),1,0)</f>
        <v>1</v>
      </c>
      <c r="V332" s="49">
        <f>IF(V$4&gt;=EOMONTH(CloseDate,'Rent Roll'!$O$45-1),1,0)</f>
        <v>1</v>
      </c>
      <c r="W332" s="49">
        <f>IF(W$4&gt;=EOMONTH(CloseDate,'Rent Roll'!$O$45-1),1,0)</f>
        <v>1</v>
      </c>
      <c r="X332" s="49">
        <f>IF(X$4&gt;=EOMONTH(CloseDate,'Rent Roll'!$O$45-1),1,0)</f>
        <v>1</v>
      </c>
      <c r="Y332" s="49">
        <f>IF(Y$4&gt;=EOMONTH(CloseDate,'Rent Roll'!$O$45-1),1,0)</f>
        <v>1</v>
      </c>
      <c r="Z332" s="49">
        <f>IF(Z$4&gt;=EOMONTH(CloseDate,'Rent Roll'!$O$45-1),1,0)</f>
        <v>1</v>
      </c>
      <c r="AA332" s="49">
        <f>IF(AA$4&gt;=EOMONTH(CloseDate,'Rent Roll'!$O$45-1),1,0)</f>
        <v>1</v>
      </c>
      <c r="AB332" s="49">
        <f>IF(AB$4&gt;=EOMONTH(CloseDate,'Rent Roll'!$O$45-1),1,0)</f>
        <v>1</v>
      </c>
      <c r="AC332" s="49">
        <f>IF(AC$4&gt;=EOMONTH(CloseDate,'Rent Roll'!$O$45-1),1,0)</f>
        <v>1</v>
      </c>
      <c r="AD332" s="49">
        <f>IF(AD$4&gt;=EOMONTH(CloseDate,'Rent Roll'!$O$45-1),1,0)</f>
        <v>1</v>
      </c>
      <c r="AE332" s="49">
        <f>IF(AE$4&gt;=EOMONTH(CloseDate,'Rent Roll'!$O$45-1),1,0)</f>
        <v>1</v>
      </c>
      <c r="AF332" s="49">
        <f>IF(AF$4&gt;=EOMONTH(CloseDate,'Rent Roll'!$O$45-1),1,0)</f>
        <v>1</v>
      </c>
      <c r="AG332" s="49">
        <f>IF(AG$4&gt;=EOMONTH(CloseDate,'Rent Roll'!$O$45-1),1,0)</f>
        <v>1</v>
      </c>
      <c r="AH332" s="49">
        <f>IF(AH$4&gt;=EOMONTH(CloseDate,'Rent Roll'!$O$45-1),1,0)</f>
        <v>1</v>
      </c>
      <c r="AI332" s="49">
        <f>IF(AI$4&gt;=EOMONTH(CloseDate,'Rent Roll'!$O$45-1),1,0)</f>
        <v>1</v>
      </c>
      <c r="AJ332" s="49">
        <f>IF(AJ$4&gt;=EOMONTH(CloseDate,'Rent Roll'!$O$45-1),1,0)</f>
        <v>1</v>
      </c>
      <c r="AK332" s="49">
        <f>IF(AK$4&gt;=EOMONTH(CloseDate,'Rent Roll'!$O$45-1),1,0)</f>
        <v>1</v>
      </c>
      <c r="AL332" s="49">
        <f>IF(AL$4&gt;=EOMONTH(CloseDate,'Rent Roll'!$O$45-1),1,0)</f>
        <v>1</v>
      </c>
      <c r="AM332" s="49">
        <f>IF(AM$4&gt;=EOMONTH(CloseDate,'Rent Roll'!$O$45-1),1,0)</f>
        <v>1</v>
      </c>
      <c r="AN332" s="49">
        <f>IF(AN$4&gt;=EOMONTH(CloseDate,'Rent Roll'!$O$45-1),1,0)</f>
        <v>1</v>
      </c>
      <c r="AO332" s="49">
        <f>IF(AO$4&gt;=EOMONTH(CloseDate,'Rent Roll'!$O$45-1),1,0)</f>
        <v>1</v>
      </c>
      <c r="AP332" s="49">
        <f>IF(AP$4&gt;=EOMONTH(CloseDate,'Rent Roll'!$O$45-1),1,0)</f>
        <v>1</v>
      </c>
      <c r="AQ332" s="49">
        <f>IF(AQ$4&gt;=EOMONTH(CloseDate,'Rent Roll'!$O$45-1),1,0)</f>
        <v>1</v>
      </c>
      <c r="AR332" s="49">
        <f>IF(AR$4&gt;=EOMONTH(CloseDate,'Rent Roll'!$O$45-1),1,0)</f>
        <v>1</v>
      </c>
      <c r="AS332" s="49">
        <f>IF(AS$4&gt;=EOMONTH(CloseDate,'Rent Roll'!$O$45-1),1,0)</f>
        <v>1</v>
      </c>
      <c r="AT332" s="49">
        <f>IF(AT$4&gt;=EOMONTH(CloseDate,'Rent Roll'!$O$45-1),1,0)</f>
        <v>1</v>
      </c>
      <c r="AU332" s="49">
        <f>IF(AU$4&gt;=EOMONTH(CloseDate,'Rent Roll'!$O$45-1),1,0)</f>
        <v>1</v>
      </c>
      <c r="AV332" s="49">
        <f>IF(AV$4&gt;=EOMONTH(CloseDate,'Rent Roll'!$O$45-1),1,0)</f>
        <v>1</v>
      </c>
      <c r="AW332" s="49">
        <f>IF(AW$4&gt;=EOMONTH(CloseDate,'Rent Roll'!$O$45-1),1,0)</f>
        <v>1</v>
      </c>
      <c r="AX332" s="49">
        <f>IF(AX$4&gt;=EOMONTH(CloseDate,'Rent Roll'!$O$45-1),1,0)</f>
        <v>1</v>
      </c>
      <c r="AY332" s="49">
        <f>IF(AY$4&gt;=EOMONTH(CloseDate,'Rent Roll'!$O$45-1),1,0)</f>
        <v>1</v>
      </c>
      <c r="AZ332" s="49">
        <f>IF(AZ$4&gt;=EOMONTH(CloseDate,'Rent Roll'!$O$45-1),1,0)</f>
        <v>1</v>
      </c>
      <c r="BA332" s="49">
        <f>IF(BA$4&gt;=EOMONTH(CloseDate,'Rent Roll'!$O$45-1),1,0)</f>
        <v>1</v>
      </c>
      <c r="BB332" s="49">
        <f>IF(BB$4&gt;=EOMONTH(CloseDate,'Rent Roll'!$O$45-1),1,0)</f>
        <v>1</v>
      </c>
      <c r="BC332" s="49">
        <f>IF(BC$4&gt;=EOMONTH(CloseDate,'Rent Roll'!$O$45-1),1,0)</f>
        <v>1</v>
      </c>
      <c r="BD332" s="49">
        <f>IF(BD$4&gt;=EOMONTH(CloseDate,'Rent Roll'!$O$45-1),1,0)</f>
        <v>1</v>
      </c>
      <c r="BE332" s="49">
        <f>IF(BE$4&gt;=EOMONTH(CloseDate,'Rent Roll'!$O$45-1),1,0)</f>
        <v>1</v>
      </c>
      <c r="BF332" s="49">
        <f>IF(BF$4&gt;=EOMONTH(CloseDate,'Rent Roll'!$O$45-1),1,0)</f>
        <v>1</v>
      </c>
      <c r="BG332" s="49">
        <f>IF(BG$4&gt;=EOMONTH(CloseDate,'Rent Roll'!$O$45-1),1,0)</f>
        <v>1</v>
      </c>
      <c r="BH332" s="49">
        <f>IF(BH$4&gt;=EOMONTH(CloseDate,'Rent Roll'!$O$45-1),1,0)</f>
        <v>1</v>
      </c>
      <c r="BI332" s="49">
        <f>IF(BI$4&gt;=EOMONTH(CloseDate,'Rent Roll'!$O$45-1),1,0)</f>
        <v>1</v>
      </c>
      <c r="BJ332" s="49">
        <f>IF(BJ$4&gt;=EOMONTH(CloseDate,'Rent Roll'!$O$45-1),1,0)</f>
        <v>1</v>
      </c>
      <c r="BK332" s="49">
        <f>IF(BK$4&gt;=EOMONTH(CloseDate,'Rent Roll'!$O$45-1),1,0)</f>
        <v>1</v>
      </c>
      <c r="BL332" s="49">
        <f>IF(BL$4&gt;=EOMONTH(CloseDate,'Rent Roll'!$O$45-1),1,0)</f>
        <v>1</v>
      </c>
      <c r="BM332" s="49">
        <f>IF(BM$4&gt;=EOMONTH(CloseDate,'Rent Roll'!$O$45-1),1,0)</f>
        <v>1</v>
      </c>
      <c r="BN332" s="49">
        <f>IF(BN$4&gt;=EOMONTH(CloseDate,'Rent Roll'!$O$45-1),1,0)</f>
        <v>1</v>
      </c>
      <c r="BO332" s="49">
        <f>IF(BO$4&gt;=EOMONTH(CloseDate,'Rent Roll'!$O$45-1),1,0)</f>
        <v>1</v>
      </c>
      <c r="BP332" s="49">
        <f>IF(BP$4&gt;=EOMONTH(CloseDate,'Rent Roll'!$O$45-1),1,0)</f>
        <v>1</v>
      </c>
      <c r="BQ332" s="49">
        <f>IF(BQ$4&gt;=EOMONTH(CloseDate,'Rent Roll'!$O$45-1),1,0)</f>
        <v>1</v>
      </c>
      <c r="BR332" s="49">
        <f>IF(BR$4&gt;=EOMONTH(CloseDate,'Rent Roll'!$O$45-1),1,0)</f>
        <v>1</v>
      </c>
      <c r="BS332" s="49">
        <f>IF(BS$4&gt;=EOMONTH(CloseDate,'Rent Roll'!$O$45-1),1,0)</f>
        <v>1</v>
      </c>
      <c r="BT332" s="49">
        <f>IF(BT$4&gt;=EOMONTH(CloseDate,'Rent Roll'!$O$45-1),1,0)</f>
        <v>1</v>
      </c>
      <c r="BU332" s="49">
        <f>IF(BU$4&gt;=EOMONTH(CloseDate,'Rent Roll'!$O$45-1),1,0)</f>
        <v>1</v>
      </c>
      <c r="BV332" s="49">
        <f>IF(BV$4&gt;=EOMONTH(CloseDate,'Rent Roll'!$O$45-1),1,0)</f>
        <v>1</v>
      </c>
      <c r="BW332" s="49">
        <f>IF(BW$4&gt;=EOMONTH(CloseDate,'Rent Roll'!$O$45-1),1,0)</f>
        <v>1</v>
      </c>
      <c r="BX332" s="49">
        <f>IF(BX$4&gt;=EOMONTH(CloseDate,'Rent Roll'!$O$45-1),1,0)</f>
        <v>1</v>
      </c>
    </row>
    <row r="333" spans="1:76" hidden="1" outlineLevel="1">
      <c r="B333" t="s">
        <v>162</v>
      </c>
      <c r="D333" s="49">
        <f>IF(D332=1,'Rent Roll'!$F$45*'Rent Roll'!$X$45/12*D$6,0)</f>
        <v>0</v>
      </c>
      <c r="E333" s="49">
        <f>IF(E332=1,'Rent Roll'!$F$45*'Rent Roll'!$X$45/12*E$6,0)</f>
        <v>0</v>
      </c>
      <c r="F333" s="49">
        <f>IF(F332=1,'Rent Roll'!$F$45*'Rent Roll'!$X$45/12*F$6,0)</f>
        <v>0</v>
      </c>
      <c r="G333" s="49">
        <f>IF(G332=1,'Rent Roll'!$F$45*'Rent Roll'!$X$45/12*G$6,0)</f>
        <v>0</v>
      </c>
      <c r="H333" s="49">
        <f>IF(H332=1,'Rent Roll'!$F$45*'Rent Roll'!$X$45/12*H$6,0)</f>
        <v>0</v>
      </c>
      <c r="I333" s="49">
        <f>IF(I332=1,'Rent Roll'!$F$45*'Rent Roll'!$X$45/12*I$6,0)</f>
        <v>0</v>
      </c>
      <c r="J333" s="49">
        <f>IF(J332=1,'Rent Roll'!$F$45*'Rent Roll'!$X$45/12*J$6,0)</f>
        <v>0</v>
      </c>
      <c r="K333" s="49">
        <f>IF(K332=1,'Rent Roll'!$F$45*'Rent Roll'!$X$45/12*K$6,0)</f>
        <v>0</v>
      </c>
      <c r="L333" s="49">
        <f>IF(L332=1,'Rent Roll'!$F$45*'Rent Roll'!$X$45/12*L$6,0)</f>
        <v>0</v>
      </c>
      <c r="M333" s="49">
        <f>IF(M332=1,'Rent Roll'!$F$45*'Rent Roll'!$X$45/12*M$6,0)</f>
        <v>0</v>
      </c>
      <c r="N333" s="49">
        <f>IF(N332=1,'Rent Roll'!$F$45*'Rent Roll'!$X$45/12*N$6,0)</f>
        <v>0</v>
      </c>
      <c r="O333" s="49">
        <f>IF(O332=1,'Rent Roll'!$F$45*'Rent Roll'!$X$45/12*O$6,0)</f>
        <v>0</v>
      </c>
      <c r="P333" s="49">
        <f>IF(P332=1,'Rent Roll'!$F$45*'Rent Roll'!$X$45/12*P$6,0)</f>
        <v>0</v>
      </c>
      <c r="Q333" s="49">
        <f>IF(Q332=1,'Rent Roll'!$F$45*'Rent Roll'!$X$45/12*Q$6,0)</f>
        <v>0</v>
      </c>
      <c r="R333" s="49">
        <f>IF(R332=1,'Rent Roll'!$F$45*'Rent Roll'!$X$45/12*R$6,0)</f>
        <v>0</v>
      </c>
      <c r="S333" s="49">
        <f>IF(S332=1,'Rent Roll'!$F$45*'Rent Roll'!$X$45/12*S$6,0)</f>
        <v>27814.583333333328</v>
      </c>
      <c r="T333" s="49">
        <f>IF(T332=1,'Rent Roll'!$F$45*'Rent Roll'!$X$45/12*T$6,0)</f>
        <v>27814.583333333328</v>
      </c>
      <c r="U333" s="49">
        <f>IF(U332=1,'Rent Roll'!$F$45*'Rent Roll'!$X$45/12*U$6,0)</f>
        <v>28565.577083333326</v>
      </c>
      <c r="V333" s="49">
        <f>IF(V332=1,'Rent Roll'!$F$45*'Rent Roll'!$X$45/12*V$6,0)</f>
        <v>28565.577083333326</v>
      </c>
      <c r="W333" s="49">
        <f>IF(W332=1,'Rent Roll'!$F$45*'Rent Roll'!$X$45/12*W$6,0)</f>
        <v>28565.577083333326</v>
      </c>
      <c r="X333" s="49">
        <f>IF(X332=1,'Rent Roll'!$F$45*'Rent Roll'!$X$45/12*X$6,0)</f>
        <v>28565.577083333326</v>
      </c>
      <c r="Y333" s="49">
        <f>IF(Y332=1,'Rent Roll'!$F$45*'Rent Roll'!$X$45/12*Y$6,0)</f>
        <v>28565.577083333326</v>
      </c>
      <c r="Z333" s="49">
        <f>IF(Z332=1,'Rent Roll'!$F$45*'Rent Roll'!$X$45/12*Z$6,0)</f>
        <v>28565.577083333326</v>
      </c>
      <c r="AA333" s="49">
        <f>IF(AA332=1,'Rent Roll'!$F$45*'Rent Roll'!$X$45/12*AA$6,0)</f>
        <v>28565.577083333326</v>
      </c>
      <c r="AB333" s="49">
        <f>IF(AB332=1,'Rent Roll'!$F$45*'Rent Roll'!$X$45/12*AB$6,0)</f>
        <v>28565.577083333326</v>
      </c>
      <c r="AC333" s="49">
        <f>IF(AC332=1,'Rent Roll'!$F$45*'Rent Roll'!$X$45/12*AC$6,0)</f>
        <v>28565.577083333326</v>
      </c>
      <c r="AD333" s="49">
        <f>IF(AD332=1,'Rent Roll'!$F$45*'Rent Roll'!$X$45/12*AD$6,0)</f>
        <v>28565.577083333326</v>
      </c>
      <c r="AE333" s="49">
        <f>IF(AE332=1,'Rent Roll'!$F$45*'Rent Roll'!$X$45/12*AE$6,0)</f>
        <v>28565.577083333326</v>
      </c>
      <c r="AF333" s="49">
        <f>IF(AF332=1,'Rent Roll'!$F$45*'Rent Roll'!$X$45/12*AF$6,0)</f>
        <v>28565.577083333326</v>
      </c>
      <c r="AG333" s="49">
        <f>IF(AG332=1,'Rent Roll'!$F$45*'Rent Roll'!$X$45/12*AG$6,0)</f>
        <v>29336.847664583325</v>
      </c>
      <c r="AH333" s="49">
        <f>IF(AH332=1,'Rent Roll'!$F$45*'Rent Roll'!$X$45/12*AH$6,0)</f>
        <v>29336.847664583325</v>
      </c>
      <c r="AI333" s="49">
        <f>IF(AI332=1,'Rent Roll'!$F$45*'Rent Roll'!$X$45/12*AI$6,0)</f>
        <v>29336.847664583325</v>
      </c>
      <c r="AJ333" s="49">
        <f>IF(AJ332=1,'Rent Roll'!$F$45*'Rent Roll'!$X$45/12*AJ$6,0)</f>
        <v>29336.847664583325</v>
      </c>
      <c r="AK333" s="49">
        <f>IF(AK332=1,'Rent Roll'!$F$45*'Rent Roll'!$X$45/12*AK$6,0)</f>
        <v>29336.847664583325</v>
      </c>
      <c r="AL333" s="49">
        <f>IF(AL332=1,'Rent Roll'!$F$45*'Rent Roll'!$X$45/12*AL$6,0)</f>
        <v>29336.847664583325</v>
      </c>
      <c r="AM333" s="49">
        <f>IF(AM332=1,'Rent Roll'!$F$45*'Rent Roll'!$X$45/12*AM$6,0)</f>
        <v>29336.847664583325</v>
      </c>
      <c r="AN333" s="49">
        <f>IF(AN332=1,'Rent Roll'!$F$45*'Rent Roll'!$X$45/12*AN$6,0)</f>
        <v>29336.847664583325</v>
      </c>
      <c r="AO333" s="49">
        <f>IF(AO332=1,'Rent Roll'!$F$45*'Rent Roll'!$X$45/12*AO$6,0)</f>
        <v>29336.847664583325</v>
      </c>
      <c r="AP333" s="49">
        <f>IF(AP332=1,'Rent Roll'!$F$45*'Rent Roll'!$X$45/12*AP$6,0)</f>
        <v>29336.847664583325</v>
      </c>
      <c r="AQ333" s="49">
        <f>IF(AQ332=1,'Rent Roll'!$F$45*'Rent Roll'!$X$45/12*AQ$6,0)</f>
        <v>29336.847664583325</v>
      </c>
      <c r="AR333" s="49">
        <f>IF(AR332=1,'Rent Roll'!$F$45*'Rent Roll'!$X$45/12*AR$6,0)</f>
        <v>29336.847664583325</v>
      </c>
      <c r="AS333" s="49">
        <f>IF(AS332=1,'Rent Roll'!$F$45*'Rent Roll'!$X$45/12*AS$6,0)</f>
        <v>30128.94255152707</v>
      </c>
      <c r="AT333" s="49">
        <f>IF(AT332=1,'Rent Roll'!$F$45*'Rent Roll'!$X$45/12*AT$6,0)</f>
        <v>30128.94255152707</v>
      </c>
      <c r="AU333" s="49">
        <f>IF(AU332=1,'Rent Roll'!$F$45*'Rent Roll'!$X$45/12*AU$6,0)</f>
        <v>30128.94255152707</v>
      </c>
      <c r="AV333" s="49">
        <f>IF(AV332=1,'Rent Roll'!$F$45*'Rent Roll'!$X$45/12*AV$6,0)</f>
        <v>30128.94255152707</v>
      </c>
      <c r="AW333" s="49">
        <f>IF(AW332=1,'Rent Roll'!$F$45*'Rent Roll'!$X$45/12*AW$6,0)</f>
        <v>30128.94255152707</v>
      </c>
      <c r="AX333" s="49">
        <f>IF(AX332=1,'Rent Roll'!$F$45*'Rent Roll'!$X$45/12*AX$6,0)</f>
        <v>30128.94255152707</v>
      </c>
      <c r="AY333" s="49">
        <f>IF(AY332=1,'Rent Roll'!$F$45*'Rent Roll'!$X$45/12*AY$6,0)</f>
        <v>30128.94255152707</v>
      </c>
      <c r="AZ333" s="49">
        <f>IF(AZ332=1,'Rent Roll'!$F$45*'Rent Roll'!$X$45/12*AZ$6,0)</f>
        <v>30128.94255152707</v>
      </c>
      <c r="BA333" s="49">
        <f>IF(BA332=1,'Rent Roll'!$F$45*'Rent Roll'!$X$45/12*BA$6,0)</f>
        <v>30128.94255152707</v>
      </c>
      <c r="BB333" s="49">
        <f>IF(BB332=1,'Rent Roll'!$F$45*'Rent Roll'!$X$45/12*BB$6,0)</f>
        <v>30128.94255152707</v>
      </c>
      <c r="BC333" s="49">
        <f>IF(BC332=1,'Rent Roll'!$F$45*'Rent Roll'!$X$45/12*BC$6,0)</f>
        <v>30128.94255152707</v>
      </c>
      <c r="BD333" s="49">
        <f>IF(BD332=1,'Rent Roll'!$F$45*'Rent Roll'!$X$45/12*BD$6,0)</f>
        <v>30128.94255152707</v>
      </c>
      <c r="BE333" s="49">
        <f>IF(BE332=1,'Rent Roll'!$F$45*'Rent Roll'!$X$45/12*BE$6,0)</f>
        <v>30942.424000418301</v>
      </c>
      <c r="BF333" s="49">
        <f>IF(BF332=1,'Rent Roll'!$F$45*'Rent Roll'!$X$45/12*BF$6,0)</f>
        <v>30942.424000418301</v>
      </c>
      <c r="BG333" s="49">
        <f>IF(BG332=1,'Rent Roll'!$F$45*'Rent Roll'!$X$45/12*BG$6,0)</f>
        <v>30942.424000418301</v>
      </c>
      <c r="BH333" s="49">
        <f>IF(BH332=1,'Rent Roll'!$F$45*'Rent Roll'!$X$45/12*BH$6,0)</f>
        <v>30942.424000418301</v>
      </c>
      <c r="BI333" s="49">
        <f>IF(BI332=1,'Rent Roll'!$F$45*'Rent Roll'!$X$45/12*BI$6,0)</f>
        <v>30942.424000418301</v>
      </c>
      <c r="BJ333" s="49">
        <f>IF(BJ332=1,'Rent Roll'!$F$45*'Rent Roll'!$X$45/12*BJ$6,0)</f>
        <v>30942.424000418301</v>
      </c>
      <c r="BK333" s="49">
        <f>IF(BK332=1,'Rent Roll'!$F$45*'Rent Roll'!$X$45/12*BK$6,0)</f>
        <v>30942.424000418301</v>
      </c>
      <c r="BL333" s="49">
        <f>IF(BL332=1,'Rent Roll'!$F$45*'Rent Roll'!$X$45/12*BL$6,0)</f>
        <v>30942.424000418301</v>
      </c>
      <c r="BM333" s="49">
        <f>IF(BM332=1,'Rent Roll'!$F$45*'Rent Roll'!$X$45/12*BM$6,0)</f>
        <v>30942.424000418301</v>
      </c>
      <c r="BN333" s="49">
        <f>IF(BN332=1,'Rent Roll'!$F$45*'Rent Roll'!$X$45/12*BN$6,0)</f>
        <v>30942.424000418301</v>
      </c>
      <c r="BO333" s="49">
        <f>IF(BO332=1,'Rent Roll'!$F$45*'Rent Roll'!$X$45/12*BO$6,0)</f>
        <v>30942.424000418301</v>
      </c>
      <c r="BP333" s="49">
        <f>IF(BP332=1,'Rent Roll'!$F$45*'Rent Roll'!$X$45/12*BP$6,0)</f>
        <v>30942.424000418301</v>
      </c>
      <c r="BQ333" s="49">
        <f>IF(BQ332=1,'Rent Roll'!$F$45*'Rent Roll'!$X$45/12*BQ$6,0)</f>
        <v>31777.869448429588</v>
      </c>
      <c r="BR333" s="49">
        <f>IF(BR332=1,'Rent Roll'!$F$45*'Rent Roll'!$X$45/12*BR$6,0)</f>
        <v>31777.869448429588</v>
      </c>
      <c r="BS333" s="49">
        <f>IF(BS332=1,'Rent Roll'!$F$45*'Rent Roll'!$X$45/12*BS$6,0)</f>
        <v>31777.869448429588</v>
      </c>
      <c r="BT333" s="49">
        <f>IF(BT332=1,'Rent Roll'!$F$45*'Rent Roll'!$X$45/12*BT$6,0)</f>
        <v>31777.869448429588</v>
      </c>
      <c r="BU333" s="49">
        <f>IF(BU332=1,'Rent Roll'!$F$45*'Rent Roll'!$X$45/12*BU$6,0)</f>
        <v>31777.869448429588</v>
      </c>
      <c r="BV333" s="49">
        <f>IF(BV332=1,'Rent Roll'!$F$45*'Rent Roll'!$X$45/12*BV$6,0)</f>
        <v>31777.869448429588</v>
      </c>
      <c r="BW333" s="49">
        <f>IF(BW332=1,'Rent Roll'!$F$45*'Rent Roll'!$X$45/12*BW$6,0)</f>
        <v>31777.869448429588</v>
      </c>
      <c r="BX333" s="49">
        <f>IF(BX332=1,'Rent Roll'!$F$45*'Rent Roll'!$X$45/12*BX$6,0)</f>
        <v>31777.869448429588</v>
      </c>
    </row>
    <row r="334" spans="1:76" hidden="1" outlineLevel="1">
      <c r="B334" t="s">
        <v>163</v>
      </c>
      <c r="D334" s="49">
        <f>IF(AND(D$4&gt;=EOMONTH(CloseDate,'Rent Roll'!$O$45-1),D$4&lt;EOMONTH(CloseDate,'Rent Roll'!$O$45-1+'Rent Roll'!$V$45)),-D333,0)</f>
        <v>0</v>
      </c>
      <c r="E334" s="49">
        <f>IF(AND(E$4&gt;=EOMONTH(CloseDate,'Rent Roll'!$O$45-1),E$4&lt;EOMONTH(CloseDate,'Rent Roll'!$O$45-1+'Rent Roll'!$V$45)),-E333,0)</f>
        <v>0</v>
      </c>
      <c r="F334" s="49">
        <f>IF(AND(F$4&gt;=EOMONTH(CloseDate,'Rent Roll'!$O$45-1),F$4&lt;EOMONTH(CloseDate,'Rent Roll'!$O$45-1+'Rent Roll'!$V$45)),-F333,0)</f>
        <v>0</v>
      </c>
      <c r="G334" s="49">
        <f>IF(AND(G$4&gt;=EOMONTH(CloseDate,'Rent Roll'!$O$45-1),G$4&lt;EOMONTH(CloseDate,'Rent Roll'!$O$45-1+'Rent Roll'!$V$45)),-G333,0)</f>
        <v>0</v>
      </c>
      <c r="H334" s="49">
        <f>IF(AND(H$4&gt;=EOMONTH(CloseDate,'Rent Roll'!$O$45-1),H$4&lt;EOMONTH(CloseDate,'Rent Roll'!$O$45-1+'Rent Roll'!$V$45)),-H333,0)</f>
        <v>0</v>
      </c>
      <c r="I334" s="49">
        <f>IF(AND(I$4&gt;=EOMONTH(CloseDate,'Rent Roll'!$O$45-1),I$4&lt;EOMONTH(CloseDate,'Rent Roll'!$O$45-1+'Rent Roll'!$V$45)),-I333,0)</f>
        <v>0</v>
      </c>
      <c r="J334" s="49">
        <f>IF(AND(J$4&gt;=EOMONTH(CloseDate,'Rent Roll'!$O$45-1),J$4&lt;EOMONTH(CloseDate,'Rent Roll'!$O$45-1+'Rent Roll'!$V$45)),-J333,0)</f>
        <v>0</v>
      </c>
      <c r="K334" s="49">
        <f>IF(AND(K$4&gt;=EOMONTH(CloseDate,'Rent Roll'!$O$45-1),K$4&lt;EOMONTH(CloseDate,'Rent Roll'!$O$45-1+'Rent Roll'!$V$45)),-K333,0)</f>
        <v>0</v>
      </c>
      <c r="L334" s="49">
        <f>IF(AND(L$4&gt;=EOMONTH(CloseDate,'Rent Roll'!$O$45-1),L$4&lt;EOMONTH(CloseDate,'Rent Roll'!$O$45-1+'Rent Roll'!$V$45)),-L333,0)</f>
        <v>0</v>
      </c>
      <c r="M334" s="49">
        <f>IF(AND(M$4&gt;=EOMONTH(CloseDate,'Rent Roll'!$O$45-1),M$4&lt;EOMONTH(CloseDate,'Rent Roll'!$O$45-1+'Rent Roll'!$V$45)),-M333,0)</f>
        <v>0</v>
      </c>
      <c r="N334" s="49">
        <f>IF(AND(N$4&gt;=EOMONTH(CloseDate,'Rent Roll'!$O$45-1),N$4&lt;EOMONTH(CloseDate,'Rent Roll'!$O$45-1+'Rent Roll'!$V$45)),-N333,0)</f>
        <v>0</v>
      </c>
      <c r="O334" s="49">
        <f>IF(AND(O$4&gt;=EOMONTH(CloseDate,'Rent Roll'!$O$45-1),O$4&lt;EOMONTH(CloseDate,'Rent Roll'!$O$45-1+'Rent Roll'!$V$45)),-O333,0)</f>
        <v>0</v>
      </c>
      <c r="P334" s="49">
        <f>IF(AND(P$4&gt;=EOMONTH(CloseDate,'Rent Roll'!$O$45-1),P$4&lt;EOMONTH(CloseDate,'Rent Roll'!$O$45-1+'Rent Roll'!$V$45)),-P333,0)</f>
        <v>0</v>
      </c>
      <c r="Q334" s="49">
        <f>IF(AND(Q$4&gt;=EOMONTH(CloseDate,'Rent Roll'!$O$45-1),Q$4&lt;EOMONTH(CloseDate,'Rent Roll'!$O$45-1+'Rent Roll'!$V$45)),-Q333,0)</f>
        <v>0</v>
      </c>
      <c r="R334" s="49">
        <f>IF(AND(R$4&gt;=EOMONTH(CloseDate,'Rent Roll'!$O$45-1),R$4&lt;EOMONTH(CloseDate,'Rent Roll'!$O$45-1+'Rent Roll'!$V$45)),-R333,0)</f>
        <v>0</v>
      </c>
      <c r="S334" s="49">
        <f>IF(AND(S$4&gt;=EOMONTH(CloseDate,'Rent Roll'!$O$45-1),S$4&lt;EOMONTH(CloseDate,'Rent Roll'!$O$45-1+'Rent Roll'!$V$45)),-S333,0)</f>
        <v>-27814.583333333328</v>
      </c>
      <c r="T334" s="49">
        <f>IF(AND(T$4&gt;=EOMONTH(CloseDate,'Rent Roll'!$O$45-1),T$4&lt;EOMONTH(CloseDate,'Rent Roll'!$O$45-1+'Rent Roll'!$V$45)),-T333,0)</f>
        <v>-27814.583333333328</v>
      </c>
      <c r="U334" s="49">
        <f>IF(AND(U$4&gt;=EOMONTH(CloseDate,'Rent Roll'!$O$45-1),U$4&lt;EOMONTH(CloseDate,'Rent Roll'!$O$45-1+'Rent Roll'!$V$45)),-U333,0)</f>
        <v>0</v>
      </c>
      <c r="V334" s="49">
        <f>IF(AND(V$4&gt;=EOMONTH(CloseDate,'Rent Roll'!$O$45-1),V$4&lt;EOMONTH(CloseDate,'Rent Roll'!$O$45-1+'Rent Roll'!$V$45)),-V333,0)</f>
        <v>0</v>
      </c>
      <c r="W334" s="49">
        <f>IF(AND(W$4&gt;=EOMONTH(CloseDate,'Rent Roll'!$O$45-1),W$4&lt;EOMONTH(CloseDate,'Rent Roll'!$O$45-1+'Rent Roll'!$V$45)),-W333,0)</f>
        <v>0</v>
      </c>
      <c r="X334" s="49">
        <f>IF(AND(X$4&gt;=EOMONTH(CloseDate,'Rent Roll'!$O$45-1),X$4&lt;EOMONTH(CloseDate,'Rent Roll'!$O$45-1+'Rent Roll'!$V$45)),-X333,0)</f>
        <v>0</v>
      </c>
      <c r="Y334" s="49">
        <f>IF(AND(Y$4&gt;=EOMONTH(CloseDate,'Rent Roll'!$O$45-1),Y$4&lt;EOMONTH(CloseDate,'Rent Roll'!$O$45-1+'Rent Roll'!$V$45)),-Y333,0)</f>
        <v>0</v>
      </c>
      <c r="Z334" s="49">
        <f>IF(AND(Z$4&gt;=EOMONTH(CloseDate,'Rent Roll'!$O$45-1),Z$4&lt;EOMONTH(CloseDate,'Rent Roll'!$O$45-1+'Rent Roll'!$V$45)),-Z333,0)</f>
        <v>0</v>
      </c>
      <c r="AA334" s="49">
        <f>IF(AND(AA$4&gt;=EOMONTH(CloseDate,'Rent Roll'!$O$45-1),AA$4&lt;EOMONTH(CloseDate,'Rent Roll'!$O$45-1+'Rent Roll'!$V$45)),-AA333,0)</f>
        <v>0</v>
      </c>
      <c r="AB334" s="49">
        <f>IF(AND(AB$4&gt;=EOMONTH(CloseDate,'Rent Roll'!$O$45-1),AB$4&lt;EOMONTH(CloseDate,'Rent Roll'!$O$45-1+'Rent Roll'!$V$45)),-AB333,0)</f>
        <v>0</v>
      </c>
      <c r="AC334" s="49">
        <f>IF(AND(AC$4&gt;=EOMONTH(CloseDate,'Rent Roll'!$O$45-1),AC$4&lt;EOMONTH(CloseDate,'Rent Roll'!$O$45-1+'Rent Roll'!$V$45)),-AC333,0)</f>
        <v>0</v>
      </c>
      <c r="AD334" s="49">
        <f>IF(AND(AD$4&gt;=EOMONTH(CloseDate,'Rent Roll'!$O$45-1),AD$4&lt;EOMONTH(CloseDate,'Rent Roll'!$O$45-1+'Rent Roll'!$V$45)),-AD333,0)</f>
        <v>0</v>
      </c>
      <c r="AE334" s="49">
        <f>IF(AND(AE$4&gt;=EOMONTH(CloseDate,'Rent Roll'!$O$45-1),AE$4&lt;EOMONTH(CloseDate,'Rent Roll'!$O$45-1+'Rent Roll'!$V$45)),-AE333,0)</f>
        <v>0</v>
      </c>
      <c r="AF334" s="49">
        <f>IF(AND(AF$4&gt;=EOMONTH(CloseDate,'Rent Roll'!$O$45-1),AF$4&lt;EOMONTH(CloseDate,'Rent Roll'!$O$45-1+'Rent Roll'!$V$45)),-AF333,0)</f>
        <v>0</v>
      </c>
      <c r="AG334" s="49">
        <f>IF(AND(AG$4&gt;=EOMONTH(CloseDate,'Rent Roll'!$O$45-1),AG$4&lt;EOMONTH(CloseDate,'Rent Roll'!$O$45-1+'Rent Roll'!$V$45)),-AG333,0)</f>
        <v>0</v>
      </c>
      <c r="AH334" s="49">
        <f>IF(AND(AH$4&gt;=EOMONTH(CloseDate,'Rent Roll'!$O$45-1),AH$4&lt;EOMONTH(CloseDate,'Rent Roll'!$O$45-1+'Rent Roll'!$V$45)),-AH333,0)</f>
        <v>0</v>
      </c>
      <c r="AI334" s="49">
        <f>IF(AND(AI$4&gt;=EOMONTH(CloseDate,'Rent Roll'!$O$45-1),AI$4&lt;EOMONTH(CloseDate,'Rent Roll'!$O$45-1+'Rent Roll'!$V$45)),-AI333,0)</f>
        <v>0</v>
      </c>
      <c r="AJ334" s="49">
        <f>IF(AND(AJ$4&gt;=EOMONTH(CloseDate,'Rent Roll'!$O$45-1),AJ$4&lt;EOMONTH(CloseDate,'Rent Roll'!$O$45-1+'Rent Roll'!$V$45)),-AJ333,0)</f>
        <v>0</v>
      </c>
      <c r="AK334" s="49">
        <f>IF(AND(AK$4&gt;=EOMONTH(CloseDate,'Rent Roll'!$O$45-1),AK$4&lt;EOMONTH(CloseDate,'Rent Roll'!$O$45-1+'Rent Roll'!$V$45)),-AK333,0)</f>
        <v>0</v>
      </c>
      <c r="AL334" s="49">
        <f>IF(AND(AL$4&gt;=EOMONTH(CloseDate,'Rent Roll'!$O$45-1),AL$4&lt;EOMONTH(CloseDate,'Rent Roll'!$O$45-1+'Rent Roll'!$V$45)),-AL333,0)</f>
        <v>0</v>
      </c>
      <c r="AM334" s="49">
        <f>IF(AND(AM$4&gt;=EOMONTH(CloseDate,'Rent Roll'!$O$45-1),AM$4&lt;EOMONTH(CloseDate,'Rent Roll'!$O$45-1+'Rent Roll'!$V$45)),-AM333,0)</f>
        <v>0</v>
      </c>
      <c r="AN334" s="49">
        <f>IF(AND(AN$4&gt;=EOMONTH(CloseDate,'Rent Roll'!$O$45-1),AN$4&lt;EOMONTH(CloseDate,'Rent Roll'!$O$45-1+'Rent Roll'!$V$45)),-AN333,0)</f>
        <v>0</v>
      </c>
      <c r="AO334" s="49">
        <f>IF(AND(AO$4&gt;=EOMONTH(CloseDate,'Rent Roll'!$O$45-1),AO$4&lt;EOMONTH(CloseDate,'Rent Roll'!$O$45-1+'Rent Roll'!$V$45)),-AO333,0)</f>
        <v>0</v>
      </c>
      <c r="AP334" s="49">
        <f>IF(AND(AP$4&gt;=EOMONTH(CloseDate,'Rent Roll'!$O$45-1),AP$4&lt;EOMONTH(CloseDate,'Rent Roll'!$O$45-1+'Rent Roll'!$V$45)),-AP333,0)</f>
        <v>0</v>
      </c>
      <c r="AQ334" s="49">
        <f>IF(AND(AQ$4&gt;=EOMONTH(CloseDate,'Rent Roll'!$O$45-1),AQ$4&lt;EOMONTH(CloseDate,'Rent Roll'!$O$45-1+'Rent Roll'!$V$45)),-AQ333,0)</f>
        <v>0</v>
      </c>
      <c r="AR334" s="49">
        <f>IF(AND(AR$4&gt;=EOMONTH(CloseDate,'Rent Roll'!$O$45-1),AR$4&lt;EOMONTH(CloseDate,'Rent Roll'!$O$45-1+'Rent Roll'!$V$45)),-AR333,0)</f>
        <v>0</v>
      </c>
      <c r="AS334" s="49">
        <f>IF(AND(AS$4&gt;=EOMONTH(CloseDate,'Rent Roll'!$O$45-1),AS$4&lt;EOMONTH(CloseDate,'Rent Roll'!$O$45-1+'Rent Roll'!$V$45)),-AS333,0)</f>
        <v>0</v>
      </c>
      <c r="AT334" s="49">
        <f>IF(AND(AT$4&gt;=EOMONTH(CloseDate,'Rent Roll'!$O$45-1),AT$4&lt;EOMONTH(CloseDate,'Rent Roll'!$O$45-1+'Rent Roll'!$V$45)),-AT333,0)</f>
        <v>0</v>
      </c>
      <c r="AU334" s="49">
        <f>IF(AND(AU$4&gt;=EOMONTH(CloseDate,'Rent Roll'!$O$45-1),AU$4&lt;EOMONTH(CloseDate,'Rent Roll'!$O$45-1+'Rent Roll'!$V$45)),-AU333,0)</f>
        <v>0</v>
      </c>
      <c r="AV334" s="49">
        <f>IF(AND(AV$4&gt;=EOMONTH(CloseDate,'Rent Roll'!$O$45-1),AV$4&lt;EOMONTH(CloseDate,'Rent Roll'!$O$45-1+'Rent Roll'!$V$45)),-AV333,0)</f>
        <v>0</v>
      </c>
      <c r="AW334" s="49">
        <f>IF(AND(AW$4&gt;=EOMONTH(CloseDate,'Rent Roll'!$O$45-1),AW$4&lt;EOMONTH(CloseDate,'Rent Roll'!$O$45-1+'Rent Roll'!$V$45)),-AW333,0)</f>
        <v>0</v>
      </c>
      <c r="AX334" s="49">
        <f>IF(AND(AX$4&gt;=EOMONTH(CloseDate,'Rent Roll'!$O$45-1),AX$4&lt;EOMONTH(CloseDate,'Rent Roll'!$O$45-1+'Rent Roll'!$V$45)),-AX333,0)</f>
        <v>0</v>
      </c>
      <c r="AY334" s="49">
        <f>IF(AND(AY$4&gt;=EOMONTH(CloseDate,'Rent Roll'!$O$45-1),AY$4&lt;EOMONTH(CloseDate,'Rent Roll'!$O$45-1+'Rent Roll'!$V$45)),-AY333,0)</f>
        <v>0</v>
      </c>
      <c r="AZ334" s="49">
        <f>IF(AND(AZ$4&gt;=EOMONTH(CloseDate,'Rent Roll'!$O$45-1),AZ$4&lt;EOMONTH(CloseDate,'Rent Roll'!$O$45-1+'Rent Roll'!$V$45)),-AZ333,0)</f>
        <v>0</v>
      </c>
      <c r="BA334" s="49">
        <f>IF(AND(BA$4&gt;=EOMONTH(CloseDate,'Rent Roll'!$O$45-1),BA$4&lt;EOMONTH(CloseDate,'Rent Roll'!$O$45-1+'Rent Roll'!$V$45)),-BA333,0)</f>
        <v>0</v>
      </c>
      <c r="BB334" s="49">
        <f>IF(AND(BB$4&gt;=EOMONTH(CloseDate,'Rent Roll'!$O$45-1),BB$4&lt;EOMONTH(CloseDate,'Rent Roll'!$O$45-1+'Rent Roll'!$V$45)),-BB333,0)</f>
        <v>0</v>
      </c>
      <c r="BC334" s="49">
        <f>IF(AND(BC$4&gt;=EOMONTH(CloseDate,'Rent Roll'!$O$45-1),BC$4&lt;EOMONTH(CloseDate,'Rent Roll'!$O$45-1+'Rent Roll'!$V$45)),-BC333,0)</f>
        <v>0</v>
      </c>
      <c r="BD334" s="49">
        <f>IF(AND(BD$4&gt;=EOMONTH(CloseDate,'Rent Roll'!$O$45-1),BD$4&lt;EOMONTH(CloseDate,'Rent Roll'!$O$45-1+'Rent Roll'!$V$45)),-BD333,0)</f>
        <v>0</v>
      </c>
      <c r="BE334" s="49">
        <f>IF(AND(BE$4&gt;=EOMONTH(CloseDate,'Rent Roll'!$O$45-1),BE$4&lt;EOMONTH(CloseDate,'Rent Roll'!$O$45-1+'Rent Roll'!$V$45)),-BE333,0)</f>
        <v>0</v>
      </c>
      <c r="BF334" s="49">
        <f>IF(AND(BF$4&gt;=EOMONTH(CloseDate,'Rent Roll'!$O$45-1),BF$4&lt;EOMONTH(CloseDate,'Rent Roll'!$O$45-1+'Rent Roll'!$V$45)),-BF333,0)</f>
        <v>0</v>
      </c>
      <c r="BG334" s="49">
        <f>IF(AND(BG$4&gt;=EOMONTH(CloseDate,'Rent Roll'!$O$45-1),BG$4&lt;EOMONTH(CloseDate,'Rent Roll'!$O$45-1+'Rent Roll'!$V$45)),-BG333,0)</f>
        <v>0</v>
      </c>
      <c r="BH334" s="49">
        <f>IF(AND(BH$4&gt;=EOMONTH(CloseDate,'Rent Roll'!$O$45-1),BH$4&lt;EOMONTH(CloseDate,'Rent Roll'!$O$45-1+'Rent Roll'!$V$45)),-BH333,0)</f>
        <v>0</v>
      </c>
      <c r="BI334" s="49">
        <f>IF(AND(BI$4&gt;=EOMONTH(CloseDate,'Rent Roll'!$O$45-1),BI$4&lt;EOMONTH(CloseDate,'Rent Roll'!$O$45-1+'Rent Roll'!$V$45)),-BI333,0)</f>
        <v>0</v>
      </c>
      <c r="BJ334" s="49">
        <f>IF(AND(BJ$4&gt;=EOMONTH(CloseDate,'Rent Roll'!$O$45-1),BJ$4&lt;EOMONTH(CloseDate,'Rent Roll'!$O$45-1+'Rent Roll'!$V$45)),-BJ333,0)</f>
        <v>0</v>
      </c>
      <c r="BK334" s="49">
        <f>IF(AND(BK$4&gt;=EOMONTH(CloseDate,'Rent Roll'!$O$45-1),BK$4&lt;EOMONTH(CloseDate,'Rent Roll'!$O$45-1+'Rent Roll'!$V$45)),-BK333,0)</f>
        <v>0</v>
      </c>
      <c r="BL334" s="49">
        <f>IF(AND(BL$4&gt;=EOMONTH(CloseDate,'Rent Roll'!$O$45-1),BL$4&lt;EOMONTH(CloseDate,'Rent Roll'!$O$45-1+'Rent Roll'!$V$45)),-BL333,0)</f>
        <v>0</v>
      </c>
      <c r="BM334" s="49">
        <f>IF(AND(BM$4&gt;=EOMONTH(CloseDate,'Rent Roll'!$O$45-1),BM$4&lt;EOMONTH(CloseDate,'Rent Roll'!$O$45-1+'Rent Roll'!$V$45)),-BM333,0)</f>
        <v>0</v>
      </c>
      <c r="BN334" s="49">
        <f>IF(AND(BN$4&gt;=EOMONTH(CloseDate,'Rent Roll'!$O$45-1),BN$4&lt;EOMONTH(CloseDate,'Rent Roll'!$O$45-1+'Rent Roll'!$V$45)),-BN333,0)</f>
        <v>0</v>
      </c>
      <c r="BO334" s="49">
        <f>IF(AND(BO$4&gt;=EOMONTH(CloseDate,'Rent Roll'!$O$45-1),BO$4&lt;EOMONTH(CloseDate,'Rent Roll'!$O$45-1+'Rent Roll'!$V$45)),-BO333,0)</f>
        <v>0</v>
      </c>
      <c r="BP334" s="49">
        <f>IF(AND(BP$4&gt;=EOMONTH(CloseDate,'Rent Roll'!$O$45-1),BP$4&lt;EOMONTH(CloseDate,'Rent Roll'!$O$45-1+'Rent Roll'!$V$45)),-BP333,0)</f>
        <v>0</v>
      </c>
      <c r="BQ334" s="49">
        <f>IF(AND(BQ$4&gt;=EOMONTH(CloseDate,'Rent Roll'!$O$45-1),BQ$4&lt;EOMONTH(CloseDate,'Rent Roll'!$O$45-1+'Rent Roll'!$V$45)),-BQ333,0)</f>
        <v>0</v>
      </c>
      <c r="BR334" s="49">
        <f>IF(AND(BR$4&gt;=EOMONTH(CloseDate,'Rent Roll'!$O$45-1),BR$4&lt;EOMONTH(CloseDate,'Rent Roll'!$O$45-1+'Rent Roll'!$V$45)),-BR333,0)</f>
        <v>0</v>
      </c>
      <c r="BS334" s="49">
        <f>IF(AND(BS$4&gt;=EOMONTH(CloseDate,'Rent Roll'!$O$45-1),BS$4&lt;EOMONTH(CloseDate,'Rent Roll'!$O$45-1+'Rent Roll'!$V$45)),-BS333,0)</f>
        <v>0</v>
      </c>
      <c r="BT334" s="49">
        <f>IF(AND(BT$4&gt;=EOMONTH(CloseDate,'Rent Roll'!$O$45-1),BT$4&lt;EOMONTH(CloseDate,'Rent Roll'!$O$45-1+'Rent Roll'!$V$45)),-BT333,0)</f>
        <v>0</v>
      </c>
      <c r="BU334" s="49">
        <f>IF(AND(BU$4&gt;=EOMONTH(CloseDate,'Rent Roll'!$O$45-1),BU$4&lt;EOMONTH(CloseDate,'Rent Roll'!$O$45-1+'Rent Roll'!$V$45)),-BU333,0)</f>
        <v>0</v>
      </c>
      <c r="BV334" s="49">
        <f>IF(AND(BV$4&gt;=EOMONTH(CloseDate,'Rent Roll'!$O$45-1),BV$4&lt;EOMONTH(CloseDate,'Rent Roll'!$O$45-1+'Rent Roll'!$V$45)),-BV333,0)</f>
        <v>0</v>
      </c>
      <c r="BW334" s="49">
        <f>IF(AND(BW$4&gt;=EOMONTH(CloseDate,'Rent Roll'!$O$45-1),BW$4&lt;EOMONTH(CloseDate,'Rent Roll'!$O$45-1+'Rent Roll'!$V$45)),-BW333,0)</f>
        <v>0</v>
      </c>
      <c r="BX334" s="49">
        <f>IF(AND(BX$4&gt;=EOMONTH(CloseDate,'Rent Roll'!$O$45-1),BX$4&lt;EOMONTH(CloseDate,'Rent Roll'!$O$45-1+'Rent Roll'!$V$45)),-BX333,0)</f>
        <v>0</v>
      </c>
    </row>
    <row r="335" spans="1:76" hidden="1" outlineLevel="1">
      <c r="B335" t="s">
        <v>84</v>
      </c>
      <c r="D335" s="49">
        <f>D331+D333+D334</f>
        <v>0</v>
      </c>
      <c r="E335" s="49">
        <f t="shared" ref="E335:BJ335" si="107">E331+E333+E334</f>
        <v>0</v>
      </c>
      <c r="F335" s="49">
        <f t="shared" si="107"/>
        <v>0</v>
      </c>
      <c r="G335" s="49">
        <f t="shared" si="107"/>
        <v>0</v>
      </c>
      <c r="H335" s="49">
        <f t="shared" si="107"/>
        <v>0</v>
      </c>
      <c r="I335" s="49">
        <f t="shared" si="107"/>
        <v>0</v>
      </c>
      <c r="J335" s="49">
        <f t="shared" si="107"/>
        <v>0</v>
      </c>
      <c r="K335" s="49">
        <f t="shared" si="107"/>
        <v>0</v>
      </c>
      <c r="L335" s="49">
        <f t="shared" si="107"/>
        <v>0</v>
      </c>
      <c r="M335" s="49">
        <f t="shared" si="107"/>
        <v>0</v>
      </c>
      <c r="N335" s="49">
        <f t="shared" si="107"/>
        <v>0</v>
      </c>
      <c r="O335" s="49">
        <f t="shared" si="107"/>
        <v>0</v>
      </c>
      <c r="P335" s="49">
        <f t="shared" si="107"/>
        <v>0</v>
      </c>
      <c r="Q335" s="49">
        <f t="shared" si="107"/>
        <v>0</v>
      </c>
      <c r="R335" s="49">
        <f t="shared" si="107"/>
        <v>0</v>
      </c>
      <c r="S335" s="49">
        <f t="shared" si="107"/>
        <v>0</v>
      </c>
      <c r="T335" s="49">
        <f t="shared" si="107"/>
        <v>0</v>
      </c>
      <c r="U335" s="49">
        <f t="shared" si="107"/>
        <v>28565.577083333326</v>
      </c>
      <c r="V335" s="49">
        <f t="shared" si="107"/>
        <v>28565.577083333326</v>
      </c>
      <c r="W335" s="49">
        <f t="shared" si="107"/>
        <v>28565.577083333326</v>
      </c>
      <c r="X335" s="49">
        <f t="shared" si="107"/>
        <v>28565.577083333326</v>
      </c>
      <c r="Y335" s="49">
        <f t="shared" si="107"/>
        <v>28565.577083333326</v>
      </c>
      <c r="Z335" s="49">
        <f t="shared" si="107"/>
        <v>28565.577083333326</v>
      </c>
      <c r="AA335" s="49">
        <f t="shared" si="107"/>
        <v>28565.577083333326</v>
      </c>
      <c r="AB335" s="49">
        <f t="shared" si="107"/>
        <v>28565.577083333326</v>
      </c>
      <c r="AC335" s="49">
        <f t="shared" si="107"/>
        <v>28565.577083333326</v>
      </c>
      <c r="AD335" s="49">
        <f t="shared" si="107"/>
        <v>28565.577083333326</v>
      </c>
      <c r="AE335" s="49">
        <f t="shared" si="107"/>
        <v>28565.577083333326</v>
      </c>
      <c r="AF335" s="49">
        <f t="shared" si="107"/>
        <v>28565.577083333326</v>
      </c>
      <c r="AG335" s="49">
        <f t="shared" si="107"/>
        <v>29336.847664583325</v>
      </c>
      <c r="AH335" s="49">
        <f t="shared" si="107"/>
        <v>29336.847664583325</v>
      </c>
      <c r="AI335" s="49">
        <f t="shared" si="107"/>
        <v>29336.847664583325</v>
      </c>
      <c r="AJ335" s="49">
        <f t="shared" si="107"/>
        <v>29336.847664583325</v>
      </c>
      <c r="AK335" s="49">
        <f t="shared" si="107"/>
        <v>29336.847664583325</v>
      </c>
      <c r="AL335" s="49">
        <f t="shared" si="107"/>
        <v>29336.847664583325</v>
      </c>
      <c r="AM335" s="49">
        <f t="shared" si="107"/>
        <v>29336.847664583325</v>
      </c>
      <c r="AN335" s="49">
        <f t="shared" si="107"/>
        <v>29336.847664583325</v>
      </c>
      <c r="AO335" s="49">
        <f t="shared" si="107"/>
        <v>29336.847664583325</v>
      </c>
      <c r="AP335" s="49">
        <f t="shared" si="107"/>
        <v>29336.847664583325</v>
      </c>
      <c r="AQ335" s="49">
        <f t="shared" si="107"/>
        <v>29336.847664583325</v>
      </c>
      <c r="AR335" s="49">
        <f t="shared" si="107"/>
        <v>29336.847664583325</v>
      </c>
      <c r="AS335" s="49">
        <f t="shared" si="107"/>
        <v>30128.94255152707</v>
      </c>
      <c r="AT335" s="49">
        <f t="shared" si="107"/>
        <v>30128.94255152707</v>
      </c>
      <c r="AU335" s="49">
        <f t="shared" si="107"/>
        <v>30128.94255152707</v>
      </c>
      <c r="AV335" s="49">
        <f t="shared" si="107"/>
        <v>30128.94255152707</v>
      </c>
      <c r="AW335" s="49">
        <f t="shared" si="107"/>
        <v>30128.94255152707</v>
      </c>
      <c r="AX335" s="49">
        <f t="shared" si="107"/>
        <v>30128.94255152707</v>
      </c>
      <c r="AY335" s="49">
        <f t="shared" si="107"/>
        <v>30128.94255152707</v>
      </c>
      <c r="AZ335" s="49">
        <f t="shared" si="107"/>
        <v>30128.94255152707</v>
      </c>
      <c r="BA335" s="49">
        <f t="shared" si="107"/>
        <v>30128.94255152707</v>
      </c>
      <c r="BB335" s="49">
        <f t="shared" si="107"/>
        <v>30128.94255152707</v>
      </c>
      <c r="BC335" s="49">
        <f t="shared" si="107"/>
        <v>30128.94255152707</v>
      </c>
      <c r="BD335" s="49">
        <f t="shared" si="107"/>
        <v>30128.94255152707</v>
      </c>
      <c r="BE335" s="49">
        <f t="shared" si="107"/>
        <v>30942.424000418301</v>
      </c>
      <c r="BF335" s="49">
        <f t="shared" si="107"/>
        <v>30942.424000418301</v>
      </c>
      <c r="BG335" s="49">
        <f t="shared" si="107"/>
        <v>30942.424000418301</v>
      </c>
      <c r="BH335" s="49">
        <f t="shared" si="107"/>
        <v>30942.424000418301</v>
      </c>
      <c r="BI335" s="49">
        <f t="shared" si="107"/>
        <v>30942.424000418301</v>
      </c>
      <c r="BJ335" s="49">
        <f t="shared" si="107"/>
        <v>30942.424000418301</v>
      </c>
      <c r="BK335" s="49">
        <f t="shared" ref="BK335" si="108">BK331+BK333+BK334</f>
        <v>30942.424000418301</v>
      </c>
      <c r="BL335" s="49">
        <f t="shared" ref="BL335:BX335" si="109">BL331+BL333+BL334</f>
        <v>30942.424000418301</v>
      </c>
      <c r="BM335" s="49">
        <f t="shared" si="109"/>
        <v>30942.424000418301</v>
      </c>
      <c r="BN335" s="49">
        <f t="shared" si="109"/>
        <v>30942.424000418301</v>
      </c>
      <c r="BO335" s="49">
        <f t="shared" si="109"/>
        <v>30942.424000418301</v>
      </c>
      <c r="BP335" s="49">
        <f t="shared" si="109"/>
        <v>30942.424000418301</v>
      </c>
      <c r="BQ335" s="49">
        <f t="shared" si="109"/>
        <v>31777.869448429588</v>
      </c>
      <c r="BR335" s="49">
        <f t="shared" si="109"/>
        <v>31777.869448429588</v>
      </c>
      <c r="BS335" s="49">
        <f t="shared" si="109"/>
        <v>31777.869448429588</v>
      </c>
      <c r="BT335" s="49">
        <f t="shared" si="109"/>
        <v>31777.869448429588</v>
      </c>
      <c r="BU335" s="49">
        <f t="shared" si="109"/>
        <v>31777.869448429588</v>
      </c>
      <c r="BV335" s="49">
        <f t="shared" si="109"/>
        <v>31777.869448429588</v>
      </c>
      <c r="BW335" s="49">
        <f t="shared" si="109"/>
        <v>31777.869448429588</v>
      </c>
      <c r="BX335" s="49">
        <f t="shared" si="109"/>
        <v>31777.869448429588</v>
      </c>
    </row>
    <row r="336" spans="1:76" hidden="1" outlineLevel="1">
      <c r="B336" t="s">
        <v>85</v>
      </c>
      <c r="D336" s="49">
        <f>IF(D332=1,'Rent Roll'!$F$45/BldgSF*ReimbPool/12*D$7,0)</f>
        <v>0</v>
      </c>
      <c r="E336" s="49">
        <f>IF(E332=1,'Rent Roll'!$F$45/BldgSF*ReimbPool/12*E$7,0)</f>
        <v>0</v>
      </c>
      <c r="F336" s="49">
        <f>IF(F332=1,'Rent Roll'!$F$45/BldgSF*ReimbPool/12*F$7,0)</f>
        <v>0</v>
      </c>
      <c r="G336" s="49">
        <f>IF(G332=1,'Rent Roll'!$F$45/BldgSF*ReimbPool/12*G$7,0)</f>
        <v>0</v>
      </c>
      <c r="H336" s="49">
        <f>IF(H332=1,'Rent Roll'!$F$45/BldgSF*ReimbPool/12*H$7,0)</f>
        <v>0</v>
      </c>
      <c r="I336" s="49">
        <f>IF(I332=1,'Rent Roll'!$F$45/BldgSF*ReimbPool/12*I$7,0)</f>
        <v>0</v>
      </c>
      <c r="J336" s="49">
        <f>IF(J332=1,'Rent Roll'!$F$45/BldgSF*ReimbPool/12*J$7,0)</f>
        <v>0</v>
      </c>
      <c r="K336" s="49">
        <f>IF(K332=1,'Rent Roll'!$F$45/BldgSF*ReimbPool/12*K$7,0)</f>
        <v>0</v>
      </c>
      <c r="L336" s="49">
        <f>IF(L332=1,'Rent Roll'!$F$45/BldgSF*ReimbPool/12*L$7,0)</f>
        <v>0</v>
      </c>
      <c r="M336" s="49">
        <f>IF(M332=1,'Rent Roll'!$F$45/BldgSF*ReimbPool/12*M$7,0)</f>
        <v>0</v>
      </c>
      <c r="N336" s="49">
        <f>IF(N332=1,'Rent Roll'!$F$45/BldgSF*ReimbPool/12*N$7,0)</f>
        <v>0</v>
      </c>
      <c r="O336" s="49">
        <f>IF(O332=1,'Rent Roll'!$F$45/BldgSF*ReimbPool/12*O$7,0)</f>
        <v>0</v>
      </c>
      <c r="P336" s="49">
        <f>IF(P332=1,'Rent Roll'!$F$45/BldgSF*ReimbPool/12*P$7,0)</f>
        <v>0</v>
      </c>
      <c r="Q336" s="49">
        <f>IF(Q332=1,'Rent Roll'!$F$45/BldgSF*ReimbPool/12*Q$7,0)</f>
        <v>0</v>
      </c>
      <c r="R336" s="49">
        <f>IF(R332=1,'Rent Roll'!$F$45/BldgSF*ReimbPool/12*R$7,0)</f>
        <v>0</v>
      </c>
      <c r="S336" s="49">
        <f>IF(S332=1,'Rent Roll'!$F$45/BldgSF*ReimbPool/12*S$7,0)</f>
        <v>11200.718749999998</v>
      </c>
      <c r="T336" s="49">
        <f>IF(T332=1,'Rent Roll'!$F$45/BldgSF*ReimbPool/12*T$7,0)</f>
        <v>11200.718749999998</v>
      </c>
      <c r="U336" s="49">
        <f>IF(U332=1,'Rent Roll'!$F$45/BldgSF*ReimbPool/12*U$7,0)</f>
        <v>11503.138156249997</v>
      </c>
      <c r="V336" s="49">
        <f>IF(V332=1,'Rent Roll'!$F$45/BldgSF*ReimbPool/12*V$7,0)</f>
        <v>11503.138156249997</v>
      </c>
      <c r="W336" s="49">
        <f>IF(W332=1,'Rent Roll'!$F$45/BldgSF*ReimbPool/12*W$7,0)</f>
        <v>11503.138156249997</v>
      </c>
      <c r="X336" s="49">
        <f>IF(X332=1,'Rent Roll'!$F$45/BldgSF*ReimbPool/12*X$7,0)</f>
        <v>11503.138156249997</v>
      </c>
      <c r="Y336" s="49">
        <f>IF(Y332=1,'Rent Roll'!$F$45/BldgSF*ReimbPool/12*Y$7,0)</f>
        <v>11503.138156249997</v>
      </c>
      <c r="Z336" s="49">
        <f>IF(Z332=1,'Rent Roll'!$F$45/BldgSF*ReimbPool/12*Z$7,0)</f>
        <v>11503.138156249997</v>
      </c>
      <c r="AA336" s="49">
        <f>IF(AA332=1,'Rent Roll'!$F$45/BldgSF*ReimbPool/12*AA$7,0)</f>
        <v>11503.138156249997</v>
      </c>
      <c r="AB336" s="49">
        <f>IF(AB332=1,'Rent Roll'!$F$45/BldgSF*ReimbPool/12*AB$7,0)</f>
        <v>11503.138156249997</v>
      </c>
      <c r="AC336" s="49">
        <f>IF(AC332=1,'Rent Roll'!$F$45/BldgSF*ReimbPool/12*AC$7,0)</f>
        <v>11503.138156249997</v>
      </c>
      <c r="AD336" s="49">
        <f>IF(AD332=1,'Rent Roll'!$F$45/BldgSF*ReimbPool/12*AD$7,0)</f>
        <v>11503.138156249997</v>
      </c>
      <c r="AE336" s="49">
        <f>IF(AE332=1,'Rent Roll'!$F$45/BldgSF*ReimbPool/12*AE$7,0)</f>
        <v>11503.138156249997</v>
      </c>
      <c r="AF336" s="49">
        <f>IF(AF332=1,'Rent Roll'!$F$45/BldgSF*ReimbPool/12*AF$7,0)</f>
        <v>11503.138156249997</v>
      </c>
      <c r="AG336" s="49">
        <f>IF(AG332=1,'Rent Roll'!$F$45/BldgSF*ReimbPool/12*AG$7,0)</f>
        <v>11813.722886468748</v>
      </c>
      <c r="AH336" s="49">
        <f>IF(AH332=1,'Rent Roll'!$F$45/BldgSF*ReimbPool/12*AH$7,0)</f>
        <v>11813.722886468748</v>
      </c>
      <c r="AI336" s="49">
        <f>IF(AI332=1,'Rent Roll'!$F$45/BldgSF*ReimbPool/12*AI$7,0)</f>
        <v>11813.722886468748</v>
      </c>
      <c r="AJ336" s="49">
        <f>IF(AJ332=1,'Rent Roll'!$F$45/BldgSF*ReimbPool/12*AJ$7,0)</f>
        <v>11813.722886468748</v>
      </c>
      <c r="AK336" s="49">
        <f>IF(AK332=1,'Rent Roll'!$F$45/BldgSF*ReimbPool/12*AK$7,0)</f>
        <v>11813.722886468748</v>
      </c>
      <c r="AL336" s="49">
        <f>IF(AL332=1,'Rent Roll'!$F$45/BldgSF*ReimbPool/12*AL$7,0)</f>
        <v>11813.722886468748</v>
      </c>
      <c r="AM336" s="49">
        <f>IF(AM332=1,'Rent Roll'!$F$45/BldgSF*ReimbPool/12*AM$7,0)</f>
        <v>11813.722886468748</v>
      </c>
      <c r="AN336" s="49">
        <f>IF(AN332=1,'Rent Roll'!$F$45/BldgSF*ReimbPool/12*AN$7,0)</f>
        <v>11813.722886468748</v>
      </c>
      <c r="AO336" s="49">
        <f>IF(AO332=1,'Rent Roll'!$F$45/BldgSF*ReimbPool/12*AO$7,0)</f>
        <v>11813.722886468748</v>
      </c>
      <c r="AP336" s="49">
        <f>IF(AP332=1,'Rent Roll'!$F$45/BldgSF*ReimbPool/12*AP$7,0)</f>
        <v>11813.722886468748</v>
      </c>
      <c r="AQ336" s="49">
        <f>IF(AQ332=1,'Rent Roll'!$F$45/BldgSF*ReimbPool/12*AQ$7,0)</f>
        <v>11813.722886468748</v>
      </c>
      <c r="AR336" s="49">
        <f>IF(AR332=1,'Rent Roll'!$F$45/BldgSF*ReimbPool/12*AR$7,0)</f>
        <v>11813.722886468748</v>
      </c>
      <c r="AS336" s="49">
        <f>IF(AS332=1,'Rent Roll'!$F$45/BldgSF*ReimbPool/12*AS$7,0)</f>
        <v>12132.693404403402</v>
      </c>
      <c r="AT336" s="49">
        <f>IF(AT332=1,'Rent Roll'!$F$45/BldgSF*ReimbPool/12*AT$7,0)</f>
        <v>12132.693404403402</v>
      </c>
      <c r="AU336" s="49">
        <f>IF(AU332=1,'Rent Roll'!$F$45/BldgSF*ReimbPool/12*AU$7,0)</f>
        <v>12132.693404403402</v>
      </c>
      <c r="AV336" s="49">
        <f>IF(AV332=1,'Rent Roll'!$F$45/BldgSF*ReimbPool/12*AV$7,0)</f>
        <v>12132.693404403402</v>
      </c>
      <c r="AW336" s="49">
        <f>IF(AW332=1,'Rent Roll'!$F$45/BldgSF*ReimbPool/12*AW$7,0)</f>
        <v>12132.693404403402</v>
      </c>
      <c r="AX336" s="49">
        <f>IF(AX332=1,'Rent Roll'!$F$45/BldgSF*ReimbPool/12*AX$7,0)</f>
        <v>12132.693404403402</v>
      </c>
      <c r="AY336" s="49">
        <f>IF(AY332=1,'Rent Roll'!$F$45/BldgSF*ReimbPool/12*AY$7,0)</f>
        <v>12132.693404403402</v>
      </c>
      <c r="AZ336" s="49">
        <f>IF(AZ332=1,'Rent Roll'!$F$45/BldgSF*ReimbPool/12*AZ$7,0)</f>
        <v>12132.693404403402</v>
      </c>
      <c r="BA336" s="49">
        <f>IF(BA332=1,'Rent Roll'!$F$45/BldgSF*ReimbPool/12*BA$7,0)</f>
        <v>12132.693404403402</v>
      </c>
      <c r="BB336" s="49">
        <f>IF(BB332=1,'Rent Roll'!$F$45/BldgSF*ReimbPool/12*BB$7,0)</f>
        <v>12132.693404403402</v>
      </c>
      <c r="BC336" s="49">
        <f>IF(BC332=1,'Rent Roll'!$F$45/BldgSF*ReimbPool/12*BC$7,0)</f>
        <v>12132.693404403402</v>
      </c>
      <c r="BD336" s="49">
        <f>IF(BD332=1,'Rent Roll'!$F$45/BldgSF*ReimbPool/12*BD$7,0)</f>
        <v>12132.693404403402</v>
      </c>
      <c r="BE336" s="49">
        <f>IF(BE332=1,'Rent Roll'!$F$45/BldgSF*ReimbPool/12*BE$7,0)</f>
        <v>12460.276126322293</v>
      </c>
      <c r="BF336" s="49">
        <f>IF(BF332=1,'Rent Roll'!$F$45/BldgSF*ReimbPool/12*BF$7,0)</f>
        <v>12460.276126322293</v>
      </c>
      <c r="BG336" s="49">
        <f>IF(BG332=1,'Rent Roll'!$F$45/BldgSF*ReimbPool/12*BG$7,0)</f>
        <v>12460.276126322293</v>
      </c>
      <c r="BH336" s="49">
        <f>IF(BH332=1,'Rent Roll'!$F$45/BldgSF*ReimbPool/12*BH$7,0)</f>
        <v>12460.276126322293</v>
      </c>
      <c r="BI336" s="49">
        <f>IF(BI332=1,'Rent Roll'!$F$45/BldgSF*ReimbPool/12*BI$7,0)</f>
        <v>12460.276126322293</v>
      </c>
      <c r="BJ336" s="49">
        <f>IF(BJ332=1,'Rent Roll'!$F$45/BldgSF*ReimbPool/12*BJ$7,0)</f>
        <v>12460.276126322293</v>
      </c>
      <c r="BK336" s="49">
        <f>IF(BK332=1,'Rent Roll'!$F$45/BldgSF*ReimbPool/12*BK$7,0)</f>
        <v>12460.276126322293</v>
      </c>
      <c r="BL336" s="49">
        <f>IF(BL332=1,'Rent Roll'!$F$45/BldgSF*ReimbPool/12*BL$7,0)</f>
        <v>12460.276126322293</v>
      </c>
      <c r="BM336" s="49">
        <f>IF(BM332=1,'Rent Roll'!$F$45/BldgSF*ReimbPool/12*BM$7,0)</f>
        <v>12460.276126322293</v>
      </c>
      <c r="BN336" s="49">
        <f>IF(BN332=1,'Rent Roll'!$F$45/BldgSF*ReimbPool/12*BN$7,0)</f>
        <v>12460.276126322293</v>
      </c>
      <c r="BO336" s="49">
        <f>IF(BO332=1,'Rent Roll'!$F$45/BldgSF*ReimbPool/12*BO$7,0)</f>
        <v>12460.276126322293</v>
      </c>
      <c r="BP336" s="49">
        <f>IF(BP332=1,'Rent Roll'!$F$45/BldgSF*ReimbPool/12*BP$7,0)</f>
        <v>12460.276126322293</v>
      </c>
      <c r="BQ336" s="49">
        <f>IF(BQ332=1,'Rent Roll'!$F$45/BldgSF*ReimbPool/12*BQ$7,0)</f>
        <v>12796.703581732992</v>
      </c>
      <c r="BR336" s="49">
        <f>IF(BR332=1,'Rent Roll'!$F$45/BldgSF*ReimbPool/12*BR$7,0)</f>
        <v>12796.703581732992</v>
      </c>
      <c r="BS336" s="49">
        <f>IF(BS332=1,'Rent Roll'!$F$45/BldgSF*ReimbPool/12*BS$7,0)</f>
        <v>12796.703581732992</v>
      </c>
      <c r="BT336" s="49">
        <f>IF(BT332=1,'Rent Roll'!$F$45/BldgSF*ReimbPool/12*BT$7,0)</f>
        <v>12796.703581732992</v>
      </c>
      <c r="BU336" s="49">
        <f>IF(BU332=1,'Rent Roll'!$F$45/BldgSF*ReimbPool/12*BU$7,0)</f>
        <v>12796.703581732992</v>
      </c>
      <c r="BV336" s="49">
        <f>IF(BV332=1,'Rent Roll'!$F$45/BldgSF*ReimbPool/12*BV$7,0)</f>
        <v>12796.703581732992</v>
      </c>
      <c r="BW336" s="49">
        <f>IF(BW332=1,'Rent Roll'!$F$45/BldgSF*ReimbPool/12*BW$7,0)</f>
        <v>12796.703581732992</v>
      </c>
      <c r="BX336" s="49">
        <f>IF(BX332=1,'Rent Roll'!$F$45/BldgSF*ReimbPool/12*BX$7,0)</f>
        <v>12796.703581732992</v>
      </c>
    </row>
    <row r="337" spans="1:76" hidden="1" outlineLevel="1">
      <c r="B337" t="s">
        <v>86</v>
      </c>
      <c r="D337" s="49">
        <f>-'Rent Roll'!$F$45*'Rent Roll'!$T$45/SpecBuildout*D330</f>
        <v>0</v>
      </c>
      <c r="E337" s="49">
        <f>-'Rent Roll'!$F$45*'Rent Roll'!$T$45/SpecBuildout*E330</f>
        <v>0</v>
      </c>
      <c r="F337" s="49">
        <f>-'Rent Roll'!$F$45*'Rent Roll'!$T$45/SpecBuildout*F330</f>
        <v>0</v>
      </c>
      <c r="G337" s="49">
        <f>-'Rent Roll'!$F$45*'Rent Roll'!$T$45/SpecBuildout*G330</f>
        <v>0</v>
      </c>
      <c r="H337" s="49">
        <f>-'Rent Roll'!$F$45*'Rent Roll'!$T$45/SpecBuildout*H330</f>
        <v>0</v>
      </c>
      <c r="I337" s="49">
        <f>-'Rent Roll'!$F$45*'Rent Roll'!$T$45/SpecBuildout*I330</f>
        <v>0</v>
      </c>
      <c r="J337" s="49">
        <f>-'Rent Roll'!$F$45*'Rent Roll'!$T$45/SpecBuildout*J330</f>
        <v>0</v>
      </c>
      <c r="K337" s="49">
        <f>-'Rent Roll'!$F$45*'Rent Roll'!$T$45/SpecBuildout*K330</f>
        <v>0</v>
      </c>
      <c r="L337" s="49">
        <f>-'Rent Roll'!$F$45*'Rent Roll'!$T$45/SpecBuildout*L330</f>
        <v>0</v>
      </c>
      <c r="M337" s="49">
        <f>-'Rent Roll'!$F$45*'Rent Roll'!$T$45/SpecBuildout*M330</f>
        <v>0</v>
      </c>
      <c r="N337" s="49">
        <f>-'Rent Roll'!$F$45*'Rent Roll'!$T$45/SpecBuildout*N330</f>
        <v>-83333.333333333328</v>
      </c>
      <c r="O337" s="49">
        <f>-'Rent Roll'!$F$45*'Rent Roll'!$T$45/SpecBuildout*O330</f>
        <v>-83333.333333333328</v>
      </c>
      <c r="P337" s="49">
        <f>-'Rent Roll'!$F$45*'Rent Roll'!$T$45/SpecBuildout*P330</f>
        <v>-83333.333333333328</v>
      </c>
      <c r="Q337" s="49">
        <f>-'Rent Roll'!$F$45*'Rent Roll'!$T$45/SpecBuildout*Q330</f>
        <v>-83333.333333333328</v>
      </c>
      <c r="R337" s="49">
        <f>-'Rent Roll'!$F$45*'Rent Roll'!$T$45/SpecBuildout*R330</f>
        <v>-83333.333333333328</v>
      </c>
      <c r="S337" s="49">
        <f>-'Rent Roll'!$F$45*'Rent Roll'!$T$45/SpecBuildout*S330</f>
        <v>-83333.333333333328</v>
      </c>
      <c r="T337" s="49">
        <f>-'Rent Roll'!$F$45*'Rent Roll'!$T$45/SpecBuildout*T330</f>
        <v>0</v>
      </c>
      <c r="U337" s="49">
        <f>-'Rent Roll'!$F$45*'Rent Roll'!$T$45/SpecBuildout*U330</f>
        <v>0</v>
      </c>
      <c r="V337" s="49">
        <f>-'Rent Roll'!$F$45*'Rent Roll'!$T$45/SpecBuildout*V330</f>
        <v>0</v>
      </c>
      <c r="W337" s="49">
        <f>-'Rent Roll'!$F$45*'Rent Roll'!$T$45/SpecBuildout*W330</f>
        <v>0</v>
      </c>
      <c r="X337" s="49">
        <f>-'Rent Roll'!$F$45*'Rent Roll'!$T$45/SpecBuildout*X330</f>
        <v>0</v>
      </c>
      <c r="Y337" s="49">
        <f>-'Rent Roll'!$F$45*'Rent Roll'!$T$45/SpecBuildout*Y330</f>
        <v>0</v>
      </c>
      <c r="Z337" s="49">
        <f>-'Rent Roll'!$F$45*'Rent Roll'!$T$45/SpecBuildout*Z330</f>
        <v>0</v>
      </c>
      <c r="AA337" s="49">
        <f>-'Rent Roll'!$F$45*'Rent Roll'!$T$45/SpecBuildout*AA330</f>
        <v>0</v>
      </c>
      <c r="AB337" s="49">
        <f>-'Rent Roll'!$F$45*'Rent Roll'!$T$45/SpecBuildout*AB330</f>
        <v>0</v>
      </c>
      <c r="AC337" s="49">
        <f>-'Rent Roll'!$F$45*'Rent Roll'!$T$45/SpecBuildout*AC330</f>
        <v>0</v>
      </c>
      <c r="AD337" s="49">
        <f>-'Rent Roll'!$F$45*'Rent Roll'!$T$45/SpecBuildout*AD330</f>
        <v>0</v>
      </c>
      <c r="AE337" s="49">
        <f>-'Rent Roll'!$F$45*'Rent Roll'!$T$45/SpecBuildout*AE330</f>
        <v>0</v>
      </c>
      <c r="AF337" s="49">
        <f>-'Rent Roll'!$F$45*'Rent Roll'!$T$45/SpecBuildout*AF330</f>
        <v>0</v>
      </c>
      <c r="AG337" s="49">
        <f>-'Rent Roll'!$F$45*'Rent Roll'!$T$45/SpecBuildout*AG330</f>
        <v>0</v>
      </c>
      <c r="AH337" s="49">
        <f>-'Rent Roll'!$F$45*'Rent Roll'!$T$45/SpecBuildout*AH330</f>
        <v>0</v>
      </c>
      <c r="AI337" s="49">
        <f>-'Rent Roll'!$F$45*'Rent Roll'!$T$45/SpecBuildout*AI330</f>
        <v>0</v>
      </c>
      <c r="AJ337" s="49">
        <f>-'Rent Roll'!$F$45*'Rent Roll'!$T$45/SpecBuildout*AJ330</f>
        <v>0</v>
      </c>
      <c r="AK337" s="49">
        <f>-'Rent Roll'!$F$45*'Rent Roll'!$T$45/SpecBuildout*AK330</f>
        <v>0</v>
      </c>
      <c r="AL337" s="49">
        <f>-'Rent Roll'!$F$45*'Rent Roll'!$T$45/SpecBuildout*AL330</f>
        <v>0</v>
      </c>
      <c r="AM337" s="49">
        <f>-'Rent Roll'!$F$45*'Rent Roll'!$T$45/SpecBuildout*AM330</f>
        <v>0</v>
      </c>
      <c r="AN337" s="49">
        <f>-'Rent Roll'!$F$45*'Rent Roll'!$T$45/SpecBuildout*AN330</f>
        <v>0</v>
      </c>
      <c r="AO337" s="49">
        <f>-'Rent Roll'!$F$45*'Rent Roll'!$T$45/SpecBuildout*AO330</f>
        <v>0</v>
      </c>
      <c r="AP337" s="49">
        <f>-'Rent Roll'!$F$45*'Rent Roll'!$T$45/SpecBuildout*AP330</f>
        <v>0</v>
      </c>
      <c r="AQ337" s="49">
        <f>-'Rent Roll'!$F$45*'Rent Roll'!$T$45/SpecBuildout*AQ330</f>
        <v>0</v>
      </c>
      <c r="AR337" s="49">
        <f>-'Rent Roll'!$F$45*'Rent Roll'!$T$45/SpecBuildout*AR330</f>
        <v>0</v>
      </c>
      <c r="AS337" s="49">
        <f>-'Rent Roll'!$F$45*'Rent Roll'!$T$45/SpecBuildout*AS330</f>
        <v>0</v>
      </c>
      <c r="AT337" s="49">
        <f>-'Rent Roll'!$F$45*'Rent Roll'!$T$45/SpecBuildout*AT330</f>
        <v>0</v>
      </c>
      <c r="AU337" s="49">
        <f>-'Rent Roll'!$F$45*'Rent Roll'!$T$45/SpecBuildout*AU330</f>
        <v>0</v>
      </c>
      <c r="AV337" s="49">
        <f>-'Rent Roll'!$F$45*'Rent Roll'!$T$45/SpecBuildout*AV330</f>
        <v>0</v>
      </c>
      <c r="AW337" s="49">
        <f>-'Rent Roll'!$F$45*'Rent Roll'!$T$45/SpecBuildout*AW330</f>
        <v>0</v>
      </c>
      <c r="AX337" s="49">
        <f>-'Rent Roll'!$F$45*'Rent Roll'!$T$45/SpecBuildout*AX330</f>
        <v>0</v>
      </c>
      <c r="AY337" s="49">
        <f>-'Rent Roll'!$F$45*'Rent Roll'!$T$45/SpecBuildout*AY330</f>
        <v>0</v>
      </c>
      <c r="AZ337" s="49">
        <f>-'Rent Roll'!$F$45*'Rent Roll'!$T$45/SpecBuildout*AZ330</f>
        <v>0</v>
      </c>
      <c r="BA337" s="49">
        <f>-'Rent Roll'!$F$45*'Rent Roll'!$T$45/SpecBuildout*BA330</f>
        <v>0</v>
      </c>
      <c r="BB337" s="49">
        <f>-'Rent Roll'!$F$45*'Rent Roll'!$T$45/SpecBuildout*BB330</f>
        <v>0</v>
      </c>
      <c r="BC337" s="49">
        <f>-'Rent Roll'!$F$45*'Rent Roll'!$T$45/SpecBuildout*BC330</f>
        <v>0</v>
      </c>
      <c r="BD337" s="49">
        <f>-'Rent Roll'!$F$45*'Rent Roll'!$T$45/SpecBuildout*BD330</f>
        <v>0</v>
      </c>
      <c r="BE337" s="49">
        <f>-'Rent Roll'!$F$45*'Rent Roll'!$T$45/SpecBuildout*BE330</f>
        <v>0</v>
      </c>
      <c r="BF337" s="49">
        <f>-'Rent Roll'!$F$45*'Rent Roll'!$T$45/SpecBuildout*BF330</f>
        <v>0</v>
      </c>
      <c r="BG337" s="49">
        <f>-'Rent Roll'!$F$45*'Rent Roll'!$T$45/SpecBuildout*BG330</f>
        <v>0</v>
      </c>
      <c r="BH337" s="49">
        <f>-'Rent Roll'!$F$45*'Rent Roll'!$T$45/SpecBuildout*BH330</f>
        <v>0</v>
      </c>
      <c r="BI337" s="49">
        <f>-'Rent Roll'!$F$45*'Rent Roll'!$T$45/SpecBuildout*BI330</f>
        <v>0</v>
      </c>
      <c r="BJ337" s="49">
        <f>-'Rent Roll'!$F$45*'Rent Roll'!$T$45/SpecBuildout*BJ330</f>
        <v>0</v>
      </c>
      <c r="BK337" s="49">
        <f>-'Rent Roll'!$F$45*'Rent Roll'!$T$45/SpecBuildout*BK330</f>
        <v>0</v>
      </c>
      <c r="BL337" s="49">
        <f>-'Rent Roll'!$F$45*'Rent Roll'!$T$45/SpecBuildout*BL330</f>
        <v>0</v>
      </c>
      <c r="BM337" s="49">
        <f>-'Rent Roll'!$F$45*'Rent Roll'!$T$45/SpecBuildout*BM330</f>
        <v>0</v>
      </c>
      <c r="BN337" s="49">
        <f>-'Rent Roll'!$F$45*'Rent Roll'!$T$45/SpecBuildout*BN330</f>
        <v>0</v>
      </c>
      <c r="BO337" s="49">
        <f>-'Rent Roll'!$F$45*'Rent Roll'!$T$45/SpecBuildout*BO330</f>
        <v>0</v>
      </c>
      <c r="BP337" s="49">
        <f>-'Rent Roll'!$F$45*'Rent Roll'!$T$45/SpecBuildout*BP330</f>
        <v>0</v>
      </c>
      <c r="BQ337" s="49">
        <f>-'Rent Roll'!$F$45*'Rent Roll'!$T$45/SpecBuildout*BQ330</f>
        <v>0</v>
      </c>
      <c r="BR337" s="49">
        <f>-'Rent Roll'!$F$45*'Rent Roll'!$T$45/SpecBuildout*BR330</f>
        <v>0</v>
      </c>
      <c r="BS337" s="49">
        <f>-'Rent Roll'!$F$45*'Rent Roll'!$T$45/SpecBuildout*BS330</f>
        <v>0</v>
      </c>
      <c r="BT337" s="49">
        <f>-'Rent Roll'!$F$45*'Rent Roll'!$T$45/SpecBuildout*BT330</f>
        <v>0</v>
      </c>
      <c r="BU337" s="49">
        <f>-'Rent Roll'!$F$45*'Rent Roll'!$T$45/SpecBuildout*BU330</f>
        <v>0</v>
      </c>
      <c r="BV337" s="49">
        <f>-'Rent Roll'!$F$45*'Rent Roll'!$T$45/SpecBuildout*BV330</f>
        <v>0</v>
      </c>
      <c r="BW337" s="49">
        <f>-'Rent Roll'!$F$45*'Rent Roll'!$T$45/SpecBuildout*BW330</f>
        <v>0</v>
      </c>
      <c r="BX337" s="49">
        <f>-'Rent Roll'!$F$45*'Rent Roll'!$T$45/SpecBuildout*BX330</f>
        <v>0</v>
      </c>
    </row>
    <row r="338" spans="1:76" hidden="1" outlineLevel="1">
      <c r="B338" t="s">
        <v>87</v>
      </c>
      <c r="D338" s="49">
        <f>IF(D$4=EOMONTH(CloseDate,'Rent Roll'!$O$45-1),-'Rent Roll'!$U$45*'Rent Roll'!$F$45*'Rent Roll'!$X$45,0)</f>
        <v>0</v>
      </c>
      <c r="E338" s="49">
        <f>IF(E$4=EOMONTH(CloseDate,'Rent Roll'!$O$45-1),-'Rent Roll'!$U$45*'Rent Roll'!$F$45*'Rent Roll'!$X$45,0)</f>
        <v>0</v>
      </c>
      <c r="F338" s="49">
        <f>IF(F$4=EOMONTH(CloseDate,'Rent Roll'!$O$45-1),-'Rent Roll'!$U$45*'Rent Roll'!$F$45*'Rent Roll'!$X$45,0)</f>
        <v>0</v>
      </c>
      <c r="G338" s="49">
        <f>IF(G$4=EOMONTH(CloseDate,'Rent Roll'!$O$45-1),-'Rent Roll'!$U$45*'Rent Roll'!$F$45*'Rent Roll'!$X$45,0)</f>
        <v>0</v>
      </c>
      <c r="H338" s="49">
        <f>IF(H$4=EOMONTH(CloseDate,'Rent Roll'!$O$45-1),-'Rent Roll'!$U$45*'Rent Roll'!$F$45*'Rent Roll'!$X$45,0)</f>
        <v>0</v>
      </c>
      <c r="I338" s="49">
        <f>IF(I$4=EOMONTH(CloseDate,'Rent Roll'!$O$45-1),-'Rent Roll'!$U$45*'Rent Roll'!$F$45*'Rent Roll'!$X$45,0)</f>
        <v>0</v>
      </c>
      <c r="J338" s="49">
        <f>IF(J$4=EOMONTH(CloseDate,'Rent Roll'!$O$45-1),-'Rent Roll'!$U$45*'Rent Roll'!$F$45*'Rent Roll'!$X$45,0)</f>
        <v>0</v>
      </c>
      <c r="K338" s="49">
        <f>IF(K$4=EOMONTH(CloseDate,'Rent Roll'!$O$45-1),-'Rent Roll'!$U$45*'Rent Roll'!$F$45*'Rent Roll'!$X$45,0)</f>
        <v>0</v>
      </c>
      <c r="L338" s="49">
        <f>IF(L$4=EOMONTH(CloseDate,'Rent Roll'!$O$45-1),-'Rent Roll'!$U$45*'Rent Roll'!$F$45*'Rent Roll'!$X$45,0)</f>
        <v>0</v>
      </c>
      <c r="M338" s="49">
        <f>IF(M$4=EOMONTH(CloseDate,'Rent Roll'!$O$45-1),-'Rent Roll'!$U$45*'Rent Roll'!$F$45*'Rent Roll'!$X$45,0)</f>
        <v>0</v>
      </c>
      <c r="N338" s="49">
        <f>IF(N$4=EOMONTH(CloseDate,'Rent Roll'!$O$45-1),-'Rent Roll'!$U$45*'Rent Roll'!$F$45*'Rent Roll'!$X$45,0)</f>
        <v>0</v>
      </c>
      <c r="O338" s="49">
        <f>IF(O$4=EOMONTH(CloseDate,'Rent Roll'!$O$45-1),-'Rent Roll'!$U$45*'Rent Roll'!$F$45*'Rent Roll'!$X$45,0)</f>
        <v>0</v>
      </c>
      <c r="P338" s="49">
        <f>IF(P$4=EOMONTH(CloseDate,'Rent Roll'!$O$45-1),-'Rent Roll'!$U$45*'Rent Roll'!$F$45*'Rent Roll'!$X$45,0)</f>
        <v>0</v>
      </c>
      <c r="Q338" s="49">
        <f>IF(Q$4=EOMONTH(CloseDate,'Rent Roll'!$O$45-1),-'Rent Roll'!$U$45*'Rent Roll'!$F$45*'Rent Roll'!$X$45,0)</f>
        <v>0</v>
      </c>
      <c r="R338" s="49">
        <f>IF(R$4=EOMONTH(CloseDate,'Rent Roll'!$O$45-1),-'Rent Roll'!$U$45*'Rent Roll'!$F$45*'Rent Roll'!$X$45,0)</f>
        <v>0</v>
      </c>
      <c r="S338" s="49">
        <f>IF(S$4=EOMONTH(CloseDate,'Rent Roll'!$O$45-1),-'Rent Roll'!$U$45*'Rent Roll'!$F$45*'Rent Roll'!$X$45,0)</f>
        <v>-16250</v>
      </c>
      <c r="T338" s="49">
        <f>IF(T$4=EOMONTH(CloseDate,'Rent Roll'!$O$45-1),-'Rent Roll'!$U$45*'Rent Roll'!$F$45*'Rent Roll'!$X$45,0)</f>
        <v>0</v>
      </c>
      <c r="U338" s="49">
        <f>IF(U$4=EOMONTH(CloseDate,'Rent Roll'!$O$45-1),-'Rent Roll'!$U$45*'Rent Roll'!$F$45*'Rent Roll'!$X$45,0)</f>
        <v>0</v>
      </c>
      <c r="V338" s="49">
        <f>IF(V$4=EOMONTH(CloseDate,'Rent Roll'!$O$45-1),-'Rent Roll'!$U$45*'Rent Roll'!$F$45*'Rent Roll'!$X$45,0)</f>
        <v>0</v>
      </c>
      <c r="W338" s="49">
        <f>IF(W$4=EOMONTH(CloseDate,'Rent Roll'!$O$45-1),-'Rent Roll'!$U$45*'Rent Roll'!$F$45*'Rent Roll'!$X$45,0)</f>
        <v>0</v>
      </c>
      <c r="X338" s="49">
        <f>IF(X$4=EOMONTH(CloseDate,'Rent Roll'!$O$45-1),-'Rent Roll'!$U$45*'Rent Roll'!$F$45*'Rent Roll'!$X$45,0)</f>
        <v>0</v>
      </c>
      <c r="Y338" s="49">
        <f>IF(Y$4=EOMONTH(CloseDate,'Rent Roll'!$O$45-1),-'Rent Roll'!$U$45*'Rent Roll'!$F$45*'Rent Roll'!$X$45,0)</f>
        <v>0</v>
      </c>
      <c r="Z338" s="49">
        <f>IF(Z$4=EOMONTH(CloseDate,'Rent Roll'!$O$45-1),-'Rent Roll'!$U$45*'Rent Roll'!$F$45*'Rent Roll'!$X$45,0)</f>
        <v>0</v>
      </c>
      <c r="AA338" s="49">
        <f>IF(AA$4=EOMONTH(CloseDate,'Rent Roll'!$O$45-1),-'Rent Roll'!$U$45*'Rent Roll'!$F$45*'Rent Roll'!$X$45,0)</f>
        <v>0</v>
      </c>
      <c r="AB338" s="49">
        <f>IF(AB$4=EOMONTH(CloseDate,'Rent Roll'!$O$45-1),-'Rent Roll'!$U$45*'Rent Roll'!$F$45*'Rent Roll'!$X$45,0)</f>
        <v>0</v>
      </c>
      <c r="AC338" s="49">
        <f>IF(AC$4=EOMONTH(CloseDate,'Rent Roll'!$O$45-1),-'Rent Roll'!$U$45*'Rent Roll'!$F$45*'Rent Roll'!$X$45,0)</f>
        <v>0</v>
      </c>
      <c r="AD338" s="49">
        <f>IF(AD$4=EOMONTH(CloseDate,'Rent Roll'!$O$45-1),-'Rent Roll'!$U$45*'Rent Roll'!$F$45*'Rent Roll'!$X$45,0)</f>
        <v>0</v>
      </c>
      <c r="AE338" s="49">
        <f>IF(AE$4=EOMONTH(CloseDate,'Rent Roll'!$O$45-1),-'Rent Roll'!$U$45*'Rent Roll'!$F$45*'Rent Roll'!$X$45,0)</f>
        <v>0</v>
      </c>
      <c r="AF338" s="49">
        <f>IF(AF$4=EOMONTH(CloseDate,'Rent Roll'!$O$45-1),-'Rent Roll'!$U$45*'Rent Roll'!$F$45*'Rent Roll'!$X$45,0)</f>
        <v>0</v>
      </c>
      <c r="AG338" s="49">
        <f>IF(AG$4=EOMONTH(CloseDate,'Rent Roll'!$O$45-1),-'Rent Roll'!$U$45*'Rent Roll'!$F$45*'Rent Roll'!$X$45,0)</f>
        <v>0</v>
      </c>
      <c r="AH338" s="49">
        <f>IF(AH$4=EOMONTH(CloseDate,'Rent Roll'!$O$45-1),-'Rent Roll'!$U$45*'Rent Roll'!$F$45*'Rent Roll'!$X$45,0)</f>
        <v>0</v>
      </c>
      <c r="AI338" s="49">
        <f>IF(AI$4=EOMONTH(CloseDate,'Rent Roll'!$O$45-1),-'Rent Roll'!$U$45*'Rent Roll'!$F$45*'Rent Roll'!$X$45,0)</f>
        <v>0</v>
      </c>
      <c r="AJ338" s="49">
        <f>IF(AJ$4=EOMONTH(CloseDate,'Rent Roll'!$O$45-1),-'Rent Roll'!$U$45*'Rent Roll'!$F$45*'Rent Roll'!$X$45,0)</f>
        <v>0</v>
      </c>
      <c r="AK338" s="49">
        <f>IF(AK$4=EOMONTH(CloseDate,'Rent Roll'!$O$45-1),-'Rent Roll'!$U$45*'Rent Roll'!$F$45*'Rent Roll'!$X$45,0)</f>
        <v>0</v>
      </c>
      <c r="AL338" s="49">
        <f>IF(AL$4=EOMONTH(CloseDate,'Rent Roll'!$O$45-1),-'Rent Roll'!$U$45*'Rent Roll'!$F$45*'Rent Roll'!$X$45,0)</f>
        <v>0</v>
      </c>
      <c r="AM338" s="49">
        <f>IF(AM$4=EOMONTH(CloseDate,'Rent Roll'!$O$45-1),-'Rent Roll'!$U$45*'Rent Roll'!$F$45*'Rent Roll'!$X$45,0)</f>
        <v>0</v>
      </c>
      <c r="AN338" s="49">
        <f>IF(AN$4=EOMONTH(CloseDate,'Rent Roll'!$O$45-1),-'Rent Roll'!$U$45*'Rent Roll'!$F$45*'Rent Roll'!$X$45,0)</f>
        <v>0</v>
      </c>
      <c r="AO338" s="49">
        <f>IF(AO$4=EOMONTH(CloseDate,'Rent Roll'!$O$45-1),-'Rent Roll'!$U$45*'Rent Roll'!$F$45*'Rent Roll'!$X$45,0)</f>
        <v>0</v>
      </c>
      <c r="AP338" s="49">
        <f>IF(AP$4=EOMONTH(CloseDate,'Rent Roll'!$O$45-1),-'Rent Roll'!$U$45*'Rent Roll'!$F$45*'Rent Roll'!$X$45,0)</f>
        <v>0</v>
      </c>
      <c r="AQ338" s="49">
        <f>IF(AQ$4=EOMONTH(CloseDate,'Rent Roll'!$O$45-1),-'Rent Roll'!$U$45*'Rent Roll'!$F$45*'Rent Roll'!$X$45,0)</f>
        <v>0</v>
      </c>
      <c r="AR338" s="49">
        <f>IF(AR$4=EOMONTH(CloseDate,'Rent Roll'!$O$45-1),-'Rent Roll'!$U$45*'Rent Roll'!$F$45*'Rent Roll'!$X$45,0)</f>
        <v>0</v>
      </c>
      <c r="AS338" s="49">
        <f>IF(AS$4=EOMONTH(CloseDate,'Rent Roll'!$O$45-1),-'Rent Roll'!$U$45*'Rent Roll'!$F$45*'Rent Roll'!$X$45,0)</f>
        <v>0</v>
      </c>
      <c r="AT338" s="49">
        <f>IF(AT$4=EOMONTH(CloseDate,'Rent Roll'!$O$45-1),-'Rent Roll'!$U$45*'Rent Roll'!$F$45*'Rent Roll'!$X$45,0)</f>
        <v>0</v>
      </c>
      <c r="AU338" s="49">
        <f>IF(AU$4=EOMONTH(CloseDate,'Rent Roll'!$O$45-1),-'Rent Roll'!$U$45*'Rent Roll'!$F$45*'Rent Roll'!$X$45,0)</f>
        <v>0</v>
      </c>
      <c r="AV338" s="49">
        <f>IF(AV$4=EOMONTH(CloseDate,'Rent Roll'!$O$45-1),-'Rent Roll'!$U$45*'Rent Roll'!$F$45*'Rent Roll'!$X$45,0)</f>
        <v>0</v>
      </c>
      <c r="AW338" s="49">
        <f>IF(AW$4=EOMONTH(CloseDate,'Rent Roll'!$O$45-1),-'Rent Roll'!$U$45*'Rent Roll'!$F$45*'Rent Roll'!$X$45,0)</f>
        <v>0</v>
      </c>
      <c r="AX338" s="49">
        <f>IF(AX$4=EOMONTH(CloseDate,'Rent Roll'!$O$45-1),-'Rent Roll'!$U$45*'Rent Roll'!$F$45*'Rent Roll'!$X$45,0)</f>
        <v>0</v>
      </c>
      <c r="AY338" s="49">
        <f>IF(AY$4=EOMONTH(CloseDate,'Rent Roll'!$O$45-1),-'Rent Roll'!$U$45*'Rent Roll'!$F$45*'Rent Roll'!$X$45,0)</f>
        <v>0</v>
      </c>
      <c r="AZ338" s="49">
        <f>IF(AZ$4=EOMONTH(CloseDate,'Rent Roll'!$O$45-1),-'Rent Roll'!$U$45*'Rent Roll'!$F$45*'Rent Roll'!$X$45,0)</f>
        <v>0</v>
      </c>
      <c r="BA338" s="49">
        <f>IF(BA$4=EOMONTH(CloseDate,'Rent Roll'!$O$45-1),-'Rent Roll'!$U$45*'Rent Roll'!$F$45*'Rent Roll'!$X$45,0)</f>
        <v>0</v>
      </c>
      <c r="BB338" s="49">
        <f>IF(BB$4=EOMONTH(CloseDate,'Rent Roll'!$O$45-1),-'Rent Roll'!$U$45*'Rent Roll'!$F$45*'Rent Roll'!$X$45,0)</f>
        <v>0</v>
      </c>
      <c r="BC338" s="49">
        <f>IF(BC$4=EOMONTH(CloseDate,'Rent Roll'!$O$45-1),-'Rent Roll'!$U$45*'Rent Roll'!$F$45*'Rent Roll'!$X$45,0)</f>
        <v>0</v>
      </c>
      <c r="BD338" s="49">
        <f>IF(BD$4=EOMONTH(CloseDate,'Rent Roll'!$O$45-1),-'Rent Roll'!$U$45*'Rent Roll'!$F$45*'Rent Roll'!$X$45,0)</f>
        <v>0</v>
      </c>
      <c r="BE338" s="49">
        <f>IF(BE$4=EOMONTH(CloseDate,'Rent Roll'!$O$45-1),-'Rent Roll'!$U$45*'Rent Roll'!$F$45*'Rent Roll'!$X$45,0)</f>
        <v>0</v>
      </c>
      <c r="BF338" s="49">
        <f>IF(BF$4=EOMONTH(CloseDate,'Rent Roll'!$O$45-1),-'Rent Roll'!$U$45*'Rent Roll'!$F$45*'Rent Roll'!$X$45,0)</f>
        <v>0</v>
      </c>
      <c r="BG338" s="49">
        <f>IF(BG$4=EOMONTH(CloseDate,'Rent Roll'!$O$45-1),-'Rent Roll'!$U$45*'Rent Roll'!$F$45*'Rent Roll'!$X$45,0)</f>
        <v>0</v>
      </c>
      <c r="BH338" s="49">
        <f>IF(BH$4=EOMONTH(CloseDate,'Rent Roll'!$O$45-1),-'Rent Roll'!$U$45*'Rent Roll'!$F$45*'Rent Roll'!$X$45,0)</f>
        <v>0</v>
      </c>
      <c r="BI338" s="49">
        <f>IF(BI$4=EOMONTH(CloseDate,'Rent Roll'!$O$45-1),-'Rent Roll'!$U$45*'Rent Roll'!$F$45*'Rent Roll'!$X$45,0)</f>
        <v>0</v>
      </c>
      <c r="BJ338" s="49">
        <f>IF(BJ$4=EOMONTH(CloseDate,'Rent Roll'!$O$45-1),-'Rent Roll'!$U$45*'Rent Roll'!$F$45*'Rent Roll'!$X$45,0)</f>
        <v>0</v>
      </c>
      <c r="BK338" s="49">
        <f>IF(BK$4=EOMONTH(CloseDate,'Rent Roll'!$O$45-1),-'Rent Roll'!$U$45*'Rent Roll'!$F$45*'Rent Roll'!$X$45,0)</f>
        <v>0</v>
      </c>
      <c r="BL338" s="49">
        <f>IF(BL$4=EOMONTH(CloseDate,'Rent Roll'!$O$45-1),-'Rent Roll'!$U$45*'Rent Roll'!$F$45*'Rent Roll'!$X$45,0)</f>
        <v>0</v>
      </c>
      <c r="BM338" s="49">
        <f>IF(BM$4=EOMONTH(CloseDate,'Rent Roll'!$O$45-1),-'Rent Roll'!$U$45*'Rent Roll'!$F$45*'Rent Roll'!$X$45,0)</f>
        <v>0</v>
      </c>
      <c r="BN338" s="49">
        <f>IF(BN$4=EOMONTH(CloseDate,'Rent Roll'!$O$45-1),-'Rent Roll'!$U$45*'Rent Roll'!$F$45*'Rent Roll'!$X$45,0)</f>
        <v>0</v>
      </c>
      <c r="BO338" s="49">
        <f>IF(BO$4=EOMONTH(CloseDate,'Rent Roll'!$O$45-1),-'Rent Roll'!$U$45*'Rent Roll'!$F$45*'Rent Roll'!$X$45,0)</f>
        <v>0</v>
      </c>
      <c r="BP338" s="49">
        <f>IF(BP$4=EOMONTH(CloseDate,'Rent Roll'!$O$45-1),-'Rent Roll'!$U$45*'Rent Roll'!$F$45*'Rent Roll'!$X$45,0)</f>
        <v>0</v>
      </c>
      <c r="BQ338" s="49">
        <f>IF(BQ$4=EOMONTH(CloseDate,'Rent Roll'!$O$45-1),-'Rent Roll'!$U$45*'Rent Roll'!$F$45*'Rent Roll'!$X$45,0)</f>
        <v>0</v>
      </c>
      <c r="BR338" s="49">
        <f>IF(BR$4=EOMONTH(CloseDate,'Rent Roll'!$O$45-1),-'Rent Roll'!$U$45*'Rent Roll'!$F$45*'Rent Roll'!$X$45,0)</f>
        <v>0</v>
      </c>
      <c r="BS338" s="49">
        <f>IF(BS$4=EOMONTH(CloseDate,'Rent Roll'!$O$45-1),-'Rent Roll'!$U$45*'Rent Roll'!$F$45*'Rent Roll'!$X$45,0)</f>
        <v>0</v>
      </c>
      <c r="BT338" s="49">
        <f>IF(BT$4=EOMONTH(CloseDate,'Rent Roll'!$O$45-1),-'Rent Roll'!$U$45*'Rent Roll'!$F$45*'Rent Roll'!$X$45,0)</f>
        <v>0</v>
      </c>
      <c r="BU338" s="49">
        <f>IF(BU$4=EOMONTH(CloseDate,'Rent Roll'!$O$45-1),-'Rent Roll'!$U$45*'Rent Roll'!$F$45*'Rent Roll'!$X$45,0)</f>
        <v>0</v>
      </c>
      <c r="BV338" s="49">
        <f>IF(BV$4=EOMONTH(CloseDate,'Rent Roll'!$O$45-1),-'Rent Roll'!$U$45*'Rent Roll'!$F$45*'Rent Roll'!$X$45,0)</f>
        <v>0</v>
      </c>
      <c r="BW338" s="49">
        <f>IF(BW$4=EOMONTH(CloseDate,'Rent Roll'!$O$45-1),-'Rent Roll'!$U$45*'Rent Roll'!$F$45*'Rent Roll'!$X$45,0)</f>
        <v>0</v>
      </c>
      <c r="BX338" s="49">
        <f>IF(BX$4=EOMONTH(CloseDate,'Rent Roll'!$O$45-1),-'Rent Roll'!$U$45*'Rent Roll'!$F$45*'Rent Roll'!$X$45,0)</f>
        <v>0</v>
      </c>
    </row>
    <row r="339" spans="1:76" hidden="1" outlineLevel="1">
      <c r="A339" s="47" t="str">
        <f>'Rent Roll'!C46</f>
        <v>Suite 820</v>
      </c>
      <c r="B339" s="57">
        <f>INDEX('Rent Roll'!$F$5:$F$46,MATCH('Rent Roll Calc'!A339,'Rent Roll'!$C$5:$C$46,0))</f>
        <v>11500</v>
      </c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  <c r="AA339" s="49"/>
      <c r="AB339" s="49"/>
      <c r="AC339" s="49"/>
      <c r="AD339" s="49"/>
      <c r="AE339" s="49"/>
      <c r="AF339" s="49"/>
      <c r="AG339" s="49"/>
      <c r="AH339" s="49"/>
      <c r="AI339" s="49"/>
      <c r="AJ339" s="49"/>
      <c r="AK339" s="49"/>
      <c r="AL339" s="49"/>
      <c r="AM339" s="49"/>
      <c r="AN339" s="49"/>
      <c r="AO339" s="49"/>
      <c r="AP339" s="49"/>
      <c r="AQ339" s="49"/>
      <c r="AR339" s="49"/>
      <c r="AS339" s="49"/>
      <c r="AT339" s="49"/>
      <c r="AU339" s="49"/>
      <c r="AV339" s="49"/>
      <c r="AW339" s="49"/>
      <c r="AX339" s="49"/>
      <c r="AY339" s="49"/>
      <c r="AZ339" s="49"/>
      <c r="BA339" s="49"/>
      <c r="BB339" s="49"/>
      <c r="BC339" s="49"/>
      <c r="BD339" s="49"/>
      <c r="BE339" s="49"/>
      <c r="BF339" s="49"/>
      <c r="BG339" s="49"/>
      <c r="BH339" s="49"/>
      <c r="BI339" s="49"/>
      <c r="BJ339" s="49"/>
      <c r="BK339" s="49"/>
      <c r="BL339" s="49"/>
      <c r="BM339" s="49"/>
      <c r="BN339" s="49"/>
      <c r="BO339" s="49"/>
      <c r="BP339" s="49"/>
      <c r="BQ339" s="49"/>
      <c r="BR339" s="49"/>
      <c r="BS339" s="49"/>
      <c r="BT339" s="49"/>
      <c r="BU339" s="49"/>
      <c r="BV339" s="49"/>
      <c r="BW339" s="49"/>
      <c r="BX339" s="49"/>
    </row>
    <row r="340" spans="1:76" hidden="1" outlineLevel="1">
      <c r="B340" t="s">
        <v>170</v>
      </c>
      <c r="D340" s="49">
        <f>IF(AND(D$3&gt;='Rent Roll'!$O$46-SpecBuildout,D$3&lt;'Rent Roll'!$O$46),1,0)</f>
        <v>0</v>
      </c>
      <c r="E340" s="49">
        <f>IF(AND(E$3&gt;='Rent Roll'!$O$46-SpecBuildout,E$3&lt;'Rent Roll'!$O$46),1,0)</f>
        <v>0</v>
      </c>
      <c r="F340" s="49">
        <f>IF(AND(F$3&gt;='Rent Roll'!$O$46-SpecBuildout,F$3&lt;'Rent Roll'!$O$46),1,0)</f>
        <v>0</v>
      </c>
      <c r="G340" s="49">
        <f>IF(AND(G$3&gt;='Rent Roll'!$O$46-SpecBuildout,G$3&lt;'Rent Roll'!$O$46),1,0)</f>
        <v>0</v>
      </c>
      <c r="H340" s="49">
        <f>IF(AND(H$3&gt;='Rent Roll'!$O$46-SpecBuildout,H$3&lt;'Rent Roll'!$O$46),1,0)</f>
        <v>0</v>
      </c>
      <c r="I340" s="49">
        <f>IF(AND(I$3&gt;='Rent Roll'!$O$46-SpecBuildout,I$3&lt;'Rent Roll'!$O$46),1,0)</f>
        <v>0</v>
      </c>
      <c r="J340" s="49">
        <f>IF(AND(J$3&gt;='Rent Roll'!$O$46-SpecBuildout,J$3&lt;'Rent Roll'!$O$46),1,0)</f>
        <v>0</v>
      </c>
      <c r="K340" s="49">
        <f>IF(AND(K$3&gt;='Rent Roll'!$O$46-SpecBuildout,K$3&lt;'Rent Roll'!$O$46),1,0)</f>
        <v>0</v>
      </c>
      <c r="L340" s="49">
        <f>IF(AND(L$3&gt;='Rent Roll'!$O$46-SpecBuildout,L$3&lt;'Rent Roll'!$O$46),1,0)</f>
        <v>0</v>
      </c>
      <c r="M340" s="49">
        <f>IF(AND(M$3&gt;='Rent Roll'!$O$46-SpecBuildout,M$3&lt;'Rent Roll'!$O$46),1,0)</f>
        <v>0</v>
      </c>
      <c r="N340" s="49">
        <f>IF(AND(N$3&gt;='Rent Roll'!$O$46-SpecBuildout,N$3&lt;'Rent Roll'!$O$46),1,0)</f>
        <v>1</v>
      </c>
      <c r="O340" s="49">
        <f>IF(AND(O$3&gt;='Rent Roll'!$O$46-SpecBuildout,O$3&lt;'Rent Roll'!$O$46),1,0)</f>
        <v>1</v>
      </c>
      <c r="P340" s="49">
        <f>IF(AND(P$3&gt;='Rent Roll'!$O$46-SpecBuildout,P$3&lt;'Rent Roll'!$O$46),1,0)</f>
        <v>1</v>
      </c>
      <c r="Q340" s="49">
        <f>IF(AND(Q$3&gt;='Rent Roll'!$O$46-SpecBuildout,Q$3&lt;'Rent Roll'!$O$46),1,0)</f>
        <v>1</v>
      </c>
      <c r="R340" s="49">
        <f>IF(AND(R$3&gt;='Rent Roll'!$O$46-SpecBuildout,R$3&lt;'Rent Roll'!$O$46),1,0)</f>
        <v>1</v>
      </c>
      <c r="S340" s="49">
        <f>IF(AND(S$3&gt;='Rent Roll'!$O$46-SpecBuildout,S$3&lt;'Rent Roll'!$O$46),1,0)</f>
        <v>1</v>
      </c>
      <c r="T340" s="49">
        <f>IF(AND(T$3&gt;='Rent Roll'!$O$46-SpecBuildout,T$3&lt;'Rent Roll'!$O$46),1,0)</f>
        <v>0</v>
      </c>
      <c r="U340" s="49">
        <f>IF(AND(U$3&gt;='Rent Roll'!$O$46-SpecBuildout,U$3&lt;'Rent Roll'!$O$46),1,0)</f>
        <v>0</v>
      </c>
      <c r="V340" s="49">
        <f>IF(AND(V$3&gt;='Rent Roll'!$O$46-SpecBuildout,V$3&lt;'Rent Roll'!$O$46),1,0)</f>
        <v>0</v>
      </c>
      <c r="W340" s="49">
        <f>IF(AND(W$3&gt;='Rent Roll'!$O$46-SpecBuildout,W$3&lt;'Rent Roll'!$O$46),1,0)</f>
        <v>0</v>
      </c>
      <c r="X340" s="49">
        <f>IF(AND(X$3&gt;='Rent Roll'!$O$46-SpecBuildout,X$3&lt;'Rent Roll'!$O$46),1,0)</f>
        <v>0</v>
      </c>
      <c r="Y340" s="49">
        <f>IF(AND(Y$3&gt;='Rent Roll'!$O$46-SpecBuildout,Y$3&lt;'Rent Roll'!$O$46),1,0)</f>
        <v>0</v>
      </c>
      <c r="Z340" s="49">
        <f>IF(AND(Z$3&gt;='Rent Roll'!$O$46-SpecBuildout,Z$3&lt;'Rent Roll'!$O$46),1,0)</f>
        <v>0</v>
      </c>
      <c r="AA340" s="49">
        <f>IF(AND(AA$3&gt;='Rent Roll'!$O$46-SpecBuildout,AA$3&lt;'Rent Roll'!$O$46),1,0)</f>
        <v>0</v>
      </c>
      <c r="AB340" s="49">
        <f>IF(AND(AB$3&gt;='Rent Roll'!$O$46-SpecBuildout,AB$3&lt;'Rent Roll'!$O$46),1,0)</f>
        <v>0</v>
      </c>
      <c r="AC340" s="49">
        <f>IF(AND(AC$3&gt;='Rent Roll'!$O$46-SpecBuildout,AC$3&lt;'Rent Roll'!$O$46),1,0)</f>
        <v>0</v>
      </c>
      <c r="AD340" s="49">
        <f>IF(AND(AD$3&gt;='Rent Roll'!$O$46-SpecBuildout,AD$3&lt;'Rent Roll'!$O$46),1,0)</f>
        <v>0</v>
      </c>
      <c r="AE340" s="49">
        <f>IF(AND(AE$3&gt;='Rent Roll'!$O$46-SpecBuildout,AE$3&lt;'Rent Roll'!$O$46),1,0)</f>
        <v>0</v>
      </c>
      <c r="AF340" s="49">
        <f>IF(AND(AF$3&gt;='Rent Roll'!$O$46-SpecBuildout,AF$3&lt;'Rent Roll'!$O$46),1,0)</f>
        <v>0</v>
      </c>
      <c r="AG340" s="49">
        <f>IF(AND(AG$3&gt;='Rent Roll'!$O$46-SpecBuildout,AG$3&lt;'Rent Roll'!$O$46),1,0)</f>
        <v>0</v>
      </c>
      <c r="AH340" s="49">
        <f>IF(AND(AH$3&gt;='Rent Roll'!$O$46-SpecBuildout,AH$3&lt;'Rent Roll'!$O$46),1,0)</f>
        <v>0</v>
      </c>
      <c r="AI340" s="49">
        <f>IF(AND(AI$3&gt;='Rent Roll'!$O$46-SpecBuildout,AI$3&lt;'Rent Roll'!$O$46),1,0)</f>
        <v>0</v>
      </c>
      <c r="AJ340" s="49">
        <f>IF(AND(AJ$3&gt;='Rent Roll'!$O$46-SpecBuildout,AJ$3&lt;'Rent Roll'!$O$46),1,0)</f>
        <v>0</v>
      </c>
      <c r="AK340" s="49">
        <f>IF(AND(AK$3&gt;='Rent Roll'!$O$46-SpecBuildout,AK$3&lt;'Rent Roll'!$O$46),1,0)</f>
        <v>0</v>
      </c>
      <c r="AL340" s="49">
        <f>IF(AND(AL$3&gt;='Rent Roll'!$O$46-SpecBuildout,AL$3&lt;'Rent Roll'!$O$46),1,0)</f>
        <v>0</v>
      </c>
      <c r="AM340" s="49">
        <f>IF(AND(AM$3&gt;='Rent Roll'!$O$46-SpecBuildout,AM$3&lt;'Rent Roll'!$O$46),1,0)</f>
        <v>0</v>
      </c>
      <c r="AN340" s="49">
        <f>IF(AND(AN$3&gt;='Rent Roll'!$O$46-SpecBuildout,AN$3&lt;'Rent Roll'!$O$46),1,0)</f>
        <v>0</v>
      </c>
      <c r="AO340" s="49">
        <f>IF(AND(AO$3&gt;='Rent Roll'!$O$46-SpecBuildout,AO$3&lt;'Rent Roll'!$O$46),1,0)</f>
        <v>0</v>
      </c>
      <c r="AP340" s="49">
        <f>IF(AND(AP$3&gt;='Rent Roll'!$O$46-SpecBuildout,AP$3&lt;'Rent Roll'!$O$46),1,0)</f>
        <v>0</v>
      </c>
      <c r="AQ340" s="49">
        <f>IF(AND(AQ$3&gt;='Rent Roll'!$O$46-SpecBuildout,AQ$3&lt;'Rent Roll'!$O$46),1,0)</f>
        <v>0</v>
      </c>
      <c r="AR340" s="49">
        <f>IF(AND(AR$3&gt;='Rent Roll'!$O$46-SpecBuildout,AR$3&lt;'Rent Roll'!$O$46),1,0)</f>
        <v>0</v>
      </c>
      <c r="AS340" s="49">
        <f>IF(AND(AS$3&gt;='Rent Roll'!$O$46-SpecBuildout,AS$3&lt;'Rent Roll'!$O$46),1,0)</f>
        <v>0</v>
      </c>
      <c r="AT340" s="49">
        <f>IF(AND(AT$3&gt;='Rent Roll'!$O$46-SpecBuildout,AT$3&lt;'Rent Roll'!$O$46),1,0)</f>
        <v>0</v>
      </c>
      <c r="AU340" s="49">
        <f>IF(AND(AU$3&gt;='Rent Roll'!$O$46-SpecBuildout,AU$3&lt;'Rent Roll'!$O$46),1,0)</f>
        <v>0</v>
      </c>
      <c r="AV340" s="49">
        <f>IF(AND(AV$3&gt;='Rent Roll'!$O$46-SpecBuildout,AV$3&lt;'Rent Roll'!$O$46),1,0)</f>
        <v>0</v>
      </c>
      <c r="AW340" s="49">
        <f>IF(AND(AW$3&gt;='Rent Roll'!$O$46-SpecBuildout,AW$3&lt;'Rent Roll'!$O$46),1,0)</f>
        <v>0</v>
      </c>
      <c r="AX340" s="49">
        <f>IF(AND(AX$3&gt;='Rent Roll'!$O$46-SpecBuildout,AX$3&lt;'Rent Roll'!$O$46),1,0)</f>
        <v>0</v>
      </c>
      <c r="AY340" s="49">
        <f>IF(AND(AY$3&gt;='Rent Roll'!$O$46-SpecBuildout,AY$3&lt;'Rent Roll'!$O$46),1,0)</f>
        <v>0</v>
      </c>
      <c r="AZ340" s="49">
        <f>IF(AND(AZ$3&gt;='Rent Roll'!$O$46-SpecBuildout,AZ$3&lt;'Rent Roll'!$O$46),1,0)</f>
        <v>0</v>
      </c>
      <c r="BA340" s="49">
        <f>IF(AND(BA$3&gt;='Rent Roll'!$O$46-SpecBuildout,BA$3&lt;'Rent Roll'!$O$46),1,0)</f>
        <v>0</v>
      </c>
      <c r="BB340" s="49">
        <f>IF(AND(BB$3&gt;='Rent Roll'!$O$46-SpecBuildout,BB$3&lt;'Rent Roll'!$O$46),1,0)</f>
        <v>0</v>
      </c>
      <c r="BC340" s="49">
        <f>IF(AND(BC$3&gt;='Rent Roll'!$O$46-SpecBuildout,BC$3&lt;'Rent Roll'!$O$46),1,0)</f>
        <v>0</v>
      </c>
      <c r="BD340" s="49">
        <f>IF(AND(BD$3&gt;='Rent Roll'!$O$46-SpecBuildout,BD$3&lt;'Rent Roll'!$O$46),1,0)</f>
        <v>0</v>
      </c>
      <c r="BE340" s="49">
        <f>IF(AND(BE$3&gt;='Rent Roll'!$O$46-SpecBuildout,BE$3&lt;'Rent Roll'!$O$46),1,0)</f>
        <v>0</v>
      </c>
      <c r="BF340" s="49">
        <f>IF(AND(BF$3&gt;='Rent Roll'!$O$46-SpecBuildout,BF$3&lt;'Rent Roll'!$O$46),1,0)</f>
        <v>0</v>
      </c>
      <c r="BG340" s="49">
        <f>IF(AND(BG$3&gt;='Rent Roll'!$O$46-SpecBuildout,BG$3&lt;'Rent Roll'!$O$46),1,0)</f>
        <v>0</v>
      </c>
      <c r="BH340" s="49">
        <f>IF(AND(BH$3&gt;='Rent Roll'!$O$46-SpecBuildout,BH$3&lt;'Rent Roll'!$O$46),1,0)</f>
        <v>0</v>
      </c>
      <c r="BI340" s="49">
        <f>IF(AND(BI$3&gt;='Rent Roll'!$O$46-SpecBuildout,BI$3&lt;'Rent Roll'!$O$46),1,0)</f>
        <v>0</v>
      </c>
      <c r="BJ340" s="49">
        <f>IF(AND(BJ$3&gt;='Rent Roll'!$O$46-SpecBuildout,BJ$3&lt;'Rent Roll'!$O$46),1,0)</f>
        <v>0</v>
      </c>
      <c r="BK340" s="49">
        <f>IF(AND(BK$3&gt;='Rent Roll'!$O$46-SpecBuildout,BK$3&lt;'Rent Roll'!$O$46),1,0)</f>
        <v>0</v>
      </c>
      <c r="BL340" s="49">
        <f>IF(AND(BL$3&gt;='Rent Roll'!$O$46-SpecBuildout,BL$3&lt;'Rent Roll'!$O$46),1,0)</f>
        <v>0</v>
      </c>
      <c r="BM340" s="49">
        <f>IF(AND(BM$3&gt;='Rent Roll'!$O$46-SpecBuildout,BM$3&lt;'Rent Roll'!$O$46),1,0)</f>
        <v>0</v>
      </c>
      <c r="BN340" s="49">
        <f>IF(AND(BN$3&gt;='Rent Roll'!$O$46-SpecBuildout,BN$3&lt;'Rent Roll'!$O$46),1,0)</f>
        <v>0</v>
      </c>
      <c r="BO340" s="49">
        <f>IF(AND(BO$3&gt;='Rent Roll'!$O$46-SpecBuildout,BO$3&lt;'Rent Roll'!$O$46),1,0)</f>
        <v>0</v>
      </c>
      <c r="BP340" s="49">
        <f>IF(AND(BP$3&gt;='Rent Roll'!$O$46-SpecBuildout,BP$3&lt;'Rent Roll'!$O$46),1,0)</f>
        <v>0</v>
      </c>
      <c r="BQ340" s="49">
        <f>IF(AND(BQ$3&gt;='Rent Roll'!$O$46-SpecBuildout,BQ$3&lt;'Rent Roll'!$O$46),1,0)</f>
        <v>0</v>
      </c>
      <c r="BR340" s="49">
        <f>IF(AND(BR$3&gt;='Rent Roll'!$O$46-SpecBuildout,BR$3&lt;'Rent Roll'!$O$46),1,0)</f>
        <v>0</v>
      </c>
      <c r="BS340" s="49">
        <f>IF(AND(BS$3&gt;='Rent Roll'!$O$46-SpecBuildout,BS$3&lt;'Rent Roll'!$O$46),1,0)</f>
        <v>0</v>
      </c>
      <c r="BT340" s="49">
        <f>IF(AND(BT$3&gt;='Rent Roll'!$O$46-SpecBuildout,BT$3&lt;'Rent Roll'!$O$46),1,0)</f>
        <v>0</v>
      </c>
      <c r="BU340" s="49">
        <f>IF(AND(BU$3&gt;='Rent Roll'!$O$46-SpecBuildout,BU$3&lt;'Rent Roll'!$O$46),1,0)</f>
        <v>0</v>
      </c>
      <c r="BV340" s="49">
        <f>IF(AND(BV$3&gt;='Rent Roll'!$O$46-SpecBuildout,BV$3&lt;'Rent Roll'!$O$46),1,0)</f>
        <v>0</v>
      </c>
      <c r="BW340" s="49">
        <f>IF(AND(BW$3&gt;='Rent Roll'!$O$46-SpecBuildout,BW$3&lt;'Rent Roll'!$O$46),1,0)</f>
        <v>0</v>
      </c>
      <c r="BX340" s="49">
        <f>IF(AND(BX$3&gt;='Rent Roll'!$O$46-SpecBuildout,BX$3&lt;'Rent Roll'!$O$46),1,0)</f>
        <v>0</v>
      </c>
    </row>
    <row r="341" spans="1:76" hidden="1" outlineLevel="1">
      <c r="B341" t="s">
        <v>159</v>
      </c>
      <c r="D341" s="49">
        <f>0</f>
        <v>0</v>
      </c>
      <c r="E341" s="49">
        <f>0</f>
        <v>0</v>
      </c>
      <c r="F341" s="49">
        <f>0</f>
        <v>0</v>
      </c>
      <c r="G341" s="49">
        <f>0</f>
        <v>0</v>
      </c>
      <c r="H341" s="49">
        <f>0</f>
        <v>0</v>
      </c>
      <c r="I341" s="49">
        <f>0</f>
        <v>0</v>
      </c>
      <c r="J341" s="49">
        <f>0</f>
        <v>0</v>
      </c>
      <c r="K341" s="49">
        <f>0</f>
        <v>0</v>
      </c>
      <c r="L341" s="49">
        <f>0</f>
        <v>0</v>
      </c>
      <c r="M341" s="49">
        <f>0</f>
        <v>0</v>
      </c>
      <c r="N341" s="49">
        <f>0</f>
        <v>0</v>
      </c>
      <c r="O341" s="49">
        <f>0</f>
        <v>0</v>
      </c>
      <c r="P341" s="49">
        <f>0</f>
        <v>0</v>
      </c>
      <c r="Q341" s="49">
        <f>0</f>
        <v>0</v>
      </c>
      <c r="R341" s="49">
        <f>0</f>
        <v>0</v>
      </c>
      <c r="S341" s="49">
        <f>0</f>
        <v>0</v>
      </c>
      <c r="T341" s="49">
        <f>0</f>
        <v>0</v>
      </c>
      <c r="U341" s="49">
        <f>0</f>
        <v>0</v>
      </c>
      <c r="V341" s="49">
        <f>0</f>
        <v>0</v>
      </c>
      <c r="W341" s="49">
        <f>0</f>
        <v>0</v>
      </c>
      <c r="X341" s="49">
        <f>0</f>
        <v>0</v>
      </c>
      <c r="Y341" s="49">
        <f>0</f>
        <v>0</v>
      </c>
      <c r="Z341" s="49">
        <f>0</f>
        <v>0</v>
      </c>
      <c r="AA341" s="49">
        <f>0</f>
        <v>0</v>
      </c>
      <c r="AB341" s="49">
        <f>0</f>
        <v>0</v>
      </c>
      <c r="AC341" s="49">
        <f>0</f>
        <v>0</v>
      </c>
      <c r="AD341" s="49">
        <f>0</f>
        <v>0</v>
      </c>
      <c r="AE341" s="49">
        <f>0</f>
        <v>0</v>
      </c>
      <c r="AF341" s="49">
        <f>0</f>
        <v>0</v>
      </c>
      <c r="AG341" s="49">
        <f>0</f>
        <v>0</v>
      </c>
      <c r="AH341" s="49">
        <f>0</f>
        <v>0</v>
      </c>
      <c r="AI341" s="49">
        <f>0</f>
        <v>0</v>
      </c>
      <c r="AJ341" s="49">
        <f>0</f>
        <v>0</v>
      </c>
      <c r="AK341" s="49">
        <f>0</f>
        <v>0</v>
      </c>
      <c r="AL341" s="49">
        <f>0</f>
        <v>0</v>
      </c>
      <c r="AM341" s="49">
        <f>0</f>
        <v>0</v>
      </c>
      <c r="AN341" s="49">
        <f>0</f>
        <v>0</v>
      </c>
      <c r="AO341" s="49">
        <f>0</f>
        <v>0</v>
      </c>
      <c r="AP341" s="49">
        <f>0</f>
        <v>0</v>
      </c>
      <c r="AQ341" s="49">
        <f>0</f>
        <v>0</v>
      </c>
      <c r="AR341" s="49">
        <f>0</f>
        <v>0</v>
      </c>
      <c r="AS341" s="49">
        <f>0</f>
        <v>0</v>
      </c>
      <c r="AT341" s="49">
        <f>0</f>
        <v>0</v>
      </c>
      <c r="AU341" s="49">
        <f>0</f>
        <v>0</v>
      </c>
      <c r="AV341" s="49">
        <f>0</f>
        <v>0</v>
      </c>
      <c r="AW341" s="49">
        <f>0</f>
        <v>0</v>
      </c>
      <c r="AX341" s="49">
        <f>0</f>
        <v>0</v>
      </c>
      <c r="AY341" s="49">
        <f>0</f>
        <v>0</v>
      </c>
      <c r="AZ341" s="49">
        <f>0</f>
        <v>0</v>
      </c>
      <c r="BA341" s="49">
        <f>0</f>
        <v>0</v>
      </c>
      <c r="BB341" s="49">
        <f>0</f>
        <v>0</v>
      </c>
      <c r="BC341" s="49">
        <f>0</f>
        <v>0</v>
      </c>
      <c r="BD341" s="49">
        <f>0</f>
        <v>0</v>
      </c>
      <c r="BE341" s="49">
        <f>0</f>
        <v>0</v>
      </c>
      <c r="BF341" s="49">
        <f>0</f>
        <v>0</v>
      </c>
      <c r="BG341" s="49">
        <f>0</f>
        <v>0</v>
      </c>
      <c r="BH341" s="49">
        <f>0</f>
        <v>0</v>
      </c>
      <c r="BI341" s="49">
        <f>0</f>
        <v>0</v>
      </c>
      <c r="BJ341" s="49">
        <f>0</f>
        <v>0</v>
      </c>
      <c r="BK341" s="49">
        <f>0</f>
        <v>0</v>
      </c>
      <c r="BL341" s="49">
        <f>0</f>
        <v>0</v>
      </c>
      <c r="BM341" s="49">
        <f>0</f>
        <v>0</v>
      </c>
      <c r="BN341" s="49">
        <f>0</f>
        <v>0</v>
      </c>
      <c r="BO341" s="49">
        <f>0</f>
        <v>0</v>
      </c>
      <c r="BP341" s="49">
        <f>0</f>
        <v>0</v>
      </c>
      <c r="BQ341" s="49">
        <f>0</f>
        <v>0</v>
      </c>
      <c r="BR341" s="49">
        <f>0</f>
        <v>0</v>
      </c>
      <c r="BS341" s="49">
        <f>0</f>
        <v>0</v>
      </c>
      <c r="BT341" s="49">
        <f>0</f>
        <v>0</v>
      </c>
      <c r="BU341" s="49">
        <f>0</f>
        <v>0</v>
      </c>
      <c r="BV341" s="49">
        <f>0</f>
        <v>0</v>
      </c>
      <c r="BW341" s="49">
        <f>0</f>
        <v>0</v>
      </c>
      <c r="BX341" s="49">
        <f>0</f>
        <v>0</v>
      </c>
    </row>
    <row r="342" spans="1:76" hidden="1" outlineLevel="1">
      <c r="B342" t="s">
        <v>160</v>
      </c>
      <c r="D342" s="49">
        <f>IF(D$4&gt;=EOMONTH(CloseDate,'Rent Roll'!$O$46-1),1,0)</f>
        <v>0</v>
      </c>
      <c r="E342" s="49">
        <f>IF(E$4&gt;=EOMONTH(CloseDate,'Rent Roll'!$O$46-1),1,0)</f>
        <v>0</v>
      </c>
      <c r="F342" s="49">
        <f>IF(F$4&gt;=EOMONTH(CloseDate,'Rent Roll'!$O$46-1),1,0)</f>
        <v>0</v>
      </c>
      <c r="G342" s="49">
        <f>IF(G$4&gt;=EOMONTH(CloseDate,'Rent Roll'!$O$46-1),1,0)</f>
        <v>0</v>
      </c>
      <c r="H342" s="49">
        <f>IF(H$4&gt;=EOMONTH(CloseDate,'Rent Roll'!$O$46-1),1,0)</f>
        <v>0</v>
      </c>
      <c r="I342" s="49">
        <f>IF(I$4&gt;=EOMONTH(CloseDate,'Rent Roll'!$O$46-1),1,0)</f>
        <v>0</v>
      </c>
      <c r="J342" s="49">
        <f>IF(J$4&gt;=EOMONTH(CloseDate,'Rent Roll'!$O$46-1),1,0)</f>
        <v>0</v>
      </c>
      <c r="K342" s="49">
        <f>IF(K$4&gt;=EOMONTH(CloseDate,'Rent Roll'!$O$46-1),1,0)</f>
        <v>0</v>
      </c>
      <c r="L342" s="49">
        <f>IF(L$4&gt;=EOMONTH(CloseDate,'Rent Roll'!$O$46-1),1,0)</f>
        <v>0</v>
      </c>
      <c r="M342" s="49">
        <f>IF(M$4&gt;=EOMONTH(CloseDate,'Rent Roll'!$O$46-1),1,0)</f>
        <v>0</v>
      </c>
      <c r="N342" s="49">
        <f>IF(N$4&gt;=EOMONTH(CloseDate,'Rent Roll'!$O$46-1),1,0)</f>
        <v>0</v>
      </c>
      <c r="O342" s="49">
        <f>IF(O$4&gt;=EOMONTH(CloseDate,'Rent Roll'!$O$46-1),1,0)</f>
        <v>0</v>
      </c>
      <c r="P342" s="49">
        <f>IF(P$4&gt;=EOMONTH(CloseDate,'Rent Roll'!$O$46-1),1,0)</f>
        <v>0</v>
      </c>
      <c r="Q342" s="49">
        <f>IF(Q$4&gt;=EOMONTH(CloseDate,'Rent Roll'!$O$46-1),1,0)</f>
        <v>0</v>
      </c>
      <c r="R342" s="49">
        <f>IF(R$4&gt;=EOMONTH(CloseDate,'Rent Roll'!$O$46-1),1,0)</f>
        <v>0</v>
      </c>
      <c r="S342" s="49">
        <f>IF(S$4&gt;=EOMONTH(CloseDate,'Rent Roll'!$O$46-1),1,0)</f>
        <v>1</v>
      </c>
      <c r="T342" s="49">
        <f>IF(T$4&gt;=EOMONTH(CloseDate,'Rent Roll'!$O$46-1),1,0)</f>
        <v>1</v>
      </c>
      <c r="U342" s="49">
        <f>IF(U$4&gt;=EOMONTH(CloseDate,'Rent Roll'!$O$46-1),1,0)</f>
        <v>1</v>
      </c>
      <c r="V342" s="49">
        <f>IF(V$4&gt;=EOMONTH(CloseDate,'Rent Roll'!$O$46-1),1,0)</f>
        <v>1</v>
      </c>
      <c r="W342" s="49">
        <f>IF(W$4&gt;=EOMONTH(CloseDate,'Rent Roll'!$O$46-1),1,0)</f>
        <v>1</v>
      </c>
      <c r="X342" s="49">
        <f>IF(X$4&gt;=EOMONTH(CloseDate,'Rent Roll'!$O$46-1),1,0)</f>
        <v>1</v>
      </c>
      <c r="Y342" s="49">
        <f>IF(Y$4&gt;=EOMONTH(CloseDate,'Rent Roll'!$O$46-1),1,0)</f>
        <v>1</v>
      </c>
      <c r="Z342" s="49">
        <f>IF(Z$4&gt;=EOMONTH(CloseDate,'Rent Roll'!$O$46-1),1,0)</f>
        <v>1</v>
      </c>
      <c r="AA342" s="49">
        <f>IF(AA$4&gt;=EOMONTH(CloseDate,'Rent Roll'!$O$46-1),1,0)</f>
        <v>1</v>
      </c>
      <c r="AB342" s="49">
        <f>IF(AB$4&gt;=EOMONTH(CloseDate,'Rent Roll'!$O$46-1),1,0)</f>
        <v>1</v>
      </c>
      <c r="AC342" s="49">
        <f>IF(AC$4&gt;=EOMONTH(CloseDate,'Rent Roll'!$O$46-1),1,0)</f>
        <v>1</v>
      </c>
      <c r="AD342" s="49">
        <f>IF(AD$4&gt;=EOMONTH(CloseDate,'Rent Roll'!$O$46-1),1,0)</f>
        <v>1</v>
      </c>
      <c r="AE342" s="49">
        <f>IF(AE$4&gt;=EOMONTH(CloseDate,'Rent Roll'!$O$46-1),1,0)</f>
        <v>1</v>
      </c>
      <c r="AF342" s="49">
        <f>IF(AF$4&gt;=EOMONTH(CloseDate,'Rent Roll'!$O$46-1),1,0)</f>
        <v>1</v>
      </c>
      <c r="AG342" s="49">
        <f>IF(AG$4&gt;=EOMONTH(CloseDate,'Rent Roll'!$O$46-1),1,0)</f>
        <v>1</v>
      </c>
      <c r="AH342" s="49">
        <f>IF(AH$4&gt;=EOMONTH(CloseDate,'Rent Roll'!$O$46-1),1,0)</f>
        <v>1</v>
      </c>
      <c r="AI342" s="49">
        <f>IF(AI$4&gt;=EOMONTH(CloseDate,'Rent Roll'!$O$46-1),1,0)</f>
        <v>1</v>
      </c>
      <c r="AJ342" s="49">
        <f>IF(AJ$4&gt;=EOMONTH(CloseDate,'Rent Roll'!$O$46-1),1,0)</f>
        <v>1</v>
      </c>
      <c r="AK342" s="49">
        <f>IF(AK$4&gt;=EOMONTH(CloseDate,'Rent Roll'!$O$46-1),1,0)</f>
        <v>1</v>
      </c>
      <c r="AL342" s="49">
        <f>IF(AL$4&gt;=EOMONTH(CloseDate,'Rent Roll'!$O$46-1),1,0)</f>
        <v>1</v>
      </c>
      <c r="AM342" s="49">
        <f>IF(AM$4&gt;=EOMONTH(CloseDate,'Rent Roll'!$O$46-1),1,0)</f>
        <v>1</v>
      </c>
      <c r="AN342" s="49">
        <f>IF(AN$4&gt;=EOMONTH(CloseDate,'Rent Roll'!$O$46-1),1,0)</f>
        <v>1</v>
      </c>
      <c r="AO342" s="49">
        <f>IF(AO$4&gt;=EOMONTH(CloseDate,'Rent Roll'!$O$46-1),1,0)</f>
        <v>1</v>
      </c>
      <c r="AP342" s="49">
        <f>IF(AP$4&gt;=EOMONTH(CloseDate,'Rent Roll'!$O$46-1),1,0)</f>
        <v>1</v>
      </c>
      <c r="AQ342" s="49">
        <f>IF(AQ$4&gt;=EOMONTH(CloseDate,'Rent Roll'!$O$46-1),1,0)</f>
        <v>1</v>
      </c>
      <c r="AR342" s="49">
        <f>IF(AR$4&gt;=EOMONTH(CloseDate,'Rent Roll'!$O$46-1),1,0)</f>
        <v>1</v>
      </c>
      <c r="AS342" s="49">
        <f>IF(AS$4&gt;=EOMONTH(CloseDate,'Rent Roll'!$O$46-1),1,0)</f>
        <v>1</v>
      </c>
      <c r="AT342" s="49">
        <f>IF(AT$4&gt;=EOMONTH(CloseDate,'Rent Roll'!$O$46-1),1,0)</f>
        <v>1</v>
      </c>
      <c r="AU342" s="49">
        <f>IF(AU$4&gt;=EOMONTH(CloseDate,'Rent Roll'!$O$46-1),1,0)</f>
        <v>1</v>
      </c>
      <c r="AV342" s="49">
        <f>IF(AV$4&gt;=EOMONTH(CloseDate,'Rent Roll'!$O$46-1),1,0)</f>
        <v>1</v>
      </c>
      <c r="AW342" s="49">
        <f>IF(AW$4&gt;=EOMONTH(CloseDate,'Rent Roll'!$O$46-1),1,0)</f>
        <v>1</v>
      </c>
      <c r="AX342" s="49">
        <f>IF(AX$4&gt;=EOMONTH(CloseDate,'Rent Roll'!$O$46-1),1,0)</f>
        <v>1</v>
      </c>
      <c r="AY342" s="49">
        <f>IF(AY$4&gt;=EOMONTH(CloseDate,'Rent Roll'!$O$46-1),1,0)</f>
        <v>1</v>
      </c>
      <c r="AZ342" s="49">
        <f>IF(AZ$4&gt;=EOMONTH(CloseDate,'Rent Roll'!$O$46-1),1,0)</f>
        <v>1</v>
      </c>
      <c r="BA342" s="49">
        <f>IF(BA$4&gt;=EOMONTH(CloseDate,'Rent Roll'!$O$46-1),1,0)</f>
        <v>1</v>
      </c>
      <c r="BB342" s="49">
        <f>IF(BB$4&gt;=EOMONTH(CloseDate,'Rent Roll'!$O$46-1),1,0)</f>
        <v>1</v>
      </c>
      <c r="BC342" s="49">
        <f>IF(BC$4&gt;=EOMONTH(CloseDate,'Rent Roll'!$O$46-1),1,0)</f>
        <v>1</v>
      </c>
      <c r="BD342" s="49">
        <f>IF(BD$4&gt;=EOMONTH(CloseDate,'Rent Roll'!$O$46-1),1,0)</f>
        <v>1</v>
      </c>
      <c r="BE342" s="49">
        <f>IF(BE$4&gt;=EOMONTH(CloseDate,'Rent Roll'!$O$46-1),1,0)</f>
        <v>1</v>
      </c>
      <c r="BF342" s="49">
        <f>IF(BF$4&gt;=EOMONTH(CloseDate,'Rent Roll'!$O$46-1),1,0)</f>
        <v>1</v>
      </c>
      <c r="BG342" s="49">
        <f>IF(BG$4&gt;=EOMONTH(CloseDate,'Rent Roll'!$O$46-1),1,0)</f>
        <v>1</v>
      </c>
      <c r="BH342" s="49">
        <f>IF(BH$4&gt;=EOMONTH(CloseDate,'Rent Roll'!$O$46-1),1,0)</f>
        <v>1</v>
      </c>
      <c r="BI342" s="49">
        <f>IF(BI$4&gt;=EOMONTH(CloseDate,'Rent Roll'!$O$46-1),1,0)</f>
        <v>1</v>
      </c>
      <c r="BJ342" s="49">
        <f>IF(BJ$4&gt;=EOMONTH(CloseDate,'Rent Roll'!$O$46-1),1,0)</f>
        <v>1</v>
      </c>
      <c r="BK342" s="49">
        <f>IF(BK$4&gt;=EOMONTH(CloseDate,'Rent Roll'!$O$46-1),1,0)</f>
        <v>1</v>
      </c>
      <c r="BL342" s="49">
        <f>IF(BL$4&gt;=EOMONTH(CloseDate,'Rent Roll'!$O$46-1),1,0)</f>
        <v>1</v>
      </c>
      <c r="BM342" s="49">
        <f>IF(BM$4&gt;=EOMONTH(CloseDate,'Rent Roll'!$O$46-1),1,0)</f>
        <v>1</v>
      </c>
      <c r="BN342" s="49">
        <f>IF(BN$4&gt;=EOMONTH(CloseDate,'Rent Roll'!$O$46-1),1,0)</f>
        <v>1</v>
      </c>
      <c r="BO342" s="49">
        <f>IF(BO$4&gt;=EOMONTH(CloseDate,'Rent Roll'!$O$46-1),1,0)</f>
        <v>1</v>
      </c>
      <c r="BP342" s="49">
        <f>IF(BP$4&gt;=EOMONTH(CloseDate,'Rent Roll'!$O$46-1),1,0)</f>
        <v>1</v>
      </c>
      <c r="BQ342" s="49">
        <f>IF(BQ$4&gt;=EOMONTH(CloseDate,'Rent Roll'!$O$46-1),1,0)</f>
        <v>1</v>
      </c>
      <c r="BR342" s="49">
        <f>IF(BR$4&gt;=EOMONTH(CloseDate,'Rent Roll'!$O$46-1),1,0)</f>
        <v>1</v>
      </c>
      <c r="BS342" s="49">
        <f>IF(BS$4&gt;=EOMONTH(CloseDate,'Rent Roll'!$O$46-1),1,0)</f>
        <v>1</v>
      </c>
      <c r="BT342" s="49">
        <f>IF(BT$4&gt;=EOMONTH(CloseDate,'Rent Roll'!$O$46-1),1,0)</f>
        <v>1</v>
      </c>
      <c r="BU342" s="49">
        <f>IF(BU$4&gt;=EOMONTH(CloseDate,'Rent Roll'!$O$46-1),1,0)</f>
        <v>1</v>
      </c>
      <c r="BV342" s="49">
        <f>IF(BV$4&gt;=EOMONTH(CloseDate,'Rent Roll'!$O$46-1),1,0)</f>
        <v>1</v>
      </c>
      <c r="BW342" s="49">
        <f>IF(BW$4&gt;=EOMONTH(CloseDate,'Rent Roll'!$O$46-1),1,0)</f>
        <v>1</v>
      </c>
      <c r="BX342" s="49">
        <f>IF(BX$4&gt;=EOMONTH(CloseDate,'Rent Roll'!$O$46-1),1,0)</f>
        <v>1</v>
      </c>
    </row>
    <row r="343" spans="1:76" collapsed="1">
      <c r="B343" t="s">
        <v>162</v>
      </c>
      <c r="D343" s="49">
        <f>IF(D342=1,'Rent Roll'!$F$46*'Rent Roll'!$X$46/12*D$6,0)</f>
        <v>0</v>
      </c>
      <c r="E343" s="49">
        <f>IF(E342=1,'Rent Roll'!$F$46*'Rent Roll'!$X$46/12*E$6,0)</f>
        <v>0</v>
      </c>
      <c r="F343" s="49">
        <f>IF(F342=1,'Rent Roll'!$F$46*'Rent Roll'!$X$46/12*F$6,0)</f>
        <v>0</v>
      </c>
      <c r="G343" s="49">
        <f>IF(G342=1,'Rent Roll'!$F$46*'Rent Roll'!$X$46/12*G$6,0)</f>
        <v>0</v>
      </c>
      <c r="H343" s="49">
        <f>IF(H342=1,'Rent Roll'!$F$46*'Rent Roll'!$X$46/12*H$6,0)</f>
        <v>0</v>
      </c>
      <c r="I343" s="49">
        <f>IF(I342=1,'Rent Roll'!$F$46*'Rent Roll'!$X$46/12*I$6,0)</f>
        <v>0</v>
      </c>
      <c r="J343" s="49">
        <f>IF(J342=1,'Rent Roll'!$F$46*'Rent Roll'!$X$46/12*J$6,0)</f>
        <v>0</v>
      </c>
      <c r="K343" s="49">
        <f>IF(K342=1,'Rent Roll'!$F$46*'Rent Roll'!$X$46/12*K$6,0)</f>
        <v>0</v>
      </c>
      <c r="L343" s="49">
        <f>IF(L342=1,'Rent Roll'!$F$46*'Rent Roll'!$X$46/12*L$6,0)</f>
        <v>0</v>
      </c>
      <c r="M343" s="49">
        <f>IF(M342=1,'Rent Roll'!$F$46*'Rent Roll'!$X$46/12*M$6,0)</f>
        <v>0</v>
      </c>
      <c r="N343" s="49">
        <f>IF(N342=1,'Rent Roll'!$F$46*'Rent Roll'!$X$46/12*N$6,0)</f>
        <v>0</v>
      </c>
      <c r="O343" s="49">
        <f>IF(O342=1,'Rent Roll'!$F$46*'Rent Roll'!$X$46/12*O$6,0)</f>
        <v>0</v>
      </c>
      <c r="P343" s="49">
        <f>IF(P342=1,'Rent Roll'!$F$46*'Rent Roll'!$X$46/12*P$6,0)</f>
        <v>0</v>
      </c>
      <c r="Q343" s="49">
        <f>IF(Q342=1,'Rent Roll'!$F$46*'Rent Roll'!$X$46/12*Q$6,0)</f>
        <v>0</v>
      </c>
      <c r="R343" s="49">
        <f>IF(R342=1,'Rent Roll'!$F$46*'Rent Roll'!$X$46/12*R$6,0)</f>
        <v>0</v>
      </c>
      <c r="S343" s="49">
        <f>IF(S342=1,'Rent Roll'!$F$46*'Rent Roll'!$X$46/12*S$6,0)</f>
        <v>25589.416666666664</v>
      </c>
      <c r="T343" s="49">
        <f>IF(T342=1,'Rent Roll'!$F$46*'Rent Roll'!$X$46/12*T$6,0)</f>
        <v>25589.416666666664</v>
      </c>
      <c r="U343" s="49">
        <f>IF(U342=1,'Rent Roll'!$F$46*'Rent Roll'!$X$46/12*U$6,0)</f>
        <v>26280.330916666662</v>
      </c>
      <c r="V343" s="49">
        <f>IF(V342=1,'Rent Roll'!$F$46*'Rent Roll'!$X$46/12*V$6,0)</f>
        <v>26280.330916666662</v>
      </c>
      <c r="W343" s="49">
        <f>IF(W342=1,'Rent Roll'!$F$46*'Rent Roll'!$X$46/12*W$6,0)</f>
        <v>26280.330916666662</v>
      </c>
      <c r="X343" s="49">
        <f>IF(X342=1,'Rent Roll'!$F$46*'Rent Roll'!$X$46/12*X$6,0)</f>
        <v>26280.330916666662</v>
      </c>
      <c r="Y343" s="49">
        <f>IF(Y342=1,'Rent Roll'!$F$46*'Rent Roll'!$X$46/12*Y$6,0)</f>
        <v>26280.330916666662</v>
      </c>
      <c r="Z343" s="49">
        <f>IF(Z342=1,'Rent Roll'!$F$46*'Rent Roll'!$X$46/12*Z$6,0)</f>
        <v>26280.330916666662</v>
      </c>
      <c r="AA343" s="49">
        <f>IF(AA342=1,'Rent Roll'!$F$46*'Rent Roll'!$X$46/12*AA$6,0)</f>
        <v>26280.330916666662</v>
      </c>
      <c r="AB343" s="49">
        <f>IF(AB342=1,'Rent Roll'!$F$46*'Rent Roll'!$X$46/12*AB$6,0)</f>
        <v>26280.330916666662</v>
      </c>
      <c r="AC343" s="49">
        <f>IF(AC342=1,'Rent Roll'!$F$46*'Rent Roll'!$X$46/12*AC$6,0)</f>
        <v>26280.330916666662</v>
      </c>
      <c r="AD343" s="49">
        <f>IF(AD342=1,'Rent Roll'!$F$46*'Rent Roll'!$X$46/12*AD$6,0)</f>
        <v>26280.330916666662</v>
      </c>
      <c r="AE343" s="49">
        <f>IF(AE342=1,'Rent Roll'!$F$46*'Rent Roll'!$X$46/12*AE$6,0)</f>
        <v>26280.330916666662</v>
      </c>
      <c r="AF343" s="49">
        <f>IF(AF342=1,'Rent Roll'!$F$46*'Rent Roll'!$X$46/12*AF$6,0)</f>
        <v>26280.330916666662</v>
      </c>
      <c r="AG343" s="49">
        <f>IF(AG342=1,'Rent Roll'!$F$46*'Rent Roll'!$X$46/12*AG$6,0)</f>
        <v>26989.899851416663</v>
      </c>
      <c r="AH343" s="49">
        <f>IF(AH342=1,'Rent Roll'!$F$46*'Rent Roll'!$X$46/12*AH$6,0)</f>
        <v>26989.899851416663</v>
      </c>
      <c r="AI343" s="49">
        <f>IF(AI342=1,'Rent Roll'!$F$46*'Rent Roll'!$X$46/12*AI$6,0)</f>
        <v>26989.899851416663</v>
      </c>
      <c r="AJ343" s="49">
        <f>IF(AJ342=1,'Rent Roll'!$F$46*'Rent Roll'!$X$46/12*AJ$6,0)</f>
        <v>26989.899851416663</v>
      </c>
      <c r="AK343" s="49">
        <f>IF(AK342=1,'Rent Roll'!$F$46*'Rent Roll'!$X$46/12*AK$6,0)</f>
        <v>26989.899851416663</v>
      </c>
      <c r="AL343" s="49">
        <f>IF(AL342=1,'Rent Roll'!$F$46*'Rent Roll'!$X$46/12*AL$6,0)</f>
        <v>26989.899851416663</v>
      </c>
      <c r="AM343" s="49">
        <f>IF(AM342=1,'Rent Roll'!$F$46*'Rent Roll'!$X$46/12*AM$6,0)</f>
        <v>26989.899851416663</v>
      </c>
      <c r="AN343" s="49">
        <f>IF(AN342=1,'Rent Roll'!$F$46*'Rent Roll'!$X$46/12*AN$6,0)</f>
        <v>26989.899851416663</v>
      </c>
      <c r="AO343" s="49">
        <f>IF(AO342=1,'Rent Roll'!$F$46*'Rent Roll'!$X$46/12*AO$6,0)</f>
        <v>26989.899851416663</v>
      </c>
      <c r="AP343" s="49">
        <f>IF(AP342=1,'Rent Roll'!$F$46*'Rent Roll'!$X$46/12*AP$6,0)</f>
        <v>26989.899851416663</v>
      </c>
      <c r="AQ343" s="49">
        <f>IF(AQ342=1,'Rent Roll'!$F$46*'Rent Roll'!$X$46/12*AQ$6,0)</f>
        <v>26989.899851416663</v>
      </c>
      <c r="AR343" s="49">
        <f>IF(AR342=1,'Rent Roll'!$F$46*'Rent Roll'!$X$46/12*AR$6,0)</f>
        <v>26989.899851416663</v>
      </c>
      <c r="AS343" s="49">
        <f>IF(AS342=1,'Rent Roll'!$F$46*'Rent Roll'!$X$46/12*AS$6,0)</f>
        <v>27718.627147404906</v>
      </c>
      <c r="AT343" s="49">
        <f>IF(AT342=1,'Rent Roll'!$F$46*'Rent Roll'!$X$46/12*AT$6,0)</f>
        <v>27718.627147404906</v>
      </c>
      <c r="AU343" s="49">
        <f>IF(AU342=1,'Rent Roll'!$F$46*'Rent Roll'!$X$46/12*AU$6,0)</f>
        <v>27718.627147404906</v>
      </c>
      <c r="AV343" s="49">
        <f>IF(AV342=1,'Rent Roll'!$F$46*'Rent Roll'!$X$46/12*AV$6,0)</f>
        <v>27718.627147404906</v>
      </c>
      <c r="AW343" s="49">
        <f>IF(AW342=1,'Rent Roll'!$F$46*'Rent Roll'!$X$46/12*AW$6,0)</f>
        <v>27718.627147404906</v>
      </c>
      <c r="AX343" s="49">
        <f>IF(AX342=1,'Rent Roll'!$F$46*'Rent Roll'!$X$46/12*AX$6,0)</f>
        <v>27718.627147404906</v>
      </c>
      <c r="AY343" s="49">
        <f>IF(AY342=1,'Rent Roll'!$F$46*'Rent Roll'!$X$46/12*AY$6,0)</f>
        <v>27718.627147404906</v>
      </c>
      <c r="AZ343" s="49">
        <f>IF(AZ342=1,'Rent Roll'!$F$46*'Rent Roll'!$X$46/12*AZ$6,0)</f>
        <v>27718.627147404906</v>
      </c>
      <c r="BA343" s="49">
        <f>IF(BA342=1,'Rent Roll'!$F$46*'Rent Roll'!$X$46/12*BA$6,0)</f>
        <v>27718.627147404906</v>
      </c>
      <c r="BB343" s="49">
        <f>IF(BB342=1,'Rent Roll'!$F$46*'Rent Roll'!$X$46/12*BB$6,0)</f>
        <v>27718.627147404906</v>
      </c>
      <c r="BC343" s="49">
        <f>IF(BC342=1,'Rent Roll'!$F$46*'Rent Roll'!$X$46/12*BC$6,0)</f>
        <v>27718.627147404906</v>
      </c>
      <c r="BD343" s="49">
        <f>IF(BD342=1,'Rent Roll'!$F$46*'Rent Roll'!$X$46/12*BD$6,0)</f>
        <v>27718.627147404906</v>
      </c>
      <c r="BE343" s="49">
        <f>IF(BE342=1,'Rent Roll'!$F$46*'Rent Roll'!$X$46/12*BE$6,0)</f>
        <v>28467.030080384837</v>
      </c>
      <c r="BF343" s="49">
        <f>IF(BF342=1,'Rent Roll'!$F$46*'Rent Roll'!$X$46/12*BF$6,0)</f>
        <v>28467.030080384837</v>
      </c>
      <c r="BG343" s="49">
        <f>IF(BG342=1,'Rent Roll'!$F$46*'Rent Roll'!$X$46/12*BG$6,0)</f>
        <v>28467.030080384837</v>
      </c>
      <c r="BH343" s="49">
        <f>IF(BH342=1,'Rent Roll'!$F$46*'Rent Roll'!$X$46/12*BH$6,0)</f>
        <v>28467.030080384837</v>
      </c>
      <c r="BI343" s="49">
        <f>IF(BI342=1,'Rent Roll'!$F$46*'Rent Roll'!$X$46/12*BI$6,0)</f>
        <v>28467.030080384837</v>
      </c>
      <c r="BJ343" s="49">
        <f>IF(BJ342=1,'Rent Roll'!$F$46*'Rent Roll'!$X$46/12*BJ$6,0)</f>
        <v>28467.030080384837</v>
      </c>
      <c r="BK343" s="49">
        <f>IF(BK342=1,'Rent Roll'!$F$46*'Rent Roll'!$X$46/12*BK$6,0)</f>
        <v>28467.030080384837</v>
      </c>
      <c r="BL343" s="49">
        <f>IF(BL342=1,'Rent Roll'!$F$46*'Rent Roll'!$X$46/12*BL$6,0)</f>
        <v>28467.030080384837</v>
      </c>
      <c r="BM343" s="49">
        <f>IF(BM342=1,'Rent Roll'!$F$46*'Rent Roll'!$X$46/12*BM$6,0)</f>
        <v>28467.030080384837</v>
      </c>
      <c r="BN343" s="49">
        <f>IF(BN342=1,'Rent Roll'!$F$46*'Rent Roll'!$X$46/12*BN$6,0)</f>
        <v>28467.030080384837</v>
      </c>
      <c r="BO343" s="49">
        <f>IF(BO342=1,'Rent Roll'!$F$46*'Rent Roll'!$X$46/12*BO$6,0)</f>
        <v>28467.030080384837</v>
      </c>
      <c r="BP343" s="49">
        <f>IF(BP342=1,'Rent Roll'!$F$46*'Rent Roll'!$X$46/12*BP$6,0)</f>
        <v>28467.030080384837</v>
      </c>
      <c r="BQ343" s="49">
        <f>IF(BQ342=1,'Rent Roll'!$F$46*'Rent Roll'!$X$46/12*BQ$6,0)</f>
        <v>29235.639892555224</v>
      </c>
      <c r="BR343" s="49">
        <f>IF(BR342=1,'Rent Roll'!$F$46*'Rent Roll'!$X$46/12*BR$6,0)</f>
        <v>29235.639892555224</v>
      </c>
      <c r="BS343" s="49">
        <f>IF(BS342=1,'Rent Roll'!$F$46*'Rent Roll'!$X$46/12*BS$6,0)</f>
        <v>29235.639892555224</v>
      </c>
      <c r="BT343" s="49">
        <f>IF(BT342=1,'Rent Roll'!$F$46*'Rent Roll'!$X$46/12*BT$6,0)</f>
        <v>29235.639892555224</v>
      </c>
      <c r="BU343" s="49">
        <f>IF(BU342=1,'Rent Roll'!$F$46*'Rent Roll'!$X$46/12*BU$6,0)</f>
        <v>29235.639892555224</v>
      </c>
      <c r="BV343" s="49">
        <f>IF(BV342=1,'Rent Roll'!$F$46*'Rent Roll'!$X$46/12*BV$6,0)</f>
        <v>29235.639892555224</v>
      </c>
      <c r="BW343" s="49">
        <f>IF(BW342=1,'Rent Roll'!$F$46*'Rent Roll'!$X$46/12*BW$6,0)</f>
        <v>29235.639892555224</v>
      </c>
      <c r="BX343" s="49">
        <f>IF(BX342=1,'Rent Roll'!$F$46*'Rent Roll'!$X$46/12*BX$6,0)</f>
        <v>29235.639892555224</v>
      </c>
    </row>
    <row r="344" spans="1:76">
      <c r="B344" t="s">
        <v>163</v>
      </c>
      <c r="D344" s="49">
        <f>IF(AND(D$4&gt;=EOMONTH(CloseDate,'Rent Roll'!$O$46-1),D$4&lt;EOMONTH(CloseDate,'Rent Roll'!$O$46-1+'Rent Roll'!$V$46)),-D343,0)</f>
        <v>0</v>
      </c>
      <c r="E344" s="49">
        <f>IF(AND(E$4&gt;=EOMONTH(CloseDate,'Rent Roll'!$O$46-1),E$4&lt;EOMONTH(CloseDate,'Rent Roll'!$O$46-1+'Rent Roll'!$V$46)),-E343,0)</f>
        <v>0</v>
      </c>
      <c r="F344" s="49">
        <f>IF(AND(F$4&gt;=EOMONTH(CloseDate,'Rent Roll'!$O$46-1),F$4&lt;EOMONTH(CloseDate,'Rent Roll'!$O$46-1+'Rent Roll'!$V$46)),-F343,0)</f>
        <v>0</v>
      </c>
      <c r="G344" s="49">
        <f>IF(AND(G$4&gt;=EOMONTH(CloseDate,'Rent Roll'!$O$46-1),G$4&lt;EOMONTH(CloseDate,'Rent Roll'!$O$46-1+'Rent Roll'!$V$46)),-G343,0)</f>
        <v>0</v>
      </c>
      <c r="H344" s="49">
        <f>IF(AND(H$4&gt;=EOMONTH(CloseDate,'Rent Roll'!$O$46-1),H$4&lt;EOMONTH(CloseDate,'Rent Roll'!$O$46-1+'Rent Roll'!$V$46)),-H343,0)</f>
        <v>0</v>
      </c>
      <c r="I344" s="49">
        <f>IF(AND(I$4&gt;=EOMONTH(CloseDate,'Rent Roll'!$O$46-1),I$4&lt;EOMONTH(CloseDate,'Rent Roll'!$O$46-1+'Rent Roll'!$V$46)),-I343,0)</f>
        <v>0</v>
      </c>
      <c r="J344" s="49">
        <f>IF(AND(J$4&gt;=EOMONTH(CloseDate,'Rent Roll'!$O$46-1),J$4&lt;EOMONTH(CloseDate,'Rent Roll'!$O$46-1+'Rent Roll'!$V$46)),-J343,0)</f>
        <v>0</v>
      </c>
      <c r="K344" s="49">
        <f>IF(AND(K$4&gt;=EOMONTH(CloseDate,'Rent Roll'!$O$46-1),K$4&lt;EOMONTH(CloseDate,'Rent Roll'!$O$46-1+'Rent Roll'!$V$46)),-K343,0)</f>
        <v>0</v>
      </c>
      <c r="L344" s="49">
        <f>IF(AND(L$4&gt;=EOMONTH(CloseDate,'Rent Roll'!$O$46-1),L$4&lt;EOMONTH(CloseDate,'Rent Roll'!$O$46-1+'Rent Roll'!$V$46)),-L343,0)</f>
        <v>0</v>
      </c>
      <c r="M344" s="49">
        <f>IF(AND(M$4&gt;=EOMONTH(CloseDate,'Rent Roll'!$O$46-1),M$4&lt;EOMONTH(CloseDate,'Rent Roll'!$O$46-1+'Rent Roll'!$V$46)),-M343,0)</f>
        <v>0</v>
      </c>
      <c r="N344" s="49">
        <f>IF(AND(N$4&gt;=EOMONTH(CloseDate,'Rent Roll'!$O$46-1),N$4&lt;EOMONTH(CloseDate,'Rent Roll'!$O$46-1+'Rent Roll'!$V$46)),-N343,0)</f>
        <v>0</v>
      </c>
      <c r="O344" s="49">
        <f>IF(AND(O$4&gt;=EOMONTH(CloseDate,'Rent Roll'!$O$46-1),O$4&lt;EOMONTH(CloseDate,'Rent Roll'!$O$46-1+'Rent Roll'!$V$46)),-O343,0)</f>
        <v>0</v>
      </c>
      <c r="P344" s="49">
        <f>IF(AND(P$4&gt;=EOMONTH(CloseDate,'Rent Roll'!$O$46-1),P$4&lt;EOMONTH(CloseDate,'Rent Roll'!$O$46-1+'Rent Roll'!$V$46)),-P343,0)</f>
        <v>0</v>
      </c>
      <c r="Q344" s="49">
        <f>IF(AND(Q$4&gt;=EOMONTH(CloseDate,'Rent Roll'!$O$46-1),Q$4&lt;EOMONTH(CloseDate,'Rent Roll'!$O$46-1+'Rent Roll'!$V$46)),-Q343,0)</f>
        <v>0</v>
      </c>
      <c r="R344" s="49">
        <f>IF(AND(R$4&gt;=EOMONTH(CloseDate,'Rent Roll'!$O$46-1),R$4&lt;EOMONTH(CloseDate,'Rent Roll'!$O$46-1+'Rent Roll'!$V$46)),-R343,0)</f>
        <v>0</v>
      </c>
      <c r="S344" s="49">
        <f>IF(AND(S$4&gt;=EOMONTH(CloseDate,'Rent Roll'!$O$46-1),S$4&lt;EOMONTH(CloseDate,'Rent Roll'!$O$46-1+'Rent Roll'!$V$46)),-S343,0)</f>
        <v>-25589.416666666664</v>
      </c>
      <c r="T344" s="49">
        <f>IF(AND(T$4&gt;=EOMONTH(CloseDate,'Rent Roll'!$O$46-1),T$4&lt;EOMONTH(CloseDate,'Rent Roll'!$O$46-1+'Rent Roll'!$V$46)),-T343,0)</f>
        <v>-25589.416666666664</v>
      </c>
      <c r="U344" s="49">
        <f>IF(AND(U$4&gt;=EOMONTH(CloseDate,'Rent Roll'!$O$46-1),U$4&lt;EOMONTH(CloseDate,'Rent Roll'!$O$46-1+'Rent Roll'!$V$46)),-U343,0)</f>
        <v>0</v>
      </c>
      <c r="V344" s="49">
        <f>IF(AND(V$4&gt;=EOMONTH(CloseDate,'Rent Roll'!$O$46-1),V$4&lt;EOMONTH(CloseDate,'Rent Roll'!$O$46-1+'Rent Roll'!$V$46)),-V343,0)</f>
        <v>0</v>
      </c>
      <c r="W344" s="49">
        <f>IF(AND(W$4&gt;=EOMONTH(CloseDate,'Rent Roll'!$O$46-1),W$4&lt;EOMONTH(CloseDate,'Rent Roll'!$O$46-1+'Rent Roll'!$V$46)),-W343,0)</f>
        <v>0</v>
      </c>
      <c r="X344" s="49">
        <f>IF(AND(X$4&gt;=EOMONTH(CloseDate,'Rent Roll'!$O$46-1),X$4&lt;EOMONTH(CloseDate,'Rent Roll'!$O$46-1+'Rent Roll'!$V$46)),-X343,0)</f>
        <v>0</v>
      </c>
      <c r="Y344" s="49">
        <f>IF(AND(Y$4&gt;=EOMONTH(CloseDate,'Rent Roll'!$O$46-1),Y$4&lt;EOMONTH(CloseDate,'Rent Roll'!$O$46-1+'Rent Roll'!$V$46)),-Y343,0)</f>
        <v>0</v>
      </c>
      <c r="Z344" s="49">
        <f>IF(AND(Z$4&gt;=EOMONTH(CloseDate,'Rent Roll'!$O$46-1),Z$4&lt;EOMONTH(CloseDate,'Rent Roll'!$O$46-1+'Rent Roll'!$V$46)),-Z343,0)</f>
        <v>0</v>
      </c>
      <c r="AA344" s="49">
        <f>IF(AND(AA$4&gt;=EOMONTH(CloseDate,'Rent Roll'!$O$46-1),AA$4&lt;EOMONTH(CloseDate,'Rent Roll'!$O$46-1+'Rent Roll'!$V$46)),-AA343,0)</f>
        <v>0</v>
      </c>
      <c r="AB344" s="49">
        <f>IF(AND(AB$4&gt;=EOMONTH(CloseDate,'Rent Roll'!$O$46-1),AB$4&lt;EOMONTH(CloseDate,'Rent Roll'!$O$46-1+'Rent Roll'!$V$46)),-AB343,0)</f>
        <v>0</v>
      </c>
      <c r="AC344" s="49">
        <f>IF(AND(AC$4&gt;=EOMONTH(CloseDate,'Rent Roll'!$O$46-1),AC$4&lt;EOMONTH(CloseDate,'Rent Roll'!$O$46-1+'Rent Roll'!$V$46)),-AC343,0)</f>
        <v>0</v>
      </c>
      <c r="AD344" s="49">
        <f>IF(AND(AD$4&gt;=EOMONTH(CloseDate,'Rent Roll'!$O$46-1),AD$4&lt;EOMONTH(CloseDate,'Rent Roll'!$O$46-1+'Rent Roll'!$V$46)),-AD343,0)</f>
        <v>0</v>
      </c>
      <c r="AE344" s="49">
        <f>IF(AND(AE$4&gt;=EOMONTH(CloseDate,'Rent Roll'!$O$46-1),AE$4&lt;EOMONTH(CloseDate,'Rent Roll'!$O$46-1+'Rent Roll'!$V$46)),-AE343,0)</f>
        <v>0</v>
      </c>
      <c r="AF344" s="49">
        <f>IF(AND(AF$4&gt;=EOMONTH(CloseDate,'Rent Roll'!$O$46-1),AF$4&lt;EOMONTH(CloseDate,'Rent Roll'!$O$46-1+'Rent Roll'!$V$46)),-AF343,0)</f>
        <v>0</v>
      </c>
      <c r="AG344" s="49">
        <f>IF(AND(AG$4&gt;=EOMONTH(CloseDate,'Rent Roll'!$O$46-1),AG$4&lt;EOMONTH(CloseDate,'Rent Roll'!$O$46-1+'Rent Roll'!$V$46)),-AG343,0)</f>
        <v>0</v>
      </c>
      <c r="AH344" s="49">
        <f>IF(AND(AH$4&gt;=EOMONTH(CloseDate,'Rent Roll'!$O$46-1),AH$4&lt;EOMONTH(CloseDate,'Rent Roll'!$O$46-1+'Rent Roll'!$V$46)),-AH343,0)</f>
        <v>0</v>
      </c>
      <c r="AI344" s="49">
        <f>IF(AND(AI$4&gt;=EOMONTH(CloseDate,'Rent Roll'!$O$46-1),AI$4&lt;EOMONTH(CloseDate,'Rent Roll'!$O$46-1+'Rent Roll'!$V$46)),-AI343,0)</f>
        <v>0</v>
      </c>
      <c r="AJ344" s="49">
        <f>IF(AND(AJ$4&gt;=EOMONTH(CloseDate,'Rent Roll'!$O$46-1),AJ$4&lt;EOMONTH(CloseDate,'Rent Roll'!$O$46-1+'Rent Roll'!$V$46)),-AJ343,0)</f>
        <v>0</v>
      </c>
      <c r="AK344" s="49">
        <f>IF(AND(AK$4&gt;=EOMONTH(CloseDate,'Rent Roll'!$O$46-1),AK$4&lt;EOMONTH(CloseDate,'Rent Roll'!$O$46-1+'Rent Roll'!$V$46)),-AK343,0)</f>
        <v>0</v>
      </c>
      <c r="AL344" s="49">
        <f>IF(AND(AL$4&gt;=EOMONTH(CloseDate,'Rent Roll'!$O$46-1),AL$4&lt;EOMONTH(CloseDate,'Rent Roll'!$O$46-1+'Rent Roll'!$V$46)),-AL343,0)</f>
        <v>0</v>
      </c>
      <c r="AM344" s="49">
        <f>IF(AND(AM$4&gt;=EOMONTH(CloseDate,'Rent Roll'!$O$46-1),AM$4&lt;EOMONTH(CloseDate,'Rent Roll'!$O$46-1+'Rent Roll'!$V$46)),-AM343,0)</f>
        <v>0</v>
      </c>
      <c r="AN344" s="49">
        <f>IF(AND(AN$4&gt;=EOMONTH(CloseDate,'Rent Roll'!$O$46-1),AN$4&lt;EOMONTH(CloseDate,'Rent Roll'!$O$46-1+'Rent Roll'!$V$46)),-AN343,0)</f>
        <v>0</v>
      </c>
      <c r="AO344" s="49">
        <f>IF(AND(AO$4&gt;=EOMONTH(CloseDate,'Rent Roll'!$O$46-1),AO$4&lt;EOMONTH(CloseDate,'Rent Roll'!$O$46-1+'Rent Roll'!$V$46)),-AO343,0)</f>
        <v>0</v>
      </c>
      <c r="AP344" s="49">
        <f>IF(AND(AP$4&gt;=EOMONTH(CloseDate,'Rent Roll'!$O$46-1),AP$4&lt;EOMONTH(CloseDate,'Rent Roll'!$O$46-1+'Rent Roll'!$V$46)),-AP343,0)</f>
        <v>0</v>
      </c>
      <c r="AQ344" s="49">
        <f>IF(AND(AQ$4&gt;=EOMONTH(CloseDate,'Rent Roll'!$O$46-1),AQ$4&lt;EOMONTH(CloseDate,'Rent Roll'!$O$46-1+'Rent Roll'!$V$46)),-AQ343,0)</f>
        <v>0</v>
      </c>
      <c r="AR344" s="49">
        <f>IF(AND(AR$4&gt;=EOMONTH(CloseDate,'Rent Roll'!$O$46-1),AR$4&lt;EOMONTH(CloseDate,'Rent Roll'!$O$46-1+'Rent Roll'!$V$46)),-AR343,0)</f>
        <v>0</v>
      </c>
      <c r="AS344" s="49">
        <f>IF(AND(AS$4&gt;=EOMONTH(CloseDate,'Rent Roll'!$O$46-1),AS$4&lt;EOMONTH(CloseDate,'Rent Roll'!$O$46-1+'Rent Roll'!$V$46)),-AS343,0)</f>
        <v>0</v>
      </c>
      <c r="AT344" s="49">
        <f>IF(AND(AT$4&gt;=EOMONTH(CloseDate,'Rent Roll'!$O$46-1),AT$4&lt;EOMONTH(CloseDate,'Rent Roll'!$O$46-1+'Rent Roll'!$V$46)),-AT343,0)</f>
        <v>0</v>
      </c>
      <c r="AU344" s="49">
        <f>IF(AND(AU$4&gt;=EOMONTH(CloseDate,'Rent Roll'!$O$46-1),AU$4&lt;EOMONTH(CloseDate,'Rent Roll'!$O$46-1+'Rent Roll'!$V$46)),-AU343,0)</f>
        <v>0</v>
      </c>
      <c r="AV344" s="49">
        <f>IF(AND(AV$4&gt;=EOMONTH(CloseDate,'Rent Roll'!$O$46-1),AV$4&lt;EOMONTH(CloseDate,'Rent Roll'!$O$46-1+'Rent Roll'!$V$46)),-AV343,0)</f>
        <v>0</v>
      </c>
      <c r="AW344" s="49">
        <f>IF(AND(AW$4&gt;=EOMONTH(CloseDate,'Rent Roll'!$O$46-1),AW$4&lt;EOMONTH(CloseDate,'Rent Roll'!$O$46-1+'Rent Roll'!$V$46)),-AW343,0)</f>
        <v>0</v>
      </c>
      <c r="AX344" s="49">
        <f>IF(AND(AX$4&gt;=EOMONTH(CloseDate,'Rent Roll'!$O$46-1),AX$4&lt;EOMONTH(CloseDate,'Rent Roll'!$O$46-1+'Rent Roll'!$V$46)),-AX343,0)</f>
        <v>0</v>
      </c>
      <c r="AY344" s="49">
        <f>IF(AND(AY$4&gt;=EOMONTH(CloseDate,'Rent Roll'!$O$46-1),AY$4&lt;EOMONTH(CloseDate,'Rent Roll'!$O$46-1+'Rent Roll'!$V$46)),-AY343,0)</f>
        <v>0</v>
      </c>
      <c r="AZ344" s="49">
        <f>IF(AND(AZ$4&gt;=EOMONTH(CloseDate,'Rent Roll'!$O$46-1),AZ$4&lt;EOMONTH(CloseDate,'Rent Roll'!$O$46-1+'Rent Roll'!$V$46)),-AZ343,0)</f>
        <v>0</v>
      </c>
      <c r="BA344" s="49">
        <f>IF(AND(BA$4&gt;=EOMONTH(CloseDate,'Rent Roll'!$O$46-1),BA$4&lt;EOMONTH(CloseDate,'Rent Roll'!$O$46-1+'Rent Roll'!$V$46)),-BA343,0)</f>
        <v>0</v>
      </c>
      <c r="BB344" s="49">
        <f>IF(AND(BB$4&gt;=EOMONTH(CloseDate,'Rent Roll'!$O$46-1),BB$4&lt;EOMONTH(CloseDate,'Rent Roll'!$O$46-1+'Rent Roll'!$V$46)),-BB343,0)</f>
        <v>0</v>
      </c>
      <c r="BC344" s="49">
        <f>IF(AND(BC$4&gt;=EOMONTH(CloseDate,'Rent Roll'!$O$46-1),BC$4&lt;EOMONTH(CloseDate,'Rent Roll'!$O$46-1+'Rent Roll'!$V$46)),-BC343,0)</f>
        <v>0</v>
      </c>
      <c r="BD344" s="49">
        <f>IF(AND(BD$4&gt;=EOMONTH(CloseDate,'Rent Roll'!$O$46-1),BD$4&lt;EOMONTH(CloseDate,'Rent Roll'!$O$46-1+'Rent Roll'!$V$46)),-BD343,0)</f>
        <v>0</v>
      </c>
      <c r="BE344" s="49">
        <f>IF(AND(BE$4&gt;=EOMONTH(CloseDate,'Rent Roll'!$O$46-1),BE$4&lt;EOMONTH(CloseDate,'Rent Roll'!$O$46-1+'Rent Roll'!$V$46)),-BE343,0)</f>
        <v>0</v>
      </c>
      <c r="BF344" s="49">
        <f>IF(AND(BF$4&gt;=EOMONTH(CloseDate,'Rent Roll'!$O$46-1),BF$4&lt;EOMONTH(CloseDate,'Rent Roll'!$O$46-1+'Rent Roll'!$V$46)),-BF343,0)</f>
        <v>0</v>
      </c>
      <c r="BG344" s="49">
        <f>IF(AND(BG$4&gt;=EOMONTH(CloseDate,'Rent Roll'!$O$46-1),BG$4&lt;EOMONTH(CloseDate,'Rent Roll'!$O$46-1+'Rent Roll'!$V$46)),-BG343,0)</f>
        <v>0</v>
      </c>
      <c r="BH344" s="49">
        <f>IF(AND(BH$4&gt;=EOMONTH(CloseDate,'Rent Roll'!$O$46-1),BH$4&lt;EOMONTH(CloseDate,'Rent Roll'!$O$46-1+'Rent Roll'!$V$46)),-BH343,0)</f>
        <v>0</v>
      </c>
      <c r="BI344" s="49">
        <f>IF(AND(BI$4&gt;=EOMONTH(CloseDate,'Rent Roll'!$O$46-1),BI$4&lt;EOMONTH(CloseDate,'Rent Roll'!$O$46-1+'Rent Roll'!$V$46)),-BI343,0)</f>
        <v>0</v>
      </c>
      <c r="BJ344" s="49">
        <f>IF(AND(BJ$4&gt;=EOMONTH(CloseDate,'Rent Roll'!$O$46-1),BJ$4&lt;EOMONTH(CloseDate,'Rent Roll'!$O$46-1+'Rent Roll'!$V$46)),-BJ343,0)</f>
        <v>0</v>
      </c>
      <c r="BK344" s="49">
        <f>IF(AND(BK$4&gt;=EOMONTH(CloseDate,'Rent Roll'!$O$46-1),BK$4&lt;EOMONTH(CloseDate,'Rent Roll'!$O$46-1+'Rent Roll'!$V$46)),-BK343,0)</f>
        <v>0</v>
      </c>
      <c r="BL344" s="49">
        <f>IF(AND(BL$4&gt;=EOMONTH(CloseDate,'Rent Roll'!$O$46-1),BL$4&lt;EOMONTH(CloseDate,'Rent Roll'!$O$46-1+'Rent Roll'!$V$46)),-BL343,0)</f>
        <v>0</v>
      </c>
      <c r="BM344" s="49">
        <f>IF(AND(BM$4&gt;=EOMONTH(CloseDate,'Rent Roll'!$O$46-1),BM$4&lt;EOMONTH(CloseDate,'Rent Roll'!$O$46-1+'Rent Roll'!$V$46)),-BM343,0)</f>
        <v>0</v>
      </c>
      <c r="BN344" s="49">
        <f>IF(AND(BN$4&gt;=EOMONTH(CloseDate,'Rent Roll'!$O$46-1),BN$4&lt;EOMONTH(CloseDate,'Rent Roll'!$O$46-1+'Rent Roll'!$V$46)),-BN343,0)</f>
        <v>0</v>
      </c>
      <c r="BO344" s="49">
        <f>IF(AND(BO$4&gt;=EOMONTH(CloseDate,'Rent Roll'!$O$46-1),BO$4&lt;EOMONTH(CloseDate,'Rent Roll'!$O$46-1+'Rent Roll'!$V$46)),-BO343,0)</f>
        <v>0</v>
      </c>
      <c r="BP344" s="49">
        <f>IF(AND(BP$4&gt;=EOMONTH(CloseDate,'Rent Roll'!$O$46-1),BP$4&lt;EOMONTH(CloseDate,'Rent Roll'!$O$46-1+'Rent Roll'!$V$46)),-BP343,0)</f>
        <v>0</v>
      </c>
      <c r="BQ344" s="49">
        <f>IF(AND(BQ$4&gt;=EOMONTH(CloseDate,'Rent Roll'!$O$46-1),BQ$4&lt;EOMONTH(CloseDate,'Rent Roll'!$O$46-1+'Rent Roll'!$V$46)),-BQ343,0)</f>
        <v>0</v>
      </c>
      <c r="BR344" s="49">
        <f>IF(AND(BR$4&gt;=EOMONTH(CloseDate,'Rent Roll'!$O$46-1),BR$4&lt;EOMONTH(CloseDate,'Rent Roll'!$O$46-1+'Rent Roll'!$V$46)),-BR343,0)</f>
        <v>0</v>
      </c>
      <c r="BS344" s="49">
        <f>IF(AND(BS$4&gt;=EOMONTH(CloseDate,'Rent Roll'!$O$46-1),BS$4&lt;EOMONTH(CloseDate,'Rent Roll'!$O$46-1+'Rent Roll'!$V$46)),-BS343,0)</f>
        <v>0</v>
      </c>
      <c r="BT344" s="49">
        <f>IF(AND(BT$4&gt;=EOMONTH(CloseDate,'Rent Roll'!$O$46-1),BT$4&lt;EOMONTH(CloseDate,'Rent Roll'!$O$46-1+'Rent Roll'!$V$46)),-BT343,0)</f>
        <v>0</v>
      </c>
      <c r="BU344" s="49">
        <f>IF(AND(BU$4&gt;=EOMONTH(CloseDate,'Rent Roll'!$O$46-1),BU$4&lt;EOMONTH(CloseDate,'Rent Roll'!$O$46-1+'Rent Roll'!$V$46)),-BU343,0)</f>
        <v>0</v>
      </c>
      <c r="BV344" s="49">
        <f>IF(AND(BV$4&gt;=EOMONTH(CloseDate,'Rent Roll'!$O$46-1),BV$4&lt;EOMONTH(CloseDate,'Rent Roll'!$O$46-1+'Rent Roll'!$V$46)),-BV343,0)</f>
        <v>0</v>
      </c>
      <c r="BW344" s="49">
        <f>IF(AND(BW$4&gt;=EOMONTH(CloseDate,'Rent Roll'!$O$46-1),BW$4&lt;EOMONTH(CloseDate,'Rent Roll'!$O$46-1+'Rent Roll'!$V$46)),-BW343,0)</f>
        <v>0</v>
      </c>
      <c r="BX344" s="49">
        <f>IF(AND(BX$4&gt;=EOMONTH(CloseDate,'Rent Roll'!$O$46-1),BX$4&lt;EOMONTH(CloseDate,'Rent Roll'!$O$46-1+'Rent Roll'!$V$46)),-BX343,0)</f>
        <v>0</v>
      </c>
    </row>
    <row r="345" spans="1:76">
      <c r="B345" t="s">
        <v>84</v>
      </c>
      <c r="D345" s="49">
        <f>D341+D343+D344</f>
        <v>0</v>
      </c>
      <c r="E345" s="49">
        <f t="shared" ref="E345:BJ345" si="110">E341+E343+E344</f>
        <v>0</v>
      </c>
      <c r="F345" s="49">
        <f t="shared" si="110"/>
        <v>0</v>
      </c>
      <c r="G345" s="49">
        <f t="shared" si="110"/>
        <v>0</v>
      </c>
      <c r="H345" s="49">
        <f t="shared" si="110"/>
        <v>0</v>
      </c>
      <c r="I345" s="49">
        <f t="shared" si="110"/>
        <v>0</v>
      </c>
      <c r="J345" s="49">
        <f t="shared" si="110"/>
        <v>0</v>
      </c>
      <c r="K345" s="49">
        <f t="shared" si="110"/>
        <v>0</v>
      </c>
      <c r="L345" s="49">
        <f t="shared" si="110"/>
        <v>0</v>
      </c>
      <c r="M345" s="49">
        <f t="shared" si="110"/>
        <v>0</v>
      </c>
      <c r="N345" s="49">
        <f t="shared" si="110"/>
        <v>0</v>
      </c>
      <c r="O345" s="49">
        <f t="shared" si="110"/>
        <v>0</v>
      </c>
      <c r="P345" s="49">
        <f t="shared" si="110"/>
        <v>0</v>
      </c>
      <c r="Q345" s="49">
        <f t="shared" si="110"/>
        <v>0</v>
      </c>
      <c r="R345" s="49">
        <f t="shared" si="110"/>
        <v>0</v>
      </c>
      <c r="S345" s="49">
        <f t="shared" si="110"/>
        <v>0</v>
      </c>
      <c r="T345" s="49">
        <f t="shared" si="110"/>
        <v>0</v>
      </c>
      <c r="U345" s="49">
        <f t="shared" si="110"/>
        <v>26280.330916666662</v>
      </c>
      <c r="V345" s="49">
        <f t="shared" si="110"/>
        <v>26280.330916666662</v>
      </c>
      <c r="W345" s="49">
        <f t="shared" si="110"/>
        <v>26280.330916666662</v>
      </c>
      <c r="X345" s="49">
        <f t="shared" si="110"/>
        <v>26280.330916666662</v>
      </c>
      <c r="Y345" s="49">
        <f t="shared" si="110"/>
        <v>26280.330916666662</v>
      </c>
      <c r="Z345" s="49">
        <f t="shared" si="110"/>
        <v>26280.330916666662</v>
      </c>
      <c r="AA345" s="49">
        <f t="shared" si="110"/>
        <v>26280.330916666662</v>
      </c>
      <c r="AB345" s="49">
        <f t="shared" si="110"/>
        <v>26280.330916666662</v>
      </c>
      <c r="AC345" s="49">
        <f t="shared" si="110"/>
        <v>26280.330916666662</v>
      </c>
      <c r="AD345" s="49">
        <f t="shared" si="110"/>
        <v>26280.330916666662</v>
      </c>
      <c r="AE345" s="49">
        <f t="shared" si="110"/>
        <v>26280.330916666662</v>
      </c>
      <c r="AF345" s="49">
        <f t="shared" si="110"/>
        <v>26280.330916666662</v>
      </c>
      <c r="AG345" s="49">
        <f t="shared" si="110"/>
        <v>26989.899851416663</v>
      </c>
      <c r="AH345" s="49">
        <f t="shared" si="110"/>
        <v>26989.899851416663</v>
      </c>
      <c r="AI345" s="49">
        <f t="shared" si="110"/>
        <v>26989.899851416663</v>
      </c>
      <c r="AJ345" s="49">
        <f t="shared" si="110"/>
        <v>26989.899851416663</v>
      </c>
      <c r="AK345" s="49">
        <f t="shared" si="110"/>
        <v>26989.899851416663</v>
      </c>
      <c r="AL345" s="49">
        <f t="shared" si="110"/>
        <v>26989.899851416663</v>
      </c>
      <c r="AM345" s="49">
        <f t="shared" si="110"/>
        <v>26989.899851416663</v>
      </c>
      <c r="AN345" s="49">
        <f t="shared" si="110"/>
        <v>26989.899851416663</v>
      </c>
      <c r="AO345" s="49">
        <f t="shared" si="110"/>
        <v>26989.899851416663</v>
      </c>
      <c r="AP345" s="49">
        <f t="shared" si="110"/>
        <v>26989.899851416663</v>
      </c>
      <c r="AQ345" s="49">
        <f t="shared" si="110"/>
        <v>26989.899851416663</v>
      </c>
      <c r="AR345" s="49">
        <f t="shared" si="110"/>
        <v>26989.899851416663</v>
      </c>
      <c r="AS345" s="49">
        <f t="shared" si="110"/>
        <v>27718.627147404906</v>
      </c>
      <c r="AT345" s="49">
        <f t="shared" si="110"/>
        <v>27718.627147404906</v>
      </c>
      <c r="AU345" s="49">
        <f t="shared" si="110"/>
        <v>27718.627147404906</v>
      </c>
      <c r="AV345" s="49">
        <f t="shared" si="110"/>
        <v>27718.627147404906</v>
      </c>
      <c r="AW345" s="49">
        <f t="shared" si="110"/>
        <v>27718.627147404906</v>
      </c>
      <c r="AX345" s="49">
        <f t="shared" si="110"/>
        <v>27718.627147404906</v>
      </c>
      <c r="AY345" s="49">
        <f t="shared" si="110"/>
        <v>27718.627147404906</v>
      </c>
      <c r="AZ345" s="49">
        <f t="shared" si="110"/>
        <v>27718.627147404906</v>
      </c>
      <c r="BA345" s="49">
        <f t="shared" si="110"/>
        <v>27718.627147404906</v>
      </c>
      <c r="BB345" s="49">
        <f t="shared" si="110"/>
        <v>27718.627147404906</v>
      </c>
      <c r="BC345" s="49">
        <f t="shared" si="110"/>
        <v>27718.627147404906</v>
      </c>
      <c r="BD345" s="49">
        <f t="shared" si="110"/>
        <v>27718.627147404906</v>
      </c>
      <c r="BE345" s="49">
        <f t="shared" si="110"/>
        <v>28467.030080384837</v>
      </c>
      <c r="BF345" s="49">
        <f t="shared" si="110"/>
        <v>28467.030080384837</v>
      </c>
      <c r="BG345" s="49">
        <f t="shared" si="110"/>
        <v>28467.030080384837</v>
      </c>
      <c r="BH345" s="49">
        <f t="shared" si="110"/>
        <v>28467.030080384837</v>
      </c>
      <c r="BI345" s="49">
        <f t="shared" si="110"/>
        <v>28467.030080384837</v>
      </c>
      <c r="BJ345" s="49">
        <f t="shared" si="110"/>
        <v>28467.030080384837</v>
      </c>
      <c r="BK345" s="49">
        <f t="shared" ref="BK345" si="111">BK341+BK343+BK344</f>
        <v>28467.030080384837</v>
      </c>
      <c r="BL345" s="49">
        <f t="shared" ref="BL345:BX345" si="112">BL341+BL343+BL344</f>
        <v>28467.030080384837</v>
      </c>
      <c r="BM345" s="49">
        <f t="shared" si="112"/>
        <v>28467.030080384837</v>
      </c>
      <c r="BN345" s="49">
        <f t="shared" si="112"/>
        <v>28467.030080384837</v>
      </c>
      <c r="BO345" s="49">
        <f t="shared" si="112"/>
        <v>28467.030080384837</v>
      </c>
      <c r="BP345" s="49">
        <f t="shared" si="112"/>
        <v>28467.030080384837</v>
      </c>
      <c r="BQ345" s="49">
        <f t="shared" si="112"/>
        <v>29235.639892555224</v>
      </c>
      <c r="BR345" s="49">
        <f t="shared" si="112"/>
        <v>29235.639892555224</v>
      </c>
      <c r="BS345" s="49">
        <f t="shared" si="112"/>
        <v>29235.639892555224</v>
      </c>
      <c r="BT345" s="49">
        <f t="shared" si="112"/>
        <v>29235.639892555224</v>
      </c>
      <c r="BU345" s="49">
        <f t="shared" si="112"/>
        <v>29235.639892555224</v>
      </c>
      <c r="BV345" s="49">
        <f t="shared" si="112"/>
        <v>29235.639892555224</v>
      </c>
      <c r="BW345" s="49">
        <f t="shared" si="112"/>
        <v>29235.639892555224</v>
      </c>
      <c r="BX345" s="49">
        <f t="shared" si="112"/>
        <v>29235.639892555224</v>
      </c>
    </row>
    <row r="346" spans="1:76">
      <c r="B346" t="s">
        <v>85</v>
      </c>
      <c r="D346" s="49">
        <f>IF(D342=1,'Rent Roll'!$F$46/BldgSF*ReimbPool/12*D$7,0)</f>
        <v>0</v>
      </c>
      <c r="E346" s="49">
        <f>IF(E342=1,'Rent Roll'!$F$46/BldgSF*ReimbPool/12*E$7,0)</f>
        <v>0</v>
      </c>
      <c r="F346" s="49">
        <f>IF(F342=1,'Rent Roll'!$F$46/BldgSF*ReimbPool/12*F$7,0)</f>
        <v>0</v>
      </c>
      <c r="G346" s="49">
        <f>IF(G342=1,'Rent Roll'!$F$46/BldgSF*ReimbPool/12*G$7,0)</f>
        <v>0</v>
      </c>
      <c r="H346" s="49">
        <f>IF(H342=1,'Rent Roll'!$F$46/BldgSF*ReimbPool/12*H$7,0)</f>
        <v>0</v>
      </c>
      <c r="I346" s="49">
        <f>IF(I342=1,'Rent Roll'!$F$46/BldgSF*ReimbPool/12*I$7,0)</f>
        <v>0</v>
      </c>
      <c r="J346" s="49">
        <f>IF(J342=1,'Rent Roll'!$F$46/BldgSF*ReimbPool/12*J$7,0)</f>
        <v>0</v>
      </c>
      <c r="K346" s="49">
        <f>IF(K342=1,'Rent Roll'!$F$46/BldgSF*ReimbPool/12*K$7,0)</f>
        <v>0</v>
      </c>
      <c r="L346" s="49">
        <f>IF(L342=1,'Rent Roll'!$F$46/BldgSF*ReimbPool/12*L$7,0)</f>
        <v>0</v>
      </c>
      <c r="M346" s="49">
        <f>IF(M342=1,'Rent Roll'!$F$46/BldgSF*ReimbPool/12*M$7,0)</f>
        <v>0</v>
      </c>
      <c r="N346" s="49">
        <f>IF(N342=1,'Rent Roll'!$F$46/BldgSF*ReimbPool/12*N$7,0)</f>
        <v>0</v>
      </c>
      <c r="O346" s="49">
        <f>IF(O342=1,'Rent Roll'!$F$46/BldgSF*ReimbPool/12*O$7,0)</f>
        <v>0</v>
      </c>
      <c r="P346" s="49">
        <f>IF(P342=1,'Rent Roll'!$F$46/BldgSF*ReimbPool/12*P$7,0)</f>
        <v>0</v>
      </c>
      <c r="Q346" s="49">
        <f>IF(Q342=1,'Rent Roll'!$F$46/BldgSF*ReimbPool/12*Q$7,0)</f>
        <v>0</v>
      </c>
      <c r="R346" s="49">
        <f>IF(R342=1,'Rent Roll'!$F$46/BldgSF*ReimbPool/12*R$7,0)</f>
        <v>0</v>
      </c>
      <c r="S346" s="49">
        <f>IF(S342=1,'Rent Roll'!$F$46/BldgSF*ReimbPool/12*S$7,0)</f>
        <v>10304.661249999999</v>
      </c>
      <c r="T346" s="49">
        <f>IF(T342=1,'Rent Roll'!$F$46/BldgSF*ReimbPool/12*T$7,0)</f>
        <v>10304.661249999999</v>
      </c>
      <c r="U346" s="49">
        <f>IF(U342=1,'Rent Roll'!$F$46/BldgSF*ReimbPool/12*U$7,0)</f>
        <v>10582.887103749998</v>
      </c>
      <c r="V346" s="49">
        <f>IF(V342=1,'Rent Roll'!$F$46/BldgSF*ReimbPool/12*V$7,0)</f>
        <v>10582.887103749998</v>
      </c>
      <c r="W346" s="49">
        <f>IF(W342=1,'Rent Roll'!$F$46/BldgSF*ReimbPool/12*W$7,0)</f>
        <v>10582.887103749998</v>
      </c>
      <c r="X346" s="49">
        <f>IF(X342=1,'Rent Roll'!$F$46/BldgSF*ReimbPool/12*X$7,0)</f>
        <v>10582.887103749998</v>
      </c>
      <c r="Y346" s="49">
        <f>IF(Y342=1,'Rent Roll'!$F$46/BldgSF*ReimbPool/12*Y$7,0)</f>
        <v>10582.887103749998</v>
      </c>
      <c r="Z346" s="49">
        <f>IF(Z342=1,'Rent Roll'!$F$46/BldgSF*ReimbPool/12*Z$7,0)</f>
        <v>10582.887103749998</v>
      </c>
      <c r="AA346" s="49">
        <f>IF(AA342=1,'Rent Roll'!$F$46/BldgSF*ReimbPool/12*AA$7,0)</f>
        <v>10582.887103749998</v>
      </c>
      <c r="AB346" s="49">
        <f>IF(AB342=1,'Rent Roll'!$F$46/BldgSF*ReimbPool/12*AB$7,0)</f>
        <v>10582.887103749998</v>
      </c>
      <c r="AC346" s="49">
        <f>IF(AC342=1,'Rent Roll'!$F$46/BldgSF*ReimbPool/12*AC$7,0)</f>
        <v>10582.887103749998</v>
      </c>
      <c r="AD346" s="49">
        <f>IF(AD342=1,'Rent Roll'!$F$46/BldgSF*ReimbPool/12*AD$7,0)</f>
        <v>10582.887103749998</v>
      </c>
      <c r="AE346" s="49">
        <f>IF(AE342=1,'Rent Roll'!$F$46/BldgSF*ReimbPool/12*AE$7,0)</f>
        <v>10582.887103749998</v>
      </c>
      <c r="AF346" s="49">
        <f>IF(AF342=1,'Rent Roll'!$F$46/BldgSF*ReimbPool/12*AF$7,0)</f>
        <v>10582.887103749998</v>
      </c>
      <c r="AG346" s="49">
        <f>IF(AG342=1,'Rent Roll'!$F$46/BldgSF*ReimbPool/12*AG$7,0)</f>
        <v>10868.625055551247</v>
      </c>
      <c r="AH346" s="49">
        <f>IF(AH342=1,'Rent Roll'!$F$46/BldgSF*ReimbPool/12*AH$7,0)</f>
        <v>10868.625055551247</v>
      </c>
      <c r="AI346" s="49">
        <f>IF(AI342=1,'Rent Roll'!$F$46/BldgSF*ReimbPool/12*AI$7,0)</f>
        <v>10868.625055551247</v>
      </c>
      <c r="AJ346" s="49">
        <f>IF(AJ342=1,'Rent Roll'!$F$46/BldgSF*ReimbPool/12*AJ$7,0)</f>
        <v>10868.625055551247</v>
      </c>
      <c r="AK346" s="49">
        <f>IF(AK342=1,'Rent Roll'!$F$46/BldgSF*ReimbPool/12*AK$7,0)</f>
        <v>10868.625055551247</v>
      </c>
      <c r="AL346" s="49">
        <f>IF(AL342=1,'Rent Roll'!$F$46/BldgSF*ReimbPool/12*AL$7,0)</f>
        <v>10868.625055551247</v>
      </c>
      <c r="AM346" s="49">
        <f>IF(AM342=1,'Rent Roll'!$F$46/BldgSF*ReimbPool/12*AM$7,0)</f>
        <v>10868.625055551247</v>
      </c>
      <c r="AN346" s="49">
        <f>IF(AN342=1,'Rent Roll'!$F$46/BldgSF*ReimbPool/12*AN$7,0)</f>
        <v>10868.625055551247</v>
      </c>
      <c r="AO346" s="49">
        <f>IF(AO342=1,'Rent Roll'!$F$46/BldgSF*ReimbPool/12*AO$7,0)</f>
        <v>10868.625055551247</v>
      </c>
      <c r="AP346" s="49">
        <f>IF(AP342=1,'Rent Roll'!$F$46/BldgSF*ReimbPool/12*AP$7,0)</f>
        <v>10868.625055551247</v>
      </c>
      <c r="AQ346" s="49">
        <f>IF(AQ342=1,'Rent Roll'!$F$46/BldgSF*ReimbPool/12*AQ$7,0)</f>
        <v>10868.625055551247</v>
      </c>
      <c r="AR346" s="49">
        <f>IF(AR342=1,'Rent Roll'!$F$46/BldgSF*ReimbPool/12*AR$7,0)</f>
        <v>10868.625055551247</v>
      </c>
      <c r="AS346" s="49">
        <f>IF(AS342=1,'Rent Roll'!$F$46/BldgSF*ReimbPool/12*AS$7,0)</f>
        <v>11162.07793205113</v>
      </c>
      <c r="AT346" s="49">
        <f>IF(AT342=1,'Rent Roll'!$F$46/BldgSF*ReimbPool/12*AT$7,0)</f>
        <v>11162.07793205113</v>
      </c>
      <c r="AU346" s="49">
        <f>IF(AU342=1,'Rent Roll'!$F$46/BldgSF*ReimbPool/12*AU$7,0)</f>
        <v>11162.07793205113</v>
      </c>
      <c r="AV346" s="49">
        <f>IF(AV342=1,'Rent Roll'!$F$46/BldgSF*ReimbPool/12*AV$7,0)</f>
        <v>11162.07793205113</v>
      </c>
      <c r="AW346" s="49">
        <f>IF(AW342=1,'Rent Roll'!$F$46/BldgSF*ReimbPool/12*AW$7,0)</f>
        <v>11162.07793205113</v>
      </c>
      <c r="AX346" s="49">
        <f>IF(AX342=1,'Rent Roll'!$F$46/BldgSF*ReimbPool/12*AX$7,0)</f>
        <v>11162.07793205113</v>
      </c>
      <c r="AY346" s="49">
        <f>IF(AY342=1,'Rent Roll'!$F$46/BldgSF*ReimbPool/12*AY$7,0)</f>
        <v>11162.07793205113</v>
      </c>
      <c r="AZ346" s="49">
        <f>IF(AZ342=1,'Rent Roll'!$F$46/BldgSF*ReimbPool/12*AZ$7,0)</f>
        <v>11162.07793205113</v>
      </c>
      <c r="BA346" s="49">
        <f>IF(BA342=1,'Rent Roll'!$F$46/BldgSF*ReimbPool/12*BA$7,0)</f>
        <v>11162.07793205113</v>
      </c>
      <c r="BB346" s="49">
        <f>IF(BB342=1,'Rent Roll'!$F$46/BldgSF*ReimbPool/12*BB$7,0)</f>
        <v>11162.07793205113</v>
      </c>
      <c r="BC346" s="49">
        <f>IF(BC342=1,'Rent Roll'!$F$46/BldgSF*ReimbPool/12*BC$7,0)</f>
        <v>11162.07793205113</v>
      </c>
      <c r="BD346" s="49">
        <f>IF(BD342=1,'Rent Roll'!$F$46/BldgSF*ReimbPool/12*BD$7,0)</f>
        <v>11162.07793205113</v>
      </c>
      <c r="BE346" s="49">
        <f>IF(BE342=1,'Rent Roll'!$F$46/BldgSF*ReimbPool/12*BE$7,0)</f>
        <v>11463.45403621651</v>
      </c>
      <c r="BF346" s="49">
        <f>IF(BF342=1,'Rent Roll'!$F$46/BldgSF*ReimbPool/12*BF$7,0)</f>
        <v>11463.45403621651</v>
      </c>
      <c r="BG346" s="49">
        <f>IF(BG342=1,'Rent Roll'!$F$46/BldgSF*ReimbPool/12*BG$7,0)</f>
        <v>11463.45403621651</v>
      </c>
      <c r="BH346" s="49">
        <f>IF(BH342=1,'Rent Roll'!$F$46/BldgSF*ReimbPool/12*BH$7,0)</f>
        <v>11463.45403621651</v>
      </c>
      <c r="BI346" s="49">
        <f>IF(BI342=1,'Rent Roll'!$F$46/BldgSF*ReimbPool/12*BI$7,0)</f>
        <v>11463.45403621651</v>
      </c>
      <c r="BJ346" s="49">
        <f>IF(BJ342=1,'Rent Roll'!$F$46/BldgSF*ReimbPool/12*BJ$7,0)</f>
        <v>11463.45403621651</v>
      </c>
      <c r="BK346" s="49">
        <f>IF(BK342=1,'Rent Roll'!$F$46/BldgSF*ReimbPool/12*BK$7,0)</f>
        <v>11463.45403621651</v>
      </c>
      <c r="BL346" s="49">
        <f>IF(BL342=1,'Rent Roll'!$F$46/BldgSF*ReimbPool/12*BL$7,0)</f>
        <v>11463.45403621651</v>
      </c>
      <c r="BM346" s="49">
        <f>IF(BM342=1,'Rent Roll'!$F$46/BldgSF*ReimbPool/12*BM$7,0)</f>
        <v>11463.45403621651</v>
      </c>
      <c r="BN346" s="49">
        <f>IF(BN342=1,'Rent Roll'!$F$46/BldgSF*ReimbPool/12*BN$7,0)</f>
        <v>11463.45403621651</v>
      </c>
      <c r="BO346" s="49">
        <f>IF(BO342=1,'Rent Roll'!$F$46/BldgSF*ReimbPool/12*BO$7,0)</f>
        <v>11463.45403621651</v>
      </c>
      <c r="BP346" s="49">
        <f>IF(BP342=1,'Rent Roll'!$F$46/BldgSF*ReimbPool/12*BP$7,0)</f>
        <v>11463.45403621651</v>
      </c>
      <c r="BQ346" s="49">
        <f>IF(BQ342=1,'Rent Roll'!$F$46/BldgSF*ReimbPool/12*BQ$7,0)</f>
        <v>11772.967295194354</v>
      </c>
      <c r="BR346" s="49">
        <f>IF(BR342=1,'Rent Roll'!$F$46/BldgSF*ReimbPool/12*BR$7,0)</f>
        <v>11772.967295194354</v>
      </c>
      <c r="BS346" s="49">
        <f>IF(BS342=1,'Rent Roll'!$F$46/BldgSF*ReimbPool/12*BS$7,0)</f>
        <v>11772.967295194354</v>
      </c>
      <c r="BT346" s="49">
        <f>IF(BT342=1,'Rent Roll'!$F$46/BldgSF*ReimbPool/12*BT$7,0)</f>
        <v>11772.967295194354</v>
      </c>
      <c r="BU346" s="49">
        <f>IF(BU342=1,'Rent Roll'!$F$46/BldgSF*ReimbPool/12*BU$7,0)</f>
        <v>11772.967295194354</v>
      </c>
      <c r="BV346" s="49">
        <f>IF(BV342=1,'Rent Roll'!$F$46/BldgSF*ReimbPool/12*BV$7,0)</f>
        <v>11772.967295194354</v>
      </c>
      <c r="BW346" s="49">
        <f>IF(BW342=1,'Rent Roll'!$F$46/BldgSF*ReimbPool/12*BW$7,0)</f>
        <v>11772.967295194354</v>
      </c>
      <c r="BX346" s="49">
        <f>IF(BX342=1,'Rent Roll'!$F$46/BldgSF*ReimbPool/12*BX$7,0)</f>
        <v>11772.967295194354</v>
      </c>
    </row>
    <row r="347" spans="1:76">
      <c r="B347" t="s">
        <v>86</v>
      </c>
      <c r="D347" s="49">
        <f>-'Rent Roll'!$F$46*'Rent Roll'!$T$46/SpecBuildout*D340</f>
        <v>0</v>
      </c>
      <c r="E347" s="49">
        <f>-'Rent Roll'!$F$46*'Rent Roll'!$T$46/SpecBuildout*E340</f>
        <v>0</v>
      </c>
      <c r="F347" s="49">
        <f>-'Rent Roll'!$F$46*'Rent Roll'!$T$46/SpecBuildout*F340</f>
        <v>0</v>
      </c>
      <c r="G347" s="49">
        <f>-'Rent Roll'!$F$46*'Rent Roll'!$T$46/SpecBuildout*G340</f>
        <v>0</v>
      </c>
      <c r="H347" s="49">
        <f>-'Rent Roll'!$F$46*'Rent Roll'!$T$46/SpecBuildout*H340</f>
        <v>0</v>
      </c>
      <c r="I347" s="49">
        <f>-'Rent Roll'!$F$46*'Rent Roll'!$T$46/SpecBuildout*I340</f>
        <v>0</v>
      </c>
      <c r="J347" s="49">
        <f>-'Rent Roll'!$F$46*'Rent Roll'!$T$46/SpecBuildout*J340</f>
        <v>0</v>
      </c>
      <c r="K347" s="49">
        <f>-'Rent Roll'!$F$46*'Rent Roll'!$T$46/SpecBuildout*K340</f>
        <v>0</v>
      </c>
      <c r="L347" s="49">
        <f>-'Rent Roll'!$F$46*'Rent Roll'!$T$46/SpecBuildout*L340</f>
        <v>0</v>
      </c>
      <c r="M347" s="49">
        <f>-'Rent Roll'!$F$46*'Rent Roll'!$T$46/SpecBuildout*M340</f>
        <v>0</v>
      </c>
      <c r="N347" s="49">
        <f>-'Rent Roll'!$F$46*'Rent Roll'!$T$46/SpecBuildout*N340</f>
        <v>-76666.666666666672</v>
      </c>
      <c r="O347" s="49">
        <f>-'Rent Roll'!$F$46*'Rent Roll'!$T$46/SpecBuildout*O340</f>
        <v>-76666.666666666672</v>
      </c>
      <c r="P347" s="49">
        <f>-'Rent Roll'!$F$46*'Rent Roll'!$T$46/SpecBuildout*P340</f>
        <v>-76666.666666666672</v>
      </c>
      <c r="Q347" s="49">
        <f>-'Rent Roll'!$F$46*'Rent Roll'!$T$46/SpecBuildout*Q340</f>
        <v>-76666.666666666672</v>
      </c>
      <c r="R347" s="49">
        <f>-'Rent Roll'!$F$46*'Rent Roll'!$T$46/SpecBuildout*R340</f>
        <v>-76666.666666666672</v>
      </c>
      <c r="S347" s="49">
        <f>-'Rent Roll'!$F$46*'Rent Roll'!$T$46/SpecBuildout*S340</f>
        <v>-76666.666666666672</v>
      </c>
      <c r="T347" s="49">
        <f>-'Rent Roll'!$F$46*'Rent Roll'!$T$46/SpecBuildout*T340</f>
        <v>0</v>
      </c>
      <c r="U347" s="49">
        <f>-'Rent Roll'!$F$46*'Rent Roll'!$T$46/SpecBuildout*U340</f>
        <v>0</v>
      </c>
      <c r="V347" s="49">
        <f>-'Rent Roll'!$F$46*'Rent Roll'!$T$46/SpecBuildout*V340</f>
        <v>0</v>
      </c>
      <c r="W347" s="49">
        <f>-'Rent Roll'!$F$46*'Rent Roll'!$T$46/SpecBuildout*W340</f>
        <v>0</v>
      </c>
      <c r="X347" s="49">
        <f>-'Rent Roll'!$F$46*'Rent Roll'!$T$46/SpecBuildout*X340</f>
        <v>0</v>
      </c>
      <c r="Y347" s="49">
        <f>-'Rent Roll'!$F$46*'Rent Roll'!$T$46/SpecBuildout*Y340</f>
        <v>0</v>
      </c>
      <c r="Z347" s="49">
        <f>-'Rent Roll'!$F$46*'Rent Roll'!$T$46/SpecBuildout*Z340</f>
        <v>0</v>
      </c>
      <c r="AA347" s="49">
        <f>-'Rent Roll'!$F$46*'Rent Roll'!$T$46/SpecBuildout*AA340</f>
        <v>0</v>
      </c>
      <c r="AB347" s="49">
        <f>-'Rent Roll'!$F$46*'Rent Roll'!$T$46/SpecBuildout*AB340</f>
        <v>0</v>
      </c>
      <c r="AC347" s="49">
        <f>-'Rent Roll'!$F$46*'Rent Roll'!$T$46/SpecBuildout*AC340</f>
        <v>0</v>
      </c>
      <c r="AD347" s="49">
        <f>-'Rent Roll'!$F$46*'Rent Roll'!$T$46/SpecBuildout*AD340</f>
        <v>0</v>
      </c>
      <c r="AE347" s="49">
        <f>-'Rent Roll'!$F$46*'Rent Roll'!$T$46/SpecBuildout*AE340</f>
        <v>0</v>
      </c>
      <c r="AF347" s="49">
        <f>-'Rent Roll'!$F$46*'Rent Roll'!$T$46/SpecBuildout*AF340</f>
        <v>0</v>
      </c>
      <c r="AG347" s="49">
        <f>-'Rent Roll'!$F$46*'Rent Roll'!$T$46/SpecBuildout*AG340</f>
        <v>0</v>
      </c>
      <c r="AH347" s="49">
        <f>-'Rent Roll'!$F$46*'Rent Roll'!$T$46/SpecBuildout*AH340</f>
        <v>0</v>
      </c>
      <c r="AI347" s="49">
        <f>-'Rent Roll'!$F$46*'Rent Roll'!$T$46/SpecBuildout*AI340</f>
        <v>0</v>
      </c>
      <c r="AJ347" s="49">
        <f>-'Rent Roll'!$F$46*'Rent Roll'!$T$46/SpecBuildout*AJ340</f>
        <v>0</v>
      </c>
      <c r="AK347" s="49">
        <f>-'Rent Roll'!$F$46*'Rent Roll'!$T$46/SpecBuildout*AK340</f>
        <v>0</v>
      </c>
      <c r="AL347" s="49">
        <f>-'Rent Roll'!$F$46*'Rent Roll'!$T$46/SpecBuildout*AL340</f>
        <v>0</v>
      </c>
      <c r="AM347" s="49">
        <f>-'Rent Roll'!$F$46*'Rent Roll'!$T$46/SpecBuildout*AM340</f>
        <v>0</v>
      </c>
      <c r="AN347" s="49">
        <f>-'Rent Roll'!$F$46*'Rent Roll'!$T$46/SpecBuildout*AN340</f>
        <v>0</v>
      </c>
      <c r="AO347" s="49">
        <f>-'Rent Roll'!$F$46*'Rent Roll'!$T$46/SpecBuildout*AO340</f>
        <v>0</v>
      </c>
      <c r="AP347" s="49">
        <f>-'Rent Roll'!$F$46*'Rent Roll'!$T$46/SpecBuildout*AP340</f>
        <v>0</v>
      </c>
      <c r="AQ347" s="49">
        <f>-'Rent Roll'!$F$46*'Rent Roll'!$T$46/SpecBuildout*AQ340</f>
        <v>0</v>
      </c>
      <c r="AR347" s="49">
        <f>-'Rent Roll'!$F$46*'Rent Roll'!$T$46/SpecBuildout*AR340</f>
        <v>0</v>
      </c>
      <c r="AS347" s="49">
        <f>-'Rent Roll'!$F$46*'Rent Roll'!$T$46/SpecBuildout*AS340</f>
        <v>0</v>
      </c>
      <c r="AT347" s="49">
        <f>-'Rent Roll'!$F$46*'Rent Roll'!$T$46/SpecBuildout*AT340</f>
        <v>0</v>
      </c>
      <c r="AU347" s="49">
        <f>-'Rent Roll'!$F$46*'Rent Roll'!$T$46/SpecBuildout*AU340</f>
        <v>0</v>
      </c>
      <c r="AV347" s="49">
        <f>-'Rent Roll'!$F$46*'Rent Roll'!$T$46/SpecBuildout*AV340</f>
        <v>0</v>
      </c>
      <c r="AW347" s="49">
        <f>-'Rent Roll'!$F$46*'Rent Roll'!$T$46/SpecBuildout*AW340</f>
        <v>0</v>
      </c>
      <c r="AX347" s="49">
        <f>-'Rent Roll'!$F$46*'Rent Roll'!$T$46/SpecBuildout*AX340</f>
        <v>0</v>
      </c>
      <c r="AY347" s="49">
        <f>-'Rent Roll'!$F$46*'Rent Roll'!$T$46/SpecBuildout*AY340</f>
        <v>0</v>
      </c>
      <c r="AZ347" s="49">
        <f>-'Rent Roll'!$F$46*'Rent Roll'!$T$46/SpecBuildout*AZ340</f>
        <v>0</v>
      </c>
      <c r="BA347" s="49">
        <f>-'Rent Roll'!$F$46*'Rent Roll'!$T$46/SpecBuildout*BA340</f>
        <v>0</v>
      </c>
      <c r="BB347" s="49">
        <f>-'Rent Roll'!$F$46*'Rent Roll'!$T$46/SpecBuildout*BB340</f>
        <v>0</v>
      </c>
      <c r="BC347" s="49">
        <f>-'Rent Roll'!$F$46*'Rent Roll'!$T$46/SpecBuildout*BC340</f>
        <v>0</v>
      </c>
      <c r="BD347" s="49">
        <f>-'Rent Roll'!$F$46*'Rent Roll'!$T$46/SpecBuildout*BD340</f>
        <v>0</v>
      </c>
      <c r="BE347" s="49">
        <f>-'Rent Roll'!$F$46*'Rent Roll'!$T$46/SpecBuildout*BE340</f>
        <v>0</v>
      </c>
      <c r="BF347" s="49">
        <f>-'Rent Roll'!$F$46*'Rent Roll'!$T$46/SpecBuildout*BF340</f>
        <v>0</v>
      </c>
      <c r="BG347" s="49">
        <f>-'Rent Roll'!$F$46*'Rent Roll'!$T$46/SpecBuildout*BG340</f>
        <v>0</v>
      </c>
      <c r="BH347" s="49">
        <f>-'Rent Roll'!$F$46*'Rent Roll'!$T$46/SpecBuildout*BH340</f>
        <v>0</v>
      </c>
      <c r="BI347" s="49">
        <f>-'Rent Roll'!$F$46*'Rent Roll'!$T$46/SpecBuildout*BI340</f>
        <v>0</v>
      </c>
      <c r="BJ347" s="49">
        <f>-'Rent Roll'!$F$46*'Rent Roll'!$T$46/SpecBuildout*BJ340</f>
        <v>0</v>
      </c>
      <c r="BK347" s="49">
        <f>-'Rent Roll'!$F$46*'Rent Roll'!$T$46/SpecBuildout*BK340</f>
        <v>0</v>
      </c>
      <c r="BL347" s="49">
        <f>-'Rent Roll'!$F$46*'Rent Roll'!$T$46/SpecBuildout*BL340</f>
        <v>0</v>
      </c>
      <c r="BM347" s="49">
        <f>-'Rent Roll'!$F$46*'Rent Roll'!$T$46/SpecBuildout*BM340</f>
        <v>0</v>
      </c>
      <c r="BN347" s="49">
        <f>-'Rent Roll'!$F$46*'Rent Roll'!$T$46/SpecBuildout*BN340</f>
        <v>0</v>
      </c>
      <c r="BO347" s="49">
        <f>-'Rent Roll'!$F$46*'Rent Roll'!$T$46/SpecBuildout*BO340</f>
        <v>0</v>
      </c>
      <c r="BP347" s="49">
        <f>-'Rent Roll'!$F$46*'Rent Roll'!$T$46/SpecBuildout*BP340</f>
        <v>0</v>
      </c>
      <c r="BQ347" s="49">
        <f>-'Rent Roll'!$F$46*'Rent Roll'!$T$46/SpecBuildout*BQ340</f>
        <v>0</v>
      </c>
      <c r="BR347" s="49">
        <f>-'Rent Roll'!$F$46*'Rent Roll'!$T$46/SpecBuildout*BR340</f>
        <v>0</v>
      </c>
      <c r="BS347" s="49">
        <f>-'Rent Roll'!$F$46*'Rent Roll'!$T$46/SpecBuildout*BS340</f>
        <v>0</v>
      </c>
      <c r="BT347" s="49">
        <f>-'Rent Roll'!$F$46*'Rent Roll'!$T$46/SpecBuildout*BT340</f>
        <v>0</v>
      </c>
      <c r="BU347" s="49">
        <f>-'Rent Roll'!$F$46*'Rent Roll'!$T$46/SpecBuildout*BU340</f>
        <v>0</v>
      </c>
      <c r="BV347" s="49">
        <f>-'Rent Roll'!$F$46*'Rent Roll'!$T$46/SpecBuildout*BV340</f>
        <v>0</v>
      </c>
      <c r="BW347" s="49">
        <f>-'Rent Roll'!$F$46*'Rent Roll'!$T$46/SpecBuildout*BW340</f>
        <v>0</v>
      </c>
      <c r="BX347" s="49">
        <f>-'Rent Roll'!$F$46*'Rent Roll'!$T$46/SpecBuildout*BX340</f>
        <v>0</v>
      </c>
    </row>
    <row r="348" spans="1:76">
      <c r="B348" t="s">
        <v>87</v>
      </c>
      <c r="D348" s="49">
        <f>IF(D$4=EOMONTH(CloseDate,'Rent Roll'!$O$46-1),-'Rent Roll'!$U$46*'Rent Roll'!$F$46*'Rent Roll'!$X$46,0)</f>
        <v>0</v>
      </c>
      <c r="E348" s="49">
        <f>IF(E$4=EOMONTH(CloseDate,'Rent Roll'!$O$46-1),-'Rent Roll'!$U$46*'Rent Roll'!$F$46*'Rent Roll'!$X$46,0)</f>
        <v>0</v>
      </c>
      <c r="F348" s="49">
        <f>IF(F$4=EOMONTH(CloseDate,'Rent Roll'!$O$46-1),-'Rent Roll'!$U$46*'Rent Roll'!$F$46*'Rent Roll'!$X$46,0)</f>
        <v>0</v>
      </c>
      <c r="G348" s="49">
        <f>IF(G$4=EOMONTH(CloseDate,'Rent Roll'!$O$46-1),-'Rent Roll'!$U$46*'Rent Roll'!$F$46*'Rent Roll'!$X$46,0)</f>
        <v>0</v>
      </c>
      <c r="H348" s="49">
        <f>IF(H$4=EOMONTH(CloseDate,'Rent Roll'!$O$46-1),-'Rent Roll'!$U$46*'Rent Roll'!$F$46*'Rent Roll'!$X$46,0)</f>
        <v>0</v>
      </c>
      <c r="I348" s="49">
        <f>IF(I$4=EOMONTH(CloseDate,'Rent Roll'!$O$46-1),-'Rent Roll'!$U$46*'Rent Roll'!$F$46*'Rent Roll'!$X$46,0)</f>
        <v>0</v>
      </c>
      <c r="J348" s="49">
        <f>IF(J$4=EOMONTH(CloseDate,'Rent Roll'!$O$46-1),-'Rent Roll'!$U$46*'Rent Roll'!$F$46*'Rent Roll'!$X$46,0)</f>
        <v>0</v>
      </c>
      <c r="K348" s="49">
        <f>IF(K$4=EOMONTH(CloseDate,'Rent Roll'!$O$46-1),-'Rent Roll'!$U$46*'Rent Roll'!$F$46*'Rent Roll'!$X$46,0)</f>
        <v>0</v>
      </c>
      <c r="L348" s="49">
        <f>IF(L$4=EOMONTH(CloseDate,'Rent Roll'!$O$46-1),-'Rent Roll'!$U$46*'Rent Roll'!$F$46*'Rent Roll'!$X$46,0)</f>
        <v>0</v>
      </c>
      <c r="M348" s="49">
        <f>IF(M$4=EOMONTH(CloseDate,'Rent Roll'!$O$46-1),-'Rent Roll'!$U$46*'Rent Roll'!$F$46*'Rent Roll'!$X$46,0)</f>
        <v>0</v>
      </c>
      <c r="N348" s="49">
        <f>IF(N$4=EOMONTH(CloseDate,'Rent Roll'!$O$46-1),-'Rent Roll'!$U$46*'Rent Roll'!$F$46*'Rent Roll'!$X$46,0)</f>
        <v>0</v>
      </c>
      <c r="O348" s="49">
        <f>IF(O$4=EOMONTH(CloseDate,'Rent Roll'!$O$46-1),-'Rent Roll'!$U$46*'Rent Roll'!$F$46*'Rent Roll'!$X$46,0)</f>
        <v>0</v>
      </c>
      <c r="P348" s="49">
        <f>IF(P$4=EOMONTH(CloseDate,'Rent Roll'!$O$46-1),-'Rent Roll'!$U$46*'Rent Roll'!$F$46*'Rent Roll'!$X$46,0)</f>
        <v>0</v>
      </c>
      <c r="Q348" s="49">
        <f>IF(Q$4=EOMONTH(CloseDate,'Rent Roll'!$O$46-1),-'Rent Roll'!$U$46*'Rent Roll'!$F$46*'Rent Roll'!$X$46,0)</f>
        <v>0</v>
      </c>
      <c r="R348" s="49">
        <f>IF(R$4=EOMONTH(CloseDate,'Rent Roll'!$O$46-1),-'Rent Roll'!$U$46*'Rent Roll'!$F$46*'Rent Roll'!$X$46,0)</f>
        <v>0</v>
      </c>
      <c r="S348" s="49">
        <f>IF(S$4=EOMONTH(CloseDate,'Rent Roll'!$O$46-1),-'Rent Roll'!$U$46*'Rent Roll'!$F$46*'Rent Roll'!$X$46,0)</f>
        <v>-14950</v>
      </c>
      <c r="T348" s="49">
        <f>IF(T$4=EOMONTH(CloseDate,'Rent Roll'!$O$46-1),-'Rent Roll'!$U$46*'Rent Roll'!$F$46*'Rent Roll'!$X$46,0)</f>
        <v>0</v>
      </c>
      <c r="U348" s="49">
        <f>IF(U$4=EOMONTH(CloseDate,'Rent Roll'!$O$46-1),-'Rent Roll'!$U$46*'Rent Roll'!$F$46*'Rent Roll'!$X$46,0)</f>
        <v>0</v>
      </c>
      <c r="V348" s="49">
        <f>IF(V$4=EOMONTH(CloseDate,'Rent Roll'!$O$46-1),-'Rent Roll'!$U$46*'Rent Roll'!$F$46*'Rent Roll'!$X$46,0)</f>
        <v>0</v>
      </c>
      <c r="W348" s="49">
        <f>IF(W$4=EOMONTH(CloseDate,'Rent Roll'!$O$46-1),-'Rent Roll'!$U$46*'Rent Roll'!$F$46*'Rent Roll'!$X$46,0)</f>
        <v>0</v>
      </c>
      <c r="X348" s="49">
        <f>IF(X$4=EOMONTH(CloseDate,'Rent Roll'!$O$46-1),-'Rent Roll'!$U$46*'Rent Roll'!$F$46*'Rent Roll'!$X$46,0)</f>
        <v>0</v>
      </c>
      <c r="Y348" s="49">
        <f>IF(Y$4=EOMONTH(CloseDate,'Rent Roll'!$O$46-1),-'Rent Roll'!$U$46*'Rent Roll'!$F$46*'Rent Roll'!$X$46,0)</f>
        <v>0</v>
      </c>
      <c r="Z348" s="49">
        <f>IF(Z$4=EOMONTH(CloseDate,'Rent Roll'!$O$46-1),-'Rent Roll'!$U$46*'Rent Roll'!$F$46*'Rent Roll'!$X$46,0)</f>
        <v>0</v>
      </c>
      <c r="AA348" s="49">
        <f>IF(AA$4=EOMONTH(CloseDate,'Rent Roll'!$O$46-1),-'Rent Roll'!$U$46*'Rent Roll'!$F$46*'Rent Roll'!$X$46,0)</f>
        <v>0</v>
      </c>
      <c r="AB348" s="49">
        <f>IF(AB$4=EOMONTH(CloseDate,'Rent Roll'!$O$46-1),-'Rent Roll'!$U$46*'Rent Roll'!$F$46*'Rent Roll'!$X$46,0)</f>
        <v>0</v>
      </c>
      <c r="AC348" s="49">
        <f>IF(AC$4=EOMONTH(CloseDate,'Rent Roll'!$O$46-1),-'Rent Roll'!$U$46*'Rent Roll'!$F$46*'Rent Roll'!$X$46,0)</f>
        <v>0</v>
      </c>
      <c r="AD348" s="49">
        <f>IF(AD$4=EOMONTH(CloseDate,'Rent Roll'!$O$46-1),-'Rent Roll'!$U$46*'Rent Roll'!$F$46*'Rent Roll'!$X$46,0)</f>
        <v>0</v>
      </c>
      <c r="AE348" s="49">
        <f>IF(AE$4=EOMONTH(CloseDate,'Rent Roll'!$O$46-1),-'Rent Roll'!$U$46*'Rent Roll'!$F$46*'Rent Roll'!$X$46,0)</f>
        <v>0</v>
      </c>
      <c r="AF348" s="49">
        <f>IF(AF$4=EOMONTH(CloseDate,'Rent Roll'!$O$46-1),-'Rent Roll'!$U$46*'Rent Roll'!$F$46*'Rent Roll'!$X$46,0)</f>
        <v>0</v>
      </c>
      <c r="AG348" s="49">
        <f>IF(AG$4=EOMONTH(CloseDate,'Rent Roll'!$O$46-1),-'Rent Roll'!$U$46*'Rent Roll'!$F$46*'Rent Roll'!$X$46,0)</f>
        <v>0</v>
      </c>
      <c r="AH348" s="49">
        <f>IF(AH$4=EOMONTH(CloseDate,'Rent Roll'!$O$46-1),-'Rent Roll'!$U$46*'Rent Roll'!$F$46*'Rent Roll'!$X$46,0)</f>
        <v>0</v>
      </c>
      <c r="AI348" s="49">
        <f>IF(AI$4=EOMONTH(CloseDate,'Rent Roll'!$O$46-1),-'Rent Roll'!$U$46*'Rent Roll'!$F$46*'Rent Roll'!$X$46,0)</f>
        <v>0</v>
      </c>
      <c r="AJ348" s="49">
        <f>IF(AJ$4=EOMONTH(CloseDate,'Rent Roll'!$O$46-1),-'Rent Roll'!$U$46*'Rent Roll'!$F$46*'Rent Roll'!$X$46,0)</f>
        <v>0</v>
      </c>
      <c r="AK348" s="49">
        <f>IF(AK$4=EOMONTH(CloseDate,'Rent Roll'!$O$46-1),-'Rent Roll'!$U$46*'Rent Roll'!$F$46*'Rent Roll'!$X$46,0)</f>
        <v>0</v>
      </c>
      <c r="AL348" s="49">
        <f>IF(AL$4=EOMONTH(CloseDate,'Rent Roll'!$O$46-1),-'Rent Roll'!$U$46*'Rent Roll'!$F$46*'Rent Roll'!$X$46,0)</f>
        <v>0</v>
      </c>
      <c r="AM348" s="49">
        <f>IF(AM$4=EOMONTH(CloseDate,'Rent Roll'!$O$46-1),-'Rent Roll'!$U$46*'Rent Roll'!$F$46*'Rent Roll'!$X$46,0)</f>
        <v>0</v>
      </c>
      <c r="AN348" s="49">
        <f>IF(AN$4=EOMONTH(CloseDate,'Rent Roll'!$O$46-1),-'Rent Roll'!$U$46*'Rent Roll'!$F$46*'Rent Roll'!$X$46,0)</f>
        <v>0</v>
      </c>
      <c r="AO348" s="49">
        <f>IF(AO$4=EOMONTH(CloseDate,'Rent Roll'!$O$46-1),-'Rent Roll'!$U$46*'Rent Roll'!$F$46*'Rent Roll'!$X$46,0)</f>
        <v>0</v>
      </c>
      <c r="AP348" s="49">
        <f>IF(AP$4=EOMONTH(CloseDate,'Rent Roll'!$O$46-1),-'Rent Roll'!$U$46*'Rent Roll'!$F$46*'Rent Roll'!$X$46,0)</f>
        <v>0</v>
      </c>
      <c r="AQ348" s="49">
        <f>IF(AQ$4=EOMONTH(CloseDate,'Rent Roll'!$O$46-1),-'Rent Roll'!$U$46*'Rent Roll'!$F$46*'Rent Roll'!$X$46,0)</f>
        <v>0</v>
      </c>
      <c r="AR348" s="49">
        <f>IF(AR$4=EOMONTH(CloseDate,'Rent Roll'!$O$46-1),-'Rent Roll'!$U$46*'Rent Roll'!$F$46*'Rent Roll'!$X$46,0)</f>
        <v>0</v>
      </c>
      <c r="AS348" s="49">
        <f>IF(AS$4=EOMONTH(CloseDate,'Rent Roll'!$O$46-1),-'Rent Roll'!$U$46*'Rent Roll'!$F$46*'Rent Roll'!$X$46,0)</f>
        <v>0</v>
      </c>
      <c r="AT348" s="49">
        <f>IF(AT$4=EOMONTH(CloseDate,'Rent Roll'!$O$46-1),-'Rent Roll'!$U$46*'Rent Roll'!$F$46*'Rent Roll'!$X$46,0)</f>
        <v>0</v>
      </c>
      <c r="AU348" s="49">
        <f>IF(AU$4=EOMONTH(CloseDate,'Rent Roll'!$O$46-1),-'Rent Roll'!$U$46*'Rent Roll'!$F$46*'Rent Roll'!$X$46,0)</f>
        <v>0</v>
      </c>
      <c r="AV348" s="49">
        <f>IF(AV$4=EOMONTH(CloseDate,'Rent Roll'!$O$46-1),-'Rent Roll'!$U$46*'Rent Roll'!$F$46*'Rent Roll'!$X$46,0)</f>
        <v>0</v>
      </c>
      <c r="AW348" s="49">
        <f>IF(AW$4=EOMONTH(CloseDate,'Rent Roll'!$O$46-1),-'Rent Roll'!$U$46*'Rent Roll'!$F$46*'Rent Roll'!$X$46,0)</f>
        <v>0</v>
      </c>
      <c r="AX348" s="49">
        <f>IF(AX$4=EOMONTH(CloseDate,'Rent Roll'!$O$46-1),-'Rent Roll'!$U$46*'Rent Roll'!$F$46*'Rent Roll'!$X$46,0)</f>
        <v>0</v>
      </c>
      <c r="AY348" s="49">
        <f>IF(AY$4=EOMONTH(CloseDate,'Rent Roll'!$O$46-1),-'Rent Roll'!$U$46*'Rent Roll'!$F$46*'Rent Roll'!$X$46,0)</f>
        <v>0</v>
      </c>
      <c r="AZ348" s="49">
        <f>IF(AZ$4=EOMONTH(CloseDate,'Rent Roll'!$O$46-1),-'Rent Roll'!$U$46*'Rent Roll'!$F$46*'Rent Roll'!$X$46,0)</f>
        <v>0</v>
      </c>
      <c r="BA348" s="49">
        <f>IF(BA$4=EOMONTH(CloseDate,'Rent Roll'!$O$46-1),-'Rent Roll'!$U$46*'Rent Roll'!$F$46*'Rent Roll'!$X$46,0)</f>
        <v>0</v>
      </c>
      <c r="BB348" s="49">
        <f>IF(BB$4=EOMONTH(CloseDate,'Rent Roll'!$O$46-1),-'Rent Roll'!$U$46*'Rent Roll'!$F$46*'Rent Roll'!$X$46,0)</f>
        <v>0</v>
      </c>
      <c r="BC348" s="49">
        <f>IF(BC$4=EOMONTH(CloseDate,'Rent Roll'!$O$46-1),-'Rent Roll'!$U$46*'Rent Roll'!$F$46*'Rent Roll'!$X$46,0)</f>
        <v>0</v>
      </c>
      <c r="BD348" s="49">
        <f>IF(BD$4=EOMONTH(CloseDate,'Rent Roll'!$O$46-1),-'Rent Roll'!$U$46*'Rent Roll'!$F$46*'Rent Roll'!$X$46,0)</f>
        <v>0</v>
      </c>
      <c r="BE348" s="49">
        <f>IF(BE$4=EOMONTH(CloseDate,'Rent Roll'!$O$46-1),-'Rent Roll'!$U$46*'Rent Roll'!$F$46*'Rent Roll'!$X$46,0)</f>
        <v>0</v>
      </c>
      <c r="BF348" s="49">
        <f>IF(BF$4=EOMONTH(CloseDate,'Rent Roll'!$O$46-1),-'Rent Roll'!$U$46*'Rent Roll'!$F$46*'Rent Roll'!$X$46,0)</f>
        <v>0</v>
      </c>
      <c r="BG348" s="49">
        <f>IF(BG$4=EOMONTH(CloseDate,'Rent Roll'!$O$46-1),-'Rent Roll'!$U$46*'Rent Roll'!$F$46*'Rent Roll'!$X$46,0)</f>
        <v>0</v>
      </c>
      <c r="BH348" s="49">
        <f>IF(BH$4=EOMONTH(CloseDate,'Rent Roll'!$O$46-1),-'Rent Roll'!$U$46*'Rent Roll'!$F$46*'Rent Roll'!$X$46,0)</f>
        <v>0</v>
      </c>
      <c r="BI348" s="49">
        <f>IF(BI$4=EOMONTH(CloseDate,'Rent Roll'!$O$46-1),-'Rent Roll'!$U$46*'Rent Roll'!$F$46*'Rent Roll'!$X$46,0)</f>
        <v>0</v>
      </c>
      <c r="BJ348" s="49">
        <f>IF(BJ$4=EOMONTH(CloseDate,'Rent Roll'!$O$46-1),-'Rent Roll'!$U$46*'Rent Roll'!$F$46*'Rent Roll'!$X$46,0)</f>
        <v>0</v>
      </c>
      <c r="BK348" s="49">
        <f>IF(BK$4=EOMONTH(CloseDate,'Rent Roll'!$O$46-1),-'Rent Roll'!$U$46*'Rent Roll'!$F$46*'Rent Roll'!$X$46,0)</f>
        <v>0</v>
      </c>
      <c r="BL348" s="49">
        <f>IF(BL$4=EOMONTH(CloseDate,'Rent Roll'!$O$46-1),-'Rent Roll'!$U$46*'Rent Roll'!$F$46*'Rent Roll'!$X$46,0)</f>
        <v>0</v>
      </c>
      <c r="BM348" s="49">
        <f>IF(BM$4=EOMONTH(CloseDate,'Rent Roll'!$O$46-1),-'Rent Roll'!$U$46*'Rent Roll'!$F$46*'Rent Roll'!$X$46,0)</f>
        <v>0</v>
      </c>
      <c r="BN348" s="49">
        <f>IF(BN$4=EOMONTH(CloseDate,'Rent Roll'!$O$46-1),-'Rent Roll'!$U$46*'Rent Roll'!$F$46*'Rent Roll'!$X$46,0)</f>
        <v>0</v>
      </c>
      <c r="BO348" s="49">
        <f>IF(BO$4=EOMONTH(CloseDate,'Rent Roll'!$O$46-1),-'Rent Roll'!$U$46*'Rent Roll'!$F$46*'Rent Roll'!$X$46,0)</f>
        <v>0</v>
      </c>
      <c r="BP348" s="49">
        <f>IF(BP$4=EOMONTH(CloseDate,'Rent Roll'!$O$46-1),-'Rent Roll'!$U$46*'Rent Roll'!$F$46*'Rent Roll'!$X$46,0)</f>
        <v>0</v>
      </c>
      <c r="BQ348" s="49">
        <f>IF(BQ$4=EOMONTH(CloseDate,'Rent Roll'!$O$46-1),-'Rent Roll'!$U$46*'Rent Roll'!$F$46*'Rent Roll'!$X$46,0)</f>
        <v>0</v>
      </c>
      <c r="BR348" s="49">
        <f>IF(BR$4=EOMONTH(CloseDate,'Rent Roll'!$O$46-1),-'Rent Roll'!$U$46*'Rent Roll'!$F$46*'Rent Roll'!$X$46,0)</f>
        <v>0</v>
      </c>
      <c r="BS348" s="49">
        <f>IF(BS$4=EOMONTH(CloseDate,'Rent Roll'!$O$46-1),-'Rent Roll'!$U$46*'Rent Roll'!$F$46*'Rent Roll'!$X$46,0)</f>
        <v>0</v>
      </c>
      <c r="BT348" s="49">
        <f>IF(BT$4=EOMONTH(CloseDate,'Rent Roll'!$O$46-1),-'Rent Roll'!$U$46*'Rent Roll'!$F$46*'Rent Roll'!$X$46,0)</f>
        <v>0</v>
      </c>
      <c r="BU348" s="49">
        <f>IF(BU$4=EOMONTH(CloseDate,'Rent Roll'!$O$46-1),-'Rent Roll'!$U$46*'Rent Roll'!$F$46*'Rent Roll'!$X$46,0)</f>
        <v>0</v>
      </c>
      <c r="BV348" s="49">
        <f>IF(BV$4=EOMONTH(CloseDate,'Rent Roll'!$O$46-1),-'Rent Roll'!$U$46*'Rent Roll'!$F$46*'Rent Roll'!$X$46,0)</f>
        <v>0</v>
      </c>
      <c r="BW348" s="49">
        <f>IF(BW$4=EOMONTH(CloseDate,'Rent Roll'!$O$46-1),-'Rent Roll'!$U$46*'Rent Roll'!$F$46*'Rent Roll'!$X$46,0)</f>
        <v>0</v>
      </c>
      <c r="BX348" s="49">
        <f>IF(BX$4=EOMONTH(CloseDate,'Rent Roll'!$O$46-1),-'Rent Roll'!$U$46*'Rent Roll'!$F$46*'Rent Roll'!$X$46,0)</f>
        <v>0</v>
      </c>
    </row>
    <row r="349" spans="1:76">
      <c r="B349" s="17"/>
      <c r="D349" s="49"/>
      <c r="E349" s="49"/>
      <c r="F349" s="49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  <c r="AA349" s="49"/>
      <c r="AB349" s="49"/>
      <c r="AC349" s="49"/>
      <c r="AD349" s="49"/>
      <c r="AE349" s="49"/>
      <c r="AF349" s="49"/>
      <c r="AG349" s="49"/>
      <c r="AH349" s="49"/>
      <c r="AI349" s="49"/>
      <c r="AJ349" s="49"/>
      <c r="AK349" s="49"/>
      <c r="AL349" s="49"/>
      <c r="AM349" s="49"/>
      <c r="AN349" s="49"/>
      <c r="AO349" s="49"/>
      <c r="AP349" s="49"/>
      <c r="AQ349" s="49"/>
      <c r="AR349" s="49"/>
      <c r="AS349" s="49"/>
      <c r="AT349" s="49"/>
      <c r="AU349" s="49"/>
      <c r="AV349" s="49"/>
      <c r="AW349" s="49"/>
      <c r="AX349" s="49"/>
      <c r="AY349" s="49"/>
      <c r="AZ349" s="49"/>
      <c r="BA349" s="49"/>
      <c r="BB349" s="49"/>
      <c r="BC349" s="49"/>
      <c r="BD349" s="49"/>
      <c r="BE349" s="49"/>
      <c r="BF349" s="49"/>
      <c r="BG349" s="49"/>
      <c r="BH349" s="49"/>
      <c r="BI349" s="49"/>
      <c r="BJ349" s="49"/>
      <c r="BK349" s="49"/>
      <c r="BL349" s="49"/>
      <c r="BM349" s="49"/>
      <c r="BN349" s="49"/>
      <c r="BO349" s="49"/>
      <c r="BP349" s="49"/>
      <c r="BQ349" s="49"/>
      <c r="BR349" s="49"/>
      <c r="BS349" s="49"/>
      <c r="BT349" s="49"/>
      <c r="BU349" s="49"/>
      <c r="BV349" s="49"/>
      <c r="BW349" s="49"/>
      <c r="BX349" s="49"/>
    </row>
    <row r="350" spans="1:76"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  <c r="AA350" s="49"/>
      <c r="AB350" s="49"/>
      <c r="AC350" s="49"/>
      <c r="AD350" s="49"/>
      <c r="AE350" s="49"/>
      <c r="AF350" s="49"/>
      <c r="AG350" s="49"/>
      <c r="AH350" s="49"/>
      <c r="AI350" s="49"/>
      <c r="AJ350" s="49"/>
      <c r="AK350" s="49"/>
      <c r="AL350" s="49"/>
      <c r="AM350" s="49"/>
      <c r="AN350" s="49"/>
      <c r="AO350" s="49"/>
      <c r="AP350" s="49"/>
      <c r="AQ350" s="49"/>
      <c r="AR350" s="49"/>
      <c r="AS350" s="49"/>
      <c r="AT350" s="49"/>
      <c r="AU350" s="49"/>
      <c r="AV350" s="49"/>
      <c r="AW350" s="49"/>
      <c r="AX350" s="49"/>
      <c r="AY350" s="49"/>
      <c r="AZ350" s="49"/>
      <c r="BA350" s="49"/>
      <c r="BB350" s="49"/>
      <c r="BC350" s="49"/>
      <c r="BD350" s="49"/>
      <c r="BE350" s="49"/>
      <c r="BF350" s="49"/>
      <c r="BG350" s="49"/>
      <c r="BH350" s="49"/>
      <c r="BI350" s="49"/>
      <c r="BJ350" s="49"/>
      <c r="BK350" s="49"/>
      <c r="BL350" s="49"/>
      <c r="BM350" s="49"/>
      <c r="BN350" s="49"/>
      <c r="BO350" s="49"/>
      <c r="BP350" s="49"/>
      <c r="BQ350" s="49"/>
      <c r="BR350" s="49"/>
      <c r="BS350" s="49"/>
      <c r="BT350" s="49"/>
      <c r="BU350" s="49"/>
      <c r="BV350" s="49"/>
      <c r="BW350" s="49"/>
      <c r="BX350" s="49"/>
    </row>
    <row r="351" spans="1:76">
      <c r="A351" s="48" t="s">
        <v>171</v>
      </c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  <c r="AA351" s="49"/>
      <c r="AB351" s="49"/>
      <c r="AC351" s="49"/>
      <c r="AD351" s="49"/>
      <c r="AE351" s="49"/>
      <c r="AF351" s="49"/>
      <c r="AG351" s="49"/>
      <c r="AH351" s="49"/>
      <c r="AI351" s="49"/>
      <c r="AJ351" s="49"/>
      <c r="AK351" s="49"/>
      <c r="AL351" s="49"/>
      <c r="AM351" s="49"/>
      <c r="AN351" s="49"/>
      <c r="AO351" s="49"/>
      <c r="AP351" s="49"/>
      <c r="AQ351" s="49"/>
      <c r="AR351" s="49"/>
      <c r="AS351" s="49"/>
      <c r="AT351" s="49"/>
      <c r="AU351" s="49"/>
      <c r="AV351" s="49"/>
      <c r="AW351" s="49"/>
      <c r="AX351" s="49"/>
      <c r="AY351" s="49"/>
      <c r="AZ351" s="49"/>
      <c r="BA351" s="49"/>
      <c r="BB351" s="49"/>
      <c r="BC351" s="49"/>
      <c r="BD351" s="49"/>
      <c r="BE351" s="49"/>
      <c r="BF351" s="49"/>
      <c r="BG351" s="49"/>
      <c r="BH351" s="49"/>
      <c r="BI351" s="49"/>
      <c r="BJ351" s="49"/>
      <c r="BK351" s="49"/>
      <c r="BL351" s="49"/>
      <c r="BM351" s="49"/>
      <c r="BN351" s="49"/>
      <c r="BO351" s="49"/>
      <c r="BP351" s="49"/>
      <c r="BQ351" s="49"/>
      <c r="BR351" s="49"/>
      <c r="BS351" s="49"/>
      <c r="BT351" s="49"/>
      <c r="BU351" s="49"/>
      <c r="BV351" s="49"/>
      <c r="BW351" s="49"/>
      <c r="BX351" s="49"/>
    </row>
    <row r="352" spans="1:76">
      <c r="B352" s="17" t="s">
        <v>159</v>
      </c>
      <c r="D352" s="49">
        <f t="shared" ref="D352:AI358" si="113">SUMIF($B$9:$B$348,$B352,D$9:D$348)</f>
        <v>368370.83333333331</v>
      </c>
      <c r="E352" s="49">
        <f t="shared" si="113"/>
        <v>368853.75000000006</v>
      </c>
      <c r="F352" s="49">
        <f t="shared" si="113"/>
        <v>369403.75000000006</v>
      </c>
      <c r="G352" s="49">
        <f t="shared" si="113"/>
        <v>246194</v>
      </c>
      <c r="H352" s="49">
        <f t="shared" si="113"/>
        <v>246628.9375</v>
      </c>
      <c r="I352" s="49">
        <f t="shared" si="113"/>
        <v>249015.29895833335</v>
      </c>
      <c r="J352" s="49">
        <f t="shared" ref="J352:AO352" si="114">SUMIF($B$9:$B$348,$B352,J$9:J$348)</f>
        <v>249365.03854166667</v>
      </c>
      <c r="K352" s="49">
        <f t="shared" si="114"/>
        <v>249783.63229166667</v>
      </c>
      <c r="L352" s="49">
        <f t="shared" si="114"/>
        <v>251220.63229166667</v>
      </c>
      <c r="M352" s="49">
        <f t="shared" si="114"/>
        <v>251561.88229166667</v>
      </c>
      <c r="N352" s="49">
        <f t="shared" si="114"/>
        <v>251849.27812499998</v>
      </c>
      <c r="O352" s="49">
        <f t="shared" si="114"/>
        <v>252420.21562499998</v>
      </c>
      <c r="P352" s="49">
        <f t="shared" si="114"/>
        <v>244896.46562499998</v>
      </c>
      <c r="Q352" s="49">
        <f t="shared" si="114"/>
        <v>244896.46562499998</v>
      </c>
      <c r="R352" s="49">
        <f t="shared" si="114"/>
        <v>221782.71562499998</v>
      </c>
      <c r="S352" s="49">
        <f t="shared" si="114"/>
        <v>221782.71562499998</v>
      </c>
      <c r="T352" s="49">
        <f t="shared" si="114"/>
        <v>221782.71562499998</v>
      </c>
      <c r="U352" s="49">
        <f t="shared" si="114"/>
        <v>227429.94331458333</v>
      </c>
      <c r="V352" s="49">
        <f t="shared" si="114"/>
        <v>208722.26232499999</v>
      </c>
      <c r="W352" s="49">
        <f t="shared" si="114"/>
        <v>208722.26232499999</v>
      </c>
      <c r="X352" s="49">
        <f t="shared" si="114"/>
        <v>208722.26232499999</v>
      </c>
      <c r="Y352" s="49">
        <f t="shared" si="114"/>
        <v>208722.26232499999</v>
      </c>
      <c r="Z352" s="49">
        <f t="shared" si="114"/>
        <v>208722.26232499999</v>
      </c>
      <c r="AA352" s="49">
        <f t="shared" si="114"/>
        <v>208722.26232499999</v>
      </c>
      <c r="AB352" s="49">
        <f t="shared" si="114"/>
        <v>208722.26232499999</v>
      </c>
      <c r="AC352" s="49">
        <f t="shared" si="114"/>
        <v>201901.95503333333</v>
      </c>
      <c r="AD352" s="49">
        <f t="shared" si="114"/>
        <v>201901.95503333333</v>
      </c>
      <c r="AE352" s="49">
        <f t="shared" si="114"/>
        <v>191329.82130833334</v>
      </c>
      <c r="AF352" s="49">
        <f t="shared" si="114"/>
        <v>178117.78170833335</v>
      </c>
      <c r="AG352" s="49">
        <f t="shared" si="114"/>
        <v>163014.05123859373</v>
      </c>
      <c r="AH352" s="49">
        <f t="shared" si="114"/>
        <v>163014.05123859373</v>
      </c>
      <c r="AI352" s="49">
        <f t="shared" si="114"/>
        <v>148303.27659666666</v>
      </c>
      <c r="AJ352" s="49">
        <f t="shared" si="114"/>
        <v>101316.01559666666</v>
      </c>
      <c r="AK352" s="49">
        <f t="shared" si="114"/>
        <v>86616.458565416673</v>
      </c>
      <c r="AL352" s="49">
        <f t="shared" si="114"/>
        <v>86616.458565416673</v>
      </c>
      <c r="AM352" s="49">
        <f t="shared" si="114"/>
        <v>86616.458565416673</v>
      </c>
      <c r="AN352" s="49">
        <f t="shared" si="114"/>
        <v>74716.817159166676</v>
      </c>
      <c r="AO352" s="49">
        <f t="shared" si="114"/>
        <v>74716.817159166676</v>
      </c>
      <c r="AP352" s="49">
        <f t="shared" ref="AP352:BK352" si="115">SUMIF($B$9:$B$348,$B352,AP$9:AP$348)</f>
        <v>74716.817159166676</v>
      </c>
      <c r="AQ352" s="49">
        <f t="shared" si="115"/>
        <v>74716.817159166676</v>
      </c>
      <c r="AR352" s="49">
        <f t="shared" si="115"/>
        <v>67741.007347187508</v>
      </c>
      <c r="AS352" s="49">
        <f t="shared" si="115"/>
        <v>59983.2763067224</v>
      </c>
      <c r="AT352" s="49">
        <f t="shared" si="115"/>
        <v>59983.2763067224</v>
      </c>
      <c r="AU352" s="49">
        <f t="shared" si="115"/>
        <v>59983.2763067224</v>
      </c>
      <c r="AV352" s="49">
        <f t="shared" si="115"/>
        <v>59983.2763067224</v>
      </c>
      <c r="AW352" s="49">
        <f t="shared" si="115"/>
        <v>59983.2763067224</v>
      </c>
      <c r="AX352" s="49">
        <f t="shared" si="115"/>
        <v>47294.027284912503</v>
      </c>
      <c r="AY352" s="49">
        <f t="shared" si="115"/>
        <v>25874.1877446</v>
      </c>
      <c r="AZ352" s="49">
        <f t="shared" si="115"/>
        <v>25874.1877446</v>
      </c>
      <c r="BA352" s="49">
        <f t="shared" si="115"/>
        <v>25874.1877446</v>
      </c>
      <c r="BB352" s="49">
        <f t="shared" si="115"/>
        <v>25874.1877446</v>
      </c>
      <c r="BC352" s="49">
        <f t="shared" si="115"/>
        <v>25874.1877446</v>
      </c>
      <c r="BD352" s="49">
        <f t="shared" si="115"/>
        <v>25874.1877446</v>
      </c>
      <c r="BE352" s="49">
        <f t="shared" si="115"/>
        <v>26391.671499492</v>
      </c>
      <c r="BF352" s="49">
        <f t="shared" si="115"/>
        <v>26391.671499492</v>
      </c>
      <c r="BG352" s="49">
        <f t="shared" si="115"/>
        <v>26391.671499492</v>
      </c>
      <c r="BH352" s="49">
        <f t="shared" si="115"/>
        <v>18276.677595972</v>
      </c>
      <c r="BI352" s="49">
        <f t="shared" si="115"/>
        <v>18276.677595972</v>
      </c>
      <c r="BJ352" s="49">
        <f t="shared" si="115"/>
        <v>18276.677595972</v>
      </c>
      <c r="BK352" s="49">
        <f t="shared" si="115"/>
        <v>18276.677595972</v>
      </c>
      <c r="BL352" s="49">
        <f t="shared" ref="BL352:BX358" si="116">SUMIF($B$9:$B$348,$B352,BL$9:BL$348)</f>
        <v>18276.677595972</v>
      </c>
      <c r="BM352" s="49">
        <f t="shared" si="116"/>
        <v>0</v>
      </c>
      <c r="BN352" s="49">
        <f t="shared" si="116"/>
        <v>0</v>
      </c>
      <c r="BO352" s="49">
        <f t="shared" si="116"/>
        <v>0</v>
      </c>
      <c r="BP352" s="49">
        <f t="shared" si="116"/>
        <v>0</v>
      </c>
      <c r="BQ352" s="49">
        <f t="shared" si="116"/>
        <v>0</v>
      </c>
      <c r="BR352" s="49">
        <f t="shared" si="116"/>
        <v>0</v>
      </c>
      <c r="BS352" s="49">
        <f t="shared" si="116"/>
        <v>0</v>
      </c>
      <c r="BT352" s="49">
        <f t="shared" si="116"/>
        <v>0</v>
      </c>
      <c r="BU352" s="49">
        <f t="shared" si="116"/>
        <v>0</v>
      </c>
      <c r="BV352" s="49">
        <f t="shared" si="116"/>
        <v>0</v>
      </c>
      <c r="BW352" s="49">
        <f t="shared" si="116"/>
        <v>0</v>
      </c>
      <c r="BX352" s="49">
        <f t="shared" si="116"/>
        <v>0</v>
      </c>
    </row>
    <row r="353" spans="1:76">
      <c r="B353" s="17" t="s">
        <v>162</v>
      </c>
      <c r="D353" s="49">
        <f t="shared" si="113"/>
        <v>0</v>
      </c>
      <c r="E353" s="49">
        <f t="shared" si="113"/>
        <v>0</v>
      </c>
      <c r="F353" s="49">
        <f t="shared" si="113"/>
        <v>17475.468749999996</v>
      </c>
      <c r="G353" s="49">
        <f t="shared" si="113"/>
        <v>30633.468749999993</v>
      </c>
      <c r="H353" s="49">
        <f t="shared" si="113"/>
        <v>42557.906249999993</v>
      </c>
      <c r="I353" s="49">
        <f t="shared" si="113"/>
        <v>63132.289593749985</v>
      </c>
      <c r="J353" s="49">
        <f t="shared" si="113"/>
        <v>78968.148187499988</v>
      </c>
      <c r="K353" s="49">
        <f t="shared" si="113"/>
        <v>78968.148187499988</v>
      </c>
      <c r="L353" s="49">
        <f t="shared" si="113"/>
        <v>97548.888937499985</v>
      </c>
      <c r="M353" s="49">
        <f t="shared" si="113"/>
        <v>110639.86537499998</v>
      </c>
      <c r="N353" s="49">
        <f t="shared" si="113"/>
        <v>110639.86537499998</v>
      </c>
      <c r="O353" s="49">
        <f t="shared" si="113"/>
        <v>190144.68524999995</v>
      </c>
      <c r="P353" s="49">
        <f t="shared" si="113"/>
        <v>190144.68524999995</v>
      </c>
      <c r="Q353" s="49">
        <f t="shared" si="113"/>
        <v>245773.85191666661</v>
      </c>
      <c r="R353" s="49">
        <f t="shared" si="113"/>
        <v>245773.85191666661</v>
      </c>
      <c r="S353" s="49">
        <f t="shared" si="113"/>
        <v>299177.85191666661</v>
      </c>
      <c r="T353" s="49">
        <f t="shared" si="113"/>
        <v>299177.85191666661</v>
      </c>
      <c r="U353" s="49">
        <f t="shared" si="113"/>
        <v>307255.65391841653</v>
      </c>
      <c r="V353" s="49">
        <f t="shared" si="113"/>
        <v>343534.37628466653</v>
      </c>
      <c r="W353" s="49">
        <f t="shared" si="113"/>
        <v>343534.37628466653</v>
      </c>
      <c r="X353" s="49">
        <f t="shared" si="113"/>
        <v>343534.37628466653</v>
      </c>
      <c r="Y353" s="49">
        <f t="shared" si="113"/>
        <v>343534.37628466653</v>
      </c>
      <c r="Z353" s="49">
        <f t="shared" si="113"/>
        <v>343534.37628466653</v>
      </c>
      <c r="AA353" s="49">
        <f t="shared" si="113"/>
        <v>361966.2599638853</v>
      </c>
      <c r="AB353" s="49">
        <f t="shared" si="113"/>
        <v>367308.57221648947</v>
      </c>
      <c r="AC353" s="49">
        <f t="shared" si="113"/>
        <v>367308.57221648947</v>
      </c>
      <c r="AD353" s="49">
        <f t="shared" si="113"/>
        <v>367308.57221648947</v>
      </c>
      <c r="AE353" s="49">
        <f t="shared" si="113"/>
        <v>367308.57221648947</v>
      </c>
      <c r="AF353" s="49">
        <f t="shared" si="113"/>
        <v>367308.57221648947</v>
      </c>
      <c r="AG353" s="49">
        <f t="shared" si="113"/>
        <v>377225.90366633463</v>
      </c>
      <c r="AH353" s="49">
        <f t="shared" si="113"/>
        <v>377225.90366633463</v>
      </c>
      <c r="AI353" s="49">
        <f t="shared" si="113"/>
        <v>385565.46678513987</v>
      </c>
      <c r="AJ353" s="49">
        <f t="shared" ref="AJ353:AS358" si="117">SUMIF($B$9:$B$348,$B353,AJ$9:AJ$348)</f>
        <v>413625.7328070018</v>
      </c>
      <c r="AK353" s="49">
        <f t="shared" si="117"/>
        <v>413625.7328070018</v>
      </c>
      <c r="AL353" s="49">
        <f t="shared" si="117"/>
        <v>438122.79044513521</v>
      </c>
      <c r="AM353" s="49">
        <f t="shared" si="117"/>
        <v>455716.13183979469</v>
      </c>
      <c r="AN353" s="49">
        <f t="shared" si="117"/>
        <v>507845.45345916966</v>
      </c>
      <c r="AO353" s="49">
        <f t="shared" si="117"/>
        <v>525216.09432984609</v>
      </c>
      <c r="AP353" s="49">
        <f t="shared" si="117"/>
        <v>525216.09432984609</v>
      </c>
      <c r="AQ353" s="49">
        <f t="shared" si="117"/>
        <v>525216.09432984609</v>
      </c>
      <c r="AR353" s="49">
        <f t="shared" si="117"/>
        <v>525216.09432984609</v>
      </c>
      <c r="AS353" s="49">
        <f t="shared" si="117"/>
        <v>554949.44266963098</v>
      </c>
      <c r="AT353" s="49">
        <f t="shared" ref="AT353:BC358" si="118">SUMIF($B$9:$B$348,$B353,AT$9:AT$348)</f>
        <v>554949.44266963098</v>
      </c>
      <c r="AU353" s="49">
        <f t="shared" si="118"/>
        <v>554949.44266963098</v>
      </c>
      <c r="AV353" s="49">
        <f t="shared" si="118"/>
        <v>554949.44266963098</v>
      </c>
      <c r="AW353" s="49">
        <f t="shared" si="118"/>
        <v>562838.01099345868</v>
      </c>
      <c r="AX353" s="49">
        <f t="shared" si="118"/>
        <v>574273.68289998733</v>
      </c>
      <c r="AY353" s="49">
        <f t="shared" si="118"/>
        <v>574273.68289998733</v>
      </c>
      <c r="AZ353" s="49">
        <f t="shared" si="118"/>
        <v>574273.68289998733</v>
      </c>
      <c r="BA353" s="49">
        <f t="shared" si="118"/>
        <v>574273.68289998733</v>
      </c>
      <c r="BB353" s="49">
        <f t="shared" si="118"/>
        <v>574273.68289998733</v>
      </c>
      <c r="BC353" s="49">
        <f t="shared" si="118"/>
        <v>612468.827067793</v>
      </c>
      <c r="BD353" s="49">
        <f t="shared" ref="BD353:BK358" si="119">SUMIF($B$9:$B$348,$B353,BD$9:BD$348)</f>
        <v>612468.827067793</v>
      </c>
      <c r="BE353" s="49">
        <f t="shared" si="119"/>
        <v>629005.48539862316</v>
      </c>
      <c r="BF353" s="49">
        <f t="shared" si="119"/>
        <v>629005.48539862316</v>
      </c>
      <c r="BG353" s="49">
        <f t="shared" si="119"/>
        <v>629005.48539862316</v>
      </c>
      <c r="BH353" s="49">
        <f t="shared" si="119"/>
        <v>629005.48539862316</v>
      </c>
      <c r="BI353" s="49">
        <f t="shared" si="119"/>
        <v>629005.48539862316</v>
      </c>
      <c r="BJ353" s="49">
        <f t="shared" si="119"/>
        <v>629005.48539862316</v>
      </c>
      <c r="BK353" s="49">
        <f t="shared" si="119"/>
        <v>629005.48539862316</v>
      </c>
      <c r="BL353" s="49">
        <f t="shared" si="116"/>
        <v>629005.48539862316</v>
      </c>
      <c r="BM353" s="49">
        <f t="shared" si="116"/>
        <v>629005.48539862316</v>
      </c>
      <c r="BN353" s="49">
        <f t="shared" si="116"/>
        <v>638727.35700090847</v>
      </c>
      <c r="BO353" s="49">
        <f t="shared" si="116"/>
        <v>638727.35700090847</v>
      </c>
      <c r="BP353" s="49">
        <f t="shared" si="116"/>
        <v>638727.35700090847</v>
      </c>
      <c r="BQ353" s="49">
        <f t="shared" si="116"/>
        <v>655972.99563993281</v>
      </c>
      <c r="BR353" s="49">
        <f t="shared" si="116"/>
        <v>678889.91174910485</v>
      </c>
      <c r="BS353" s="49">
        <f t="shared" si="116"/>
        <v>678889.91174910485</v>
      </c>
      <c r="BT353" s="49">
        <f t="shared" si="116"/>
        <v>678889.91174910485</v>
      </c>
      <c r="BU353" s="49">
        <f t="shared" si="116"/>
        <v>678889.91174910485</v>
      </c>
      <c r="BV353" s="49">
        <f t="shared" si="116"/>
        <v>678889.91174910485</v>
      </c>
      <c r="BW353" s="49">
        <f t="shared" si="116"/>
        <v>678889.91174910485</v>
      </c>
      <c r="BX353" s="49">
        <f t="shared" si="116"/>
        <v>678889.91174910485</v>
      </c>
    </row>
    <row r="354" spans="1:76">
      <c r="B354" s="17" t="s">
        <v>163</v>
      </c>
      <c r="D354" s="49">
        <f t="shared" si="113"/>
        <v>0</v>
      </c>
      <c r="E354" s="49">
        <f t="shared" si="113"/>
        <v>0</v>
      </c>
      <c r="F354" s="49">
        <f t="shared" si="113"/>
        <v>-17475.468749999996</v>
      </c>
      <c r="G354" s="49">
        <f t="shared" si="113"/>
        <v>-30633.468749999993</v>
      </c>
      <c r="H354" s="49">
        <f t="shared" si="113"/>
        <v>-25082.437499999996</v>
      </c>
      <c r="I354" s="49">
        <f t="shared" si="113"/>
        <v>-31671.717187499991</v>
      </c>
      <c r="J354" s="49">
        <f t="shared" si="113"/>
        <v>-35261.178468749989</v>
      </c>
      <c r="K354" s="49">
        <f t="shared" si="113"/>
        <v>-15835.858593749997</v>
      </c>
      <c r="L354" s="49">
        <f t="shared" si="113"/>
        <v>-18580.740749999994</v>
      </c>
      <c r="M354" s="49">
        <f t="shared" si="113"/>
        <v>-31671.717187499991</v>
      </c>
      <c r="N354" s="49">
        <f t="shared" si="113"/>
        <v>-13090.976437499998</v>
      </c>
      <c r="O354" s="49">
        <f t="shared" si="113"/>
        <v>-79504.819874999986</v>
      </c>
      <c r="P354" s="49">
        <f t="shared" si="113"/>
        <v>-79504.819874999986</v>
      </c>
      <c r="Q354" s="49">
        <f t="shared" si="113"/>
        <v>-55629.166666666657</v>
      </c>
      <c r="R354" s="49">
        <f t="shared" si="113"/>
        <v>-55629.166666666657</v>
      </c>
      <c r="S354" s="49">
        <f t="shared" si="113"/>
        <v>-53403.999999999993</v>
      </c>
      <c r="T354" s="49">
        <f t="shared" si="113"/>
        <v>-53403.999999999993</v>
      </c>
      <c r="U354" s="49">
        <f t="shared" si="113"/>
        <v>0</v>
      </c>
      <c r="V354" s="49">
        <f t="shared" si="113"/>
        <v>-36278.722366249989</v>
      </c>
      <c r="W354" s="49">
        <f t="shared" si="113"/>
        <v>-36278.722366249989</v>
      </c>
      <c r="X354" s="49">
        <f t="shared" si="113"/>
        <v>0</v>
      </c>
      <c r="Y354" s="49">
        <f t="shared" si="113"/>
        <v>0</v>
      </c>
      <c r="Z354" s="49">
        <f t="shared" si="113"/>
        <v>0</v>
      </c>
      <c r="AA354" s="49">
        <f t="shared" si="113"/>
        <v>-18431.883679218743</v>
      </c>
      <c r="AB354" s="49">
        <f t="shared" si="113"/>
        <v>-23774.195931822909</v>
      </c>
      <c r="AC354" s="49">
        <f t="shared" si="113"/>
        <v>-5342.3122526041652</v>
      </c>
      <c r="AD354" s="49">
        <f t="shared" si="113"/>
        <v>0</v>
      </c>
      <c r="AE354" s="49">
        <f t="shared" si="113"/>
        <v>0</v>
      </c>
      <c r="AF354" s="49">
        <f t="shared" si="113"/>
        <v>0</v>
      </c>
      <c r="AG354" s="49">
        <f t="shared" si="113"/>
        <v>0</v>
      </c>
      <c r="AH354" s="49">
        <f t="shared" si="113"/>
        <v>0</v>
      </c>
      <c r="AI354" s="49">
        <f t="shared" si="113"/>
        <v>-8339.5631188052048</v>
      </c>
      <c r="AJ354" s="49">
        <f t="shared" si="117"/>
        <v>-36399.829140667134</v>
      </c>
      <c r="AK354" s="49">
        <f t="shared" si="117"/>
        <v>-28060.266021861928</v>
      </c>
      <c r="AL354" s="49">
        <f t="shared" si="117"/>
        <v>-24497.057638133429</v>
      </c>
      <c r="AM354" s="49">
        <f t="shared" si="117"/>
        <v>-42090.399032792891</v>
      </c>
      <c r="AN354" s="49">
        <f t="shared" si="117"/>
        <v>-69722.66301403445</v>
      </c>
      <c r="AO354" s="49">
        <f t="shared" si="117"/>
        <v>-69499.962490051417</v>
      </c>
      <c r="AP354" s="49">
        <f t="shared" si="117"/>
        <v>-17370.64087067643</v>
      </c>
      <c r="AQ354" s="49">
        <f t="shared" si="117"/>
        <v>0</v>
      </c>
      <c r="AR354" s="49">
        <f t="shared" si="117"/>
        <v>0</v>
      </c>
      <c r="AS354" s="49">
        <f t="shared" si="117"/>
        <v>-15552.513792878963</v>
      </c>
      <c r="AT354" s="49">
        <f t="shared" si="118"/>
        <v>-15552.513792878963</v>
      </c>
      <c r="AU354" s="49">
        <f t="shared" si="118"/>
        <v>0</v>
      </c>
      <c r="AV354" s="49">
        <f t="shared" si="118"/>
        <v>0</v>
      </c>
      <c r="AW354" s="49">
        <f t="shared" si="118"/>
        <v>-7888.5683238277115</v>
      </c>
      <c r="AX354" s="49">
        <f t="shared" si="118"/>
        <v>-19324.240230356361</v>
      </c>
      <c r="AY354" s="49">
        <f t="shared" si="118"/>
        <v>-11435.671906528649</v>
      </c>
      <c r="AZ354" s="49">
        <f t="shared" si="118"/>
        <v>0</v>
      </c>
      <c r="BA354" s="49">
        <f t="shared" si="118"/>
        <v>0</v>
      </c>
      <c r="BB354" s="49">
        <f t="shared" si="118"/>
        <v>0</v>
      </c>
      <c r="BC354" s="49">
        <f t="shared" si="118"/>
        <v>-38195.144167805687</v>
      </c>
      <c r="BD354" s="49">
        <f t="shared" si="119"/>
        <v>-38195.144167805687</v>
      </c>
      <c r="BE354" s="49">
        <f t="shared" si="119"/>
        <v>0</v>
      </c>
      <c r="BF354" s="49">
        <f t="shared" si="119"/>
        <v>0</v>
      </c>
      <c r="BG354" s="49">
        <f t="shared" si="119"/>
        <v>0</v>
      </c>
      <c r="BH354" s="49">
        <f t="shared" si="119"/>
        <v>0</v>
      </c>
      <c r="BI354" s="49">
        <f t="shared" si="119"/>
        <v>0</v>
      </c>
      <c r="BJ354" s="49">
        <f t="shared" si="119"/>
        <v>0</v>
      </c>
      <c r="BK354" s="49">
        <f t="shared" si="119"/>
        <v>0</v>
      </c>
      <c r="BL354" s="49">
        <f t="shared" si="116"/>
        <v>0</v>
      </c>
      <c r="BM354" s="49">
        <f t="shared" si="116"/>
        <v>0</v>
      </c>
      <c r="BN354" s="49">
        <f t="shared" si="116"/>
        <v>-9721.8716022852714</v>
      </c>
      <c r="BO354" s="49">
        <f t="shared" si="116"/>
        <v>-9721.8716022852714</v>
      </c>
      <c r="BP354" s="49">
        <f t="shared" si="116"/>
        <v>0</v>
      </c>
      <c r="BQ354" s="49">
        <f t="shared" si="116"/>
        <v>0</v>
      </c>
      <c r="BR354" s="49">
        <f t="shared" si="116"/>
        <v>-22916.916109171998</v>
      </c>
      <c r="BS354" s="49">
        <f t="shared" si="116"/>
        <v>-22916.916109171998</v>
      </c>
      <c r="BT354" s="49">
        <f t="shared" si="116"/>
        <v>0</v>
      </c>
      <c r="BU354" s="49">
        <f t="shared" si="116"/>
        <v>0</v>
      </c>
      <c r="BV354" s="49">
        <f t="shared" si="116"/>
        <v>0</v>
      </c>
      <c r="BW354" s="49">
        <f t="shared" si="116"/>
        <v>0</v>
      </c>
      <c r="BX354" s="49">
        <f t="shared" si="116"/>
        <v>0</v>
      </c>
    </row>
    <row r="355" spans="1:76">
      <c r="B355" s="17" t="s">
        <v>84</v>
      </c>
      <c r="D355" s="49">
        <f t="shared" si="113"/>
        <v>368370.83333333331</v>
      </c>
      <c r="E355" s="49">
        <f t="shared" si="113"/>
        <v>368853.75000000006</v>
      </c>
      <c r="F355" s="49">
        <f t="shared" si="113"/>
        <v>369403.75000000006</v>
      </c>
      <c r="G355" s="49">
        <f t="shared" si="113"/>
        <v>246194</v>
      </c>
      <c r="H355" s="49">
        <f t="shared" si="113"/>
        <v>264104.40625</v>
      </c>
      <c r="I355" s="49">
        <f t="shared" si="113"/>
        <v>280475.87136458338</v>
      </c>
      <c r="J355" s="49">
        <f t="shared" si="113"/>
        <v>293072.00826041668</v>
      </c>
      <c r="K355" s="49">
        <f t="shared" si="113"/>
        <v>312915.92188541667</v>
      </c>
      <c r="L355" s="49">
        <f t="shared" si="113"/>
        <v>330188.78047916666</v>
      </c>
      <c r="M355" s="49">
        <f t="shared" si="113"/>
        <v>330530.03047916666</v>
      </c>
      <c r="N355" s="49">
        <f t="shared" si="113"/>
        <v>349398.16706249997</v>
      </c>
      <c r="O355" s="49">
        <f t="shared" si="113"/>
        <v>363060.08099999995</v>
      </c>
      <c r="P355" s="49">
        <f t="shared" si="113"/>
        <v>355536.33099999995</v>
      </c>
      <c r="Q355" s="49">
        <f t="shared" si="113"/>
        <v>435041.15087499993</v>
      </c>
      <c r="R355" s="49">
        <f t="shared" si="113"/>
        <v>411927.40087499993</v>
      </c>
      <c r="S355" s="49">
        <f t="shared" si="113"/>
        <v>467556.56754166662</v>
      </c>
      <c r="T355" s="49">
        <f t="shared" si="113"/>
        <v>467556.56754166662</v>
      </c>
      <c r="U355" s="49">
        <f t="shared" si="113"/>
        <v>534685.59723299986</v>
      </c>
      <c r="V355" s="49">
        <f t="shared" si="113"/>
        <v>515977.91624341649</v>
      </c>
      <c r="W355" s="49">
        <f t="shared" si="113"/>
        <v>515977.91624341649</v>
      </c>
      <c r="X355" s="49">
        <f t="shared" si="113"/>
        <v>552256.63860966649</v>
      </c>
      <c r="Y355" s="49">
        <f t="shared" si="113"/>
        <v>552256.63860966649</v>
      </c>
      <c r="Z355" s="49">
        <f t="shared" si="113"/>
        <v>552256.63860966649</v>
      </c>
      <c r="AA355" s="49">
        <f t="shared" si="113"/>
        <v>552256.63860966649</v>
      </c>
      <c r="AB355" s="49">
        <f t="shared" si="113"/>
        <v>552256.63860966649</v>
      </c>
      <c r="AC355" s="49">
        <f t="shared" si="113"/>
        <v>563868.21499721857</v>
      </c>
      <c r="AD355" s="49">
        <f t="shared" si="113"/>
        <v>569210.52724982274</v>
      </c>
      <c r="AE355" s="49">
        <f t="shared" si="113"/>
        <v>558638.39352482266</v>
      </c>
      <c r="AF355" s="49">
        <f t="shared" si="113"/>
        <v>545426.35392482276</v>
      </c>
      <c r="AG355" s="49">
        <f t="shared" si="113"/>
        <v>540239.95490492845</v>
      </c>
      <c r="AH355" s="49">
        <f t="shared" si="113"/>
        <v>540239.95490492845</v>
      </c>
      <c r="AI355" s="49">
        <f t="shared" si="113"/>
        <v>525529.18026300136</v>
      </c>
      <c r="AJ355" s="49">
        <f t="shared" si="117"/>
        <v>478541.9192630013</v>
      </c>
      <c r="AK355" s="49">
        <f t="shared" si="117"/>
        <v>472181.9253505565</v>
      </c>
      <c r="AL355" s="49">
        <f t="shared" si="117"/>
        <v>500242.19137241843</v>
      </c>
      <c r="AM355" s="49">
        <f t="shared" si="117"/>
        <v>500242.19137241843</v>
      </c>
      <c r="AN355" s="49">
        <f t="shared" si="117"/>
        <v>512839.60760430188</v>
      </c>
      <c r="AO355" s="49">
        <f t="shared" si="117"/>
        <v>530432.94899896136</v>
      </c>
      <c r="AP355" s="49">
        <f t="shared" si="117"/>
        <v>582562.27061833651</v>
      </c>
      <c r="AQ355" s="49">
        <f t="shared" si="117"/>
        <v>599932.91148901288</v>
      </c>
      <c r="AR355" s="49">
        <f t="shared" si="117"/>
        <v>592957.1016770337</v>
      </c>
      <c r="AS355" s="49">
        <f t="shared" si="117"/>
        <v>599380.20518347446</v>
      </c>
      <c r="AT355" s="49">
        <f t="shared" si="118"/>
        <v>599380.20518347446</v>
      </c>
      <c r="AU355" s="49">
        <f t="shared" si="118"/>
        <v>614932.7189763533</v>
      </c>
      <c r="AV355" s="49">
        <f t="shared" si="118"/>
        <v>614932.7189763533</v>
      </c>
      <c r="AW355" s="49">
        <f t="shared" si="118"/>
        <v>614932.7189763533</v>
      </c>
      <c r="AX355" s="49">
        <f t="shared" si="118"/>
        <v>602243.46995454351</v>
      </c>
      <c r="AY355" s="49">
        <f t="shared" si="118"/>
        <v>588712.19873805856</v>
      </c>
      <c r="AZ355" s="49">
        <f t="shared" si="118"/>
        <v>600147.87064458732</v>
      </c>
      <c r="BA355" s="49">
        <f t="shared" si="118"/>
        <v>600147.87064458732</v>
      </c>
      <c r="BB355" s="49">
        <f t="shared" si="118"/>
        <v>600147.87064458732</v>
      </c>
      <c r="BC355" s="49">
        <f t="shared" si="118"/>
        <v>600147.87064458732</v>
      </c>
      <c r="BD355" s="49">
        <f t="shared" si="119"/>
        <v>600147.87064458732</v>
      </c>
      <c r="BE355" s="49">
        <f t="shared" si="119"/>
        <v>655397.15689811518</v>
      </c>
      <c r="BF355" s="49">
        <f t="shared" si="119"/>
        <v>655397.15689811518</v>
      </c>
      <c r="BG355" s="49">
        <f t="shared" si="119"/>
        <v>655397.15689811518</v>
      </c>
      <c r="BH355" s="49">
        <f t="shared" si="119"/>
        <v>647282.16299459524</v>
      </c>
      <c r="BI355" s="49">
        <f t="shared" si="119"/>
        <v>647282.16299459524</v>
      </c>
      <c r="BJ355" s="49">
        <f t="shared" si="119"/>
        <v>647282.16299459524</v>
      </c>
      <c r="BK355" s="49">
        <f t="shared" si="119"/>
        <v>647282.16299459524</v>
      </c>
      <c r="BL355" s="49">
        <f t="shared" si="116"/>
        <v>647282.16299459524</v>
      </c>
      <c r="BM355" s="49">
        <f t="shared" si="116"/>
        <v>629005.48539862316</v>
      </c>
      <c r="BN355" s="49">
        <f t="shared" si="116"/>
        <v>629005.48539862316</v>
      </c>
      <c r="BO355" s="49">
        <f t="shared" si="116"/>
        <v>629005.48539862316</v>
      </c>
      <c r="BP355" s="49">
        <f t="shared" si="116"/>
        <v>638727.35700090847</v>
      </c>
      <c r="BQ355" s="49">
        <f t="shared" si="116"/>
        <v>655972.99563993281</v>
      </c>
      <c r="BR355" s="49">
        <f t="shared" si="116"/>
        <v>655972.99563993281</v>
      </c>
      <c r="BS355" s="49">
        <f t="shared" si="116"/>
        <v>655972.99563993281</v>
      </c>
      <c r="BT355" s="49">
        <f t="shared" si="116"/>
        <v>678889.91174910485</v>
      </c>
      <c r="BU355" s="49">
        <f t="shared" si="116"/>
        <v>678889.91174910485</v>
      </c>
      <c r="BV355" s="49">
        <f t="shared" si="116"/>
        <v>678889.91174910485</v>
      </c>
      <c r="BW355" s="49">
        <f t="shared" si="116"/>
        <v>678889.91174910485</v>
      </c>
      <c r="BX355" s="49">
        <f t="shared" si="116"/>
        <v>678889.91174910485</v>
      </c>
    </row>
    <row r="356" spans="1:76">
      <c r="B356" s="17" t="s">
        <v>85</v>
      </c>
      <c r="D356" s="49">
        <f t="shared" si="113"/>
        <v>188983.49999999997</v>
      </c>
      <c r="E356" s="49">
        <f t="shared" si="113"/>
        <v>188983.49999999997</v>
      </c>
      <c r="F356" s="49">
        <f t="shared" si="113"/>
        <v>196399.74999999997</v>
      </c>
      <c r="G356" s="49">
        <f t="shared" si="113"/>
        <v>135673.75</v>
      </c>
      <c r="H356" s="49">
        <f t="shared" si="113"/>
        <v>140734.25</v>
      </c>
      <c r="I356" s="49">
        <f t="shared" si="113"/>
        <v>152777.80374999999</v>
      </c>
      <c r="J356" s="49">
        <f t="shared" si="113"/>
        <v>159498.23499999999</v>
      </c>
      <c r="K356" s="49">
        <f t="shared" si="113"/>
        <v>159498.23499999999</v>
      </c>
      <c r="L356" s="49">
        <f t="shared" si="113"/>
        <v>167383.541</v>
      </c>
      <c r="M356" s="49">
        <f t="shared" si="113"/>
        <v>172939.0975</v>
      </c>
      <c r="N356" s="49">
        <f t="shared" si="113"/>
        <v>172939.0975</v>
      </c>
      <c r="O356" s="49">
        <f t="shared" si="113"/>
        <v>205376.37899999999</v>
      </c>
      <c r="P356" s="49">
        <f t="shared" si="113"/>
        <v>201075.30299999999</v>
      </c>
      <c r="Q356" s="49">
        <f t="shared" si="113"/>
        <v>223476.74049999999</v>
      </c>
      <c r="R356" s="49">
        <f t="shared" si="113"/>
        <v>212724.05049999998</v>
      </c>
      <c r="S356" s="49">
        <f t="shared" si="113"/>
        <v>234229.43049999999</v>
      </c>
      <c r="T356" s="49">
        <f t="shared" si="113"/>
        <v>234229.43049999999</v>
      </c>
      <c r="U356" s="49">
        <f t="shared" si="113"/>
        <v>240553.62512349992</v>
      </c>
      <c r="V356" s="49">
        <f t="shared" si="113"/>
        <v>245891.08122799991</v>
      </c>
      <c r="W356" s="49">
        <f t="shared" si="113"/>
        <v>245891.08122799991</v>
      </c>
      <c r="X356" s="49">
        <f t="shared" si="113"/>
        <v>245891.08122799991</v>
      </c>
      <c r="Y356" s="49">
        <f t="shared" si="113"/>
        <v>245891.08122799991</v>
      </c>
      <c r="Z356" s="49">
        <f t="shared" si="113"/>
        <v>245891.08122799991</v>
      </c>
      <c r="AA356" s="49">
        <f t="shared" si="113"/>
        <v>253713.21517424993</v>
      </c>
      <c r="AB356" s="49">
        <f t="shared" si="113"/>
        <v>256013.84280549988</v>
      </c>
      <c r="AC356" s="49">
        <f t="shared" si="113"/>
        <v>252516.88880599992</v>
      </c>
      <c r="AD356" s="49">
        <f t="shared" si="113"/>
        <v>252516.88880599992</v>
      </c>
      <c r="AE356" s="49">
        <f t="shared" si="113"/>
        <v>247547.53312249991</v>
      </c>
      <c r="AF356" s="49">
        <f t="shared" si="113"/>
        <v>240921.72554449996</v>
      </c>
      <c r="AG356" s="49">
        <f t="shared" si="113"/>
        <v>237030.53599410891</v>
      </c>
      <c r="AH356" s="49">
        <f t="shared" si="113"/>
        <v>237030.53599410891</v>
      </c>
      <c r="AI356" s="49">
        <f t="shared" si="113"/>
        <v>233155.63488734717</v>
      </c>
      <c r="AJ356" s="49">
        <f t="shared" si="117"/>
        <v>222381.51961488766</v>
      </c>
      <c r="AK356" s="49">
        <f t="shared" si="117"/>
        <v>215009.75653373118</v>
      </c>
      <c r="AL356" s="49">
        <f t="shared" si="117"/>
        <v>225405.83267382366</v>
      </c>
      <c r="AM356" s="49">
        <f t="shared" si="117"/>
        <v>232872.10553807192</v>
      </c>
      <c r="AN356" s="49">
        <f t="shared" si="117"/>
        <v>249127.78822985291</v>
      </c>
      <c r="AO356" s="49">
        <f t="shared" si="117"/>
        <v>256499.55131100942</v>
      </c>
      <c r="AP356" s="49">
        <f t="shared" si="117"/>
        <v>256499.55131100942</v>
      </c>
      <c r="AQ356" s="49">
        <f t="shared" si="117"/>
        <v>256499.55131100942</v>
      </c>
      <c r="AR356" s="49">
        <f t="shared" si="117"/>
        <v>253191.70890279816</v>
      </c>
      <c r="AS356" s="49">
        <f t="shared" si="117"/>
        <v>261774.99289340779</v>
      </c>
      <c r="AT356" s="49">
        <f t="shared" si="118"/>
        <v>261774.99289340779</v>
      </c>
      <c r="AU356" s="49">
        <f t="shared" si="118"/>
        <v>261774.99289340779</v>
      </c>
      <c r="AV356" s="49">
        <f t="shared" si="118"/>
        <v>261774.99289340779</v>
      </c>
      <c r="AW356" s="49">
        <f t="shared" si="118"/>
        <v>265172.14704664081</v>
      </c>
      <c r="AX356" s="49">
        <f t="shared" si="118"/>
        <v>264007.40847981803</v>
      </c>
      <c r="AY356" s="49">
        <f t="shared" si="118"/>
        <v>253815.94602011915</v>
      </c>
      <c r="AZ356" s="49">
        <f t="shared" si="118"/>
        <v>253815.94602011915</v>
      </c>
      <c r="BA356" s="49">
        <f t="shared" si="118"/>
        <v>253815.94602011915</v>
      </c>
      <c r="BB356" s="49">
        <f t="shared" si="118"/>
        <v>253815.94602011915</v>
      </c>
      <c r="BC356" s="49">
        <f t="shared" si="118"/>
        <v>270025.22440840211</v>
      </c>
      <c r="BD356" s="49">
        <f t="shared" si="119"/>
        <v>270025.22440840211</v>
      </c>
      <c r="BE356" s="49">
        <f t="shared" si="119"/>
        <v>277315.90546742885</v>
      </c>
      <c r="BF356" s="49">
        <f t="shared" si="119"/>
        <v>277315.90546742885</v>
      </c>
      <c r="BG356" s="49">
        <f t="shared" si="119"/>
        <v>277315.90546742885</v>
      </c>
      <c r="BH356" s="49">
        <f t="shared" si="119"/>
        <v>273129.25268898456</v>
      </c>
      <c r="BI356" s="49">
        <f t="shared" si="119"/>
        <v>273129.25268898456</v>
      </c>
      <c r="BJ356" s="49">
        <f t="shared" si="119"/>
        <v>273129.25268898456</v>
      </c>
      <c r="BK356" s="49">
        <f t="shared" si="119"/>
        <v>273129.25268898456</v>
      </c>
      <c r="BL356" s="49">
        <f t="shared" si="116"/>
        <v>273129.25268898456</v>
      </c>
      <c r="BM356" s="49">
        <f t="shared" si="116"/>
        <v>263659.44283297961</v>
      </c>
      <c r="BN356" s="49">
        <f t="shared" si="116"/>
        <v>267846.09561142389</v>
      </c>
      <c r="BO356" s="49">
        <f t="shared" si="116"/>
        <v>267846.09561142389</v>
      </c>
      <c r="BP356" s="49">
        <f t="shared" si="116"/>
        <v>267846.09561142389</v>
      </c>
      <c r="BQ356" s="49">
        <f t="shared" si="116"/>
        <v>275077.94019293238</v>
      </c>
      <c r="BR356" s="49">
        <f t="shared" si="116"/>
        <v>284803.43491504947</v>
      </c>
      <c r="BS356" s="49">
        <f t="shared" si="116"/>
        <v>284803.43491504947</v>
      </c>
      <c r="BT356" s="49">
        <f t="shared" si="116"/>
        <v>284803.43491504947</v>
      </c>
      <c r="BU356" s="49">
        <f t="shared" si="116"/>
        <v>284803.43491504947</v>
      </c>
      <c r="BV356" s="49">
        <f t="shared" si="116"/>
        <v>284803.43491504947</v>
      </c>
      <c r="BW356" s="49">
        <f t="shared" si="116"/>
        <v>284803.43491504947</v>
      </c>
      <c r="BX356" s="49">
        <f t="shared" si="116"/>
        <v>284803.43491504947</v>
      </c>
    </row>
    <row r="357" spans="1:76">
      <c r="A357" s="17"/>
      <c r="B357" s="17" t="s">
        <v>86</v>
      </c>
      <c r="D357" s="49">
        <f t="shared" si="113"/>
        <v>0</v>
      </c>
      <c r="E357" s="49">
        <f t="shared" si="113"/>
        <v>0</v>
      </c>
      <c r="F357" s="49">
        <f t="shared" si="113"/>
        <v>-306000</v>
      </c>
      <c r="G357" s="49">
        <f t="shared" si="113"/>
        <v>-230400</v>
      </c>
      <c r="H357" s="49">
        <f t="shared" si="113"/>
        <v>-208800</v>
      </c>
      <c r="I357" s="49">
        <f t="shared" si="113"/>
        <v>-331200</v>
      </c>
      <c r="J357" s="49">
        <f t="shared" si="113"/>
        <v>-450000</v>
      </c>
      <c r="K357" s="49">
        <f t="shared" si="113"/>
        <v>-180000</v>
      </c>
      <c r="L357" s="49">
        <f t="shared" si="113"/>
        <v>-663466.66666666663</v>
      </c>
      <c r="M357" s="49">
        <f t="shared" si="113"/>
        <v>-569866.66666666674</v>
      </c>
      <c r="N357" s="49">
        <f t="shared" si="113"/>
        <v>-506666.66666666669</v>
      </c>
      <c r="O357" s="49">
        <f t="shared" si="113"/>
        <v>-837866.66666666663</v>
      </c>
      <c r="P357" s="49">
        <f t="shared" si="113"/>
        <v>-326666.66666666669</v>
      </c>
      <c r="Q357" s="49">
        <f t="shared" si="113"/>
        <v>-326666.66666666669</v>
      </c>
      <c r="R357" s="49">
        <f t="shared" si="113"/>
        <v>-160000</v>
      </c>
      <c r="S357" s="49">
        <f t="shared" si="113"/>
        <v>-160000</v>
      </c>
      <c r="T357" s="49">
        <f t="shared" si="113"/>
        <v>0</v>
      </c>
      <c r="U357" s="49">
        <f t="shared" si="113"/>
        <v>0</v>
      </c>
      <c r="V357" s="49">
        <f t="shared" si="113"/>
        <v>-585600</v>
      </c>
      <c r="W357" s="49">
        <f t="shared" si="113"/>
        <v>0</v>
      </c>
      <c r="X357" s="49">
        <f t="shared" si="113"/>
        <v>0</v>
      </c>
      <c r="Y357" s="49">
        <f t="shared" si="113"/>
        <v>0</v>
      </c>
      <c r="Z357" s="49">
        <f t="shared" si="113"/>
        <v>0</v>
      </c>
      <c r="AA357" s="49">
        <f t="shared" si="113"/>
        <v>-306000</v>
      </c>
      <c r="AB357" s="49">
        <f t="shared" si="113"/>
        <v>-80000</v>
      </c>
      <c r="AC357" s="49">
        <f t="shared" si="113"/>
        <v>0</v>
      </c>
      <c r="AD357" s="49">
        <f t="shared" si="113"/>
        <v>0</v>
      </c>
      <c r="AE357" s="49">
        <f t="shared" si="113"/>
        <v>0</v>
      </c>
      <c r="AF357" s="49">
        <f t="shared" si="113"/>
        <v>0</v>
      </c>
      <c r="AG357" s="49">
        <f t="shared" si="113"/>
        <v>0</v>
      </c>
      <c r="AH357" s="49">
        <f t="shared" si="113"/>
        <v>0</v>
      </c>
      <c r="AI357" s="49">
        <f t="shared" si="113"/>
        <v>-121600</v>
      </c>
      <c r="AJ357" s="49">
        <f t="shared" si="117"/>
        <v>-453600</v>
      </c>
      <c r="AK357" s="49">
        <f t="shared" si="117"/>
        <v>0</v>
      </c>
      <c r="AL357" s="49">
        <f t="shared" si="117"/>
        <v>-396000</v>
      </c>
      <c r="AM357" s="49">
        <f t="shared" si="117"/>
        <v>-284400</v>
      </c>
      <c r="AN357" s="49">
        <f t="shared" si="117"/>
        <v>-960000</v>
      </c>
      <c r="AO357" s="49">
        <f t="shared" si="117"/>
        <v>-280800</v>
      </c>
      <c r="AP357" s="49">
        <f t="shared" si="117"/>
        <v>0</v>
      </c>
      <c r="AQ357" s="49">
        <f t="shared" si="117"/>
        <v>0</v>
      </c>
      <c r="AR357" s="49">
        <f t="shared" si="117"/>
        <v>0</v>
      </c>
      <c r="AS357" s="49">
        <f t="shared" si="117"/>
        <v>-244800</v>
      </c>
      <c r="AT357" s="49">
        <f t="shared" si="118"/>
        <v>0</v>
      </c>
      <c r="AU357" s="49">
        <f t="shared" si="118"/>
        <v>0</v>
      </c>
      <c r="AV357" s="49">
        <f t="shared" si="118"/>
        <v>0</v>
      </c>
      <c r="AW357" s="49">
        <f t="shared" si="118"/>
        <v>-112000</v>
      </c>
      <c r="AX357" s="49">
        <f t="shared" si="118"/>
        <v>-180000</v>
      </c>
      <c r="AY357" s="49">
        <f t="shared" si="118"/>
        <v>0</v>
      </c>
      <c r="AZ357" s="49">
        <f t="shared" si="118"/>
        <v>0</v>
      </c>
      <c r="BA357" s="49">
        <f t="shared" si="118"/>
        <v>0</v>
      </c>
      <c r="BB357" s="49">
        <f t="shared" si="118"/>
        <v>0</v>
      </c>
      <c r="BC357" s="49">
        <f t="shared" si="118"/>
        <v>-601200</v>
      </c>
      <c r="BD357" s="49">
        <f t="shared" si="119"/>
        <v>0</v>
      </c>
      <c r="BE357" s="49">
        <f t="shared" si="119"/>
        <v>0</v>
      </c>
      <c r="BF357" s="49">
        <f t="shared" si="119"/>
        <v>0</v>
      </c>
      <c r="BG357" s="49">
        <f t="shared" si="119"/>
        <v>0</v>
      </c>
      <c r="BH357" s="49">
        <f t="shared" si="119"/>
        <v>0</v>
      </c>
      <c r="BI357" s="49">
        <f t="shared" si="119"/>
        <v>0</v>
      </c>
      <c r="BJ357" s="49">
        <f t="shared" si="119"/>
        <v>0</v>
      </c>
      <c r="BK357" s="49">
        <f t="shared" si="119"/>
        <v>0</v>
      </c>
      <c r="BL357" s="49">
        <f t="shared" si="116"/>
        <v>0</v>
      </c>
      <c r="BM357" s="49">
        <f t="shared" si="116"/>
        <v>0</v>
      </c>
      <c r="BN357" s="49">
        <f t="shared" si="116"/>
        <v>-134400</v>
      </c>
      <c r="BO357" s="49">
        <f t="shared" si="116"/>
        <v>0</v>
      </c>
      <c r="BP357" s="49">
        <f t="shared" si="116"/>
        <v>0</v>
      </c>
      <c r="BQ357" s="49">
        <f t="shared" si="116"/>
        <v>0</v>
      </c>
      <c r="BR357" s="49">
        <f t="shared" si="116"/>
        <v>-342000</v>
      </c>
      <c r="BS357" s="49">
        <f t="shared" si="116"/>
        <v>0</v>
      </c>
      <c r="BT357" s="49">
        <f t="shared" si="116"/>
        <v>0</v>
      </c>
      <c r="BU357" s="49">
        <f t="shared" si="116"/>
        <v>0</v>
      </c>
      <c r="BV357" s="49">
        <f t="shared" si="116"/>
        <v>0</v>
      </c>
      <c r="BW357" s="49">
        <f t="shared" si="116"/>
        <v>0</v>
      </c>
      <c r="BX357" s="49">
        <f t="shared" si="116"/>
        <v>0</v>
      </c>
    </row>
    <row r="358" spans="1:76">
      <c r="A358" s="17"/>
      <c r="B358" s="17" t="s">
        <v>87</v>
      </c>
      <c r="D358" s="49">
        <f t="shared" si="113"/>
        <v>0</v>
      </c>
      <c r="E358" s="49">
        <f t="shared" si="113"/>
        <v>0</v>
      </c>
      <c r="F358" s="49">
        <f t="shared" si="113"/>
        <v>-10485.281249999998</v>
      </c>
      <c r="G358" s="49">
        <f t="shared" si="113"/>
        <v>-7894.7999999999993</v>
      </c>
      <c r="H358" s="49">
        <f t="shared" si="113"/>
        <v>-7154.6624999999995</v>
      </c>
      <c r="I358" s="49">
        <f t="shared" si="113"/>
        <v>-11348.774999999998</v>
      </c>
      <c r="J358" s="49">
        <f t="shared" si="113"/>
        <v>-9251.7187499999982</v>
      </c>
      <c r="K358" s="49">
        <f t="shared" si="113"/>
        <v>0</v>
      </c>
      <c r="L358" s="49">
        <f t="shared" si="113"/>
        <v>-10855.349999999999</v>
      </c>
      <c r="M358" s="49">
        <f t="shared" si="113"/>
        <v>-7648.0874999999987</v>
      </c>
      <c r="N358" s="49">
        <f t="shared" si="113"/>
        <v>0</v>
      </c>
      <c r="O358" s="49">
        <f t="shared" si="113"/>
        <v>-46448.774999999994</v>
      </c>
      <c r="P358" s="49">
        <f t="shared" si="113"/>
        <v>0</v>
      </c>
      <c r="Q358" s="49">
        <f t="shared" si="113"/>
        <v>-32500</v>
      </c>
      <c r="R358" s="49">
        <f t="shared" si="113"/>
        <v>0</v>
      </c>
      <c r="S358" s="49">
        <f t="shared" si="113"/>
        <v>-31200</v>
      </c>
      <c r="T358" s="49">
        <f t="shared" si="113"/>
        <v>0</v>
      </c>
      <c r="U358" s="49">
        <f t="shared" si="113"/>
        <v>0</v>
      </c>
      <c r="V358" s="49">
        <f t="shared" si="113"/>
        <v>-21804.749999999996</v>
      </c>
      <c r="W358" s="49">
        <f t="shared" si="113"/>
        <v>0</v>
      </c>
      <c r="X358" s="49">
        <f t="shared" si="113"/>
        <v>0</v>
      </c>
      <c r="Y358" s="49">
        <f t="shared" si="113"/>
        <v>0</v>
      </c>
      <c r="Z358" s="49">
        <f t="shared" si="113"/>
        <v>0</v>
      </c>
      <c r="AA358" s="49">
        <f t="shared" si="113"/>
        <v>-10485.281249999998</v>
      </c>
      <c r="AB358" s="49">
        <f t="shared" si="113"/>
        <v>-3646.8749999999995</v>
      </c>
      <c r="AC358" s="49">
        <f t="shared" si="113"/>
        <v>0</v>
      </c>
      <c r="AD358" s="49">
        <f t="shared" si="113"/>
        <v>0</v>
      </c>
      <c r="AE358" s="49">
        <f t="shared" si="113"/>
        <v>0</v>
      </c>
      <c r="AF358" s="49">
        <f t="shared" si="113"/>
        <v>0</v>
      </c>
      <c r="AG358" s="49">
        <f t="shared" si="113"/>
        <v>0</v>
      </c>
      <c r="AH358" s="49">
        <f t="shared" si="113"/>
        <v>0</v>
      </c>
      <c r="AI358" s="49">
        <f t="shared" si="113"/>
        <v>-5543.2499999999991</v>
      </c>
      <c r="AJ358" s="49">
        <f t="shared" si="117"/>
        <v>-15542.887499999999</v>
      </c>
      <c r="AK358" s="49">
        <f t="shared" si="117"/>
        <v>0</v>
      </c>
      <c r="AL358" s="49">
        <f t="shared" si="117"/>
        <v>-13569.187499999998</v>
      </c>
      <c r="AM358" s="49">
        <f t="shared" si="117"/>
        <v>-9745.1437499999993</v>
      </c>
      <c r="AN358" s="49">
        <f t="shared" si="117"/>
        <v>-23099.999999999996</v>
      </c>
      <c r="AO358" s="49">
        <f t="shared" si="117"/>
        <v>-9621.7874999999985</v>
      </c>
      <c r="AP358" s="49">
        <f t="shared" si="117"/>
        <v>0</v>
      </c>
      <c r="AQ358" s="49">
        <f t="shared" si="117"/>
        <v>0</v>
      </c>
      <c r="AR358" s="49">
        <f t="shared" si="117"/>
        <v>0</v>
      </c>
      <c r="AS358" s="49">
        <f t="shared" si="117"/>
        <v>-8388.2249999999985</v>
      </c>
      <c r="AT358" s="49">
        <f t="shared" si="118"/>
        <v>0</v>
      </c>
      <c r="AU358" s="49">
        <f t="shared" si="118"/>
        <v>0</v>
      </c>
      <c r="AV358" s="49">
        <f t="shared" si="118"/>
        <v>0</v>
      </c>
      <c r="AW358" s="49">
        <f t="shared" si="118"/>
        <v>-5105.6249999999991</v>
      </c>
      <c r="AX358" s="49">
        <f t="shared" si="118"/>
        <v>-6167.8124999999991</v>
      </c>
      <c r="AY358" s="49">
        <f t="shared" si="118"/>
        <v>0</v>
      </c>
      <c r="AZ358" s="49">
        <f t="shared" si="118"/>
        <v>0</v>
      </c>
      <c r="BA358" s="49">
        <f t="shared" si="118"/>
        <v>0</v>
      </c>
      <c r="BB358" s="49">
        <f t="shared" si="118"/>
        <v>0</v>
      </c>
      <c r="BC358" s="49">
        <f t="shared" si="118"/>
        <v>-20600.493749999998</v>
      </c>
      <c r="BD358" s="49">
        <f t="shared" si="119"/>
        <v>0</v>
      </c>
      <c r="BE358" s="49">
        <f t="shared" si="119"/>
        <v>0</v>
      </c>
      <c r="BF358" s="49">
        <f t="shared" si="119"/>
        <v>0</v>
      </c>
      <c r="BG358" s="49">
        <f t="shared" si="119"/>
        <v>0</v>
      </c>
      <c r="BH358" s="49">
        <f t="shared" si="119"/>
        <v>0</v>
      </c>
      <c r="BI358" s="49">
        <f t="shared" si="119"/>
        <v>0</v>
      </c>
      <c r="BJ358" s="49">
        <f t="shared" si="119"/>
        <v>0</v>
      </c>
      <c r="BK358" s="49">
        <f t="shared" si="119"/>
        <v>0</v>
      </c>
      <c r="BL358" s="49">
        <f t="shared" si="116"/>
        <v>0</v>
      </c>
      <c r="BM358" s="49">
        <f t="shared" si="116"/>
        <v>0</v>
      </c>
      <c r="BN358" s="49">
        <f t="shared" si="116"/>
        <v>-6126.7499999999991</v>
      </c>
      <c r="BO358" s="49">
        <f t="shared" si="116"/>
        <v>0</v>
      </c>
      <c r="BP358" s="49">
        <f t="shared" si="116"/>
        <v>0</v>
      </c>
      <c r="BQ358" s="49">
        <f t="shared" si="116"/>
        <v>0</v>
      </c>
      <c r="BR358" s="49">
        <f t="shared" si="116"/>
        <v>-11718.843749999998</v>
      </c>
      <c r="BS358" s="49">
        <f t="shared" si="116"/>
        <v>0</v>
      </c>
      <c r="BT358" s="49">
        <f t="shared" si="116"/>
        <v>0</v>
      </c>
      <c r="BU358" s="49">
        <f t="shared" si="116"/>
        <v>0</v>
      </c>
      <c r="BV358" s="49">
        <f t="shared" si="116"/>
        <v>0</v>
      </c>
      <c r="BW358" s="49">
        <f t="shared" si="116"/>
        <v>0</v>
      </c>
      <c r="BX358" s="49">
        <f t="shared" si="116"/>
        <v>0</v>
      </c>
    </row>
    <row r="359" spans="1:76">
      <c r="B359" s="17" t="s">
        <v>188</v>
      </c>
      <c r="D359" s="57" cm="1">
        <f t="array" ref="D359">SUMPRODUCT(IF(ISNUMBER($B$9:$B$347),$B$9:$B$347,0),(D10:D348)*($B$10:$B$348="Occupancy Flag")+(D12:D350))</f>
        <v>216600</v>
      </c>
      <c r="E359" s="57" cm="1">
        <f t="array" ref="E359">SUMPRODUCT(IF(ISNUMBER($B$9:$B$347),$B$9:$B$347,0),(E10:E348)*($B$10:$B$348="Occupancy Flag")+(E12:E350))</f>
        <v>216600</v>
      </c>
      <c r="F359" s="57" cm="1">
        <f t="array" ref="F359">SUMPRODUCT(IF(ISNUMBER($B$9:$B$347),$B$9:$B$347,0),(F10:F348)*($B$10:$B$348="Occupancy Flag")+(F12:F350))</f>
        <v>225100</v>
      </c>
      <c r="G359" s="57" cm="1">
        <f t="array" ref="G359">SUMPRODUCT(IF(ISNUMBER($B$9:$B$347),$B$9:$B$347,0),(G10:G348)*($B$10:$B$348="Occupancy Flag")+(G12:G350))</f>
        <v>155500</v>
      </c>
      <c r="H359" s="57" cm="1">
        <f t="array" ref="H359">SUMPRODUCT(IF(ISNUMBER($B$9:$B$347),$B$9:$B$347,0),(H10:H348)*($B$10:$B$348="Occupancy Flag")+(H12:H350))</f>
        <v>161300</v>
      </c>
      <c r="I359" s="57" cm="1">
        <f t="array" ref="I359">SUMPRODUCT(IF(ISNUMBER($B$9:$B$347),$B$9:$B$347,0),(I10:I348)*($B$10:$B$348="Occupancy Flag")+(I12:I350))</f>
        <v>170500</v>
      </c>
      <c r="J359" s="57" cm="1">
        <f t="array" ref="J359">SUMPRODUCT(IF(ISNUMBER($B$9:$B$347),$B$9:$B$347,0),(J10:J348)*($B$10:$B$348="Occupancy Flag")+(J12:J350))</f>
        <v>178000</v>
      </c>
      <c r="K359" s="57" cm="1">
        <f t="array" ref="K359">SUMPRODUCT(IF(ISNUMBER($B$9:$B$347),$B$9:$B$347,0),(K10:K348)*($B$10:$B$348="Occupancy Flag")+(K12:K350))</f>
        <v>178000</v>
      </c>
      <c r="L359" s="57" cm="1">
        <f t="array" ref="L359">SUMPRODUCT(IF(ISNUMBER($B$9:$B$347),$B$9:$B$347,0),(L10:L348)*($B$10:$B$348="Occupancy Flag")+(L12:L350))</f>
        <v>186800</v>
      </c>
      <c r="M359" s="57" cm="1">
        <f t="array" ref="M359">SUMPRODUCT(IF(ISNUMBER($B$9:$B$347),$B$9:$B$347,0),(M10:M348)*($B$10:$B$348="Occupancy Flag")+(M12:M350))</f>
        <v>193000</v>
      </c>
      <c r="N359" s="57" cm="1">
        <f t="array" ref="N359">SUMPRODUCT(IF(ISNUMBER($B$9:$B$347),$B$9:$B$347,0),(N10:N348)*($B$10:$B$348="Occupancy Flag")+(N12:N350))</f>
        <v>193000</v>
      </c>
      <c r="O359" s="57" cm="1">
        <f t="array" ref="O359">SUMPRODUCT(IF(ISNUMBER($B$9:$B$347),$B$9:$B$347,0),(O10:O348)*($B$10:$B$348="Occupancy Flag")+(O12:O350))</f>
        <v>229200</v>
      </c>
      <c r="P359" s="57" cm="1">
        <f t="array" ref="P359">SUMPRODUCT(IF(ISNUMBER($B$9:$B$347),$B$9:$B$347,0),(P10:P348)*($B$10:$B$348="Occupancy Flag")+(P12:P350))</f>
        <v>224400</v>
      </c>
      <c r="Q359" s="57" cm="1">
        <f t="array" ref="Q359">SUMPRODUCT(IF(ISNUMBER($B$9:$B$347),$B$9:$B$347,0),(Q10:Q348)*($B$10:$B$348="Occupancy Flag")+(Q12:Q350))</f>
        <v>249400</v>
      </c>
      <c r="R359" s="57" cm="1">
        <f t="array" ref="R359">SUMPRODUCT(IF(ISNUMBER($B$9:$B$347),$B$9:$B$347,0),(R10:R348)*($B$10:$B$348="Occupancy Flag")+(R12:R350))</f>
        <v>237400</v>
      </c>
      <c r="S359" s="57" cm="1">
        <f t="array" ref="S359">SUMPRODUCT(IF(ISNUMBER($B$9:$B$347),$B$9:$B$347,0),(S10:S348)*($B$10:$B$348="Occupancy Flag")+(S12:S350))</f>
        <v>261400</v>
      </c>
      <c r="T359" s="57" cm="1">
        <f t="array" ref="T359">SUMPRODUCT(IF(ISNUMBER($B$9:$B$347),$B$9:$B$347,0),(T10:T348)*($B$10:$B$348="Occupancy Flag")+(T12:T350))</f>
        <v>261400</v>
      </c>
      <c r="U359" s="57" cm="1">
        <f t="array" ref="U359">SUMPRODUCT(IF(ISNUMBER($B$9:$B$347),$B$9:$B$347,0),(U10:U348)*($B$10:$B$348="Occupancy Flag")+(U12:U350))</f>
        <v>261400</v>
      </c>
      <c r="V359" s="57" cm="1">
        <f t="array" ref="V359">SUMPRODUCT(IF(ISNUMBER($B$9:$B$347),$B$9:$B$347,0),(V10:V348)*($B$10:$B$348="Occupancy Flag")+(V12:V350))</f>
        <v>267200</v>
      </c>
      <c r="W359" s="57" cm="1">
        <f t="array" ref="W359">SUMPRODUCT(IF(ISNUMBER($B$9:$B$347),$B$9:$B$347,0),(W10:W348)*($B$10:$B$348="Occupancy Flag")+(W12:W350))</f>
        <v>267200</v>
      </c>
      <c r="X359" s="57" cm="1">
        <f t="array" ref="X359">SUMPRODUCT(IF(ISNUMBER($B$9:$B$347),$B$9:$B$347,0),(X10:X348)*($B$10:$B$348="Occupancy Flag")+(X12:X350))</f>
        <v>267200</v>
      </c>
      <c r="Y359" s="57" cm="1">
        <f t="array" ref="Y359">SUMPRODUCT(IF(ISNUMBER($B$9:$B$347),$B$9:$B$347,0),(Y10:Y348)*($B$10:$B$348="Occupancy Flag")+(Y12:Y350))</f>
        <v>267200</v>
      </c>
      <c r="Z359" s="57" cm="1">
        <f t="array" ref="Z359">SUMPRODUCT(IF(ISNUMBER($B$9:$B$347),$B$9:$B$347,0),(Z10:Z348)*($B$10:$B$348="Occupancy Flag")+(Z12:Z350))</f>
        <v>267200</v>
      </c>
      <c r="AA359" s="57" cm="1">
        <f t="array" ref="AA359">SUMPRODUCT(IF(ISNUMBER($B$9:$B$347),$B$9:$B$347,0),(AA10:AA348)*($B$10:$B$348="Occupancy Flag")+(AA12:AA350))</f>
        <v>275700</v>
      </c>
      <c r="AB359" s="57" cm="1">
        <f t="array" ref="AB359">SUMPRODUCT(IF(ISNUMBER($B$9:$B$347),$B$9:$B$347,0),(AB10:AB348)*($B$10:$B$348="Occupancy Flag")+(AB12:AB350))</f>
        <v>278200</v>
      </c>
      <c r="AC359" s="57" cm="1">
        <f t="array" ref="AC359">SUMPRODUCT(IF(ISNUMBER($B$9:$B$347),$B$9:$B$347,0),(AC10:AC348)*($B$10:$B$348="Occupancy Flag")+(AC12:AC350))</f>
        <v>274400</v>
      </c>
      <c r="AD359" s="57" cm="1">
        <f t="array" ref="AD359">SUMPRODUCT(IF(ISNUMBER($B$9:$B$347),$B$9:$B$347,0),(AD10:AD348)*($B$10:$B$348="Occupancy Flag")+(AD12:AD350))</f>
        <v>274400</v>
      </c>
      <c r="AE359" s="57" cm="1">
        <f t="array" ref="AE359">SUMPRODUCT(IF(ISNUMBER($B$9:$B$347),$B$9:$B$347,0),(AE10:AE348)*($B$10:$B$348="Occupancy Flag")+(AE12:AE350))</f>
        <v>269000</v>
      </c>
      <c r="AF359" s="57" cm="1">
        <f t="array" ref="AF359">SUMPRODUCT(IF(ISNUMBER($B$9:$B$347),$B$9:$B$347,0),(AF10:AF348)*($B$10:$B$348="Occupancy Flag")+(AF12:AF350))</f>
        <v>261800</v>
      </c>
      <c r="AG359" s="57" cm="1">
        <f t="array" ref="AG359">SUMPRODUCT(IF(ISNUMBER($B$9:$B$347),$B$9:$B$347,0),(AG10:AG348)*($B$10:$B$348="Occupancy Flag")+(AG12:AG350))</f>
        <v>250800</v>
      </c>
      <c r="AH359" s="57" cm="1">
        <f t="array" ref="AH359">SUMPRODUCT(IF(ISNUMBER($B$9:$B$347),$B$9:$B$347,0),(AH10:AH348)*($B$10:$B$348="Occupancy Flag")+(AH12:AH350))</f>
        <v>250800</v>
      </c>
      <c r="AI359" s="57" cm="1">
        <f t="array" ref="AI359">SUMPRODUCT(IF(ISNUMBER($B$9:$B$347),$B$9:$B$347,0),(AI10:AI348)*($B$10:$B$348="Occupancy Flag")+(AI12:AI350))</f>
        <v>246700</v>
      </c>
      <c r="AJ359" s="57" cm="1">
        <f t="array" ref="AJ359">SUMPRODUCT(IF(ISNUMBER($B$9:$B$347),$B$9:$B$347,0),(AJ10:AJ348)*($B$10:$B$348="Occupancy Flag")+(AJ12:AJ350))</f>
        <v>235300</v>
      </c>
      <c r="AK359" s="57" cm="1">
        <f t="array" ref="AK359">SUMPRODUCT(IF(ISNUMBER($B$9:$B$347),$B$9:$B$347,0),(AK10:AK348)*($B$10:$B$348="Occupancy Flag")+(AK12:AK350))</f>
        <v>227500</v>
      </c>
      <c r="AL359" s="57" cm="1">
        <f t="array" ref="AL359">SUMPRODUCT(IF(ISNUMBER($B$9:$B$347),$B$9:$B$347,0),(AL10:AL348)*($B$10:$B$348="Occupancy Flag")+(AL12:AL350))</f>
        <v>238500</v>
      </c>
      <c r="AM359" s="57" cm="1">
        <f t="array" ref="AM359">SUMPRODUCT(IF(ISNUMBER($B$9:$B$347),$B$9:$B$347,0),(AM10:AM348)*($B$10:$B$348="Occupancy Flag")+(AM12:AM350))</f>
        <v>246400</v>
      </c>
      <c r="AN359" s="57" cm="1">
        <f t="array" ref="AN359">SUMPRODUCT(IF(ISNUMBER($B$9:$B$347),$B$9:$B$347,0),(AN10:AN348)*($B$10:$B$348="Occupancy Flag")+(AN12:AN350))</f>
        <v>263600</v>
      </c>
      <c r="AO359" s="57" cm="1">
        <f t="array" ref="AO359">SUMPRODUCT(IF(ISNUMBER($B$9:$B$347),$B$9:$B$347,0),(AO10:AO348)*($B$10:$B$348="Occupancy Flag")+(AO12:AO350))</f>
        <v>271400</v>
      </c>
      <c r="AP359" s="57" cm="1">
        <f t="array" ref="AP359">SUMPRODUCT(IF(ISNUMBER($B$9:$B$347),$B$9:$B$347,0),(AP10:AP348)*($B$10:$B$348="Occupancy Flag")+(AP12:AP350))</f>
        <v>271400</v>
      </c>
      <c r="AQ359" s="57" cm="1">
        <f t="array" ref="AQ359">SUMPRODUCT(IF(ISNUMBER($B$9:$B$347),$B$9:$B$347,0),(AQ10:AQ348)*($B$10:$B$348="Occupancy Flag")+(AQ12:AQ350))</f>
        <v>271400</v>
      </c>
      <c r="AR359" s="57" cm="1">
        <f t="array" ref="AR359">SUMPRODUCT(IF(ISNUMBER($B$9:$B$347),$B$9:$B$347,0),(AR10:AR348)*($B$10:$B$348="Occupancy Flag")+(AR12:AR350))</f>
        <v>267900</v>
      </c>
      <c r="AS359" s="57" cm="1">
        <f t="array" ref="AS359">SUMPRODUCT(IF(ISNUMBER($B$9:$B$347),$B$9:$B$347,0),(AS10:AS348)*($B$10:$B$348="Occupancy Flag")+(AS12:AS350))</f>
        <v>269700</v>
      </c>
      <c r="AT359" s="57" cm="1">
        <f t="array" ref="AT359">SUMPRODUCT(IF(ISNUMBER($B$9:$B$347),$B$9:$B$347,0),(AT10:AT348)*($B$10:$B$348="Occupancy Flag")+(AT12:AT350))</f>
        <v>269700</v>
      </c>
      <c r="AU359" s="57" cm="1">
        <f t="array" ref="AU359">SUMPRODUCT(IF(ISNUMBER($B$9:$B$347),$B$9:$B$347,0),(AU10:AU348)*($B$10:$B$348="Occupancy Flag")+(AU12:AU350))</f>
        <v>269700</v>
      </c>
      <c r="AV359" s="57" cm="1">
        <f t="array" ref="AV359">SUMPRODUCT(IF(ISNUMBER($B$9:$B$347),$B$9:$B$347,0),(AV10:AV348)*($B$10:$B$348="Occupancy Flag")+(AV12:AV350))</f>
        <v>269700</v>
      </c>
      <c r="AW359" s="57" cm="1">
        <f t="array" ref="AW359">SUMPRODUCT(IF(ISNUMBER($B$9:$B$347),$B$9:$B$347,0),(AW10:AW348)*($B$10:$B$348="Occupancy Flag")+(AW12:AW350))</f>
        <v>273200</v>
      </c>
      <c r="AX359" s="57" cm="1">
        <f t="array" ref="AX359">SUMPRODUCT(IF(ISNUMBER($B$9:$B$347),$B$9:$B$347,0),(AX10:AX348)*($B$10:$B$348="Occupancy Flag")+(AX12:AX350))</f>
        <v>272000</v>
      </c>
      <c r="AY359" s="57" cm="1">
        <f t="array" ref="AY359">SUMPRODUCT(IF(ISNUMBER($B$9:$B$347),$B$9:$B$347,0),(AY10:AY348)*($B$10:$B$348="Occupancy Flag")+(AY12:AY350))</f>
        <v>261500</v>
      </c>
      <c r="AZ359" s="57" cm="1">
        <f t="array" ref="AZ359">SUMPRODUCT(IF(ISNUMBER($B$9:$B$347),$B$9:$B$347,0),(AZ10:AZ348)*($B$10:$B$348="Occupancy Flag")+(AZ12:AZ350))</f>
        <v>261500</v>
      </c>
      <c r="BA359" s="57" cm="1">
        <f t="array" ref="BA359">SUMPRODUCT(IF(ISNUMBER($B$9:$B$347),$B$9:$B$347,0),(BA10:BA348)*($B$10:$B$348="Occupancy Flag")+(BA12:BA350))</f>
        <v>261500</v>
      </c>
      <c r="BB359" s="57" cm="1">
        <f t="array" ref="BB359">SUMPRODUCT(IF(ISNUMBER($B$9:$B$347),$B$9:$B$347,0),(BB10:BB348)*($B$10:$B$348="Occupancy Flag")+(BB12:BB350))</f>
        <v>261500</v>
      </c>
      <c r="BC359" s="57" cm="1">
        <f t="array" ref="BC359">SUMPRODUCT(IF(ISNUMBER($B$9:$B$347),$B$9:$B$347,0),(BC10:BC348)*($B$10:$B$348="Occupancy Flag")+(BC12:BC350))</f>
        <v>278200</v>
      </c>
      <c r="BD359" s="57" cm="1">
        <f t="array" ref="BD359">SUMPRODUCT(IF(ISNUMBER($B$9:$B$347),$B$9:$B$347,0),(BD10:BD348)*($B$10:$B$348="Occupancy Flag")+(BD12:BD350))</f>
        <v>278200</v>
      </c>
      <c r="BE359" s="57" cm="1">
        <f t="array" ref="BE359">SUMPRODUCT(IF(ISNUMBER($B$9:$B$347),$B$9:$B$347,0),(BE10:BE348)*($B$10:$B$348="Occupancy Flag")+(BE12:BE350))</f>
        <v>278200</v>
      </c>
      <c r="BF359" s="57" cm="1">
        <f t="array" ref="BF359">SUMPRODUCT(IF(ISNUMBER($B$9:$B$347),$B$9:$B$347,0),(BF10:BF348)*($B$10:$B$348="Occupancy Flag")+(BF12:BF350))</f>
        <v>278200</v>
      </c>
      <c r="BG359" s="57" cm="1">
        <f t="array" ref="BG359">SUMPRODUCT(IF(ISNUMBER($B$9:$B$347),$B$9:$B$347,0),(BG10:BG348)*($B$10:$B$348="Occupancy Flag")+(BG12:BG350))</f>
        <v>278200</v>
      </c>
      <c r="BH359" s="57" cm="1">
        <f t="array" ref="BH359">SUMPRODUCT(IF(ISNUMBER($B$9:$B$347),$B$9:$B$347,0),(BH10:BH348)*($B$10:$B$348="Occupancy Flag")+(BH12:BH350))</f>
        <v>274000</v>
      </c>
      <c r="BI359" s="57" cm="1">
        <f t="array" ref="BI359">SUMPRODUCT(IF(ISNUMBER($B$9:$B$347),$B$9:$B$347,0),(BI10:BI348)*($B$10:$B$348="Occupancy Flag")+(BI12:BI350))</f>
        <v>274000</v>
      </c>
      <c r="BJ359" s="57" cm="1">
        <f t="array" ref="BJ359">SUMPRODUCT(IF(ISNUMBER($B$9:$B$347),$B$9:$B$347,0),(BJ10:BJ348)*($B$10:$B$348="Occupancy Flag")+(BJ12:BJ350))</f>
        <v>274000</v>
      </c>
      <c r="BK359" s="57" cm="1">
        <f t="array" ref="BK359">SUMPRODUCT(IF(ISNUMBER($B$9:$B$347),$B$9:$B$347,0),(BK10:BK348)*($B$10:$B$348="Occupancy Flag")+(BK12:BK350))</f>
        <v>274000</v>
      </c>
      <c r="BL359" s="57" cm="1">
        <f t="array" ref="BL359">SUMPRODUCT(IF(ISNUMBER($B$9:$B$347),$B$9:$B$347,0),(BL10:BL348)*($B$10:$B$348="Occupancy Flag")+(BL12:BL350))</f>
        <v>274000</v>
      </c>
      <c r="BM359" s="57" cm="1">
        <f t="array" ref="BM359">SUMPRODUCT(IF(ISNUMBER($B$9:$B$347),$B$9:$B$347,0),(BM10:BM348)*($B$10:$B$348="Occupancy Flag")+(BM12:BM350))</f>
        <v>264500</v>
      </c>
      <c r="BN359" s="57" cm="1">
        <f t="array" ref="BN359">SUMPRODUCT(IF(ISNUMBER($B$9:$B$347),$B$9:$B$347,0),(BN10:BN348)*($B$10:$B$348="Occupancy Flag")+(BN12:BN350))</f>
        <v>268700</v>
      </c>
      <c r="BO359" s="57" cm="1">
        <f t="array" ref="BO359">SUMPRODUCT(IF(ISNUMBER($B$9:$B$347),$B$9:$B$347,0),(BO10:BO348)*($B$10:$B$348="Occupancy Flag")+(BO12:BO350))</f>
        <v>268700</v>
      </c>
      <c r="BP359" s="57" cm="1">
        <f t="array" ref="BP359">SUMPRODUCT(IF(ISNUMBER($B$9:$B$347),$B$9:$B$347,0),(BP10:BP348)*($B$10:$B$348="Occupancy Flag")+(BP12:BP350))</f>
        <v>268700</v>
      </c>
      <c r="BQ359" s="57" cm="1">
        <f t="array" ref="BQ359">SUMPRODUCT(IF(ISNUMBER($B$9:$B$347),$B$9:$B$347,0),(BQ10:BQ348)*($B$10:$B$348="Occupancy Flag")+(BQ12:BQ350))</f>
        <v>268700</v>
      </c>
      <c r="BR359" s="57" cm="1">
        <f t="array" ref="BR359">SUMPRODUCT(IF(ISNUMBER($B$9:$B$347),$B$9:$B$347,0),(BR10:BR348)*($B$10:$B$348="Occupancy Flag")+(BR12:BR350))</f>
        <v>278200</v>
      </c>
      <c r="BS359" s="57" cm="1">
        <f t="array" ref="BS359">SUMPRODUCT(IF(ISNUMBER($B$9:$B$347),$B$9:$B$347,0),(BS10:BS348)*($B$10:$B$348="Occupancy Flag")+(BS12:BS350))</f>
        <v>278200</v>
      </c>
      <c r="BT359" s="57" cm="1">
        <f t="array" ref="BT359">SUMPRODUCT(IF(ISNUMBER($B$9:$B$347),$B$9:$B$347,0),(BT10:BT348)*($B$10:$B$348="Occupancy Flag")+(BT12:BT350))</f>
        <v>278200</v>
      </c>
      <c r="BU359" s="57" cm="1">
        <f t="array" ref="BU359">SUMPRODUCT(IF(ISNUMBER($B$9:$B$347),$B$9:$B$347,0),(BU10:BU348)*($B$10:$B$348="Occupancy Flag")+(BU12:BU350))</f>
        <v>278200</v>
      </c>
      <c r="BV359" s="57" cm="1">
        <f t="array" ref="BV359">SUMPRODUCT(IF(ISNUMBER($B$9:$B$347),$B$9:$B$347,0),(BV10:BV348)*($B$10:$B$348="Occupancy Flag")+(BV12:BV350))</f>
        <v>278200</v>
      </c>
      <c r="BW359" s="57" cm="1">
        <f t="array" ref="BW359">SUMPRODUCT(IF(ISNUMBER($B$9:$B$347),$B$9:$B$347,0),(BW10:BW348)*($B$10:$B$348="Occupancy Flag")+(BW12:BW350))</f>
        <v>278200</v>
      </c>
      <c r="BX359" s="57" cm="1">
        <f t="array" ref="BX359">SUMPRODUCT(IF(ISNUMBER($B$9:$B$347),$B$9:$B$347,0),(BX10:BX348)*($B$10:$B$348="Occupancy Flag")+(BX12:BX350))</f>
        <v>278200</v>
      </c>
    </row>
    <row r="360" spans="1:76">
      <c r="K360" s="57"/>
      <c r="O360" s="57"/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AA2E1-8E58-47B5-B949-82C80113B36E}">
  <sheetPr>
    <tabColor rgb="FF00B050"/>
  </sheetPr>
  <dimension ref="A1:E73"/>
  <sheetViews>
    <sheetView showGridLines="0" topLeftCell="A44" workbookViewId="0">
      <selection activeCell="D34" sqref="D34"/>
    </sheetView>
  </sheetViews>
  <sheetFormatPr defaultRowHeight="14.75"/>
  <cols>
    <col min="1" max="1" width="30" customWidth="1"/>
    <col min="2" max="3" width="22" customWidth="1"/>
    <col min="4" max="4" width="32.90625" bestFit="1" customWidth="1"/>
  </cols>
  <sheetData>
    <row r="1" spans="1:5" ht="18.5">
      <c r="A1" s="76" t="s">
        <v>739</v>
      </c>
    </row>
    <row r="3" spans="1:5" ht="15.5" thickBot="1">
      <c r="A3" s="268" t="s">
        <v>740</v>
      </c>
      <c r="B3" s="268"/>
      <c r="C3" s="268"/>
      <c r="D3" s="268"/>
    </row>
    <row r="4" spans="1:5">
      <c r="A4" s="78" t="s">
        <v>741</v>
      </c>
      <c r="B4" s="241" t="s">
        <v>576</v>
      </c>
      <c r="D4" t="str">
        <f>Assumptions!A1</f>
        <v>SouthPark Centre</v>
      </c>
    </row>
    <row r="5" spans="1:5">
      <c r="A5" s="78" t="s">
        <v>280</v>
      </c>
      <c r="B5" s="241" t="s">
        <v>576</v>
      </c>
      <c r="D5" t="str">
        <f>Assumptions!A2</f>
        <v>4800 Sharon Road, Charlotte, NC 2821</v>
      </c>
    </row>
    <row r="6" spans="1:5">
      <c r="A6" s="78" t="s">
        <v>281</v>
      </c>
      <c r="B6" s="241" t="s">
        <v>576</v>
      </c>
      <c r="D6" t="str">
        <f>'Rental Comp Analysis'!C3</f>
        <v>SouthPark</v>
      </c>
    </row>
    <row r="7" spans="1:5">
      <c r="A7" s="78" t="s">
        <v>742</v>
      </c>
      <c r="B7" s="241" t="s">
        <v>576</v>
      </c>
      <c r="D7" s="28">
        <f>BldgSF</f>
        <v>280000</v>
      </c>
    </row>
    <row r="8" spans="1:5">
      <c r="A8" s="78" t="s">
        <v>2</v>
      </c>
      <c r="B8" s="241" t="s">
        <v>576</v>
      </c>
      <c r="D8">
        <v>8</v>
      </c>
      <c r="E8" s="261" t="s">
        <v>1020</v>
      </c>
    </row>
    <row r="9" spans="1:5">
      <c r="A9" s="78" t="s">
        <v>743</v>
      </c>
      <c r="B9" s="241" t="s">
        <v>576</v>
      </c>
      <c r="D9">
        <v>2014</v>
      </c>
      <c r="E9" s="261" t="s">
        <v>1020</v>
      </c>
    </row>
    <row r="10" spans="1:5">
      <c r="A10" s="78" t="s">
        <v>1</v>
      </c>
      <c r="B10" s="241" t="s">
        <v>576</v>
      </c>
      <c r="D10" s="72">
        <f>PurchasePrice</f>
        <v>50000000</v>
      </c>
    </row>
    <row r="11" spans="1:5">
      <c r="A11" s="78" t="s">
        <v>744</v>
      </c>
      <c r="B11" s="241" t="s">
        <v>576</v>
      </c>
      <c r="D11" s="72">
        <f>D10/D7</f>
        <v>178.57142857142858</v>
      </c>
    </row>
    <row r="12" spans="1:5">
      <c r="A12" s="78" t="s">
        <v>745</v>
      </c>
      <c r="B12" s="241" t="s">
        <v>576</v>
      </c>
      <c r="D12" s="59">
        <f>'Sales Comp Analysis'!I29</f>
        <v>5.7432470255294292E-2</v>
      </c>
    </row>
    <row r="13" spans="1:5">
      <c r="A13" s="78" t="s">
        <v>746</v>
      </c>
      <c r="B13" s="241" t="s">
        <v>576</v>
      </c>
      <c r="D13" s="59">
        <f>'Property Cash Flow'!L6</f>
        <v>0.77357142857142858</v>
      </c>
    </row>
    <row r="14" spans="1:5">
      <c r="A14" s="78" t="s">
        <v>747</v>
      </c>
      <c r="B14" s="241" t="s">
        <v>576</v>
      </c>
      <c r="D14">
        <f>COUNTIF('Rent Roll'!N5:N32,"Occupied")</f>
        <v>18</v>
      </c>
    </row>
    <row r="15" spans="1:5">
      <c r="A15" s="78" t="s">
        <v>748</v>
      </c>
      <c r="B15" s="241" t="s">
        <v>576</v>
      </c>
      <c r="D15" s="208">
        <f>('Rent Roll'!L34-CloseDate)/365.4</f>
        <v>1.8160562088182299</v>
      </c>
    </row>
    <row r="16" spans="1:5">
      <c r="A16" s="78" t="s">
        <v>749</v>
      </c>
      <c r="B16" s="241" t="s">
        <v>576</v>
      </c>
      <c r="D16" t="str">
        <f>'Rent Roll'!C5</f>
        <v>Meridian Financial Group</v>
      </c>
    </row>
    <row r="17" spans="1:5">
      <c r="A17" s="78" t="s">
        <v>750</v>
      </c>
      <c r="B17" s="241" t="s">
        <v>576</v>
      </c>
      <c r="D17" s="28">
        <f>'Rent Roll'!F5</f>
        <v>76000</v>
      </c>
    </row>
    <row r="19" spans="1:5" ht="15.5" thickBot="1">
      <c r="A19" s="268" t="s">
        <v>751</v>
      </c>
      <c r="B19" s="268"/>
      <c r="C19" s="268"/>
      <c r="D19" s="268"/>
    </row>
    <row r="20" spans="1:5">
      <c r="A20" s="78" t="s">
        <v>752</v>
      </c>
      <c r="B20" s="241" t="s">
        <v>576</v>
      </c>
      <c r="D20" t="str">
        <f>'SouthPark Submarket'!B11</f>
        <v>14.8%</v>
      </c>
    </row>
    <row r="21" spans="1:5">
      <c r="A21" s="78" t="s">
        <v>753</v>
      </c>
      <c r="B21" s="241" t="s">
        <v>576</v>
      </c>
      <c r="D21" t="str">
        <f>'SouthPark Submarket'!B20</f>
        <v>$24.00 - $27.00/SF</v>
      </c>
    </row>
    <row r="22" spans="1:5">
      <c r="A22" s="78" t="s">
        <v>754</v>
      </c>
      <c r="B22" s="241" t="s">
        <v>576</v>
      </c>
      <c r="D22" t="str">
        <f>+'SouthPark Submarket'!B40</f>
        <v>2.8%</v>
      </c>
    </row>
    <row r="23" spans="1:5">
      <c r="A23" s="78" t="s">
        <v>755</v>
      </c>
      <c r="B23" s="241" t="s">
        <v>576</v>
      </c>
      <c r="D23" t="str">
        <f>+'SouthPark Submarket'!B27</f>
        <v>185,000 SF</v>
      </c>
    </row>
    <row r="24" spans="1:5">
      <c r="A24" s="78" t="s">
        <v>756</v>
      </c>
      <c r="B24" s="241" t="s">
        <v>576</v>
      </c>
      <c r="D24" t="str">
        <f>'SouthPark Submarket'!B33</f>
        <v>320,000 SF</v>
      </c>
    </row>
    <row r="26" spans="1:5" ht="15.5" thickBot="1">
      <c r="A26" s="268" t="s">
        <v>757</v>
      </c>
      <c r="B26" s="268"/>
      <c r="C26" s="268"/>
      <c r="D26" s="268"/>
    </row>
    <row r="27" spans="1:5">
      <c r="A27" s="78" t="s">
        <v>758</v>
      </c>
      <c r="B27" s="241" t="s">
        <v>576</v>
      </c>
      <c r="D27" s="208">
        <f>D15</f>
        <v>1.8160562088182299</v>
      </c>
    </row>
    <row r="28" spans="1:5">
      <c r="A28" s="78" t="s">
        <v>759</v>
      </c>
      <c r="B28" s="241" t="s">
        <v>576</v>
      </c>
      <c r="D28" s="59">
        <f>SUMIFS('Rent Roll'!$F$5:$F$32,'Rent Roll'!$A$5:$A$32,"&lt;=5")/D7</f>
        <v>0.47678571428571431</v>
      </c>
    </row>
    <row r="29" spans="1:5">
      <c r="A29" s="78" t="s">
        <v>760</v>
      </c>
      <c r="B29" s="241" t="s">
        <v>576</v>
      </c>
      <c r="D29" s="28">
        <f>D17</f>
        <v>76000</v>
      </c>
    </row>
    <row r="30" spans="1:5">
      <c r="A30" s="78" t="s">
        <v>761</v>
      </c>
      <c r="B30" s="241" t="s">
        <v>576</v>
      </c>
      <c r="D30" s="244">
        <f>'Rent Roll'!X34-'Rent Roll'!G34</f>
        <v>8.7730080357142874</v>
      </c>
      <c r="E30" t="s">
        <v>929</v>
      </c>
    </row>
    <row r="31" spans="1:5">
      <c r="A31" s="78" t="s">
        <v>762</v>
      </c>
      <c r="B31" s="241" t="s">
        <v>576</v>
      </c>
      <c r="D31" s="244">
        <f>'Rent Roll'!G34</f>
        <v>15.903035714285714</v>
      </c>
    </row>
    <row r="33" spans="1:5" ht="15.5" thickBot="1">
      <c r="A33" s="268" t="s">
        <v>763</v>
      </c>
      <c r="B33" s="268"/>
      <c r="C33" s="268"/>
      <c r="D33" s="268"/>
    </row>
    <row r="34" spans="1:5">
      <c r="A34" s="78" t="s">
        <v>764</v>
      </c>
      <c r="B34" s="241" t="s">
        <v>576</v>
      </c>
      <c r="D34" s="72">
        <v>3880000</v>
      </c>
    </row>
    <row r="35" spans="1:5">
      <c r="A35" s="78" t="s">
        <v>765</v>
      </c>
      <c r="B35" s="241" t="s">
        <v>576</v>
      </c>
      <c r="D35" s="72">
        <f>'Property Cash Flow'!M19*12</f>
        <v>3761085.3550000004</v>
      </c>
      <c r="E35" s="72"/>
    </row>
    <row r="36" spans="1:5">
      <c r="A36" s="78" t="s">
        <v>766</v>
      </c>
      <c r="B36" s="241" t="s">
        <v>576</v>
      </c>
      <c r="D36" s="72">
        <f>'Property Cash Flow'!E19</f>
        <v>2957772.2181476559</v>
      </c>
    </row>
    <row r="37" spans="1:5">
      <c r="A37" s="78" t="s">
        <v>767</v>
      </c>
      <c r="B37" s="241" t="s">
        <v>576</v>
      </c>
      <c r="D37" s="72">
        <f>'Property Cash Flow'!H19</f>
        <v>6027050.4746882636</v>
      </c>
    </row>
    <row r="38" spans="1:5">
      <c r="A38" s="78" t="s">
        <v>768</v>
      </c>
      <c r="B38" s="241" t="s">
        <v>576</v>
      </c>
      <c r="D38" s="72">
        <f ca="1">'Exit Analysis'!B5</f>
        <v>6545315.2877431801</v>
      </c>
    </row>
    <row r="39" spans="1:5">
      <c r="A39" s="78" t="s">
        <v>769</v>
      </c>
      <c r="B39" s="241" t="s">
        <v>576</v>
      </c>
      <c r="D39" s="59">
        <f ca="1">'Property Cash Flow'!B35</f>
        <v>0.11468806862831116</v>
      </c>
    </row>
    <row r="41" spans="1:5" ht="15.5" thickBot="1">
      <c r="A41" s="268" t="s">
        <v>770</v>
      </c>
      <c r="B41" s="268"/>
      <c r="C41" s="268"/>
      <c r="D41" s="268"/>
    </row>
    <row r="42" spans="1:5">
      <c r="A42" s="78" t="s">
        <v>771</v>
      </c>
      <c r="B42" s="241" t="s">
        <v>576</v>
      </c>
      <c r="D42" t="str">
        <f ca="1">'Leverage Options'!B4</f>
        <v>First Southeast Bank</v>
      </c>
    </row>
    <row r="43" spans="1:5">
      <c r="A43" s="78" t="s">
        <v>210</v>
      </c>
      <c r="B43" s="241" t="s">
        <v>576</v>
      </c>
      <c r="D43" t="str">
        <f ca="1">'Leverage Options'!B5</f>
        <v>Construction-to-Permanent</v>
      </c>
    </row>
    <row r="44" spans="1:5">
      <c r="A44" s="78" t="s">
        <v>772</v>
      </c>
      <c r="B44" s="241" t="s">
        <v>576</v>
      </c>
      <c r="D44" s="106" t="str">
        <f ca="1">'Leverage Options'!B9</f>
        <v>7.10%</v>
      </c>
    </row>
    <row r="45" spans="1:5">
      <c r="A45" s="78" t="s">
        <v>773</v>
      </c>
      <c r="B45" s="241" t="s">
        <v>576</v>
      </c>
      <c r="D45" s="74">
        <f ca="1">MAX('Leverage Options'!B26,MIN('Leverage Options'!B27:B28))</f>
        <v>57936597.256668665</v>
      </c>
    </row>
    <row r="46" spans="1:5">
      <c r="A46" s="78" t="s">
        <v>774</v>
      </c>
      <c r="B46" s="241" t="s">
        <v>576</v>
      </c>
      <c r="D46" s="54" t="str">
        <f ca="1">'Leverage Options'!B10</f>
        <v>75%</v>
      </c>
    </row>
    <row r="47" spans="1:5">
      <c r="A47" s="78" t="s">
        <v>775</v>
      </c>
      <c r="B47" s="241" t="s">
        <v>576</v>
      </c>
      <c r="D47" s="106" t="str">
        <f ca="1">'Leverage Options'!B11</f>
        <v>70%</v>
      </c>
    </row>
    <row r="48" spans="1:5">
      <c r="A48" s="78" t="s">
        <v>223</v>
      </c>
      <c r="B48" s="241" t="s">
        <v>576</v>
      </c>
      <c r="D48">
        <f ca="1">'Leverage Options'!B12</f>
        <v>1.25</v>
      </c>
    </row>
    <row r="49" spans="1:4">
      <c r="A49" s="78" t="s">
        <v>776</v>
      </c>
      <c r="B49" s="241" t="s">
        <v>576</v>
      </c>
      <c r="D49">
        <f ca="1">'Leverage Options'!B13</f>
        <v>36</v>
      </c>
    </row>
    <row r="50" spans="1:4">
      <c r="A50" s="78" t="s">
        <v>226</v>
      </c>
      <c r="B50" s="241" t="s">
        <v>576</v>
      </c>
      <c r="D50">
        <f>'Leverage Options'!B16</f>
        <v>30</v>
      </c>
    </row>
    <row r="51" spans="1:4">
      <c r="A51" s="78" t="s">
        <v>227</v>
      </c>
      <c r="B51" s="241" t="s">
        <v>576</v>
      </c>
      <c r="D51">
        <f ca="1">'Leverage Options'!B17</f>
        <v>5</v>
      </c>
    </row>
    <row r="52" spans="1:4">
      <c r="A52" s="78" t="s">
        <v>777</v>
      </c>
      <c r="B52" s="241" t="s">
        <v>576</v>
      </c>
      <c r="D52" s="106" t="s">
        <v>930</v>
      </c>
    </row>
    <row r="54" spans="1:4" ht="15.5" thickBot="1">
      <c r="A54" s="268" t="s">
        <v>778</v>
      </c>
      <c r="B54" s="268"/>
      <c r="C54" s="268"/>
      <c r="D54" s="268"/>
    </row>
    <row r="55" spans="1:4">
      <c r="A55" s="78" t="s">
        <v>779</v>
      </c>
      <c r="B55" s="241" t="s">
        <v>576</v>
      </c>
      <c r="D55" t="s">
        <v>933</v>
      </c>
    </row>
    <row r="56" spans="1:4">
      <c r="A56" s="78" t="s">
        <v>780</v>
      </c>
      <c r="B56" s="241" t="s">
        <v>576</v>
      </c>
      <c r="D56" s="74">
        <f>RenoBudget</f>
        <v>7500000</v>
      </c>
    </row>
    <row r="57" spans="1:4">
      <c r="A57" s="78" t="s">
        <v>781</v>
      </c>
      <c r="B57" s="241" t="s">
        <v>576</v>
      </c>
      <c r="D57" t="s">
        <v>934</v>
      </c>
    </row>
    <row r="58" spans="1:4">
      <c r="A58" s="78" t="s">
        <v>782</v>
      </c>
      <c r="B58" s="241" t="s">
        <v>576</v>
      </c>
      <c r="D58" t="s">
        <v>935</v>
      </c>
    </row>
    <row r="60" spans="1:4" ht="15.5" thickBot="1">
      <c r="A60" s="268" t="s">
        <v>783</v>
      </c>
      <c r="B60" s="268"/>
      <c r="C60" s="268"/>
      <c r="D60" s="268"/>
    </row>
    <row r="61" spans="1:4">
      <c r="A61" s="78" t="s">
        <v>784</v>
      </c>
      <c r="B61" s="241" t="s">
        <v>576</v>
      </c>
      <c r="D61" t="str">
        <f>Assumptions!C67</f>
        <v>Contributions called 90/10 LP/GP</v>
      </c>
    </row>
    <row r="62" spans="1:4">
      <c r="A62" s="78" t="s">
        <v>785</v>
      </c>
      <c r="B62" s="241" t="s">
        <v>576</v>
      </c>
      <c r="D62" s="59">
        <f>Assumptions!B69</f>
        <v>0.08</v>
      </c>
    </row>
    <row r="63" spans="1:4">
      <c r="A63" s="78" t="s">
        <v>786</v>
      </c>
      <c r="B63" s="241" t="s">
        <v>576</v>
      </c>
      <c r="D63" t="str">
        <f>Waterfall!A2</f>
        <v>GP 10% / LP 90% · 8% pref (effective annual, monthly compounding) · 50/50 catch-up to 20% GP profit share · 80/20 LP/GP residual</v>
      </c>
    </row>
    <row r="64" spans="1:4">
      <c r="A64" s="78" t="s">
        <v>674</v>
      </c>
      <c r="B64" s="241" t="s">
        <v>576</v>
      </c>
      <c r="D64" s="107">
        <f ca="1">Waterfall!B72</f>
        <v>0.30356701016426091</v>
      </c>
    </row>
    <row r="65" spans="1:5">
      <c r="A65" s="78" t="s">
        <v>673</v>
      </c>
      <c r="B65" s="241" t="s">
        <v>576</v>
      </c>
      <c r="D65" s="107">
        <f ca="1">Waterfall!B71</f>
        <v>0.19814531207084657</v>
      </c>
    </row>
    <row r="66" spans="1:5">
      <c r="A66" s="78" t="s">
        <v>677</v>
      </c>
      <c r="B66" s="241" t="s">
        <v>576</v>
      </c>
      <c r="D66" s="184">
        <f ca="1">Waterfall!B75</f>
        <v>3.2221449739017758</v>
      </c>
    </row>
    <row r="67" spans="1:5">
      <c r="A67" s="78" t="s">
        <v>676</v>
      </c>
      <c r="B67" s="241" t="s">
        <v>576</v>
      </c>
      <c r="D67" s="184">
        <f ca="1">Waterfall!B74</f>
        <v>1.9876199884007892</v>
      </c>
    </row>
    <row r="68" spans="1:5">
      <c r="A68" s="78" t="s">
        <v>787</v>
      </c>
      <c r="B68" s="241" t="s">
        <v>576</v>
      </c>
      <c r="D68" s="107">
        <f ca="1">Waterfall!B73</f>
        <v>0.21210951209068299</v>
      </c>
    </row>
    <row r="70" spans="1:5" ht="15.5" thickBot="1">
      <c r="A70" s="268" t="s">
        <v>788</v>
      </c>
      <c r="B70" s="268"/>
      <c r="C70" s="268"/>
      <c r="D70" s="268"/>
    </row>
    <row r="71" spans="1:5">
      <c r="A71" s="78" t="s">
        <v>789</v>
      </c>
      <c r="B71" s="241" t="s">
        <v>576</v>
      </c>
      <c r="D71" t="str">
        <f ca="1">IF(AND(D68&gt;0.15,'Property Cash Flow'!B75&gt;1.8),"GO","PASS")</f>
        <v>GO</v>
      </c>
      <c r="E71" t="s">
        <v>1031</v>
      </c>
    </row>
    <row r="72" spans="1:5">
      <c r="A72" s="78" t="s">
        <v>790</v>
      </c>
      <c r="B72" s="241" t="s">
        <v>576</v>
      </c>
      <c r="D72" t="s">
        <v>931</v>
      </c>
    </row>
    <row r="73" spans="1:5">
      <c r="A73" s="78" t="s">
        <v>791</v>
      </c>
      <c r="B73" s="241" t="s">
        <v>576</v>
      </c>
      <c r="D73" t="s">
        <v>932</v>
      </c>
    </row>
  </sheetData>
  <mergeCells count="8">
    <mergeCell ref="A60:D60"/>
    <mergeCell ref="A70:D70"/>
    <mergeCell ref="A3:D3"/>
    <mergeCell ref="A19:D19"/>
    <mergeCell ref="A26:D26"/>
    <mergeCell ref="A33:D33"/>
    <mergeCell ref="A41:D41"/>
    <mergeCell ref="A54:D5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5D880-CDAD-4ABE-B36D-0AE941783DD2}">
  <sheetPr>
    <tabColor rgb="FF00B050"/>
  </sheetPr>
  <dimension ref="A1:D28"/>
  <sheetViews>
    <sheetView showGridLines="0" workbookViewId="0">
      <selection activeCell="F26" sqref="F26"/>
    </sheetView>
  </sheetViews>
  <sheetFormatPr defaultRowHeight="14.75"/>
  <cols>
    <col min="1" max="1" width="28" customWidth="1"/>
    <col min="2" max="2" width="44.08984375" bestFit="1" customWidth="1"/>
    <col min="3" max="3" width="30" customWidth="1"/>
  </cols>
  <sheetData>
    <row r="1" spans="1:4" ht="18.5">
      <c r="A1" s="76" t="s">
        <v>792</v>
      </c>
    </row>
    <row r="3" spans="1:4">
      <c r="A3" s="78" t="s">
        <v>793</v>
      </c>
    </row>
    <row r="5" spans="1:4" ht="15.5" thickBot="1">
      <c r="A5" s="268" t="s">
        <v>794</v>
      </c>
      <c r="B5" s="268"/>
      <c r="C5" s="268"/>
    </row>
    <row r="6" spans="1:4">
      <c r="A6" s="78" t="s">
        <v>795</v>
      </c>
      <c r="B6" s="79" t="str">
        <f>Assumptions!A1</f>
        <v>SouthPark Centre</v>
      </c>
      <c r="C6" s="242" t="s">
        <v>576</v>
      </c>
    </row>
    <row r="7" spans="1:4">
      <c r="A7" s="78" t="s">
        <v>796</v>
      </c>
      <c r="B7" s="79" t="str">
        <f>Assumptions!A2</f>
        <v>4800 Sharon Road, Charlotte, NC 2821</v>
      </c>
      <c r="C7" s="242" t="s">
        <v>576</v>
      </c>
    </row>
    <row r="8" spans="1:4">
      <c r="A8" s="78" t="s">
        <v>797</v>
      </c>
      <c r="B8" s="109">
        <f>BldgSF</f>
        <v>280000</v>
      </c>
      <c r="C8" s="242" t="s">
        <v>576</v>
      </c>
    </row>
    <row r="9" spans="1:4">
      <c r="A9" s="78" t="s">
        <v>576</v>
      </c>
      <c r="B9" s="79" t="s">
        <v>576</v>
      </c>
      <c r="C9" s="242" t="s">
        <v>576</v>
      </c>
    </row>
    <row r="10" spans="1:4" ht="15.5" thickBot="1">
      <c r="A10" s="268" t="s">
        <v>798</v>
      </c>
      <c r="B10" s="268"/>
      <c r="C10" s="268"/>
    </row>
    <row r="11" spans="1:4">
      <c r="A11" s="78" t="s">
        <v>799</v>
      </c>
      <c r="B11" s="79" t="str">
        <f>A3</f>
        <v>HARBORVIEW CAPITAL PARTNERS</v>
      </c>
      <c r="C11" s="242" t="s">
        <v>800</v>
      </c>
    </row>
    <row r="12" spans="1:4">
      <c r="A12" s="78" t="s">
        <v>801</v>
      </c>
      <c r="B12" s="248">
        <f>PurchasePrice</f>
        <v>50000000</v>
      </c>
      <c r="C12" s="242" t="s">
        <v>802</v>
      </c>
    </row>
    <row r="13" spans="1:4">
      <c r="A13" s="78" t="s">
        <v>803</v>
      </c>
      <c r="B13" s="248">
        <f>B12*1%</f>
        <v>500000</v>
      </c>
      <c r="C13" s="242" t="s">
        <v>804</v>
      </c>
      <c r="D13" s="64" t="s">
        <v>936</v>
      </c>
    </row>
    <row r="14" spans="1:4">
      <c r="A14" s="78" t="s">
        <v>805</v>
      </c>
      <c r="B14" s="79">
        <v>45</v>
      </c>
      <c r="C14" s="242" t="s">
        <v>806</v>
      </c>
      <c r="D14" s="64" t="s">
        <v>936</v>
      </c>
    </row>
    <row r="15" spans="1:4">
      <c r="A15" s="78" t="s">
        <v>807</v>
      </c>
      <c r="B15" s="79">
        <v>30</v>
      </c>
      <c r="C15" s="242" t="s">
        <v>808</v>
      </c>
      <c r="D15" s="64" t="s">
        <v>936</v>
      </c>
    </row>
    <row r="16" spans="1:4">
      <c r="A16" s="78" t="s">
        <v>809</v>
      </c>
      <c r="B16" s="247">
        <f>CloseDate</f>
        <v>46265</v>
      </c>
      <c r="C16" s="242" t="s">
        <v>576</v>
      </c>
    </row>
    <row r="17" spans="1:4">
      <c r="A17" s="78" t="s">
        <v>576</v>
      </c>
      <c r="B17" s="79" t="s">
        <v>576</v>
      </c>
      <c r="C17" s="242" t="s">
        <v>576</v>
      </c>
    </row>
    <row r="18" spans="1:4" ht="15.5" thickBot="1">
      <c r="A18" s="268" t="s">
        <v>810</v>
      </c>
      <c r="B18" s="268"/>
      <c r="C18" s="268"/>
    </row>
    <row r="19" spans="1:4">
      <c r="A19" s="78" t="s">
        <v>811</v>
      </c>
      <c r="B19" s="79" t="s">
        <v>1021</v>
      </c>
      <c r="C19" s="242" t="s">
        <v>812</v>
      </c>
      <c r="D19" s="64" t="s">
        <v>936</v>
      </c>
    </row>
    <row r="20" spans="1:4">
      <c r="A20" s="78" t="s">
        <v>813</v>
      </c>
      <c r="B20" s="79" t="s">
        <v>937</v>
      </c>
      <c r="C20" s="242" t="s">
        <v>814</v>
      </c>
      <c r="D20" s="64" t="s">
        <v>936</v>
      </c>
    </row>
    <row r="21" spans="1:4">
      <c r="A21" s="78" t="s">
        <v>815</v>
      </c>
      <c r="B21" s="79" t="s">
        <v>1022</v>
      </c>
      <c r="C21" s="242" t="s">
        <v>816</v>
      </c>
      <c r="D21" s="64" t="s">
        <v>936</v>
      </c>
    </row>
    <row r="22" spans="1:4">
      <c r="A22" s="78" t="s">
        <v>817</v>
      </c>
      <c r="B22" s="79" t="s">
        <v>1023</v>
      </c>
      <c r="C22" s="242" t="s">
        <v>818</v>
      </c>
      <c r="D22" s="64" t="s">
        <v>936</v>
      </c>
    </row>
    <row r="23" spans="1:4">
      <c r="A23" s="78" t="s">
        <v>819</v>
      </c>
      <c r="B23" s="79" t="s">
        <v>1024</v>
      </c>
      <c r="C23" s="242" t="s">
        <v>820</v>
      </c>
      <c r="D23" s="64" t="s">
        <v>936</v>
      </c>
    </row>
    <row r="24" spans="1:4">
      <c r="A24" s="78" t="s">
        <v>821</v>
      </c>
      <c r="B24" s="79" t="s">
        <v>1025</v>
      </c>
      <c r="C24" s="242" t="s">
        <v>822</v>
      </c>
      <c r="D24" s="64" t="s">
        <v>936</v>
      </c>
    </row>
    <row r="25" spans="1:4">
      <c r="A25" s="78" t="s">
        <v>576</v>
      </c>
      <c r="B25" s="79" t="s">
        <v>576</v>
      </c>
      <c r="C25" s="242" t="s">
        <v>576</v>
      </c>
    </row>
    <row r="26" spans="1:4" ht="15.5" thickBot="1">
      <c r="A26" s="268" t="s">
        <v>823</v>
      </c>
      <c r="B26" s="268"/>
      <c r="C26" s="268"/>
    </row>
    <row r="27" spans="1:4">
      <c r="A27" s="78" t="s">
        <v>824</v>
      </c>
      <c r="B27" s="79">
        <v>10</v>
      </c>
      <c r="C27" s="242" t="s">
        <v>825</v>
      </c>
      <c r="D27" s="64" t="s">
        <v>936</v>
      </c>
    </row>
    <row r="28" spans="1:4">
      <c r="A28" s="78" t="s">
        <v>576</v>
      </c>
      <c r="B28" s="79" t="s">
        <v>576</v>
      </c>
      <c r="C28" s="242" t="s">
        <v>576</v>
      </c>
    </row>
  </sheetData>
  <mergeCells count="4">
    <mergeCell ref="A5:C5"/>
    <mergeCell ref="A10:C10"/>
    <mergeCell ref="A18:C18"/>
    <mergeCell ref="A26:C2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D7D31"/>
  </sheetPr>
  <dimension ref="A1:CH95"/>
  <sheetViews>
    <sheetView showGridLines="0" zoomScale="70" zoomScaleNormal="70" workbookViewId="0">
      <pane xSplit="3" ySplit="5" topLeftCell="D27" activePane="bottomRight" state="frozen"/>
      <selection pane="topRight" activeCell="D1" sqref="D1"/>
      <selection pane="bottomLeft" activeCell="A5" sqref="A5"/>
      <selection pane="bottomRight" activeCell="D45" sqref="D45"/>
    </sheetView>
  </sheetViews>
  <sheetFormatPr defaultRowHeight="14.75"/>
  <cols>
    <col min="1" max="1" width="29.08984375" customWidth="1"/>
    <col min="2" max="2" width="17.36328125" bestFit="1" customWidth="1"/>
    <col min="4" max="4" width="12.86328125" bestFit="1" customWidth="1"/>
    <col min="5" max="8" width="11.76953125" bestFit="1" customWidth="1"/>
    <col min="9" max="9" width="12.86328125" bestFit="1" customWidth="1"/>
    <col min="10" max="10" width="11.76953125" customWidth="1"/>
    <col min="12" max="84" width="12.86328125" bestFit="1" customWidth="1"/>
    <col min="87" max="91" width="14.1796875" customWidth="1"/>
  </cols>
  <sheetData>
    <row r="1" spans="1:86" ht="17.25">
      <c r="A1" s="41" t="s">
        <v>200</v>
      </c>
    </row>
    <row r="2" spans="1:86">
      <c r="A2" t="s">
        <v>205</v>
      </c>
    </row>
    <row r="3" spans="1:86">
      <c r="A3" s="4" t="s">
        <v>201</v>
      </c>
      <c r="B3" s="4"/>
      <c r="C3" s="4"/>
      <c r="D3" s="66">
        <v>0</v>
      </c>
      <c r="E3" s="66">
        <f>D3+1</f>
        <v>1</v>
      </c>
      <c r="F3" s="66">
        <f t="shared" ref="F3:J3" si="0">E3+1</f>
        <v>2</v>
      </c>
      <c r="G3" s="66">
        <f t="shared" si="0"/>
        <v>3</v>
      </c>
      <c r="H3" s="66">
        <f t="shared" si="0"/>
        <v>4</v>
      </c>
      <c r="I3" s="66">
        <f t="shared" si="0"/>
        <v>5</v>
      </c>
      <c r="J3" s="66">
        <f t="shared" si="0"/>
        <v>6</v>
      </c>
      <c r="K3" s="65"/>
      <c r="L3" s="66">
        <f>INT((L4-1)/12)+1</f>
        <v>0</v>
      </c>
      <c r="M3" s="66">
        <f t="shared" ref="M3:V3" si="1">INT((M4-1)/12)+1</f>
        <v>1</v>
      </c>
      <c r="N3" s="66">
        <f t="shared" si="1"/>
        <v>1</v>
      </c>
      <c r="O3" s="66">
        <f t="shared" si="1"/>
        <v>1</v>
      </c>
      <c r="P3" s="66">
        <f t="shared" si="1"/>
        <v>1</v>
      </c>
      <c r="Q3" s="66">
        <f t="shared" si="1"/>
        <v>1</v>
      </c>
      <c r="R3" s="66">
        <f t="shared" si="1"/>
        <v>1</v>
      </c>
      <c r="S3" s="66">
        <f t="shared" si="1"/>
        <v>1</v>
      </c>
      <c r="T3" s="66">
        <f t="shared" si="1"/>
        <v>1</v>
      </c>
      <c r="U3" s="66">
        <f t="shared" si="1"/>
        <v>1</v>
      </c>
      <c r="V3" s="66">
        <f t="shared" si="1"/>
        <v>1</v>
      </c>
      <c r="W3" s="66">
        <f t="shared" ref="W3" si="2">INT((W4-1)/12)+1</f>
        <v>1</v>
      </c>
      <c r="X3" s="66">
        <f t="shared" ref="X3" si="3">INT((X4-1)/12)+1</f>
        <v>1</v>
      </c>
      <c r="Y3" s="66">
        <f t="shared" ref="Y3" si="4">INT((Y4-1)/12)+1</f>
        <v>2</v>
      </c>
      <c r="Z3" s="66">
        <f t="shared" ref="Z3" si="5">INT((Z4-1)/12)+1</f>
        <v>2</v>
      </c>
      <c r="AA3" s="66">
        <f t="shared" ref="AA3" si="6">INT((AA4-1)/12)+1</f>
        <v>2</v>
      </c>
      <c r="AB3" s="66">
        <f t="shared" ref="AB3" si="7">INT((AB4-1)/12)+1</f>
        <v>2</v>
      </c>
      <c r="AC3" s="66">
        <f t="shared" ref="AC3" si="8">INT((AC4-1)/12)+1</f>
        <v>2</v>
      </c>
      <c r="AD3" s="66">
        <f t="shared" ref="AD3" si="9">INT((AD4-1)/12)+1</f>
        <v>2</v>
      </c>
      <c r="AE3" s="66">
        <f t="shared" ref="AE3" si="10">INT((AE4-1)/12)+1</f>
        <v>2</v>
      </c>
      <c r="AF3" s="66">
        <f t="shared" ref="AF3" si="11">INT((AF4-1)/12)+1</f>
        <v>2</v>
      </c>
      <c r="AG3" s="66">
        <f t="shared" ref="AG3" si="12">INT((AG4-1)/12)+1</f>
        <v>2</v>
      </c>
      <c r="AH3" s="66">
        <f t="shared" ref="AH3" si="13">INT((AH4-1)/12)+1</f>
        <v>2</v>
      </c>
      <c r="AI3" s="66">
        <f t="shared" ref="AI3" si="14">INT((AI4-1)/12)+1</f>
        <v>2</v>
      </c>
      <c r="AJ3" s="66">
        <f t="shared" ref="AJ3" si="15">INT((AJ4-1)/12)+1</f>
        <v>2</v>
      </c>
      <c r="AK3" s="66">
        <f t="shared" ref="AK3" si="16">INT((AK4-1)/12)+1</f>
        <v>3</v>
      </c>
      <c r="AL3" s="66">
        <f t="shared" ref="AL3" si="17">INT((AL4-1)/12)+1</f>
        <v>3</v>
      </c>
      <c r="AM3" s="66">
        <f t="shared" ref="AM3" si="18">INT((AM4-1)/12)+1</f>
        <v>3</v>
      </c>
      <c r="AN3" s="66">
        <f t="shared" ref="AN3" si="19">INT((AN4-1)/12)+1</f>
        <v>3</v>
      </c>
      <c r="AO3" s="66">
        <f t="shared" ref="AO3" si="20">INT((AO4-1)/12)+1</f>
        <v>3</v>
      </c>
      <c r="AP3" s="66">
        <f t="shared" ref="AP3" si="21">INT((AP4-1)/12)+1</f>
        <v>3</v>
      </c>
      <c r="AQ3" s="66">
        <f t="shared" ref="AQ3" si="22">INT((AQ4-1)/12)+1</f>
        <v>3</v>
      </c>
      <c r="AR3" s="66">
        <f t="shared" ref="AR3" si="23">INT((AR4-1)/12)+1</f>
        <v>3</v>
      </c>
      <c r="AS3" s="66">
        <f t="shared" ref="AS3" si="24">INT((AS4-1)/12)+1</f>
        <v>3</v>
      </c>
      <c r="AT3" s="66">
        <f t="shared" ref="AT3" si="25">INT((AT4-1)/12)+1</f>
        <v>3</v>
      </c>
      <c r="AU3" s="66">
        <f t="shared" ref="AU3" si="26">INT((AU4-1)/12)+1</f>
        <v>3</v>
      </c>
      <c r="AV3" s="66">
        <f t="shared" ref="AV3" si="27">INT((AV4-1)/12)+1</f>
        <v>3</v>
      </c>
      <c r="AW3" s="66">
        <f t="shared" ref="AW3" si="28">INT((AW4-1)/12)+1</f>
        <v>4</v>
      </c>
      <c r="AX3" s="66">
        <f t="shared" ref="AX3" si="29">INT((AX4-1)/12)+1</f>
        <v>4</v>
      </c>
      <c r="AY3" s="66">
        <f t="shared" ref="AY3" si="30">INT((AY4-1)/12)+1</f>
        <v>4</v>
      </c>
      <c r="AZ3" s="66">
        <f t="shared" ref="AZ3" si="31">INT((AZ4-1)/12)+1</f>
        <v>4</v>
      </c>
      <c r="BA3" s="66">
        <f t="shared" ref="BA3" si="32">INT((BA4-1)/12)+1</f>
        <v>4</v>
      </c>
      <c r="BB3" s="66">
        <f t="shared" ref="BB3" si="33">INT((BB4-1)/12)+1</f>
        <v>4</v>
      </c>
      <c r="BC3" s="66">
        <f t="shared" ref="BC3" si="34">INT((BC4-1)/12)+1</f>
        <v>4</v>
      </c>
      <c r="BD3" s="66">
        <f t="shared" ref="BD3" si="35">INT((BD4-1)/12)+1</f>
        <v>4</v>
      </c>
      <c r="BE3" s="66">
        <f t="shared" ref="BE3" si="36">INT((BE4-1)/12)+1</f>
        <v>4</v>
      </c>
      <c r="BF3" s="66">
        <f t="shared" ref="BF3" si="37">INT((BF4-1)/12)+1</f>
        <v>4</v>
      </c>
      <c r="BG3" s="66">
        <f t="shared" ref="BG3" si="38">INT((BG4-1)/12)+1</f>
        <v>4</v>
      </c>
      <c r="BH3" s="66">
        <f t="shared" ref="BH3" si="39">INT((BH4-1)/12)+1</f>
        <v>4</v>
      </c>
      <c r="BI3" s="66">
        <f t="shared" ref="BI3" si="40">INT((BI4-1)/12)+1</f>
        <v>5</v>
      </c>
      <c r="BJ3" s="66">
        <f t="shared" ref="BJ3" si="41">INT((BJ4-1)/12)+1</f>
        <v>5</v>
      </c>
      <c r="BK3" s="66">
        <f t="shared" ref="BK3" si="42">INT((BK4-1)/12)+1</f>
        <v>5</v>
      </c>
      <c r="BL3" s="66">
        <f t="shared" ref="BL3" si="43">INT((BL4-1)/12)+1</f>
        <v>5</v>
      </c>
      <c r="BM3" s="66">
        <f t="shared" ref="BM3" si="44">INT((BM4-1)/12)+1</f>
        <v>5</v>
      </c>
      <c r="BN3" s="66">
        <f t="shared" ref="BN3" si="45">INT((BN4-1)/12)+1</f>
        <v>5</v>
      </c>
      <c r="BO3" s="66">
        <f t="shared" ref="BO3" si="46">INT((BO4-1)/12)+1</f>
        <v>5</v>
      </c>
      <c r="BP3" s="66">
        <f t="shared" ref="BP3" si="47">INT((BP4-1)/12)+1</f>
        <v>5</v>
      </c>
      <c r="BQ3" s="66">
        <f t="shared" ref="BQ3" si="48">INT((BQ4-1)/12)+1</f>
        <v>5</v>
      </c>
      <c r="BR3" s="66">
        <f t="shared" ref="BR3" si="49">INT((BR4-1)/12)+1</f>
        <v>5</v>
      </c>
      <c r="BS3" s="66">
        <f t="shared" ref="BS3" si="50">INT((BS4-1)/12)+1</f>
        <v>5</v>
      </c>
      <c r="BT3" s="66">
        <f t="shared" ref="BT3" si="51">INT((BT4-1)/12)+1</f>
        <v>5</v>
      </c>
      <c r="BU3" s="66">
        <f t="shared" ref="BU3" si="52">INT((BU4-1)/12)+1</f>
        <v>6</v>
      </c>
      <c r="BV3" s="66">
        <f t="shared" ref="BV3" si="53">INT((BV4-1)/12)+1</f>
        <v>6</v>
      </c>
      <c r="BW3" s="66">
        <f t="shared" ref="BW3" si="54">INT((BW4-1)/12)+1</f>
        <v>6</v>
      </c>
      <c r="BX3" s="66">
        <f t="shared" ref="BX3" si="55">INT((BX4-1)/12)+1</f>
        <v>6</v>
      </c>
      <c r="BY3" s="66">
        <f t="shared" ref="BY3" si="56">INT((BY4-1)/12)+1</f>
        <v>6</v>
      </c>
      <c r="BZ3" s="66">
        <f t="shared" ref="BZ3" si="57">INT((BZ4-1)/12)+1</f>
        <v>6</v>
      </c>
      <c r="CA3" s="66">
        <f t="shared" ref="CA3" si="58">INT((CA4-1)/12)+1</f>
        <v>6</v>
      </c>
      <c r="CB3" s="66">
        <f t="shared" ref="CB3" si="59">INT((CB4-1)/12)+1</f>
        <v>6</v>
      </c>
      <c r="CC3" s="66">
        <f t="shared" ref="CC3" si="60">INT((CC4-1)/12)+1</f>
        <v>6</v>
      </c>
      <c r="CD3" s="66">
        <f t="shared" ref="CD3" si="61">INT((CD4-1)/12)+1</f>
        <v>6</v>
      </c>
      <c r="CE3" s="66">
        <f t="shared" ref="CE3" si="62">INT((CE4-1)/12)+1</f>
        <v>6</v>
      </c>
      <c r="CF3" s="66">
        <f t="shared" ref="CF3" si="63">INT((CF4-1)/12)+1</f>
        <v>6</v>
      </c>
    </row>
    <row r="4" spans="1:86">
      <c r="A4" s="4" t="s">
        <v>51</v>
      </c>
      <c r="B4" s="4"/>
      <c r="C4" s="4"/>
      <c r="D4" s="60">
        <v>0</v>
      </c>
      <c r="E4" s="60">
        <f>D4+12</f>
        <v>12</v>
      </c>
      <c r="F4" s="60">
        <f t="shared" ref="F4:J4" si="64">E4+12</f>
        <v>24</v>
      </c>
      <c r="G4" s="60">
        <f t="shared" si="64"/>
        <v>36</v>
      </c>
      <c r="H4" s="60">
        <f t="shared" si="64"/>
        <v>48</v>
      </c>
      <c r="I4" s="60">
        <f t="shared" si="64"/>
        <v>60</v>
      </c>
      <c r="J4" s="60">
        <f t="shared" si="64"/>
        <v>72</v>
      </c>
      <c r="K4" s="4"/>
      <c r="L4" s="60">
        <f>'Rent Roll Calc'!D3</f>
        <v>0</v>
      </c>
      <c r="M4" s="60">
        <f>'Rent Roll Calc'!E3</f>
        <v>1</v>
      </c>
      <c r="N4" s="60">
        <f>'Rent Roll Calc'!F3</f>
        <v>2</v>
      </c>
      <c r="O4" s="60">
        <f>'Rent Roll Calc'!G3</f>
        <v>3</v>
      </c>
      <c r="P4" s="60">
        <f>'Rent Roll Calc'!H3</f>
        <v>4</v>
      </c>
      <c r="Q4" s="60">
        <f>'Rent Roll Calc'!I3</f>
        <v>5</v>
      </c>
      <c r="R4" s="60">
        <f>'Rent Roll Calc'!J3</f>
        <v>6</v>
      </c>
      <c r="S4" s="60">
        <f>'Rent Roll Calc'!K3</f>
        <v>7</v>
      </c>
      <c r="T4" s="60">
        <f>'Rent Roll Calc'!L3</f>
        <v>8</v>
      </c>
      <c r="U4" s="60">
        <f>'Rent Roll Calc'!M3</f>
        <v>9</v>
      </c>
      <c r="V4" s="60">
        <f>'Rent Roll Calc'!N3</f>
        <v>10</v>
      </c>
      <c r="W4" s="60">
        <f>'Rent Roll Calc'!O3</f>
        <v>11</v>
      </c>
      <c r="X4" s="60">
        <f>'Rent Roll Calc'!P3</f>
        <v>12</v>
      </c>
      <c r="Y4" s="60">
        <f>'Rent Roll Calc'!Q3</f>
        <v>13</v>
      </c>
      <c r="Z4" s="60">
        <f>'Rent Roll Calc'!R3</f>
        <v>14</v>
      </c>
      <c r="AA4" s="60">
        <f>'Rent Roll Calc'!S3</f>
        <v>15</v>
      </c>
      <c r="AB4" s="60">
        <f>'Rent Roll Calc'!T3</f>
        <v>16</v>
      </c>
      <c r="AC4" s="60">
        <f>'Rent Roll Calc'!U3</f>
        <v>17</v>
      </c>
      <c r="AD4" s="60">
        <f>'Rent Roll Calc'!V3</f>
        <v>18</v>
      </c>
      <c r="AE4" s="60">
        <f>'Rent Roll Calc'!W3</f>
        <v>19</v>
      </c>
      <c r="AF4" s="60">
        <f>'Rent Roll Calc'!X3</f>
        <v>20</v>
      </c>
      <c r="AG4" s="60">
        <f>'Rent Roll Calc'!Y3</f>
        <v>21</v>
      </c>
      <c r="AH4" s="60">
        <f>'Rent Roll Calc'!Z3</f>
        <v>22</v>
      </c>
      <c r="AI4" s="60">
        <f>'Rent Roll Calc'!AA3</f>
        <v>23</v>
      </c>
      <c r="AJ4" s="60">
        <f>'Rent Roll Calc'!AB3</f>
        <v>24</v>
      </c>
      <c r="AK4" s="60">
        <f>'Rent Roll Calc'!AC3</f>
        <v>25</v>
      </c>
      <c r="AL4" s="60">
        <f>'Rent Roll Calc'!AD3</f>
        <v>26</v>
      </c>
      <c r="AM4" s="60">
        <f>'Rent Roll Calc'!AE3</f>
        <v>27</v>
      </c>
      <c r="AN4" s="60">
        <f>'Rent Roll Calc'!AF3</f>
        <v>28</v>
      </c>
      <c r="AO4" s="60">
        <f>'Rent Roll Calc'!AG3</f>
        <v>29</v>
      </c>
      <c r="AP4" s="60">
        <f>'Rent Roll Calc'!AH3</f>
        <v>30</v>
      </c>
      <c r="AQ4" s="60">
        <f>'Rent Roll Calc'!AI3</f>
        <v>31</v>
      </c>
      <c r="AR4" s="60">
        <f>'Rent Roll Calc'!AJ3</f>
        <v>32</v>
      </c>
      <c r="AS4" s="60">
        <f>'Rent Roll Calc'!AK3</f>
        <v>33</v>
      </c>
      <c r="AT4" s="60">
        <f>'Rent Roll Calc'!AL3</f>
        <v>34</v>
      </c>
      <c r="AU4" s="60">
        <f>'Rent Roll Calc'!AM3</f>
        <v>35</v>
      </c>
      <c r="AV4" s="60">
        <f>'Rent Roll Calc'!AN3</f>
        <v>36</v>
      </c>
      <c r="AW4" s="60">
        <f>'Rent Roll Calc'!AO3</f>
        <v>37</v>
      </c>
      <c r="AX4" s="60">
        <f>'Rent Roll Calc'!AP3</f>
        <v>38</v>
      </c>
      <c r="AY4" s="60">
        <f>'Rent Roll Calc'!AQ3</f>
        <v>39</v>
      </c>
      <c r="AZ4" s="60">
        <f>'Rent Roll Calc'!AR3</f>
        <v>40</v>
      </c>
      <c r="BA4" s="60">
        <f>'Rent Roll Calc'!AS3</f>
        <v>41</v>
      </c>
      <c r="BB4" s="60">
        <f>'Rent Roll Calc'!AT3</f>
        <v>42</v>
      </c>
      <c r="BC4" s="60">
        <f>'Rent Roll Calc'!AU3</f>
        <v>43</v>
      </c>
      <c r="BD4" s="60">
        <f>'Rent Roll Calc'!AV3</f>
        <v>44</v>
      </c>
      <c r="BE4" s="60">
        <f>'Rent Roll Calc'!AW3</f>
        <v>45</v>
      </c>
      <c r="BF4" s="60">
        <f>'Rent Roll Calc'!AX3</f>
        <v>46</v>
      </c>
      <c r="BG4" s="60">
        <f>'Rent Roll Calc'!AY3</f>
        <v>47</v>
      </c>
      <c r="BH4" s="60">
        <f>'Rent Roll Calc'!AZ3</f>
        <v>48</v>
      </c>
      <c r="BI4" s="60">
        <f>'Rent Roll Calc'!BA3</f>
        <v>49</v>
      </c>
      <c r="BJ4" s="60">
        <f>'Rent Roll Calc'!BB3</f>
        <v>50</v>
      </c>
      <c r="BK4" s="60">
        <f>'Rent Roll Calc'!BC3</f>
        <v>51</v>
      </c>
      <c r="BL4" s="60">
        <f>'Rent Roll Calc'!BD3</f>
        <v>52</v>
      </c>
      <c r="BM4" s="60">
        <f>'Rent Roll Calc'!BE3</f>
        <v>53</v>
      </c>
      <c r="BN4" s="60">
        <f>'Rent Roll Calc'!BF3</f>
        <v>54</v>
      </c>
      <c r="BO4" s="60">
        <f>'Rent Roll Calc'!BG3</f>
        <v>55</v>
      </c>
      <c r="BP4" s="60">
        <f>'Rent Roll Calc'!BH3</f>
        <v>56</v>
      </c>
      <c r="BQ4" s="60">
        <f>'Rent Roll Calc'!BI3</f>
        <v>57</v>
      </c>
      <c r="BR4" s="60">
        <f>'Rent Roll Calc'!BJ3</f>
        <v>58</v>
      </c>
      <c r="BS4" s="60">
        <f>'Rent Roll Calc'!BK3</f>
        <v>59</v>
      </c>
      <c r="BT4" s="60">
        <f>'Rent Roll Calc'!BL3</f>
        <v>60</v>
      </c>
      <c r="BU4" s="60">
        <f>'Rent Roll Calc'!BM3</f>
        <v>61</v>
      </c>
      <c r="BV4" s="60">
        <f>'Rent Roll Calc'!BN3</f>
        <v>62</v>
      </c>
      <c r="BW4" s="60">
        <f>'Rent Roll Calc'!BO3</f>
        <v>63</v>
      </c>
      <c r="BX4" s="60">
        <f>'Rent Roll Calc'!BP3</f>
        <v>64</v>
      </c>
      <c r="BY4" s="60">
        <f>'Rent Roll Calc'!BQ3</f>
        <v>65</v>
      </c>
      <c r="BZ4" s="60">
        <f>'Rent Roll Calc'!BR3</f>
        <v>66</v>
      </c>
      <c r="CA4" s="60">
        <f>'Rent Roll Calc'!BS3</f>
        <v>67</v>
      </c>
      <c r="CB4" s="60">
        <f>'Rent Roll Calc'!BT3</f>
        <v>68</v>
      </c>
      <c r="CC4" s="60">
        <f>'Rent Roll Calc'!BU3</f>
        <v>69</v>
      </c>
      <c r="CD4" s="60">
        <f>'Rent Roll Calc'!BV3</f>
        <v>70</v>
      </c>
      <c r="CE4" s="60">
        <f>'Rent Roll Calc'!BW3</f>
        <v>71</v>
      </c>
      <c r="CF4" s="60">
        <f>'Rent Roll Calc'!BX3</f>
        <v>72</v>
      </c>
    </row>
    <row r="5" spans="1:86">
      <c r="A5" s="4" t="s">
        <v>155</v>
      </c>
      <c r="B5" s="4"/>
      <c r="C5" s="4"/>
      <c r="D5" s="61">
        <f>+EOMONTH(CloseDate,0)</f>
        <v>46265</v>
      </c>
      <c r="E5" s="61">
        <f>EOMONTH(D5,12)</f>
        <v>46630</v>
      </c>
      <c r="F5" s="61">
        <f t="shared" ref="F5:J5" si="65">EOMONTH(E5,12)</f>
        <v>46996</v>
      </c>
      <c r="G5" s="61">
        <f t="shared" si="65"/>
        <v>47361</v>
      </c>
      <c r="H5" s="61">
        <f t="shared" si="65"/>
        <v>47726</v>
      </c>
      <c r="I5" s="61">
        <f t="shared" si="65"/>
        <v>48091</v>
      </c>
      <c r="J5" s="61">
        <f t="shared" si="65"/>
        <v>48457</v>
      </c>
      <c r="K5" s="4"/>
      <c r="L5" s="61">
        <f>'Rent Roll Calc'!D4</f>
        <v>46265</v>
      </c>
      <c r="M5" s="61">
        <f>'Rent Roll Calc'!E4</f>
        <v>46295</v>
      </c>
      <c r="N5" s="61">
        <f>'Rent Roll Calc'!F4</f>
        <v>46326</v>
      </c>
      <c r="O5" s="61">
        <f>'Rent Roll Calc'!G4</f>
        <v>46356</v>
      </c>
      <c r="P5" s="61">
        <f>'Rent Roll Calc'!H4</f>
        <v>46387</v>
      </c>
      <c r="Q5" s="61">
        <f>'Rent Roll Calc'!I4</f>
        <v>46418</v>
      </c>
      <c r="R5" s="61">
        <f>'Rent Roll Calc'!J4</f>
        <v>46446</v>
      </c>
      <c r="S5" s="61">
        <f>'Rent Roll Calc'!K4</f>
        <v>46477</v>
      </c>
      <c r="T5" s="61">
        <f>'Rent Roll Calc'!L4</f>
        <v>46507</v>
      </c>
      <c r="U5" s="61">
        <f>'Rent Roll Calc'!M4</f>
        <v>46538</v>
      </c>
      <c r="V5" s="61">
        <f>'Rent Roll Calc'!N4</f>
        <v>46568</v>
      </c>
      <c r="W5" s="61">
        <f>'Rent Roll Calc'!O4</f>
        <v>46599</v>
      </c>
      <c r="X5" s="61">
        <f>'Rent Roll Calc'!P4</f>
        <v>46630</v>
      </c>
      <c r="Y5" s="61">
        <f>'Rent Roll Calc'!Q4</f>
        <v>46660</v>
      </c>
      <c r="Z5" s="61">
        <f>'Rent Roll Calc'!R4</f>
        <v>46691</v>
      </c>
      <c r="AA5" s="61">
        <f>'Rent Roll Calc'!S4</f>
        <v>46721</v>
      </c>
      <c r="AB5" s="61">
        <f>'Rent Roll Calc'!T4</f>
        <v>46752</v>
      </c>
      <c r="AC5" s="61">
        <f>'Rent Roll Calc'!U4</f>
        <v>46783</v>
      </c>
      <c r="AD5" s="61">
        <f>'Rent Roll Calc'!V4</f>
        <v>46812</v>
      </c>
      <c r="AE5" s="61">
        <f>'Rent Roll Calc'!W4</f>
        <v>46843</v>
      </c>
      <c r="AF5" s="61">
        <f>'Rent Roll Calc'!X4</f>
        <v>46873</v>
      </c>
      <c r="AG5" s="61">
        <f>'Rent Roll Calc'!Y4</f>
        <v>46904</v>
      </c>
      <c r="AH5" s="61">
        <f>'Rent Roll Calc'!Z4</f>
        <v>46934</v>
      </c>
      <c r="AI5" s="61">
        <f>'Rent Roll Calc'!AA4</f>
        <v>46965</v>
      </c>
      <c r="AJ5" s="61">
        <f>'Rent Roll Calc'!AB4</f>
        <v>46996</v>
      </c>
      <c r="AK5" s="61">
        <f>'Rent Roll Calc'!AC4</f>
        <v>47026</v>
      </c>
      <c r="AL5" s="61">
        <f>'Rent Roll Calc'!AD4</f>
        <v>47057</v>
      </c>
      <c r="AM5" s="61">
        <f>'Rent Roll Calc'!AE4</f>
        <v>47087</v>
      </c>
      <c r="AN5" s="61">
        <f>'Rent Roll Calc'!AF4</f>
        <v>47118</v>
      </c>
      <c r="AO5" s="61">
        <f>'Rent Roll Calc'!AG4</f>
        <v>47149</v>
      </c>
      <c r="AP5" s="61">
        <f>'Rent Roll Calc'!AH4</f>
        <v>47177</v>
      </c>
      <c r="AQ5" s="61">
        <f>'Rent Roll Calc'!AI4</f>
        <v>47208</v>
      </c>
      <c r="AR5" s="61">
        <f>'Rent Roll Calc'!AJ4</f>
        <v>47238</v>
      </c>
      <c r="AS5" s="61">
        <f>'Rent Roll Calc'!AK4</f>
        <v>47269</v>
      </c>
      <c r="AT5" s="61">
        <f>'Rent Roll Calc'!AL4</f>
        <v>47299</v>
      </c>
      <c r="AU5" s="61">
        <f>'Rent Roll Calc'!AM4</f>
        <v>47330</v>
      </c>
      <c r="AV5" s="61">
        <f>'Rent Roll Calc'!AN4</f>
        <v>47361</v>
      </c>
      <c r="AW5" s="61">
        <f>'Rent Roll Calc'!AO4</f>
        <v>47391</v>
      </c>
      <c r="AX5" s="61">
        <f>'Rent Roll Calc'!AP4</f>
        <v>47422</v>
      </c>
      <c r="AY5" s="61">
        <f>'Rent Roll Calc'!AQ4</f>
        <v>47452</v>
      </c>
      <c r="AZ5" s="61">
        <f>'Rent Roll Calc'!AR4</f>
        <v>47483</v>
      </c>
      <c r="BA5" s="61">
        <f>'Rent Roll Calc'!AS4</f>
        <v>47514</v>
      </c>
      <c r="BB5" s="61">
        <f>'Rent Roll Calc'!AT4</f>
        <v>47542</v>
      </c>
      <c r="BC5" s="61">
        <f>'Rent Roll Calc'!AU4</f>
        <v>47573</v>
      </c>
      <c r="BD5" s="61">
        <f>'Rent Roll Calc'!AV4</f>
        <v>47603</v>
      </c>
      <c r="BE5" s="61">
        <f>'Rent Roll Calc'!AW4</f>
        <v>47634</v>
      </c>
      <c r="BF5" s="61">
        <f>'Rent Roll Calc'!AX4</f>
        <v>47664</v>
      </c>
      <c r="BG5" s="61">
        <f>'Rent Roll Calc'!AY4</f>
        <v>47695</v>
      </c>
      <c r="BH5" s="61">
        <f>'Rent Roll Calc'!AZ4</f>
        <v>47726</v>
      </c>
      <c r="BI5" s="61">
        <f>'Rent Roll Calc'!BA4</f>
        <v>47756</v>
      </c>
      <c r="BJ5" s="61">
        <f>'Rent Roll Calc'!BB4</f>
        <v>47787</v>
      </c>
      <c r="BK5" s="61">
        <f>'Rent Roll Calc'!BC4</f>
        <v>47817</v>
      </c>
      <c r="BL5" s="61">
        <f>'Rent Roll Calc'!BD4</f>
        <v>47848</v>
      </c>
      <c r="BM5" s="61">
        <f>'Rent Roll Calc'!BE4</f>
        <v>47879</v>
      </c>
      <c r="BN5" s="61">
        <f>'Rent Roll Calc'!BF4</f>
        <v>47907</v>
      </c>
      <c r="BO5" s="61">
        <f>'Rent Roll Calc'!BG4</f>
        <v>47938</v>
      </c>
      <c r="BP5" s="61">
        <f>'Rent Roll Calc'!BH4</f>
        <v>47968</v>
      </c>
      <c r="BQ5" s="61">
        <f>'Rent Roll Calc'!BI4</f>
        <v>47999</v>
      </c>
      <c r="BR5" s="61">
        <f>'Rent Roll Calc'!BJ4</f>
        <v>48029</v>
      </c>
      <c r="BS5" s="61">
        <f>'Rent Roll Calc'!BK4</f>
        <v>48060</v>
      </c>
      <c r="BT5" s="61">
        <f>'Rent Roll Calc'!BL4</f>
        <v>48091</v>
      </c>
      <c r="BU5" s="61">
        <f>'Rent Roll Calc'!BM4</f>
        <v>48121</v>
      </c>
      <c r="BV5" s="61">
        <f>'Rent Roll Calc'!BN4</f>
        <v>48152</v>
      </c>
      <c r="BW5" s="61">
        <f>'Rent Roll Calc'!BO4</f>
        <v>48182</v>
      </c>
      <c r="BX5" s="61">
        <f>'Rent Roll Calc'!BP4</f>
        <v>48213</v>
      </c>
      <c r="BY5" s="61">
        <f>'Rent Roll Calc'!BQ4</f>
        <v>48244</v>
      </c>
      <c r="BZ5" s="61">
        <f>'Rent Roll Calc'!BR4</f>
        <v>48273</v>
      </c>
      <c r="CA5" s="61">
        <f>'Rent Roll Calc'!BS4</f>
        <v>48304</v>
      </c>
      <c r="CB5" s="61">
        <f>'Rent Roll Calc'!BT4</f>
        <v>48334</v>
      </c>
      <c r="CC5" s="61">
        <f>'Rent Roll Calc'!BU4</f>
        <v>48365</v>
      </c>
      <c r="CD5" s="61">
        <f>'Rent Roll Calc'!BV4</f>
        <v>48395</v>
      </c>
      <c r="CE5" s="61">
        <f>'Rent Roll Calc'!BW4</f>
        <v>48426</v>
      </c>
      <c r="CF5" s="61">
        <f>'Rent Roll Calc'!BX4</f>
        <v>48457</v>
      </c>
    </row>
    <row r="6" spans="1:86">
      <c r="A6" s="17" t="s">
        <v>190</v>
      </c>
      <c r="D6" s="59">
        <f t="shared" ref="D6:J6" si="66">AVERAGEIFS($L6:$CF6,$L$3:$CF$3,D$3)</f>
        <v>0.77357142857142858</v>
      </c>
      <c r="E6" s="59">
        <f t="shared" si="66"/>
        <v>0.68791666666666662</v>
      </c>
      <c r="F6" s="59">
        <f t="shared" si="66"/>
        <v>0.94074404761904773</v>
      </c>
      <c r="G6" s="59">
        <f t="shared" si="66"/>
        <v>0.90452380952380962</v>
      </c>
      <c r="H6" s="59">
        <f t="shared" si="66"/>
        <v>0.96104166666666668</v>
      </c>
      <c r="I6" s="59">
        <f t="shared" si="66"/>
        <v>0.97738095238095202</v>
      </c>
      <c r="J6" s="59">
        <f t="shared" si="66"/>
        <v>0.97818452380952381</v>
      </c>
      <c r="L6" s="63">
        <f>'Rent Roll Calc'!D359/BldgSF</f>
        <v>0.77357142857142858</v>
      </c>
      <c r="M6" s="63">
        <f>'Rent Roll Calc'!E359/BldgSF</f>
        <v>0.77357142857142858</v>
      </c>
      <c r="N6" s="63">
        <f>'Rent Roll Calc'!F359/BldgSF</f>
        <v>0.80392857142857144</v>
      </c>
      <c r="O6" s="63">
        <f>'Rent Roll Calc'!G359/BldgSF</f>
        <v>0.55535714285714288</v>
      </c>
      <c r="P6" s="63">
        <f>'Rent Roll Calc'!H359/BldgSF</f>
        <v>0.57607142857142857</v>
      </c>
      <c r="Q6" s="63">
        <f>'Rent Roll Calc'!I359/BldgSF</f>
        <v>0.60892857142857137</v>
      </c>
      <c r="R6" s="63">
        <f>'Rent Roll Calc'!J359/BldgSF</f>
        <v>0.63571428571428568</v>
      </c>
      <c r="S6" s="63">
        <f>'Rent Roll Calc'!K359/BldgSF</f>
        <v>0.63571428571428568</v>
      </c>
      <c r="T6" s="63">
        <f>'Rent Roll Calc'!L359/BldgSF</f>
        <v>0.66714285714285715</v>
      </c>
      <c r="U6" s="63">
        <f>'Rent Roll Calc'!M359/BldgSF</f>
        <v>0.68928571428571428</v>
      </c>
      <c r="V6" s="63">
        <f>'Rent Roll Calc'!N359/BldgSF</f>
        <v>0.68928571428571428</v>
      </c>
      <c r="W6" s="63">
        <f>'Rent Roll Calc'!O359/BldgSF</f>
        <v>0.81857142857142862</v>
      </c>
      <c r="X6" s="63">
        <f>'Rent Roll Calc'!P359/BldgSF</f>
        <v>0.80142857142857138</v>
      </c>
      <c r="Y6" s="63">
        <f>'Rent Roll Calc'!Q359/BldgSF</f>
        <v>0.89071428571428568</v>
      </c>
      <c r="Z6" s="63">
        <f>'Rent Roll Calc'!R359/BldgSF</f>
        <v>0.84785714285714286</v>
      </c>
      <c r="AA6" s="63">
        <f>'Rent Roll Calc'!S359/BldgSF</f>
        <v>0.93357142857142861</v>
      </c>
      <c r="AB6" s="63">
        <f>'Rent Roll Calc'!T359/BldgSF</f>
        <v>0.93357142857142861</v>
      </c>
      <c r="AC6" s="63">
        <f>'Rent Roll Calc'!U359/BldgSF</f>
        <v>0.93357142857142861</v>
      </c>
      <c r="AD6" s="63">
        <f>'Rent Roll Calc'!V359/BldgSF</f>
        <v>0.95428571428571429</v>
      </c>
      <c r="AE6" s="63">
        <f>'Rent Roll Calc'!W359/BldgSF</f>
        <v>0.95428571428571429</v>
      </c>
      <c r="AF6" s="63">
        <f>'Rent Roll Calc'!X359/BldgSF</f>
        <v>0.95428571428571429</v>
      </c>
      <c r="AG6" s="63">
        <f>'Rent Roll Calc'!Y359/BldgSF</f>
        <v>0.95428571428571429</v>
      </c>
      <c r="AH6" s="63">
        <f>'Rent Roll Calc'!Z359/BldgSF</f>
        <v>0.95428571428571429</v>
      </c>
      <c r="AI6" s="63">
        <f>'Rent Roll Calc'!AA359/BldgSF</f>
        <v>0.98464285714285715</v>
      </c>
      <c r="AJ6" s="63">
        <f>'Rent Roll Calc'!AB359/BldgSF</f>
        <v>0.99357142857142855</v>
      </c>
      <c r="AK6" s="63">
        <f>'Rent Roll Calc'!AC359/BldgSF</f>
        <v>0.98</v>
      </c>
      <c r="AL6" s="63">
        <f>'Rent Roll Calc'!AD359/BldgSF</f>
        <v>0.98</v>
      </c>
      <c r="AM6" s="63">
        <f>'Rent Roll Calc'!AE359/BldgSF</f>
        <v>0.96071428571428574</v>
      </c>
      <c r="AN6" s="63">
        <f>'Rent Roll Calc'!AF359/BldgSF</f>
        <v>0.93500000000000005</v>
      </c>
      <c r="AO6" s="63">
        <f>'Rent Roll Calc'!AG359/BldgSF</f>
        <v>0.89571428571428569</v>
      </c>
      <c r="AP6" s="63">
        <f>'Rent Roll Calc'!AH359/BldgSF</f>
        <v>0.89571428571428569</v>
      </c>
      <c r="AQ6" s="63">
        <f>'Rent Roll Calc'!AI359/BldgSF</f>
        <v>0.88107142857142862</v>
      </c>
      <c r="AR6" s="63">
        <f>'Rent Roll Calc'!AJ359/BldgSF</f>
        <v>0.8403571428571428</v>
      </c>
      <c r="AS6" s="63">
        <f>'Rent Roll Calc'!AK359/BldgSF</f>
        <v>0.8125</v>
      </c>
      <c r="AT6" s="63">
        <f>'Rent Roll Calc'!AL359/BldgSF</f>
        <v>0.85178571428571426</v>
      </c>
      <c r="AU6" s="63">
        <f>'Rent Roll Calc'!AM359/BldgSF</f>
        <v>0.88</v>
      </c>
      <c r="AV6" s="63">
        <f>'Rent Roll Calc'!AN359/BldgSF</f>
        <v>0.94142857142857139</v>
      </c>
      <c r="AW6" s="63">
        <f>'Rent Roll Calc'!AO359/BldgSF</f>
        <v>0.96928571428571431</v>
      </c>
      <c r="AX6" s="63">
        <f>'Rent Roll Calc'!AP359/BldgSF</f>
        <v>0.96928571428571431</v>
      </c>
      <c r="AY6" s="63">
        <f>'Rent Roll Calc'!AQ359/BldgSF</f>
        <v>0.96928571428571431</v>
      </c>
      <c r="AZ6" s="63">
        <f>'Rent Roll Calc'!AR359/BldgSF</f>
        <v>0.95678571428571424</v>
      </c>
      <c r="BA6" s="63">
        <f>'Rent Roll Calc'!AS359/BldgSF</f>
        <v>0.96321428571428569</v>
      </c>
      <c r="BB6" s="63">
        <f>'Rent Roll Calc'!AT359/BldgSF</f>
        <v>0.96321428571428569</v>
      </c>
      <c r="BC6" s="63">
        <f>'Rent Roll Calc'!AU359/BldgSF</f>
        <v>0.96321428571428569</v>
      </c>
      <c r="BD6" s="63">
        <f>'Rent Roll Calc'!AV359/BldgSF</f>
        <v>0.96321428571428569</v>
      </c>
      <c r="BE6" s="63">
        <f>'Rent Roll Calc'!AW359/BldgSF</f>
        <v>0.97571428571428576</v>
      </c>
      <c r="BF6" s="63">
        <f>'Rent Roll Calc'!AX359/BldgSF</f>
        <v>0.97142857142857142</v>
      </c>
      <c r="BG6" s="63">
        <f>'Rent Roll Calc'!AY359/BldgSF</f>
        <v>0.93392857142857144</v>
      </c>
      <c r="BH6" s="63">
        <f>'Rent Roll Calc'!AZ359/BldgSF</f>
        <v>0.93392857142857144</v>
      </c>
      <c r="BI6" s="63">
        <f>'Rent Roll Calc'!BA359/BldgSF</f>
        <v>0.93392857142857144</v>
      </c>
      <c r="BJ6" s="63">
        <f>'Rent Roll Calc'!BB359/BldgSF</f>
        <v>0.93392857142857144</v>
      </c>
      <c r="BK6" s="63">
        <f>'Rent Roll Calc'!BC359/BldgSF</f>
        <v>0.99357142857142855</v>
      </c>
      <c r="BL6" s="63">
        <f>'Rent Roll Calc'!BD359/BldgSF</f>
        <v>0.99357142857142855</v>
      </c>
      <c r="BM6" s="63">
        <f>'Rent Roll Calc'!BE359/BldgSF</f>
        <v>0.99357142857142855</v>
      </c>
      <c r="BN6" s="63">
        <f>'Rent Roll Calc'!BF359/BldgSF</f>
        <v>0.99357142857142855</v>
      </c>
      <c r="BO6" s="63">
        <f>'Rent Roll Calc'!BG359/BldgSF</f>
        <v>0.99357142857142855</v>
      </c>
      <c r="BP6" s="63">
        <f>'Rent Roll Calc'!BH359/BldgSF</f>
        <v>0.97857142857142854</v>
      </c>
      <c r="BQ6" s="63">
        <f>'Rent Roll Calc'!BI359/BldgSF</f>
        <v>0.97857142857142854</v>
      </c>
      <c r="BR6" s="63">
        <f>'Rent Roll Calc'!BJ359/BldgSF</f>
        <v>0.97857142857142854</v>
      </c>
      <c r="BS6" s="63">
        <f>'Rent Roll Calc'!BK359/BldgSF</f>
        <v>0.97857142857142854</v>
      </c>
      <c r="BT6" s="63">
        <f>'Rent Roll Calc'!BL359/BldgSF</f>
        <v>0.97857142857142854</v>
      </c>
      <c r="BU6" s="63">
        <f>'Rent Roll Calc'!BM359/BldgSF</f>
        <v>0.94464285714285712</v>
      </c>
      <c r="BV6" s="63">
        <f>'Rent Roll Calc'!BN359/BldgSF</f>
        <v>0.95964285714285713</v>
      </c>
      <c r="BW6" s="63">
        <f>'Rent Roll Calc'!BO359/BldgSF</f>
        <v>0.95964285714285713</v>
      </c>
      <c r="BX6" s="63">
        <f>'Rent Roll Calc'!BP359/BldgSF</f>
        <v>0.95964285714285713</v>
      </c>
      <c r="BY6" s="63">
        <f>'Rent Roll Calc'!BQ359/BldgSF</f>
        <v>0.95964285714285713</v>
      </c>
      <c r="BZ6" s="63">
        <f>'Rent Roll Calc'!BR359/BldgSF</f>
        <v>0.99357142857142855</v>
      </c>
      <c r="CA6" s="63">
        <f>'Rent Roll Calc'!BS359/BldgSF</f>
        <v>0.99357142857142855</v>
      </c>
      <c r="CB6" s="63">
        <f>'Rent Roll Calc'!BT359/BldgSF</f>
        <v>0.99357142857142855</v>
      </c>
      <c r="CC6" s="63">
        <f>'Rent Roll Calc'!BU359/BldgSF</f>
        <v>0.99357142857142855</v>
      </c>
      <c r="CD6" s="63">
        <f>'Rent Roll Calc'!BV359/BldgSF</f>
        <v>0.99357142857142855</v>
      </c>
      <c r="CE6" s="63">
        <f>'Rent Roll Calc'!BW359/BldgSF</f>
        <v>0.99357142857142855</v>
      </c>
      <c r="CF6" s="63">
        <f>'Rent Roll Calc'!BX359/BldgSF</f>
        <v>0.99357142857142855</v>
      </c>
    </row>
    <row r="8" spans="1:86">
      <c r="A8" t="s">
        <v>401</v>
      </c>
      <c r="D8" s="69">
        <f t="shared" ref="D8:J10" si="67">SUMIFS($L8:$CF8,$L$3:$CF$3,D$3)</f>
        <v>0</v>
      </c>
      <c r="E8" s="69">
        <f t="shared" si="67"/>
        <v>4242046.3011562498</v>
      </c>
      <c r="F8" s="69">
        <f t="shared" si="67"/>
        <v>6442836.1672783727</v>
      </c>
      <c r="G8" s="69">
        <f t="shared" si="67"/>
        <v>6521652.5049511418</v>
      </c>
      <c r="H8" s="69">
        <f t="shared" si="67"/>
        <v>7297171.450823741</v>
      </c>
      <c r="I8" s="69">
        <f t="shared" si="67"/>
        <v>7679584.056581283</v>
      </c>
      <c r="J8" s="69">
        <f t="shared" si="67"/>
        <v>7953389.9342850158</v>
      </c>
      <c r="K8" s="69"/>
      <c r="L8" s="69"/>
      <c r="M8" s="69">
        <f>'Rent Roll Calc'!E352+'Rent Roll Calc'!E353</f>
        <v>368853.75000000006</v>
      </c>
      <c r="N8" s="69">
        <f>'Rent Roll Calc'!F352+'Rent Roll Calc'!F353</f>
        <v>386879.21875000006</v>
      </c>
      <c r="O8" s="69">
        <f>'Rent Roll Calc'!G352+'Rent Roll Calc'!G353</f>
        <v>276827.46875</v>
      </c>
      <c r="P8" s="69">
        <f>'Rent Roll Calc'!H352+'Rent Roll Calc'!H353</f>
        <v>289186.84375</v>
      </c>
      <c r="Q8" s="69">
        <f>'Rent Roll Calc'!I352+'Rent Roll Calc'!I353</f>
        <v>312147.58855208335</v>
      </c>
      <c r="R8" s="69">
        <f>'Rent Roll Calc'!J352+'Rent Roll Calc'!J353</f>
        <v>328333.18672916666</v>
      </c>
      <c r="S8" s="69">
        <f>'Rent Roll Calc'!K352+'Rent Roll Calc'!K353</f>
        <v>328751.78047916666</v>
      </c>
      <c r="T8" s="69">
        <f>'Rent Roll Calc'!L352+'Rent Roll Calc'!L353</f>
        <v>348769.52122916665</v>
      </c>
      <c r="U8" s="69">
        <f>'Rent Roll Calc'!M352+'Rent Roll Calc'!M353</f>
        <v>362201.74766666663</v>
      </c>
      <c r="V8" s="69">
        <f>'Rent Roll Calc'!N352+'Rent Roll Calc'!N353</f>
        <v>362489.14349999995</v>
      </c>
      <c r="W8" s="69">
        <f>'Rent Roll Calc'!O352+'Rent Roll Calc'!O353</f>
        <v>442564.90087499993</v>
      </c>
      <c r="X8" s="69">
        <f>'Rent Roll Calc'!P352+'Rent Roll Calc'!P353</f>
        <v>435041.15087499993</v>
      </c>
      <c r="Y8" s="69">
        <f>'Rent Roll Calc'!Q352+'Rent Roll Calc'!Q353</f>
        <v>490670.31754166656</v>
      </c>
      <c r="Z8" s="69">
        <f>'Rent Roll Calc'!R352+'Rent Roll Calc'!R353</f>
        <v>467556.56754166656</v>
      </c>
      <c r="AA8" s="69">
        <f>'Rent Roll Calc'!S352+'Rent Roll Calc'!S353</f>
        <v>520960.56754166656</v>
      </c>
      <c r="AB8" s="69">
        <f>'Rent Roll Calc'!T352+'Rent Roll Calc'!T353</f>
        <v>520960.56754166656</v>
      </c>
      <c r="AC8" s="69">
        <f>'Rent Roll Calc'!U352+'Rent Roll Calc'!U353</f>
        <v>534685.59723299986</v>
      </c>
      <c r="AD8" s="69">
        <f>'Rent Roll Calc'!V352+'Rent Roll Calc'!V353</f>
        <v>552256.63860966649</v>
      </c>
      <c r="AE8" s="69">
        <f>'Rent Roll Calc'!W352+'Rent Roll Calc'!W353</f>
        <v>552256.63860966649</v>
      </c>
      <c r="AF8" s="69">
        <f>'Rent Roll Calc'!X352+'Rent Roll Calc'!X353</f>
        <v>552256.63860966649</v>
      </c>
      <c r="AG8" s="69">
        <f>'Rent Roll Calc'!Y352+'Rent Roll Calc'!Y353</f>
        <v>552256.63860966649</v>
      </c>
      <c r="AH8" s="69">
        <f>'Rent Roll Calc'!Z352+'Rent Roll Calc'!Z353</f>
        <v>552256.63860966649</v>
      </c>
      <c r="AI8" s="69">
        <f>'Rent Roll Calc'!AA352+'Rent Roll Calc'!AA353</f>
        <v>570688.52228888532</v>
      </c>
      <c r="AJ8" s="69">
        <f>'Rent Roll Calc'!AB352+'Rent Roll Calc'!AB353</f>
        <v>576030.83454148949</v>
      </c>
      <c r="AK8" s="69">
        <f>'Rent Roll Calc'!AC352+'Rent Roll Calc'!AC353</f>
        <v>569210.52724982286</v>
      </c>
      <c r="AL8" s="69">
        <f>'Rent Roll Calc'!AD352+'Rent Roll Calc'!AD353</f>
        <v>569210.52724982286</v>
      </c>
      <c r="AM8" s="69">
        <f>'Rent Roll Calc'!AE352+'Rent Roll Calc'!AE353</f>
        <v>558638.39352482278</v>
      </c>
      <c r="AN8" s="69">
        <f>'Rent Roll Calc'!AF352+'Rent Roll Calc'!AF353</f>
        <v>545426.35392482276</v>
      </c>
      <c r="AO8" s="69">
        <f>'Rent Roll Calc'!AG352+'Rent Roll Calc'!AG353</f>
        <v>540239.95490492834</v>
      </c>
      <c r="AP8" s="69">
        <f>'Rent Roll Calc'!AH352+'Rent Roll Calc'!AH353</f>
        <v>540239.95490492834</v>
      </c>
      <c r="AQ8" s="69">
        <f>'Rent Roll Calc'!AI352+'Rent Roll Calc'!AI353</f>
        <v>533868.74338180653</v>
      </c>
      <c r="AR8" s="69">
        <f>'Rent Roll Calc'!AJ352+'Rent Roll Calc'!AJ353</f>
        <v>514941.74840366846</v>
      </c>
      <c r="AS8" s="69">
        <f>'Rent Roll Calc'!AK352+'Rent Roll Calc'!AK353</f>
        <v>500242.19137241849</v>
      </c>
      <c r="AT8" s="69">
        <f>'Rent Roll Calc'!AL352+'Rent Roll Calc'!AL353</f>
        <v>524739.24901055184</v>
      </c>
      <c r="AU8" s="69">
        <f>'Rent Roll Calc'!AM352+'Rent Roll Calc'!AM353</f>
        <v>542332.59040521132</v>
      </c>
      <c r="AV8" s="69">
        <f>'Rent Roll Calc'!AN352+'Rent Roll Calc'!AN353</f>
        <v>582562.27061833628</v>
      </c>
      <c r="AW8" s="69">
        <f>'Rent Roll Calc'!AO352+'Rent Roll Calc'!AO353</f>
        <v>599932.91148901277</v>
      </c>
      <c r="AX8" s="69">
        <f>'Rent Roll Calc'!AP352+'Rent Roll Calc'!AP353</f>
        <v>599932.91148901277</v>
      </c>
      <c r="AY8" s="69">
        <f>'Rent Roll Calc'!AQ352+'Rent Roll Calc'!AQ353</f>
        <v>599932.91148901277</v>
      </c>
      <c r="AZ8" s="69">
        <f>'Rent Roll Calc'!AR352+'Rent Roll Calc'!AR353</f>
        <v>592957.10167703358</v>
      </c>
      <c r="BA8" s="69">
        <f>'Rent Roll Calc'!AS352+'Rent Roll Calc'!AS353</f>
        <v>614932.71897635341</v>
      </c>
      <c r="BB8" s="69">
        <f>'Rent Roll Calc'!AT352+'Rent Roll Calc'!AT353</f>
        <v>614932.71897635341</v>
      </c>
      <c r="BC8" s="69">
        <f>'Rent Roll Calc'!AU352+'Rent Roll Calc'!AU353</f>
        <v>614932.71897635341</v>
      </c>
      <c r="BD8" s="69">
        <f>'Rent Roll Calc'!AV352+'Rent Roll Calc'!AV353</f>
        <v>614932.71897635341</v>
      </c>
      <c r="BE8" s="69">
        <f>'Rent Roll Calc'!AW352+'Rent Roll Calc'!AW353</f>
        <v>622821.28730018111</v>
      </c>
      <c r="BF8" s="69">
        <f>'Rent Roll Calc'!AX352+'Rent Roll Calc'!AX353</f>
        <v>621567.71018489986</v>
      </c>
      <c r="BG8" s="69">
        <f>'Rent Roll Calc'!AY352+'Rent Roll Calc'!AY353</f>
        <v>600147.87064458732</v>
      </c>
      <c r="BH8" s="69">
        <f>'Rent Roll Calc'!AZ352+'Rent Roll Calc'!AZ353</f>
        <v>600147.87064458732</v>
      </c>
      <c r="BI8" s="69">
        <f>'Rent Roll Calc'!BA352+'Rent Roll Calc'!BA353</f>
        <v>600147.87064458732</v>
      </c>
      <c r="BJ8" s="69">
        <f>'Rent Roll Calc'!BB352+'Rent Roll Calc'!BB353</f>
        <v>600147.87064458732</v>
      </c>
      <c r="BK8" s="69">
        <f>'Rent Roll Calc'!BC352+'Rent Roll Calc'!BC353</f>
        <v>638343.014812393</v>
      </c>
      <c r="BL8" s="69">
        <f>'Rent Roll Calc'!BD352+'Rent Roll Calc'!BD353</f>
        <v>638343.014812393</v>
      </c>
      <c r="BM8" s="69">
        <f>'Rent Roll Calc'!BE352+'Rent Roll Calc'!BE353</f>
        <v>655397.15689811518</v>
      </c>
      <c r="BN8" s="69">
        <f>'Rent Roll Calc'!BF352+'Rent Roll Calc'!BF353</f>
        <v>655397.15689811518</v>
      </c>
      <c r="BO8" s="69">
        <f>'Rent Roll Calc'!BG352+'Rent Roll Calc'!BG353</f>
        <v>655397.15689811518</v>
      </c>
      <c r="BP8" s="69">
        <f>'Rent Roll Calc'!BH352+'Rent Roll Calc'!BH353</f>
        <v>647282.16299459513</v>
      </c>
      <c r="BQ8" s="69">
        <f>'Rent Roll Calc'!BI352+'Rent Roll Calc'!BI353</f>
        <v>647282.16299459513</v>
      </c>
      <c r="BR8" s="69">
        <f>'Rent Roll Calc'!BJ352+'Rent Roll Calc'!BJ353</f>
        <v>647282.16299459513</v>
      </c>
      <c r="BS8" s="69">
        <f>'Rent Roll Calc'!BK352+'Rent Roll Calc'!BK353</f>
        <v>647282.16299459513</v>
      </c>
      <c r="BT8" s="69">
        <f>'Rent Roll Calc'!BL352+'Rent Roll Calc'!BL353</f>
        <v>647282.16299459513</v>
      </c>
      <c r="BU8" s="69">
        <f>'Rent Roll Calc'!BM352+'Rent Roll Calc'!BM353</f>
        <v>629005.48539862316</v>
      </c>
      <c r="BV8" s="69">
        <f>'Rent Roll Calc'!BN352+'Rent Roll Calc'!BN353</f>
        <v>638727.35700090847</v>
      </c>
      <c r="BW8" s="69">
        <f>'Rent Roll Calc'!BO352+'Rent Roll Calc'!BO353</f>
        <v>638727.35700090847</v>
      </c>
      <c r="BX8" s="69">
        <f>'Rent Roll Calc'!BP352+'Rent Roll Calc'!BP353</f>
        <v>638727.35700090847</v>
      </c>
      <c r="BY8" s="69">
        <f>'Rent Roll Calc'!BQ352+'Rent Roll Calc'!BQ353</f>
        <v>655972.99563993281</v>
      </c>
      <c r="BZ8" s="69">
        <f>'Rent Roll Calc'!BR352+'Rent Roll Calc'!BR353</f>
        <v>678889.91174910485</v>
      </c>
      <c r="CA8" s="69">
        <f>'Rent Roll Calc'!BS352+'Rent Roll Calc'!BS353</f>
        <v>678889.91174910485</v>
      </c>
      <c r="CB8" s="69">
        <f>'Rent Roll Calc'!BT352+'Rent Roll Calc'!BT353</f>
        <v>678889.91174910485</v>
      </c>
      <c r="CC8" s="69">
        <f>'Rent Roll Calc'!BU352+'Rent Roll Calc'!BU353</f>
        <v>678889.91174910485</v>
      </c>
      <c r="CD8" s="69">
        <f>'Rent Roll Calc'!BV352+'Rent Roll Calc'!BV353</f>
        <v>678889.91174910485</v>
      </c>
      <c r="CE8" s="69">
        <f>'Rent Roll Calc'!BW352+'Rent Roll Calc'!BW353</f>
        <v>678889.91174910485</v>
      </c>
      <c r="CF8" s="69">
        <f>'Rent Roll Calc'!BX352+'Rent Roll Calc'!BX353</f>
        <v>678889.91174910485</v>
      </c>
    </row>
    <row r="9" spans="1:86">
      <c r="A9" t="s">
        <v>402</v>
      </c>
      <c r="D9" s="69">
        <f t="shared" si="67"/>
        <v>0</v>
      </c>
      <c r="E9" s="69">
        <f t="shared" si="67"/>
        <v>-378313.20337499987</v>
      </c>
      <c r="F9" s="69">
        <f t="shared" si="67"/>
        <v>-332829.85767687502</v>
      </c>
      <c r="G9" s="69">
        <f t="shared" si="67"/>
        <v>-214452.09021889919</v>
      </c>
      <c r="H9" s="69">
        <f t="shared" si="67"/>
        <v>-156624.11140719851</v>
      </c>
      <c r="I9" s="69">
        <f t="shared" si="67"/>
        <v>-76390.288335611374</v>
      </c>
      <c r="J9" s="69">
        <f t="shared" si="67"/>
        <v>-65277.575422914539</v>
      </c>
      <c r="K9" s="69"/>
      <c r="L9" s="69"/>
      <c r="M9" s="69">
        <f>'Rent Roll Calc'!E354</f>
        <v>0</v>
      </c>
      <c r="N9" s="69">
        <f>'Rent Roll Calc'!F354</f>
        <v>-17475.468749999996</v>
      </c>
      <c r="O9" s="69">
        <f>'Rent Roll Calc'!G354</f>
        <v>-30633.468749999993</v>
      </c>
      <c r="P9" s="69">
        <f>'Rent Roll Calc'!H354</f>
        <v>-25082.437499999996</v>
      </c>
      <c r="Q9" s="69">
        <f>'Rent Roll Calc'!I354</f>
        <v>-31671.717187499991</v>
      </c>
      <c r="R9" s="69">
        <f>'Rent Roll Calc'!J354</f>
        <v>-35261.178468749989</v>
      </c>
      <c r="S9" s="69">
        <f>'Rent Roll Calc'!K354</f>
        <v>-15835.858593749997</v>
      </c>
      <c r="T9" s="69">
        <f>'Rent Roll Calc'!L354</f>
        <v>-18580.740749999994</v>
      </c>
      <c r="U9" s="69">
        <f>'Rent Roll Calc'!M354</f>
        <v>-31671.717187499991</v>
      </c>
      <c r="V9" s="69">
        <f>'Rent Roll Calc'!N354</f>
        <v>-13090.976437499998</v>
      </c>
      <c r="W9" s="69">
        <f>'Rent Roll Calc'!O354</f>
        <v>-79504.819874999986</v>
      </c>
      <c r="X9" s="69">
        <f>'Rent Roll Calc'!P354</f>
        <v>-79504.819874999986</v>
      </c>
      <c r="Y9" s="69">
        <f>'Rent Roll Calc'!Q354</f>
        <v>-55629.166666666657</v>
      </c>
      <c r="Z9" s="69">
        <f>'Rent Roll Calc'!R354</f>
        <v>-55629.166666666657</v>
      </c>
      <c r="AA9" s="69">
        <f>'Rent Roll Calc'!S354</f>
        <v>-53403.999999999993</v>
      </c>
      <c r="AB9" s="69">
        <f>'Rent Roll Calc'!T354</f>
        <v>-53403.999999999993</v>
      </c>
      <c r="AC9" s="69">
        <f>'Rent Roll Calc'!U354</f>
        <v>0</v>
      </c>
      <c r="AD9" s="69">
        <f>'Rent Roll Calc'!V354</f>
        <v>-36278.722366249989</v>
      </c>
      <c r="AE9" s="69">
        <f>'Rent Roll Calc'!W354</f>
        <v>-36278.722366249989</v>
      </c>
      <c r="AF9" s="69">
        <f>'Rent Roll Calc'!X354</f>
        <v>0</v>
      </c>
      <c r="AG9" s="69">
        <f>'Rent Roll Calc'!Y354</f>
        <v>0</v>
      </c>
      <c r="AH9" s="69">
        <f>'Rent Roll Calc'!Z354</f>
        <v>0</v>
      </c>
      <c r="AI9" s="69">
        <f>'Rent Roll Calc'!AA354</f>
        <v>-18431.883679218743</v>
      </c>
      <c r="AJ9" s="69">
        <f>'Rent Roll Calc'!AB354</f>
        <v>-23774.195931822909</v>
      </c>
      <c r="AK9" s="69">
        <f>'Rent Roll Calc'!AC354</f>
        <v>-5342.3122526041652</v>
      </c>
      <c r="AL9" s="69">
        <f>'Rent Roll Calc'!AD354</f>
        <v>0</v>
      </c>
      <c r="AM9" s="69">
        <f>'Rent Roll Calc'!AE354</f>
        <v>0</v>
      </c>
      <c r="AN9" s="69">
        <f>'Rent Roll Calc'!AF354</f>
        <v>0</v>
      </c>
      <c r="AO9" s="69">
        <f>'Rent Roll Calc'!AG354</f>
        <v>0</v>
      </c>
      <c r="AP9" s="69">
        <f>'Rent Roll Calc'!AH354</f>
        <v>0</v>
      </c>
      <c r="AQ9" s="69">
        <f>'Rent Roll Calc'!AI354</f>
        <v>-8339.5631188052048</v>
      </c>
      <c r="AR9" s="69">
        <f>'Rent Roll Calc'!AJ354</f>
        <v>-36399.829140667134</v>
      </c>
      <c r="AS9" s="69">
        <f>'Rent Roll Calc'!AK354</f>
        <v>-28060.266021861928</v>
      </c>
      <c r="AT9" s="69">
        <f>'Rent Roll Calc'!AL354</f>
        <v>-24497.057638133429</v>
      </c>
      <c r="AU9" s="69">
        <f>'Rent Roll Calc'!AM354</f>
        <v>-42090.399032792891</v>
      </c>
      <c r="AV9" s="69">
        <f>'Rent Roll Calc'!AN354</f>
        <v>-69722.66301403445</v>
      </c>
      <c r="AW9" s="69">
        <f>'Rent Roll Calc'!AO354</f>
        <v>-69499.962490051417</v>
      </c>
      <c r="AX9" s="69">
        <f>'Rent Roll Calc'!AP354</f>
        <v>-17370.64087067643</v>
      </c>
      <c r="AY9" s="69">
        <f>'Rent Roll Calc'!AQ354</f>
        <v>0</v>
      </c>
      <c r="AZ9" s="69">
        <f>'Rent Roll Calc'!AR354</f>
        <v>0</v>
      </c>
      <c r="BA9" s="69">
        <f>'Rent Roll Calc'!AS354</f>
        <v>-15552.513792878963</v>
      </c>
      <c r="BB9" s="69">
        <f>'Rent Roll Calc'!AT354</f>
        <v>-15552.513792878963</v>
      </c>
      <c r="BC9" s="69">
        <f>'Rent Roll Calc'!AU354</f>
        <v>0</v>
      </c>
      <c r="BD9" s="69">
        <f>'Rent Roll Calc'!AV354</f>
        <v>0</v>
      </c>
      <c r="BE9" s="69">
        <f>'Rent Roll Calc'!AW354</f>
        <v>-7888.5683238277115</v>
      </c>
      <c r="BF9" s="69">
        <f>'Rent Roll Calc'!AX354</f>
        <v>-19324.240230356361</v>
      </c>
      <c r="BG9" s="69">
        <f>'Rent Roll Calc'!AY354</f>
        <v>-11435.671906528649</v>
      </c>
      <c r="BH9" s="69">
        <f>'Rent Roll Calc'!AZ354</f>
        <v>0</v>
      </c>
      <c r="BI9" s="69">
        <f>'Rent Roll Calc'!BA354</f>
        <v>0</v>
      </c>
      <c r="BJ9" s="69">
        <f>'Rent Roll Calc'!BB354</f>
        <v>0</v>
      </c>
      <c r="BK9" s="69">
        <f>'Rent Roll Calc'!BC354</f>
        <v>-38195.144167805687</v>
      </c>
      <c r="BL9" s="69">
        <f>'Rent Roll Calc'!BD354</f>
        <v>-38195.144167805687</v>
      </c>
      <c r="BM9" s="69">
        <f>'Rent Roll Calc'!BE354</f>
        <v>0</v>
      </c>
      <c r="BN9" s="69">
        <f>'Rent Roll Calc'!BF354</f>
        <v>0</v>
      </c>
      <c r="BO9" s="69">
        <f>'Rent Roll Calc'!BG354</f>
        <v>0</v>
      </c>
      <c r="BP9" s="69">
        <f>'Rent Roll Calc'!BH354</f>
        <v>0</v>
      </c>
      <c r="BQ9" s="69">
        <f>'Rent Roll Calc'!BI354</f>
        <v>0</v>
      </c>
      <c r="BR9" s="69">
        <f>'Rent Roll Calc'!BJ354</f>
        <v>0</v>
      </c>
      <c r="BS9" s="69">
        <f>'Rent Roll Calc'!BK354</f>
        <v>0</v>
      </c>
      <c r="BT9" s="69">
        <f>'Rent Roll Calc'!BL354</f>
        <v>0</v>
      </c>
      <c r="BU9" s="69">
        <f>'Rent Roll Calc'!BM354</f>
        <v>0</v>
      </c>
      <c r="BV9" s="69">
        <f>'Rent Roll Calc'!BN354</f>
        <v>-9721.8716022852714</v>
      </c>
      <c r="BW9" s="69">
        <f>'Rent Roll Calc'!BO354</f>
        <v>-9721.8716022852714</v>
      </c>
      <c r="BX9" s="69">
        <f>'Rent Roll Calc'!BP354</f>
        <v>0</v>
      </c>
      <c r="BY9" s="69">
        <f>'Rent Roll Calc'!BQ354</f>
        <v>0</v>
      </c>
      <c r="BZ9" s="69">
        <f>'Rent Roll Calc'!BR354</f>
        <v>-22916.916109171998</v>
      </c>
      <c r="CA9" s="69">
        <f>'Rent Roll Calc'!BS354</f>
        <v>-22916.916109171998</v>
      </c>
      <c r="CB9" s="69">
        <f>'Rent Roll Calc'!BT354</f>
        <v>0</v>
      </c>
      <c r="CC9" s="69">
        <f>'Rent Roll Calc'!BU354</f>
        <v>0</v>
      </c>
      <c r="CD9" s="69">
        <f>'Rent Roll Calc'!BV354</f>
        <v>0</v>
      </c>
      <c r="CE9" s="69">
        <f>'Rent Roll Calc'!BW354</f>
        <v>0</v>
      </c>
      <c r="CF9" s="69">
        <f>'Rent Roll Calc'!BX354</f>
        <v>0</v>
      </c>
    </row>
    <row r="10" spans="1:86">
      <c r="A10" s="17" t="s">
        <v>172</v>
      </c>
      <c r="B10" s="17"/>
      <c r="C10" s="17"/>
      <c r="D10" s="70">
        <f t="shared" si="67"/>
        <v>0</v>
      </c>
      <c r="E10" s="70">
        <f t="shared" si="67"/>
        <v>3863733.0977812498</v>
      </c>
      <c r="F10" s="70">
        <f t="shared" si="67"/>
        <v>6110006.3096014978</v>
      </c>
      <c r="G10" s="70">
        <f t="shared" si="67"/>
        <v>6307200.414732242</v>
      </c>
      <c r="H10" s="70">
        <f t="shared" si="67"/>
        <v>7140547.339416543</v>
      </c>
      <c r="I10" s="70">
        <f t="shared" si="67"/>
        <v>7603193.7682456709</v>
      </c>
      <c r="J10" s="70">
        <f t="shared" si="67"/>
        <v>7888112.3588621011</v>
      </c>
      <c r="K10" s="69"/>
      <c r="L10" s="69"/>
      <c r="M10" s="70">
        <f>SUM(M8:M9)</f>
        <v>368853.75000000006</v>
      </c>
      <c r="N10" s="70">
        <f t="shared" ref="N10:BY10" si="68">SUM(N8:N9)</f>
        <v>369403.75000000006</v>
      </c>
      <c r="O10" s="70">
        <f t="shared" si="68"/>
        <v>246194</v>
      </c>
      <c r="P10" s="70">
        <f t="shared" si="68"/>
        <v>264104.40625</v>
      </c>
      <c r="Q10" s="70">
        <f t="shared" si="68"/>
        <v>280475.87136458338</v>
      </c>
      <c r="R10" s="70">
        <f t="shared" si="68"/>
        <v>293072.00826041668</v>
      </c>
      <c r="S10" s="70">
        <f t="shared" si="68"/>
        <v>312915.92188541667</v>
      </c>
      <c r="T10" s="70">
        <f t="shared" si="68"/>
        <v>330188.78047916666</v>
      </c>
      <c r="U10" s="70">
        <f t="shared" si="68"/>
        <v>330530.03047916666</v>
      </c>
      <c r="V10" s="70">
        <f t="shared" si="68"/>
        <v>349398.16706249997</v>
      </c>
      <c r="W10" s="70">
        <f t="shared" si="68"/>
        <v>363060.08099999995</v>
      </c>
      <c r="X10" s="70">
        <f t="shared" si="68"/>
        <v>355536.33099999995</v>
      </c>
      <c r="Y10" s="70">
        <f t="shared" si="68"/>
        <v>435041.15087499993</v>
      </c>
      <c r="Z10" s="70">
        <f t="shared" si="68"/>
        <v>411927.40087499993</v>
      </c>
      <c r="AA10" s="70">
        <f t="shared" si="68"/>
        <v>467556.56754166656</v>
      </c>
      <c r="AB10" s="70">
        <f t="shared" si="68"/>
        <v>467556.56754166656</v>
      </c>
      <c r="AC10" s="70">
        <f t="shared" si="68"/>
        <v>534685.59723299986</v>
      </c>
      <c r="AD10" s="70">
        <f t="shared" si="68"/>
        <v>515977.91624341649</v>
      </c>
      <c r="AE10" s="70">
        <f t="shared" si="68"/>
        <v>515977.91624341649</v>
      </c>
      <c r="AF10" s="70">
        <f t="shared" si="68"/>
        <v>552256.63860966649</v>
      </c>
      <c r="AG10" s="70">
        <f t="shared" si="68"/>
        <v>552256.63860966649</v>
      </c>
      <c r="AH10" s="70">
        <f t="shared" si="68"/>
        <v>552256.63860966649</v>
      </c>
      <c r="AI10" s="70">
        <f t="shared" si="68"/>
        <v>552256.63860966661</v>
      </c>
      <c r="AJ10" s="70">
        <f t="shared" si="68"/>
        <v>552256.63860966661</v>
      </c>
      <c r="AK10" s="70">
        <f t="shared" si="68"/>
        <v>563868.21499721869</v>
      </c>
      <c r="AL10" s="70">
        <f t="shared" si="68"/>
        <v>569210.52724982286</v>
      </c>
      <c r="AM10" s="70">
        <f t="shared" si="68"/>
        <v>558638.39352482278</v>
      </c>
      <c r="AN10" s="70">
        <f t="shared" si="68"/>
        <v>545426.35392482276</v>
      </c>
      <c r="AO10" s="70">
        <f t="shared" si="68"/>
        <v>540239.95490492834</v>
      </c>
      <c r="AP10" s="70">
        <f t="shared" si="68"/>
        <v>540239.95490492834</v>
      </c>
      <c r="AQ10" s="70">
        <f t="shared" si="68"/>
        <v>525529.18026300136</v>
      </c>
      <c r="AR10" s="70">
        <f t="shared" si="68"/>
        <v>478541.9192630013</v>
      </c>
      <c r="AS10" s="70">
        <f t="shared" si="68"/>
        <v>472181.92535055656</v>
      </c>
      <c r="AT10" s="70">
        <f t="shared" si="68"/>
        <v>500242.19137241843</v>
      </c>
      <c r="AU10" s="70">
        <f t="shared" si="68"/>
        <v>500242.19137241843</v>
      </c>
      <c r="AV10" s="70">
        <f t="shared" si="68"/>
        <v>512839.60760430183</v>
      </c>
      <c r="AW10" s="70">
        <f t="shared" si="68"/>
        <v>530432.94899896136</v>
      </c>
      <c r="AX10" s="70">
        <f t="shared" si="68"/>
        <v>582562.27061833639</v>
      </c>
      <c r="AY10" s="70">
        <f t="shared" si="68"/>
        <v>599932.91148901277</v>
      </c>
      <c r="AZ10" s="70">
        <f t="shared" si="68"/>
        <v>592957.10167703358</v>
      </c>
      <c r="BA10" s="70">
        <f t="shared" si="68"/>
        <v>599380.20518347446</v>
      </c>
      <c r="BB10" s="70">
        <f t="shared" si="68"/>
        <v>599380.20518347446</v>
      </c>
      <c r="BC10" s="70">
        <f t="shared" si="68"/>
        <v>614932.71897635341</v>
      </c>
      <c r="BD10" s="70">
        <f t="shared" si="68"/>
        <v>614932.71897635341</v>
      </c>
      <c r="BE10" s="70">
        <f t="shared" si="68"/>
        <v>614932.71897635341</v>
      </c>
      <c r="BF10" s="70">
        <f t="shared" si="68"/>
        <v>602243.46995454351</v>
      </c>
      <c r="BG10" s="70">
        <f t="shared" si="68"/>
        <v>588712.19873805868</v>
      </c>
      <c r="BH10" s="70">
        <f t="shared" si="68"/>
        <v>600147.87064458732</v>
      </c>
      <c r="BI10" s="70">
        <f t="shared" si="68"/>
        <v>600147.87064458732</v>
      </c>
      <c r="BJ10" s="70">
        <f t="shared" si="68"/>
        <v>600147.87064458732</v>
      </c>
      <c r="BK10" s="70">
        <f t="shared" si="68"/>
        <v>600147.87064458732</v>
      </c>
      <c r="BL10" s="70">
        <f t="shared" si="68"/>
        <v>600147.87064458732</v>
      </c>
      <c r="BM10" s="70">
        <f t="shared" si="68"/>
        <v>655397.15689811518</v>
      </c>
      <c r="BN10" s="70">
        <f t="shared" si="68"/>
        <v>655397.15689811518</v>
      </c>
      <c r="BO10" s="70">
        <f t="shared" si="68"/>
        <v>655397.15689811518</v>
      </c>
      <c r="BP10" s="70">
        <f t="shared" si="68"/>
        <v>647282.16299459513</v>
      </c>
      <c r="BQ10" s="70">
        <f t="shared" si="68"/>
        <v>647282.16299459513</v>
      </c>
      <c r="BR10" s="70">
        <f t="shared" si="68"/>
        <v>647282.16299459513</v>
      </c>
      <c r="BS10" s="70">
        <f t="shared" si="68"/>
        <v>647282.16299459513</v>
      </c>
      <c r="BT10" s="70">
        <f t="shared" si="68"/>
        <v>647282.16299459513</v>
      </c>
      <c r="BU10" s="70">
        <f t="shared" si="68"/>
        <v>629005.48539862316</v>
      </c>
      <c r="BV10" s="70">
        <f t="shared" si="68"/>
        <v>629005.48539862316</v>
      </c>
      <c r="BW10" s="70">
        <f t="shared" si="68"/>
        <v>629005.48539862316</v>
      </c>
      <c r="BX10" s="70">
        <f t="shared" si="68"/>
        <v>638727.35700090847</v>
      </c>
      <c r="BY10" s="70">
        <f t="shared" si="68"/>
        <v>655972.99563993281</v>
      </c>
      <c r="BZ10" s="70">
        <f t="shared" ref="BZ10:CF10" si="69">SUM(BZ8:BZ9)</f>
        <v>655972.99563993281</v>
      </c>
      <c r="CA10" s="70">
        <f t="shared" si="69"/>
        <v>655972.99563993281</v>
      </c>
      <c r="CB10" s="70">
        <f t="shared" si="69"/>
        <v>678889.91174910485</v>
      </c>
      <c r="CC10" s="70">
        <f t="shared" si="69"/>
        <v>678889.91174910485</v>
      </c>
      <c r="CD10" s="70">
        <f t="shared" si="69"/>
        <v>678889.91174910485</v>
      </c>
      <c r="CE10" s="70">
        <f t="shared" si="69"/>
        <v>678889.91174910485</v>
      </c>
      <c r="CF10" s="70">
        <f t="shared" si="69"/>
        <v>678889.91174910485</v>
      </c>
    </row>
    <row r="11" spans="1:86"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69"/>
      <c r="AC11" s="69"/>
      <c r="AD11" s="69"/>
      <c r="AE11" s="69"/>
      <c r="AF11" s="69"/>
      <c r="AG11" s="69"/>
      <c r="AH11" s="69"/>
      <c r="AI11" s="69"/>
      <c r="AJ11" s="69"/>
      <c r="AK11" s="69"/>
      <c r="AL11" s="69"/>
      <c r="AM11" s="69"/>
      <c r="AN11" s="69"/>
      <c r="AO11" s="69"/>
      <c r="AP11" s="69"/>
      <c r="AQ11" s="69"/>
      <c r="AR11" s="69"/>
      <c r="AS11" s="69"/>
      <c r="AT11" s="69"/>
      <c r="AU11" s="69"/>
      <c r="AV11" s="69"/>
      <c r="AW11" s="69"/>
      <c r="AX11" s="69"/>
      <c r="AY11" s="69"/>
      <c r="AZ11" s="69"/>
      <c r="BA11" s="69"/>
      <c r="BB11" s="69"/>
      <c r="BC11" s="69"/>
      <c r="BD11" s="69"/>
      <c r="BE11" s="69"/>
      <c r="BF11" s="69"/>
      <c r="BG11" s="69"/>
      <c r="BH11" s="69"/>
      <c r="BI11" s="69"/>
      <c r="BJ11" s="69"/>
      <c r="BK11" s="69"/>
      <c r="BL11" s="69"/>
      <c r="BM11" s="69"/>
      <c r="BN11" s="69"/>
      <c r="BO11" s="69"/>
      <c r="BP11" s="69"/>
      <c r="BQ11" s="69"/>
      <c r="BR11" s="69"/>
      <c r="BS11" s="69"/>
      <c r="BT11" s="69"/>
      <c r="BU11" s="69"/>
      <c r="BV11" s="69"/>
      <c r="BW11" s="69"/>
      <c r="BX11" s="69"/>
      <c r="BY11" s="69"/>
      <c r="BZ11" s="69"/>
      <c r="CA11" s="69"/>
      <c r="CB11" s="69"/>
      <c r="CC11" s="69"/>
      <c r="CD11" s="69"/>
      <c r="CE11" s="69"/>
      <c r="CF11" s="69"/>
    </row>
    <row r="12" spans="1:86">
      <c r="A12" t="s">
        <v>173</v>
      </c>
      <c r="D12" s="69">
        <f t="shared" ref="D12:J13" si="70">SUMIFS($L12:$CF12,$L$3:$CF$3,D$3)</f>
        <v>0</v>
      </c>
      <c r="E12" s="69">
        <f t="shared" si="70"/>
        <v>2053278.9417499998</v>
      </c>
      <c r="F12" s="69">
        <f t="shared" si="70"/>
        <v>2884395.7412432493</v>
      </c>
      <c r="G12" s="69">
        <f t="shared" si="70"/>
        <v>2845516.745744932</v>
      </c>
      <c r="H12" s="69">
        <f t="shared" si="70"/>
        <v>3106601.7819761555</v>
      </c>
      <c r="I12" s="69">
        <f t="shared" si="70"/>
        <v>3245276.3207042506</v>
      </c>
      <c r="J12" s="69">
        <f t="shared" si="70"/>
        <v>3335899.71426553</v>
      </c>
      <c r="K12" s="69"/>
      <c r="L12" s="69"/>
      <c r="M12" s="69">
        <f>'Rent Roll Calc'!E356</f>
        <v>188983.49999999997</v>
      </c>
      <c r="N12" s="69">
        <f>'Rent Roll Calc'!F356</f>
        <v>196399.74999999997</v>
      </c>
      <c r="O12" s="69">
        <f>'Rent Roll Calc'!G356</f>
        <v>135673.75</v>
      </c>
      <c r="P12" s="69">
        <f>'Rent Roll Calc'!H356</f>
        <v>140734.25</v>
      </c>
      <c r="Q12" s="69">
        <f>'Rent Roll Calc'!I356</f>
        <v>152777.80374999999</v>
      </c>
      <c r="R12" s="69">
        <f>'Rent Roll Calc'!J356</f>
        <v>159498.23499999999</v>
      </c>
      <c r="S12" s="69">
        <f>'Rent Roll Calc'!K356</f>
        <v>159498.23499999999</v>
      </c>
      <c r="T12" s="69">
        <f>'Rent Roll Calc'!L356</f>
        <v>167383.541</v>
      </c>
      <c r="U12" s="69">
        <f>'Rent Roll Calc'!M356</f>
        <v>172939.0975</v>
      </c>
      <c r="V12" s="69">
        <f>'Rent Roll Calc'!N356</f>
        <v>172939.0975</v>
      </c>
      <c r="W12" s="69">
        <f>'Rent Roll Calc'!O356</f>
        <v>205376.37899999999</v>
      </c>
      <c r="X12" s="69">
        <f>'Rent Roll Calc'!P356</f>
        <v>201075.30299999999</v>
      </c>
      <c r="Y12" s="69">
        <f>'Rent Roll Calc'!Q356</f>
        <v>223476.74049999999</v>
      </c>
      <c r="Z12" s="69">
        <f>'Rent Roll Calc'!R356</f>
        <v>212724.05049999998</v>
      </c>
      <c r="AA12" s="69">
        <f>'Rent Roll Calc'!S356</f>
        <v>234229.43049999999</v>
      </c>
      <c r="AB12" s="69">
        <f>'Rent Roll Calc'!T356</f>
        <v>234229.43049999999</v>
      </c>
      <c r="AC12" s="69">
        <f>'Rent Roll Calc'!U356</f>
        <v>240553.62512349992</v>
      </c>
      <c r="AD12" s="69">
        <f>'Rent Roll Calc'!V356</f>
        <v>245891.08122799991</v>
      </c>
      <c r="AE12" s="69">
        <f>'Rent Roll Calc'!W356</f>
        <v>245891.08122799991</v>
      </c>
      <c r="AF12" s="69">
        <f>'Rent Roll Calc'!X356</f>
        <v>245891.08122799991</v>
      </c>
      <c r="AG12" s="69">
        <f>'Rent Roll Calc'!Y356</f>
        <v>245891.08122799991</v>
      </c>
      <c r="AH12" s="69">
        <f>'Rent Roll Calc'!Z356</f>
        <v>245891.08122799991</v>
      </c>
      <c r="AI12" s="69">
        <f>'Rent Roll Calc'!AA356</f>
        <v>253713.21517424993</v>
      </c>
      <c r="AJ12" s="69">
        <f>'Rent Roll Calc'!AB356</f>
        <v>256013.84280549988</v>
      </c>
      <c r="AK12" s="69">
        <f>'Rent Roll Calc'!AC356</f>
        <v>252516.88880599992</v>
      </c>
      <c r="AL12" s="69">
        <f>'Rent Roll Calc'!AD356</f>
        <v>252516.88880599992</v>
      </c>
      <c r="AM12" s="69">
        <f>'Rent Roll Calc'!AE356</f>
        <v>247547.53312249991</v>
      </c>
      <c r="AN12" s="69">
        <f>'Rent Roll Calc'!AF356</f>
        <v>240921.72554449996</v>
      </c>
      <c r="AO12" s="69">
        <f>'Rent Roll Calc'!AG356</f>
        <v>237030.53599410891</v>
      </c>
      <c r="AP12" s="69">
        <f>'Rent Roll Calc'!AH356</f>
        <v>237030.53599410891</v>
      </c>
      <c r="AQ12" s="69">
        <f>'Rent Roll Calc'!AI356</f>
        <v>233155.63488734717</v>
      </c>
      <c r="AR12" s="69">
        <f>'Rent Roll Calc'!AJ356</f>
        <v>222381.51961488766</v>
      </c>
      <c r="AS12" s="69">
        <f>'Rent Roll Calc'!AK356</f>
        <v>215009.75653373118</v>
      </c>
      <c r="AT12" s="69">
        <f>'Rent Roll Calc'!AL356</f>
        <v>225405.83267382366</v>
      </c>
      <c r="AU12" s="69">
        <f>'Rent Roll Calc'!AM356</f>
        <v>232872.10553807192</v>
      </c>
      <c r="AV12" s="69">
        <f>'Rent Roll Calc'!AN356</f>
        <v>249127.78822985291</v>
      </c>
      <c r="AW12" s="69">
        <f>'Rent Roll Calc'!AO356</f>
        <v>256499.55131100942</v>
      </c>
      <c r="AX12" s="69">
        <f>'Rent Roll Calc'!AP356</f>
        <v>256499.55131100942</v>
      </c>
      <c r="AY12" s="69">
        <f>'Rent Roll Calc'!AQ356</f>
        <v>256499.55131100942</v>
      </c>
      <c r="AZ12" s="69">
        <f>'Rent Roll Calc'!AR356</f>
        <v>253191.70890279816</v>
      </c>
      <c r="BA12" s="69">
        <f>'Rent Roll Calc'!AS356</f>
        <v>261774.99289340779</v>
      </c>
      <c r="BB12" s="69">
        <f>'Rent Roll Calc'!AT356</f>
        <v>261774.99289340779</v>
      </c>
      <c r="BC12" s="69">
        <f>'Rent Roll Calc'!AU356</f>
        <v>261774.99289340779</v>
      </c>
      <c r="BD12" s="69">
        <f>'Rent Roll Calc'!AV356</f>
        <v>261774.99289340779</v>
      </c>
      <c r="BE12" s="69">
        <f>'Rent Roll Calc'!AW356</f>
        <v>265172.14704664081</v>
      </c>
      <c r="BF12" s="69">
        <f>'Rent Roll Calc'!AX356</f>
        <v>264007.40847981803</v>
      </c>
      <c r="BG12" s="69">
        <f>'Rent Roll Calc'!AY356</f>
        <v>253815.94602011915</v>
      </c>
      <c r="BH12" s="69">
        <f>'Rent Roll Calc'!AZ356</f>
        <v>253815.94602011915</v>
      </c>
      <c r="BI12" s="69">
        <f>'Rent Roll Calc'!BA356</f>
        <v>253815.94602011915</v>
      </c>
      <c r="BJ12" s="69">
        <f>'Rent Roll Calc'!BB356</f>
        <v>253815.94602011915</v>
      </c>
      <c r="BK12" s="69">
        <f>'Rent Roll Calc'!BC356</f>
        <v>270025.22440840211</v>
      </c>
      <c r="BL12" s="69">
        <f>'Rent Roll Calc'!BD356</f>
        <v>270025.22440840211</v>
      </c>
      <c r="BM12" s="69">
        <f>'Rent Roll Calc'!BE356</f>
        <v>277315.90546742885</v>
      </c>
      <c r="BN12" s="69">
        <f>'Rent Roll Calc'!BF356</f>
        <v>277315.90546742885</v>
      </c>
      <c r="BO12" s="69">
        <f>'Rent Roll Calc'!BG356</f>
        <v>277315.90546742885</v>
      </c>
      <c r="BP12" s="69">
        <f>'Rent Roll Calc'!BH356</f>
        <v>273129.25268898456</v>
      </c>
      <c r="BQ12" s="69">
        <f>'Rent Roll Calc'!BI356</f>
        <v>273129.25268898456</v>
      </c>
      <c r="BR12" s="69">
        <f>'Rent Roll Calc'!BJ356</f>
        <v>273129.25268898456</v>
      </c>
      <c r="BS12" s="69">
        <f>'Rent Roll Calc'!BK356</f>
        <v>273129.25268898456</v>
      </c>
      <c r="BT12" s="69">
        <f>'Rent Roll Calc'!BL356</f>
        <v>273129.25268898456</v>
      </c>
      <c r="BU12" s="69">
        <f>'Rent Roll Calc'!BM356</f>
        <v>263659.44283297961</v>
      </c>
      <c r="BV12" s="69">
        <f>'Rent Roll Calc'!BN356</f>
        <v>267846.09561142389</v>
      </c>
      <c r="BW12" s="69">
        <f>'Rent Roll Calc'!BO356</f>
        <v>267846.09561142389</v>
      </c>
      <c r="BX12" s="69">
        <f>'Rent Roll Calc'!BP356</f>
        <v>267846.09561142389</v>
      </c>
      <c r="BY12" s="69">
        <f>'Rent Roll Calc'!BQ356</f>
        <v>275077.94019293238</v>
      </c>
      <c r="BZ12" s="69">
        <f>'Rent Roll Calc'!BR356</f>
        <v>284803.43491504947</v>
      </c>
      <c r="CA12" s="69">
        <f>'Rent Roll Calc'!BS356</f>
        <v>284803.43491504947</v>
      </c>
      <c r="CB12" s="69">
        <f>'Rent Roll Calc'!BT356</f>
        <v>284803.43491504947</v>
      </c>
      <c r="CC12" s="69">
        <f>'Rent Roll Calc'!BU356</f>
        <v>284803.43491504947</v>
      </c>
      <c r="CD12" s="69">
        <f>'Rent Roll Calc'!BV356</f>
        <v>284803.43491504947</v>
      </c>
      <c r="CE12" s="69">
        <f>'Rent Roll Calc'!BW356</f>
        <v>284803.43491504947</v>
      </c>
      <c r="CF12" s="69">
        <f>'Rent Roll Calc'!BX356</f>
        <v>284803.43491504947</v>
      </c>
    </row>
    <row r="13" spans="1:86">
      <c r="A13" t="s">
        <v>58</v>
      </c>
      <c r="D13" s="69">
        <f t="shared" si="70"/>
        <v>0</v>
      </c>
      <c r="E13" s="69">
        <f t="shared" si="70"/>
        <v>282000</v>
      </c>
      <c r="F13" s="69">
        <f t="shared" si="70"/>
        <v>288390</v>
      </c>
      <c r="G13" s="69">
        <f t="shared" si="70"/>
        <v>294936.55</v>
      </c>
      <c r="H13" s="69">
        <f t="shared" si="70"/>
        <v>301643.49974999996</v>
      </c>
      <c r="I13" s="69">
        <f t="shared" si="70"/>
        <v>308514.79396374995</v>
      </c>
      <c r="J13" s="69">
        <f t="shared" si="70"/>
        <v>315554.47466724366</v>
      </c>
      <c r="K13" s="69"/>
      <c r="L13" s="69"/>
      <c r="M13" s="69">
        <f>(Assumptions!$B$45*(1+ParkGrowth)^('Rent Roll Calc'!E$5-1)+Assumptions!$B$46*(1+AntennaGrowth)^('Rent Roll Calc'!E$5-1)+Assumptions!$B$47)/12</f>
        <v>23500</v>
      </c>
      <c r="N13" s="69">
        <f>(Assumptions!$B$45*(1+ParkGrowth)^('Rent Roll Calc'!F$5-1)+Assumptions!$B$46*(1+AntennaGrowth)^('Rent Roll Calc'!F$5-1)+Assumptions!$B$47)/12</f>
        <v>23500</v>
      </c>
      <c r="O13" s="69">
        <f>(Assumptions!$B$45*(1+ParkGrowth)^('Rent Roll Calc'!G$5-1)+Assumptions!$B$46*(1+AntennaGrowth)^('Rent Roll Calc'!G$5-1)+Assumptions!$B$47)/12</f>
        <v>23500</v>
      </c>
      <c r="P13" s="69">
        <f>(Assumptions!$B$45*(1+ParkGrowth)^('Rent Roll Calc'!H$5-1)+Assumptions!$B$46*(1+AntennaGrowth)^('Rent Roll Calc'!H$5-1)+Assumptions!$B$47)/12</f>
        <v>23500</v>
      </c>
      <c r="Q13" s="69">
        <f>(Assumptions!$B$45*(1+ParkGrowth)^('Rent Roll Calc'!I$5-1)+Assumptions!$B$46*(1+AntennaGrowth)^('Rent Roll Calc'!I$5-1)+Assumptions!$B$47)/12</f>
        <v>23500</v>
      </c>
      <c r="R13" s="69">
        <f>(Assumptions!$B$45*(1+ParkGrowth)^('Rent Roll Calc'!J$5-1)+Assumptions!$B$46*(1+AntennaGrowth)^('Rent Roll Calc'!J$5-1)+Assumptions!$B$47)/12</f>
        <v>23500</v>
      </c>
      <c r="S13" s="69">
        <f>(Assumptions!$B$45*(1+ParkGrowth)^('Rent Roll Calc'!K$5-1)+Assumptions!$B$46*(1+AntennaGrowth)^('Rent Roll Calc'!K$5-1)+Assumptions!$B$47)/12</f>
        <v>23500</v>
      </c>
      <c r="T13" s="69">
        <f>(Assumptions!$B$45*(1+ParkGrowth)^('Rent Roll Calc'!L$5-1)+Assumptions!$B$46*(1+AntennaGrowth)^('Rent Roll Calc'!L$5-1)+Assumptions!$B$47)/12</f>
        <v>23500</v>
      </c>
      <c r="U13" s="69">
        <f>(Assumptions!$B$45*(1+ParkGrowth)^('Rent Roll Calc'!M$5-1)+Assumptions!$B$46*(1+AntennaGrowth)^('Rent Roll Calc'!M$5-1)+Assumptions!$B$47)/12</f>
        <v>23500</v>
      </c>
      <c r="V13" s="69">
        <f>(Assumptions!$B$45*(1+ParkGrowth)^('Rent Roll Calc'!N$5-1)+Assumptions!$B$46*(1+AntennaGrowth)^('Rent Roll Calc'!N$5-1)+Assumptions!$B$47)/12</f>
        <v>23500</v>
      </c>
      <c r="W13" s="69">
        <f>(Assumptions!$B$45*(1+ParkGrowth)^('Rent Roll Calc'!O$5-1)+Assumptions!$B$46*(1+AntennaGrowth)^('Rent Roll Calc'!O$5-1)+Assumptions!$B$47)/12</f>
        <v>23500</v>
      </c>
      <c r="X13" s="69">
        <f>(Assumptions!$B$45*(1+ParkGrowth)^('Rent Roll Calc'!P$5-1)+Assumptions!$B$46*(1+AntennaGrowth)^('Rent Roll Calc'!P$5-1)+Assumptions!$B$47)/12</f>
        <v>23500</v>
      </c>
      <c r="Y13" s="69">
        <f>(Assumptions!$B$45*(1+ParkGrowth)^('Rent Roll Calc'!Q$5-1)+Assumptions!$B$46*(1+AntennaGrowth)^('Rent Roll Calc'!Q$5-1)+Assumptions!$B$47)/12</f>
        <v>24032.5</v>
      </c>
      <c r="Z13" s="69">
        <f>(Assumptions!$B$45*(1+ParkGrowth)^('Rent Roll Calc'!R$5-1)+Assumptions!$B$46*(1+AntennaGrowth)^('Rent Roll Calc'!R$5-1)+Assumptions!$B$47)/12</f>
        <v>24032.5</v>
      </c>
      <c r="AA13" s="69">
        <f>(Assumptions!$B$45*(1+ParkGrowth)^('Rent Roll Calc'!S$5-1)+Assumptions!$B$46*(1+AntennaGrowth)^('Rent Roll Calc'!S$5-1)+Assumptions!$B$47)/12</f>
        <v>24032.5</v>
      </c>
      <c r="AB13" s="69">
        <f>(Assumptions!$B$45*(1+ParkGrowth)^('Rent Roll Calc'!T$5-1)+Assumptions!$B$46*(1+AntennaGrowth)^('Rent Roll Calc'!T$5-1)+Assumptions!$B$47)/12</f>
        <v>24032.5</v>
      </c>
      <c r="AC13" s="69">
        <f>(Assumptions!$B$45*(1+ParkGrowth)^('Rent Roll Calc'!U$5-1)+Assumptions!$B$46*(1+AntennaGrowth)^('Rent Roll Calc'!U$5-1)+Assumptions!$B$47)/12</f>
        <v>24032.5</v>
      </c>
      <c r="AD13" s="69">
        <f>(Assumptions!$B$45*(1+ParkGrowth)^('Rent Roll Calc'!V$5-1)+Assumptions!$B$46*(1+AntennaGrowth)^('Rent Roll Calc'!V$5-1)+Assumptions!$B$47)/12</f>
        <v>24032.5</v>
      </c>
      <c r="AE13" s="69">
        <f>(Assumptions!$B$45*(1+ParkGrowth)^('Rent Roll Calc'!W$5-1)+Assumptions!$B$46*(1+AntennaGrowth)^('Rent Roll Calc'!W$5-1)+Assumptions!$B$47)/12</f>
        <v>24032.5</v>
      </c>
      <c r="AF13" s="69">
        <f>(Assumptions!$B$45*(1+ParkGrowth)^('Rent Roll Calc'!X$5-1)+Assumptions!$B$46*(1+AntennaGrowth)^('Rent Roll Calc'!X$5-1)+Assumptions!$B$47)/12</f>
        <v>24032.5</v>
      </c>
      <c r="AG13" s="69">
        <f>(Assumptions!$B$45*(1+ParkGrowth)^('Rent Roll Calc'!Y$5-1)+Assumptions!$B$46*(1+AntennaGrowth)^('Rent Roll Calc'!Y$5-1)+Assumptions!$B$47)/12</f>
        <v>24032.5</v>
      </c>
      <c r="AH13" s="69">
        <f>(Assumptions!$B$45*(1+ParkGrowth)^('Rent Roll Calc'!Z$5-1)+Assumptions!$B$46*(1+AntennaGrowth)^('Rent Roll Calc'!Z$5-1)+Assumptions!$B$47)/12</f>
        <v>24032.5</v>
      </c>
      <c r="AI13" s="69">
        <f>(Assumptions!$B$45*(1+ParkGrowth)^('Rent Roll Calc'!AA$5-1)+Assumptions!$B$46*(1+AntennaGrowth)^('Rent Roll Calc'!AA$5-1)+Assumptions!$B$47)/12</f>
        <v>24032.5</v>
      </c>
      <c r="AJ13" s="69">
        <f>(Assumptions!$B$45*(1+ParkGrowth)^('Rent Roll Calc'!AB$5-1)+Assumptions!$B$46*(1+AntennaGrowth)^('Rent Roll Calc'!AB$5-1)+Assumptions!$B$47)/12</f>
        <v>24032.5</v>
      </c>
      <c r="AK13" s="69">
        <f>(Assumptions!$B$45*(1+ParkGrowth)^('Rent Roll Calc'!AC$5-1)+Assumptions!$B$46*(1+AntennaGrowth)^('Rent Roll Calc'!AC$5-1)+Assumptions!$B$47)/12</f>
        <v>24578.045833333334</v>
      </c>
      <c r="AL13" s="69">
        <f>(Assumptions!$B$45*(1+ParkGrowth)^('Rent Roll Calc'!AD$5-1)+Assumptions!$B$46*(1+AntennaGrowth)^('Rent Roll Calc'!AD$5-1)+Assumptions!$B$47)/12</f>
        <v>24578.045833333334</v>
      </c>
      <c r="AM13" s="69">
        <f>(Assumptions!$B$45*(1+ParkGrowth)^('Rent Roll Calc'!AE$5-1)+Assumptions!$B$46*(1+AntennaGrowth)^('Rent Roll Calc'!AE$5-1)+Assumptions!$B$47)/12</f>
        <v>24578.045833333334</v>
      </c>
      <c r="AN13" s="69">
        <f>(Assumptions!$B$45*(1+ParkGrowth)^('Rent Roll Calc'!AF$5-1)+Assumptions!$B$46*(1+AntennaGrowth)^('Rent Roll Calc'!AF$5-1)+Assumptions!$B$47)/12</f>
        <v>24578.045833333334</v>
      </c>
      <c r="AO13" s="69">
        <f>(Assumptions!$B$45*(1+ParkGrowth)^('Rent Roll Calc'!AG$5-1)+Assumptions!$B$46*(1+AntennaGrowth)^('Rent Roll Calc'!AG$5-1)+Assumptions!$B$47)/12</f>
        <v>24578.045833333334</v>
      </c>
      <c r="AP13" s="69">
        <f>(Assumptions!$B$45*(1+ParkGrowth)^('Rent Roll Calc'!AH$5-1)+Assumptions!$B$46*(1+AntennaGrowth)^('Rent Roll Calc'!AH$5-1)+Assumptions!$B$47)/12</f>
        <v>24578.045833333334</v>
      </c>
      <c r="AQ13" s="69">
        <f>(Assumptions!$B$45*(1+ParkGrowth)^('Rent Roll Calc'!AI$5-1)+Assumptions!$B$46*(1+AntennaGrowth)^('Rent Roll Calc'!AI$5-1)+Assumptions!$B$47)/12</f>
        <v>24578.045833333334</v>
      </c>
      <c r="AR13" s="69">
        <f>(Assumptions!$B$45*(1+ParkGrowth)^('Rent Roll Calc'!AJ$5-1)+Assumptions!$B$46*(1+AntennaGrowth)^('Rent Roll Calc'!AJ$5-1)+Assumptions!$B$47)/12</f>
        <v>24578.045833333334</v>
      </c>
      <c r="AS13" s="69">
        <f>(Assumptions!$B$45*(1+ParkGrowth)^('Rent Roll Calc'!AK$5-1)+Assumptions!$B$46*(1+AntennaGrowth)^('Rent Roll Calc'!AK$5-1)+Assumptions!$B$47)/12</f>
        <v>24578.045833333334</v>
      </c>
      <c r="AT13" s="69">
        <f>(Assumptions!$B$45*(1+ParkGrowth)^('Rent Roll Calc'!AL$5-1)+Assumptions!$B$46*(1+AntennaGrowth)^('Rent Roll Calc'!AL$5-1)+Assumptions!$B$47)/12</f>
        <v>24578.045833333334</v>
      </c>
      <c r="AU13" s="69">
        <f>(Assumptions!$B$45*(1+ParkGrowth)^('Rent Roll Calc'!AM$5-1)+Assumptions!$B$46*(1+AntennaGrowth)^('Rent Roll Calc'!AM$5-1)+Assumptions!$B$47)/12</f>
        <v>24578.045833333334</v>
      </c>
      <c r="AV13" s="69">
        <f>(Assumptions!$B$45*(1+ParkGrowth)^('Rent Roll Calc'!AN$5-1)+Assumptions!$B$46*(1+AntennaGrowth)^('Rent Roll Calc'!AN$5-1)+Assumptions!$B$47)/12</f>
        <v>24578.045833333334</v>
      </c>
      <c r="AW13" s="69">
        <f>(Assumptions!$B$45*(1+ParkGrowth)^('Rent Roll Calc'!AO$5-1)+Assumptions!$B$46*(1+AntennaGrowth)^('Rent Roll Calc'!AO$5-1)+Assumptions!$B$47)/12</f>
        <v>25136.958312499995</v>
      </c>
      <c r="AX13" s="69">
        <f>(Assumptions!$B$45*(1+ParkGrowth)^('Rent Roll Calc'!AP$5-1)+Assumptions!$B$46*(1+AntennaGrowth)^('Rent Roll Calc'!AP$5-1)+Assumptions!$B$47)/12</f>
        <v>25136.958312499995</v>
      </c>
      <c r="AY13" s="69">
        <f>(Assumptions!$B$45*(1+ParkGrowth)^('Rent Roll Calc'!AQ$5-1)+Assumptions!$B$46*(1+AntennaGrowth)^('Rent Roll Calc'!AQ$5-1)+Assumptions!$B$47)/12</f>
        <v>25136.958312499995</v>
      </c>
      <c r="AZ13" s="69">
        <f>(Assumptions!$B$45*(1+ParkGrowth)^('Rent Roll Calc'!AR$5-1)+Assumptions!$B$46*(1+AntennaGrowth)^('Rent Roll Calc'!AR$5-1)+Assumptions!$B$47)/12</f>
        <v>25136.958312499995</v>
      </c>
      <c r="BA13" s="69">
        <f>(Assumptions!$B$45*(1+ParkGrowth)^('Rent Roll Calc'!AS$5-1)+Assumptions!$B$46*(1+AntennaGrowth)^('Rent Roll Calc'!AS$5-1)+Assumptions!$B$47)/12</f>
        <v>25136.958312499995</v>
      </c>
      <c r="BB13" s="69">
        <f>(Assumptions!$B$45*(1+ParkGrowth)^('Rent Roll Calc'!AT$5-1)+Assumptions!$B$46*(1+AntennaGrowth)^('Rent Roll Calc'!AT$5-1)+Assumptions!$B$47)/12</f>
        <v>25136.958312499995</v>
      </c>
      <c r="BC13" s="69">
        <f>(Assumptions!$B$45*(1+ParkGrowth)^('Rent Roll Calc'!AU$5-1)+Assumptions!$B$46*(1+AntennaGrowth)^('Rent Roll Calc'!AU$5-1)+Assumptions!$B$47)/12</f>
        <v>25136.958312499995</v>
      </c>
      <c r="BD13" s="69">
        <f>(Assumptions!$B$45*(1+ParkGrowth)^('Rent Roll Calc'!AV$5-1)+Assumptions!$B$46*(1+AntennaGrowth)^('Rent Roll Calc'!AV$5-1)+Assumptions!$B$47)/12</f>
        <v>25136.958312499995</v>
      </c>
      <c r="BE13" s="69">
        <f>(Assumptions!$B$45*(1+ParkGrowth)^('Rent Roll Calc'!AW$5-1)+Assumptions!$B$46*(1+AntennaGrowth)^('Rent Roll Calc'!AW$5-1)+Assumptions!$B$47)/12</f>
        <v>25136.958312499995</v>
      </c>
      <c r="BF13" s="69">
        <f>(Assumptions!$B$45*(1+ParkGrowth)^('Rent Roll Calc'!AX$5-1)+Assumptions!$B$46*(1+AntennaGrowth)^('Rent Roll Calc'!AX$5-1)+Assumptions!$B$47)/12</f>
        <v>25136.958312499995</v>
      </c>
      <c r="BG13" s="69">
        <f>(Assumptions!$B$45*(1+ParkGrowth)^('Rent Roll Calc'!AY$5-1)+Assumptions!$B$46*(1+AntennaGrowth)^('Rent Roll Calc'!AY$5-1)+Assumptions!$B$47)/12</f>
        <v>25136.958312499995</v>
      </c>
      <c r="BH13" s="69">
        <f>(Assumptions!$B$45*(1+ParkGrowth)^('Rent Roll Calc'!AZ$5-1)+Assumptions!$B$46*(1+AntennaGrowth)^('Rent Roll Calc'!AZ$5-1)+Assumptions!$B$47)/12</f>
        <v>25136.958312499995</v>
      </c>
      <c r="BI13" s="69">
        <f>(Assumptions!$B$45*(1+ParkGrowth)^('Rent Roll Calc'!BA$5-1)+Assumptions!$B$46*(1+AntennaGrowth)^('Rent Roll Calc'!BA$5-1)+Assumptions!$B$47)/12</f>
        <v>25709.566163645828</v>
      </c>
      <c r="BJ13" s="69">
        <f>(Assumptions!$B$45*(1+ParkGrowth)^('Rent Roll Calc'!BB$5-1)+Assumptions!$B$46*(1+AntennaGrowth)^('Rent Roll Calc'!BB$5-1)+Assumptions!$B$47)/12</f>
        <v>25709.566163645828</v>
      </c>
      <c r="BK13" s="69">
        <f>(Assumptions!$B$45*(1+ParkGrowth)^('Rent Roll Calc'!BC$5-1)+Assumptions!$B$46*(1+AntennaGrowth)^('Rent Roll Calc'!BC$5-1)+Assumptions!$B$47)/12</f>
        <v>25709.566163645828</v>
      </c>
      <c r="BL13" s="69">
        <f>(Assumptions!$B$45*(1+ParkGrowth)^('Rent Roll Calc'!BD$5-1)+Assumptions!$B$46*(1+AntennaGrowth)^('Rent Roll Calc'!BD$5-1)+Assumptions!$B$47)/12</f>
        <v>25709.566163645828</v>
      </c>
      <c r="BM13" s="69">
        <f>(Assumptions!$B$45*(1+ParkGrowth)^('Rent Roll Calc'!BE$5-1)+Assumptions!$B$46*(1+AntennaGrowth)^('Rent Roll Calc'!BE$5-1)+Assumptions!$B$47)/12</f>
        <v>25709.566163645828</v>
      </c>
      <c r="BN13" s="69">
        <f>(Assumptions!$B$45*(1+ParkGrowth)^('Rent Roll Calc'!BF$5-1)+Assumptions!$B$46*(1+AntennaGrowth)^('Rent Roll Calc'!BF$5-1)+Assumptions!$B$47)/12</f>
        <v>25709.566163645828</v>
      </c>
      <c r="BO13" s="69">
        <f>(Assumptions!$B$45*(1+ParkGrowth)^('Rent Roll Calc'!BG$5-1)+Assumptions!$B$46*(1+AntennaGrowth)^('Rent Roll Calc'!BG$5-1)+Assumptions!$B$47)/12</f>
        <v>25709.566163645828</v>
      </c>
      <c r="BP13" s="69">
        <f>(Assumptions!$B$45*(1+ParkGrowth)^('Rent Roll Calc'!BH$5-1)+Assumptions!$B$46*(1+AntennaGrowth)^('Rent Roll Calc'!BH$5-1)+Assumptions!$B$47)/12</f>
        <v>25709.566163645828</v>
      </c>
      <c r="BQ13" s="69">
        <f>(Assumptions!$B$45*(1+ParkGrowth)^('Rent Roll Calc'!BI$5-1)+Assumptions!$B$46*(1+AntennaGrowth)^('Rent Roll Calc'!BI$5-1)+Assumptions!$B$47)/12</f>
        <v>25709.566163645828</v>
      </c>
      <c r="BR13" s="69">
        <f>(Assumptions!$B$45*(1+ParkGrowth)^('Rent Roll Calc'!BJ$5-1)+Assumptions!$B$46*(1+AntennaGrowth)^('Rent Roll Calc'!BJ$5-1)+Assumptions!$B$47)/12</f>
        <v>25709.566163645828</v>
      </c>
      <c r="BS13" s="69">
        <f>(Assumptions!$B$45*(1+ParkGrowth)^('Rent Roll Calc'!BK$5-1)+Assumptions!$B$46*(1+AntennaGrowth)^('Rent Roll Calc'!BK$5-1)+Assumptions!$B$47)/12</f>
        <v>25709.566163645828</v>
      </c>
      <c r="BT13" s="69">
        <f>(Assumptions!$B$45*(1+ParkGrowth)^('Rent Roll Calc'!BL$5-1)+Assumptions!$B$46*(1+AntennaGrowth)^('Rent Roll Calc'!BL$5-1)+Assumptions!$B$47)/12</f>
        <v>25709.566163645828</v>
      </c>
      <c r="BU13" s="69">
        <f>(Assumptions!$B$45*(1+ParkGrowth)^('Rent Roll Calc'!BM$5-1)+Assumptions!$B$46*(1+AntennaGrowth)^('Rent Roll Calc'!BM$5-1)+Assumptions!$B$47)/12</f>
        <v>26296.206222270306</v>
      </c>
      <c r="BV13" s="69">
        <f>(Assumptions!$B$45*(1+ParkGrowth)^('Rent Roll Calc'!BN$5-1)+Assumptions!$B$46*(1+AntennaGrowth)^('Rent Roll Calc'!BN$5-1)+Assumptions!$B$47)/12</f>
        <v>26296.206222270306</v>
      </c>
      <c r="BW13" s="69">
        <f>(Assumptions!$B$45*(1+ParkGrowth)^('Rent Roll Calc'!BO$5-1)+Assumptions!$B$46*(1+AntennaGrowth)^('Rent Roll Calc'!BO$5-1)+Assumptions!$B$47)/12</f>
        <v>26296.206222270306</v>
      </c>
      <c r="BX13" s="69">
        <f>(Assumptions!$B$45*(1+ParkGrowth)^('Rent Roll Calc'!BP$5-1)+Assumptions!$B$46*(1+AntennaGrowth)^('Rent Roll Calc'!BP$5-1)+Assumptions!$B$47)/12</f>
        <v>26296.206222270306</v>
      </c>
      <c r="BY13" s="69">
        <f>(Assumptions!$B$45*(1+ParkGrowth)^('Rent Roll Calc'!BQ$5-1)+Assumptions!$B$46*(1+AntennaGrowth)^('Rent Roll Calc'!BQ$5-1)+Assumptions!$B$47)/12</f>
        <v>26296.206222270306</v>
      </c>
      <c r="BZ13" s="69">
        <f>(Assumptions!$B$45*(1+ParkGrowth)^('Rent Roll Calc'!BR$5-1)+Assumptions!$B$46*(1+AntennaGrowth)^('Rent Roll Calc'!BR$5-1)+Assumptions!$B$47)/12</f>
        <v>26296.206222270306</v>
      </c>
      <c r="CA13" s="69">
        <f>(Assumptions!$B$45*(1+ParkGrowth)^('Rent Roll Calc'!BS$5-1)+Assumptions!$B$46*(1+AntennaGrowth)^('Rent Roll Calc'!BS$5-1)+Assumptions!$B$47)/12</f>
        <v>26296.206222270306</v>
      </c>
      <c r="CB13" s="69">
        <f>(Assumptions!$B$45*(1+ParkGrowth)^('Rent Roll Calc'!BT$5-1)+Assumptions!$B$46*(1+AntennaGrowth)^('Rent Roll Calc'!BT$5-1)+Assumptions!$B$47)/12</f>
        <v>26296.206222270306</v>
      </c>
      <c r="CC13" s="69">
        <f>(Assumptions!$B$45*(1+ParkGrowth)^('Rent Roll Calc'!BU$5-1)+Assumptions!$B$46*(1+AntennaGrowth)^('Rent Roll Calc'!BU$5-1)+Assumptions!$B$47)/12</f>
        <v>26296.206222270306</v>
      </c>
      <c r="CD13" s="69">
        <f>(Assumptions!$B$45*(1+ParkGrowth)^('Rent Roll Calc'!BV$5-1)+Assumptions!$B$46*(1+AntennaGrowth)^('Rent Roll Calc'!BV$5-1)+Assumptions!$B$47)/12</f>
        <v>26296.206222270306</v>
      </c>
      <c r="CE13" s="69">
        <f>(Assumptions!$B$45*(1+ParkGrowth)^('Rent Roll Calc'!BW$5-1)+Assumptions!$B$46*(1+AntennaGrowth)^('Rent Roll Calc'!BW$5-1)+Assumptions!$B$47)/12</f>
        <v>26296.206222270306</v>
      </c>
      <c r="CF13" s="69">
        <f>(Assumptions!$B$45*(1+ParkGrowth)^('Rent Roll Calc'!BX$5-1)+Assumptions!$B$46*(1+AntennaGrowth)^('Rent Roll Calc'!BX$5-1)+Assumptions!$B$47)/12</f>
        <v>26296.206222270306</v>
      </c>
    </row>
    <row r="14" spans="1:86">
      <c r="A14" s="17" t="s">
        <v>59</v>
      </c>
      <c r="B14" s="17"/>
      <c r="C14" s="17"/>
      <c r="D14" s="70">
        <f t="shared" ref="D14:J14" si="71">D10+D12+D13</f>
        <v>0</v>
      </c>
      <c r="E14" s="70">
        <f t="shared" si="71"/>
        <v>6199012.0395312496</v>
      </c>
      <c r="F14" s="70">
        <f t="shared" si="71"/>
        <v>9282792.0508447476</v>
      </c>
      <c r="G14" s="70">
        <f t="shared" si="71"/>
        <v>9447653.7104771752</v>
      </c>
      <c r="H14" s="70">
        <f t="shared" si="71"/>
        <v>10548792.621142698</v>
      </c>
      <c r="I14" s="70">
        <f t="shared" si="71"/>
        <v>11156984.882913673</v>
      </c>
      <c r="J14" s="70">
        <f t="shared" si="71"/>
        <v>11539566.547794875</v>
      </c>
      <c r="K14" s="70"/>
      <c r="L14" s="70"/>
      <c r="M14" s="70">
        <f t="shared" ref="M14:BR14" si="72">M10+M12+M13</f>
        <v>581337.25</v>
      </c>
      <c r="N14" s="70">
        <f t="shared" si="72"/>
        <v>589303.5</v>
      </c>
      <c r="O14" s="70">
        <f t="shared" si="72"/>
        <v>405367.75</v>
      </c>
      <c r="P14" s="70">
        <f t="shared" si="72"/>
        <v>428338.65625</v>
      </c>
      <c r="Q14" s="70">
        <f t="shared" si="72"/>
        <v>456753.67511458334</v>
      </c>
      <c r="R14" s="70">
        <f t="shared" si="72"/>
        <v>476070.24326041667</v>
      </c>
      <c r="S14" s="70">
        <f t="shared" si="72"/>
        <v>495914.15688541665</v>
      </c>
      <c r="T14" s="70">
        <f t="shared" si="72"/>
        <v>521072.32147916663</v>
      </c>
      <c r="U14" s="70">
        <f t="shared" si="72"/>
        <v>526969.12797916669</v>
      </c>
      <c r="V14" s="70">
        <f t="shared" si="72"/>
        <v>545837.26456249994</v>
      </c>
      <c r="W14" s="70">
        <f t="shared" si="72"/>
        <v>591936.46</v>
      </c>
      <c r="X14" s="70">
        <f t="shared" si="72"/>
        <v>580111.63399999996</v>
      </c>
      <c r="Y14" s="70">
        <f t="shared" si="72"/>
        <v>682550.39137499989</v>
      </c>
      <c r="Z14" s="70">
        <f t="shared" si="72"/>
        <v>648683.95137499995</v>
      </c>
      <c r="AA14" s="70">
        <f t="shared" si="72"/>
        <v>725818.49804166658</v>
      </c>
      <c r="AB14" s="70">
        <f t="shared" si="72"/>
        <v>725818.49804166658</v>
      </c>
      <c r="AC14" s="70">
        <f t="shared" si="72"/>
        <v>799271.72235649975</v>
      </c>
      <c r="AD14" s="70">
        <f t="shared" si="72"/>
        <v>785901.49747141637</v>
      </c>
      <c r="AE14" s="70">
        <f t="shared" si="72"/>
        <v>785901.49747141637</v>
      </c>
      <c r="AF14" s="70">
        <f t="shared" si="72"/>
        <v>822180.21983766637</v>
      </c>
      <c r="AG14" s="70">
        <f t="shared" si="72"/>
        <v>822180.21983766637</v>
      </c>
      <c r="AH14" s="70">
        <f t="shared" si="72"/>
        <v>822180.21983766637</v>
      </c>
      <c r="AI14" s="70">
        <f t="shared" si="72"/>
        <v>830002.35378391657</v>
      </c>
      <c r="AJ14" s="70">
        <f t="shared" si="72"/>
        <v>832302.98141516652</v>
      </c>
      <c r="AK14" s="70">
        <f t="shared" si="72"/>
        <v>840963.14963655185</v>
      </c>
      <c r="AL14" s="70">
        <f t="shared" si="72"/>
        <v>846305.46188915602</v>
      </c>
      <c r="AM14" s="70">
        <f t="shared" si="72"/>
        <v>830763.972480656</v>
      </c>
      <c r="AN14" s="70">
        <f t="shared" si="72"/>
        <v>810926.12530265597</v>
      </c>
      <c r="AO14" s="70">
        <f t="shared" si="72"/>
        <v>801848.5367323705</v>
      </c>
      <c r="AP14" s="70">
        <f t="shared" si="72"/>
        <v>801848.5367323705</v>
      </c>
      <c r="AQ14" s="70">
        <f t="shared" si="72"/>
        <v>783262.86098368175</v>
      </c>
      <c r="AR14" s="70">
        <f t="shared" si="72"/>
        <v>725501.48471122223</v>
      </c>
      <c r="AS14" s="70">
        <f t="shared" si="72"/>
        <v>711769.72771762102</v>
      </c>
      <c r="AT14" s="70">
        <f t="shared" si="72"/>
        <v>750226.0698795754</v>
      </c>
      <c r="AU14" s="70">
        <f t="shared" si="72"/>
        <v>757692.34274382365</v>
      </c>
      <c r="AV14" s="70">
        <f t="shared" si="72"/>
        <v>786545.44166748796</v>
      </c>
      <c r="AW14" s="70">
        <f t="shared" si="72"/>
        <v>812069.45862247085</v>
      </c>
      <c r="AX14" s="70">
        <f t="shared" si="72"/>
        <v>864198.78024184587</v>
      </c>
      <c r="AY14" s="70">
        <f t="shared" si="72"/>
        <v>881569.42111252225</v>
      </c>
      <c r="AZ14" s="70">
        <f t="shared" si="72"/>
        <v>871285.76889233175</v>
      </c>
      <c r="BA14" s="70">
        <f t="shared" si="72"/>
        <v>886292.15638938232</v>
      </c>
      <c r="BB14" s="70">
        <f t="shared" si="72"/>
        <v>886292.15638938232</v>
      </c>
      <c r="BC14" s="70">
        <f t="shared" si="72"/>
        <v>901844.67018226127</v>
      </c>
      <c r="BD14" s="70">
        <f t="shared" si="72"/>
        <v>901844.67018226127</v>
      </c>
      <c r="BE14" s="70">
        <f t="shared" si="72"/>
        <v>905241.82433549431</v>
      </c>
      <c r="BF14" s="70">
        <f t="shared" si="72"/>
        <v>891387.83674686158</v>
      </c>
      <c r="BG14" s="70">
        <f t="shared" si="72"/>
        <v>867665.10307067784</v>
      </c>
      <c r="BH14" s="70">
        <f t="shared" si="72"/>
        <v>879100.77497720649</v>
      </c>
      <c r="BI14" s="70">
        <f t="shared" si="72"/>
        <v>879673.38282835227</v>
      </c>
      <c r="BJ14" s="70">
        <f t="shared" si="72"/>
        <v>879673.38282835227</v>
      </c>
      <c r="BK14" s="70">
        <f t="shared" si="72"/>
        <v>895882.66121663526</v>
      </c>
      <c r="BL14" s="70">
        <f t="shared" si="72"/>
        <v>895882.66121663526</v>
      </c>
      <c r="BM14" s="70">
        <f t="shared" si="72"/>
        <v>958422.62852918985</v>
      </c>
      <c r="BN14" s="70">
        <f t="shared" si="72"/>
        <v>958422.62852918985</v>
      </c>
      <c r="BO14" s="70">
        <f t="shared" si="72"/>
        <v>958422.62852918985</v>
      </c>
      <c r="BP14" s="70">
        <f t="shared" si="72"/>
        <v>946120.98184722546</v>
      </c>
      <c r="BQ14" s="70">
        <f t="shared" si="72"/>
        <v>946120.98184722546</v>
      </c>
      <c r="BR14" s="70">
        <f t="shared" si="72"/>
        <v>946120.98184722546</v>
      </c>
      <c r="BS14" s="70">
        <f t="shared" ref="BS14" si="73">BS10+BS12+BS13</f>
        <v>946120.98184722546</v>
      </c>
      <c r="BT14" s="70">
        <f t="shared" ref="BT14:CF14" si="74">BT10+BT12+BT13</f>
        <v>946120.98184722546</v>
      </c>
      <c r="BU14" s="70">
        <f t="shared" si="74"/>
        <v>918961.13445387303</v>
      </c>
      <c r="BV14" s="70">
        <f t="shared" si="74"/>
        <v>923147.78723231738</v>
      </c>
      <c r="BW14" s="70">
        <f t="shared" si="74"/>
        <v>923147.78723231738</v>
      </c>
      <c r="BX14" s="70">
        <f t="shared" si="74"/>
        <v>932869.65883460257</v>
      </c>
      <c r="BY14" s="70">
        <f t="shared" si="74"/>
        <v>957347.14205513545</v>
      </c>
      <c r="BZ14" s="70">
        <f t="shared" si="74"/>
        <v>967072.63677725254</v>
      </c>
      <c r="CA14" s="70">
        <f t="shared" si="74"/>
        <v>967072.63677725254</v>
      </c>
      <c r="CB14" s="70">
        <f t="shared" si="74"/>
        <v>989989.55288642459</v>
      </c>
      <c r="CC14" s="70">
        <f t="shared" si="74"/>
        <v>989989.55288642459</v>
      </c>
      <c r="CD14" s="70">
        <f t="shared" si="74"/>
        <v>989989.55288642459</v>
      </c>
      <c r="CE14" s="70">
        <f t="shared" si="74"/>
        <v>989989.55288642459</v>
      </c>
      <c r="CF14" s="70">
        <f t="shared" si="74"/>
        <v>989989.55288642459</v>
      </c>
      <c r="CG14" s="17"/>
      <c r="CH14" s="17"/>
    </row>
    <row r="15" spans="1:86"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9"/>
      <c r="AN15" s="69"/>
      <c r="AO15" s="69"/>
      <c r="AP15" s="69"/>
      <c r="AQ15" s="69"/>
      <c r="AR15" s="69"/>
      <c r="AS15" s="69"/>
      <c r="AT15" s="69"/>
      <c r="AU15" s="69"/>
      <c r="AV15" s="69"/>
      <c r="AW15" s="69"/>
      <c r="AX15" s="69"/>
      <c r="AY15" s="69"/>
      <c r="AZ15" s="69"/>
      <c r="BA15" s="69"/>
      <c r="BB15" s="69"/>
      <c r="BC15" s="69"/>
      <c r="BD15" s="69"/>
      <c r="BE15" s="69"/>
      <c r="BF15" s="69"/>
      <c r="BG15" s="69"/>
      <c r="BH15" s="69"/>
      <c r="BI15" s="69"/>
      <c r="BJ15" s="69"/>
      <c r="BK15" s="69"/>
      <c r="BL15" s="69"/>
      <c r="BM15" s="69"/>
      <c r="BN15" s="69"/>
      <c r="BO15" s="69"/>
      <c r="BP15" s="69"/>
      <c r="BQ15" s="69"/>
      <c r="BR15" s="69"/>
      <c r="BS15" s="69"/>
      <c r="BT15" s="69"/>
      <c r="BU15" s="69"/>
      <c r="BV15" s="69"/>
      <c r="BW15" s="69"/>
      <c r="BX15" s="69"/>
      <c r="BY15" s="69"/>
      <c r="BZ15" s="69"/>
      <c r="CA15" s="69"/>
      <c r="CB15" s="69"/>
      <c r="CC15" s="69"/>
      <c r="CD15" s="69"/>
      <c r="CE15" s="69"/>
      <c r="CF15" s="69"/>
    </row>
    <row r="16" spans="1:86">
      <c r="A16" t="s">
        <v>400</v>
      </c>
      <c r="D16" s="69">
        <f t="shared" ref="D16:J18" si="75">SUMIFS($L16:$CF16,$L$3:$CF$3,D$3)</f>
        <v>0</v>
      </c>
      <c r="E16" s="69">
        <f t="shared" si="75"/>
        <v>0</v>
      </c>
      <c r="F16" s="69">
        <f t="shared" si="75"/>
        <v>-633124.25305039249</v>
      </c>
      <c r="G16" s="69">
        <f t="shared" si="75"/>
        <v>-364160.32987462194</v>
      </c>
      <c r="H16" s="69">
        <f t="shared" si="75"/>
        <v>-876620.16340862727</v>
      </c>
      <c r="I16" s="69">
        <f t="shared" si="75"/>
        <v>-1089696.233379551</v>
      </c>
      <c r="J16" s="69">
        <f t="shared" si="75"/>
        <v>-1135164.6790606338</v>
      </c>
      <c r="K16" s="69"/>
      <c r="L16" s="69"/>
      <c r="M16" s="69">
        <f>(SUM(M8,M12)/M6)*-(MAX('Property Cash Flow'!M6-Assumptions!$B$22,0))</f>
        <v>0</v>
      </c>
      <c r="N16" s="69">
        <f>(SUM(N8,N12)/N6)*-(MAX('Property Cash Flow'!N6-Assumptions!$B$22,0))</f>
        <v>0</v>
      </c>
      <c r="O16" s="69">
        <f>(SUM(O8,O12)/O6)*-(MAX('Property Cash Flow'!O6-Assumptions!$B$22,0))</f>
        <v>0</v>
      </c>
      <c r="P16" s="69">
        <f>(SUM(P8,P12)/P6)*-(MAX('Property Cash Flow'!P6-Assumptions!$B$22,0))</f>
        <v>0</v>
      </c>
      <c r="Q16" s="69">
        <f>(SUM(Q8,Q12)/Q6)*-(MAX('Property Cash Flow'!Q6-Assumptions!$B$22,0))</f>
        <v>0</v>
      </c>
      <c r="R16" s="69">
        <f>(SUM(R8,R12)/R6)*-(MAX('Property Cash Flow'!R6-Assumptions!$B$22,0))</f>
        <v>0</v>
      </c>
      <c r="S16" s="69">
        <f>(SUM(S8,S12)/S6)*-(MAX('Property Cash Flow'!S6-Assumptions!$B$22,0))</f>
        <v>0</v>
      </c>
      <c r="T16" s="69">
        <f>(SUM(T8,T12)/T6)*-(MAX('Property Cash Flow'!T6-Assumptions!$B$22,0))</f>
        <v>0</v>
      </c>
      <c r="U16" s="69">
        <f>(SUM(U8,U12)/U6)*-(MAX('Property Cash Flow'!U6-Assumptions!$B$22,0))</f>
        <v>0</v>
      </c>
      <c r="V16" s="69">
        <f>(SUM(V8,V12)/V6)*-(MAX('Property Cash Flow'!V6-Assumptions!$B$22,0))</f>
        <v>0</v>
      </c>
      <c r="W16" s="69">
        <f>(SUM(W8,W12)/W6)*-(MAX('Property Cash Flow'!W6-Assumptions!$B$22,0))</f>
        <v>0</v>
      </c>
      <c r="X16" s="69">
        <f>(SUM(X8,X12)/X6)*-(MAX('Property Cash Flow'!X6-Assumptions!$B$22,0))</f>
        <v>0</v>
      </c>
      <c r="Y16" s="69">
        <f>(SUM(Y8,Y12)/Y6)*-(MAX('Property Cash Flow'!Y6-Assumptions!$B$22,0))</f>
        <v>-8590.3816123696542</v>
      </c>
      <c r="Z16" s="69">
        <f>(SUM(Z8,Z12)/Z6)*-(MAX('Property Cash Flow'!Z6-Assumptions!$B$22,0))</f>
        <v>0</v>
      </c>
      <c r="AA16" s="69">
        <f>(SUM(AA8,AA12)/AA6)*-(MAX('Property Cash Flow'!AA6-Assumptions!$B$22,0))</f>
        <v>-43335.309757555486</v>
      </c>
      <c r="AB16" s="69">
        <f>(SUM(AB8,AB12)/AB6)*-(MAX('Property Cash Flow'!AB6-Assumptions!$B$22,0))</f>
        <v>-43335.309757555486</v>
      </c>
      <c r="AC16" s="69">
        <f>(SUM(AC8,AC12)/AC6)*-(MAX('Property Cash Flow'!AC6-Assumptions!$B$22,0))</f>
        <v>-44485.800823823651</v>
      </c>
      <c r="AD16" s="69">
        <f>(SUM(AD8,AD12)/AD6)*-(MAX('Property Cash Flow'!AD6-Assumptions!$B$22,0))</f>
        <v>-62131.259628081811</v>
      </c>
      <c r="AE16" s="69">
        <f>(SUM(AE8,AE12)/AE6)*-(MAX('Property Cash Flow'!AE6-Assumptions!$B$22,0))</f>
        <v>-62131.259628081811</v>
      </c>
      <c r="AF16" s="69">
        <f>(SUM(AF8,AF12)/AF6)*-(MAX('Property Cash Flow'!AF6-Assumptions!$B$22,0))</f>
        <v>-62131.259628081811</v>
      </c>
      <c r="AG16" s="69">
        <f>(SUM(AG8,AG12)/AG6)*-(MAX('Property Cash Flow'!AG6-Assumptions!$B$22,0))</f>
        <v>-62131.259628081811</v>
      </c>
      <c r="AH16" s="69">
        <f>(SUM(AH8,AH12)/AH6)*-(MAX('Property Cash Flow'!AH6-Assumptions!$B$22,0))</f>
        <v>-62131.259628081811</v>
      </c>
      <c r="AI16" s="69">
        <f>(SUM(AI8,AI12)/AI6)*-(MAX('Property Cash Flow'!AI6-Assumptions!$B$22,0))</f>
        <v>-87613.242320166362</v>
      </c>
      <c r="AJ16" s="69">
        <f>(SUM(AJ8,AJ12)/AJ6)*-(MAX('Property Cash Flow'!AJ6-Assumptions!$B$22,0))</f>
        <v>-95107.910638512782</v>
      </c>
      <c r="AK16" s="69">
        <f>(SUM(AK8,AK12)/AK6)*-(MAX('Property Cash Flow'!AK6-Assumptions!$B$22,0))</f>
        <v>-83849.736332226792</v>
      </c>
      <c r="AL16" s="69">
        <f>(SUM(AL8,AL12)/AL6)*-(MAX('Property Cash Flow'!AL6-Assumptions!$B$22,0))</f>
        <v>-83849.736332226792</v>
      </c>
      <c r="AM16" s="69">
        <f>(SUM(AM8,AM12)/AM6)*-(MAX('Property Cash Flow'!AM6-Assumptions!$B$22,0))</f>
        <v>-67731.60573319516</v>
      </c>
      <c r="AN16" s="69">
        <f>(SUM(AN8,AN12)/AN6)*-(MAX('Property Cash Flow'!AN6-Assumptions!$B$22,0))</f>
        <v>-46255.76938054843</v>
      </c>
      <c r="AO16" s="69">
        <f>(SUM(AO8,AO12)/AO6)*-(MAX('Property Cash Flow'!AO6-Assumptions!$B$22,0))</f>
        <v>-13636.324401737465</v>
      </c>
      <c r="AP16" s="69">
        <f>(SUM(AP8,AP12)/AP6)*-(MAX('Property Cash Flow'!AP6-Assumptions!$B$22,0))</f>
        <v>-13636.324401737465</v>
      </c>
      <c r="AQ16" s="69">
        <f>(SUM(AQ8,AQ12)/AQ6)*-(MAX('Property Cash Flow'!AQ6-Assumptions!$B$22,0))</f>
        <v>-932.74144094347298</v>
      </c>
      <c r="AR16" s="69">
        <f>(SUM(AR8,AR12)/AR6)*-(MAX('Property Cash Flow'!AR6-Assumptions!$B$22,0))</f>
        <v>0</v>
      </c>
      <c r="AS16" s="69">
        <f>(SUM(AS8,AS12)/AS6)*-(MAX('Property Cash Flow'!AS6-Assumptions!$B$22,0))</f>
        <v>0</v>
      </c>
      <c r="AT16" s="69">
        <f>(SUM(AT8,AT12)/AT6)*-(MAX('Property Cash Flow'!AT6-Assumptions!$B$22,0))</f>
        <v>0</v>
      </c>
      <c r="AU16" s="69">
        <f>(SUM(AU8,AU12)/AU6)*-(MAX('Property Cash Flow'!AU6-Assumptions!$B$22,0))</f>
        <v>0</v>
      </c>
      <c r="AV16" s="69">
        <f>(SUM(AV8,AV12)/AV6)*-(MAX('Property Cash Flow'!AV6-Assumptions!$B$22,0))</f>
        <v>-54268.091852006241</v>
      </c>
      <c r="AW16" s="69">
        <f>(SUM(AW8,AW12)/AW6)*-(MAX('Property Cash Flow'!AW6-Assumptions!$B$22,0))</f>
        <v>-78890.241599117755</v>
      </c>
      <c r="AX16" s="69">
        <f>(SUM(AX8,AX12)/AX6)*-(MAX('Property Cash Flow'!AX6-Assumptions!$B$22,0))</f>
        <v>-78890.241599117755</v>
      </c>
      <c r="AY16" s="69">
        <f>(SUM(AY8,AY12)/AY6)*-(MAX('Property Cash Flow'!AY6-Assumptions!$B$22,0))</f>
        <v>-78890.241599117755</v>
      </c>
      <c r="AZ16" s="69">
        <f>(SUM(AZ8,AZ12)/AZ6)*-(MAX('Property Cash Flow'!AZ6-Assumptions!$B$22,0))</f>
        <v>-67906.67946049411</v>
      </c>
      <c r="BA16" s="69">
        <f>(SUM(BA8,BA12)/BA6)*-(MAX('Property Cash Flow'!BA6-Assumptions!$B$22,0))</f>
        <v>-75740.784896423545</v>
      </c>
      <c r="BB16" s="69">
        <f>(SUM(BB8,BB12)/BB6)*-(MAX('Property Cash Flow'!BB6-Assumptions!$B$22,0))</f>
        <v>-75740.784896423545</v>
      </c>
      <c r="BC16" s="69">
        <f>(SUM(BC8,BC12)/BC6)*-(MAX('Property Cash Flow'!BC6-Assumptions!$B$22,0))</f>
        <v>-75740.784896423545</v>
      </c>
      <c r="BD16" s="69">
        <f>(SUM(BD8,BD12)/BD6)*-(MAX('Property Cash Flow'!BD6-Assumptions!$B$22,0))</f>
        <v>-75740.784896423545</v>
      </c>
      <c r="BE16" s="69">
        <f>(SUM(BE8,BE12)/BE6)*-(MAX('Property Cash Flow'!BE6-Assumptions!$B$22,0))</f>
        <v>-87109.165594783437</v>
      </c>
      <c r="BF16" s="69">
        <f>(SUM(BF8,BF12)/BF6)*-(MAX('Property Cash Flow'!BF6-Assumptions!$B$22,0))</f>
        <v>-83348.24646256167</v>
      </c>
      <c r="BG16" s="69">
        <f>(SUM(BG8,BG12)/BG6)*-(MAX('Property Cash Flow'!BG6-Assumptions!$B$22,0))</f>
        <v>-49311.103753870244</v>
      </c>
      <c r="BH16" s="69">
        <f>(SUM(BH8,BH12)/BH6)*-(MAX('Property Cash Flow'!BH6-Assumptions!$B$22,0))</f>
        <v>-49311.103753870244</v>
      </c>
      <c r="BI16" s="69">
        <f>(SUM(BI8,BI12)/BI6)*-(MAX('Property Cash Flow'!BI6-Assumptions!$B$22,0))</f>
        <v>-49311.103753870244</v>
      </c>
      <c r="BJ16" s="69">
        <f>(SUM(BJ8,BJ12)/BJ6)*-(MAX('Property Cash Flow'!BJ6-Assumptions!$B$22,0))</f>
        <v>-49311.103753870244</v>
      </c>
      <c r="BK16" s="69">
        <f>(SUM(BK8,BK12)/BK6)*-(MAX('Property Cash Flow'!BK6-Assumptions!$B$22,0))</f>
        <v>-103832.17112588526</v>
      </c>
      <c r="BL16" s="69">
        <f>(SUM(BL8,BL12)/BL6)*-(MAX('Property Cash Flow'!BL6-Assumptions!$B$22,0))</f>
        <v>-103832.17112588526</v>
      </c>
      <c r="BM16" s="69">
        <f>(SUM(BM8,BM12)/BM6)*-(MAX('Property Cash Flow'!BM6-Assumptions!$B$22,0))</f>
        <v>-106614.93667586015</v>
      </c>
      <c r="BN16" s="69">
        <f>(SUM(BN8,BN12)/BN6)*-(MAX('Property Cash Flow'!BN6-Assumptions!$B$22,0))</f>
        <v>-106614.93667586015</v>
      </c>
      <c r="BO16" s="69">
        <f>(SUM(BO8,BO12)/BO6)*-(MAX('Property Cash Flow'!BO6-Assumptions!$B$22,0))</f>
        <v>-106614.93667586015</v>
      </c>
      <c r="BP16" s="69">
        <f>(SUM(BP8,BP12)/BP6)*-(MAX('Property Cash Flow'!BP6-Assumptions!$B$22,0))</f>
        <v>-92712.97471849194</v>
      </c>
      <c r="BQ16" s="69">
        <f>(SUM(BQ8,BQ12)/BQ6)*-(MAX('Property Cash Flow'!BQ6-Assumptions!$B$22,0))</f>
        <v>-92712.97471849194</v>
      </c>
      <c r="BR16" s="69">
        <f>(SUM(BR8,BR12)/BR6)*-(MAX('Property Cash Flow'!BR6-Assumptions!$B$22,0))</f>
        <v>-92712.97471849194</v>
      </c>
      <c r="BS16" s="69">
        <f>(SUM(BS8,BS12)/BS6)*-(MAX('Property Cash Flow'!BS6-Assumptions!$B$22,0))</f>
        <v>-92712.97471849194</v>
      </c>
      <c r="BT16" s="69">
        <f>(SUM(BT8,BT12)/BT6)*-(MAX('Property Cash Flow'!BT6-Assumptions!$B$22,0))</f>
        <v>-92712.97471849194</v>
      </c>
      <c r="BU16" s="69">
        <f>(SUM(BU8,BU12)/BU6)*-(MAX('Property Cash Flow'!BU6-Assumptions!$B$22,0))</f>
        <v>-61085.95539127411</v>
      </c>
      <c r="BV16" s="69">
        <f>(SUM(BV8,BV12)/BV6)*-(MAX('Property Cash Flow'!BV6-Assumptions!$B$22,0))</f>
        <v>-75238.511325846703</v>
      </c>
      <c r="BW16" s="69">
        <f>(SUM(BW8,BW12)/BW6)*-(MAX('Property Cash Flow'!BW6-Assumptions!$B$22,0))</f>
        <v>-75238.511325846703</v>
      </c>
      <c r="BX16" s="69">
        <f>(SUM(BX8,BX12)/BX6)*-(MAX('Property Cash Flow'!BX6-Assumptions!$B$22,0))</f>
        <v>-75238.511325846703</v>
      </c>
      <c r="BY16" s="69">
        <f>(SUM(BY8,BY12)/BY6)*-(MAX('Property Cash Flow'!BY6-Assumptions!$B$22,0))</f>
        <v>-77269.951131644542</v>
      </c>
      <c r="BZ16" s="69">
        <f>(SUM(BZ8,BZ12)/BZ6)*-(MAX('Property Cash Flow'!BZ6-Assumptions!$B$22,0))</f>
        <v>-110156.17693716787</v>
      </c>
      <c r="CA16" s="69">
        <f>(SUM(CA8,CA12)/CA6)*-(MAX('Property Cash Flow'!CA6-Assumptions!$B$22,0))</f>
        <v>-110156.17693716787</v>
      </c>
      <c r="CB16" s="69">
        <f>(SUM(CB8,CB12)/CB6)*-(MAX('Property Cash Flow'!CB6-Assumptions!$B$22,0))</f>
        <v>-110156.17693716787</v>
      </c>
      <c r="CC16" s="69">
        <f>(SUM(CC8,CC12)/CC6)*-(MAX('Property Cash Flow'!CC6-Assumptions!$B$22,0))</f>
        <v>-110156.17693716787</v>
      </c>
      <c r="CD16" s="69">
        <f>(SUM(CD8,CD12)/CD6)*-(MAX('Property Cash Flow'!CD6-Assumptions!$B$22,0))</f>
        <v>-110156.17693716787</v>
      </c>
      <c r="CE16" s="69">
        <f>(SUM(CE8,CE12)/CE6)*-(MAX('Property Cash Flow'!CE6-Assumptions!$B$22,0))</f>
        <v>-110156.17693716787</v>
      </c>
      <c r="CF16" s="69">
        <f>(SUM(CF8,CF12)/CF6)*-(MAX('Property Cash Flow'!CF6-Assumptions!$B$22,0))</f>
        <v>-110156.17693716787</v>
      </c>
    </row>
    <row r="17" spans="1:86">
      <c r="A17" t="s">
        <v>60</v>
      </c>
      <c r="D17" s="69">
        <f t="shared" si="75"/>
        <v>0</v>
      </c>
      <c r="E17" s="69">
        <f t="shared" si="75"/>
        <v>-3024274.4</v>
      </c>
      <c r="F17" s="69">
        <f t="shared" si="75"/>
        <v>-3105929.8087999998</v>
      </c>
      <c r="G17" s="69">
        <f t="shared" si="75"/>
        <v>-3189789.913637599</v>
      </c>
      <c r="H17" s="69">
        <f t="shared" si="75"/>
        <v>-3275914.2413058137</v>
      </c>
      <c r="I17" s="69">
        <f t="shared" si="75"/>
        <v>-3364363.9258210715</v>
      </c>
      <c r="J17" s="69">
        <f t="shared" si="75"/>
        <v>-3455201.7518182392</v>
      </c>
      <c r="K17" s="69"/>
      <c r="L17" s="69"/>
      <c r="M17" s="69">
        <f>-Assumptions!$B$39/12*'Rent Roll Calc'!E$7</f>
        <v>-247566.66666666666</v>
      </c>
      <c r="N17" s="69">
        <f>-Assumptions!$B$39/12*'Rent Roll Calc'!F$7</f>
        <v>-247566.66666666666</v>
      </c>
      <c r="O17" s="69">
        <f>-Assumptions!$B$39/12*'Rent Roll Calc'!G$7</f>
        <v>-247566.66666666666</v>
      </c>
      <c r="P17" s="69">
        <f>-Assumptions!$B$39/12*'Rent Roll Calc'!H$7</f>
        <v>-247566.66666666666</v>
      </c>
      <c r="Q17" s="69">
        <f>-Assumptions!$B$39/12*'Rent Roll Calc'!I$7</f>
        <v>-254250.96666666665</v>
      </c>
      <c r="R17" s="69">
        <f>-Assumptions!$B$39/12*'Rent Roll Calc'!J$7</f>
        <v>-254250.96666666665</v>
      </c>
      <c r="S17" s="69">
        <f>-Assumptions!$B$39/12*'Rent Roll Calc'!K$7</f>
        <v>-254250.96666666665</v>
      </c>
      <c r="T17" s="69">
        <f>-Assumptions!$B$39/12*'Rent Roll Calc'!L$7</f>
        <v>-254250.96666666665</v>
      </c>
      <c r="U17" s="69">
        <f>-Assumptions!$B$39/12*'Rent Roll Calc'!M$7</f>
        <v>-254250.96666666665</v>
      </c>
      <c r="V17" s="69">
        <f>-Assumptions!$B$39/12*'Rent Roll Calc'!N$7</f>
        <v>-254250.96666666665</v>
      </c>
      <c r="W17" s="69">
        <f>-Assumptions!$B$39/12*'Rent Roll Calc'!O$7</f>
        <v>-254250.96666666665</v>
      </c>
      <c r="X17" s="69">
        <f>-Assumptions!$B$39/12*'Rent Roll Calc'!P$7</f>
        <v>-254250.96666666665</v>
      </c>
      <c r="Y17" s="69">
        <f>-Assumptions!$B$39/12*'Rent Roll Calc'!Q$7</f>
        <v>-254250.96666666665</v>
      </c>
      <c r="Z17" s="69">
        <f>-Assumptions!$B$39/12*'Rent Roll Calc'!R$7</f>
        <v>-254250.96666666665</v>
      </c>
      <c r="AA17" s="69">
        <f>-Assumptions!$B$39/12*'Rent Roll Calc'!S$7</f>
        <v>-254250.96666666665</v>
      </c>
      <c r="AB17" s="69">
        <f>-Assumptions!$B$39/12*'Rent Roll Calc'!T$7</f>
        <v>-254250.96666666665</v>
      </c>
      <c r="AC17" s="69">
        <f>-Assumptions!$B$39/12*'Rent Roll Calc'!U$7</f>
        <v>-261115.7427666666</v>
      </c>
      <c r="AD17" s="69">
        <f>-Assumptions!$B$39/12*'Rent Roll Calc'!V$7</f>
        <v>-261115.7427666666</v>
      </c>
      <c r="AE17" s="69">
        <f>-Assumptions!$B$39/12*'Rent Roll Calc'!W$7</f>
        <v>-261115.7427666666</v>
      </c>
      <c r="AF17" s="69">
        <f>-Assumptions!$B$39/12*'Rent Roll Calc'!X$7</f>
        <v>-261115.7427666666</v>
      </c>
      <c r="AG17" s="69">
        <f>-Assumptions!$B$39/12*'Rent Roll Calc'!Y$7</f>
        <v>-261115.7427666666</v>
      </c>
      <c r="AH17" s="69">
        <f>-Assumptions!$B$39/12*'Rent Roll Calc'!Z$7</f>
        <v>-261115.7427666666</v>
      </c>
      <c r="AI17" s="69">
        <f>-Assumptions!$B$39/12*'Rent Roll Calc'!AA$7</f>
        <v>-261115.7427666666</v>
      </c>
      <c r="AJ17" s="69">
        <f>-Assumptions!$B$39/12*'Rent Roll Calc'!AB$7</f>
        <v>-261115.7427666666</v>
      </c>
      <c r="AK17" s="69">
        <f>-Assumptions!$B$39/12*'Rent Roll Calc'!AC$7</f>
        <v>-261115.7427666666</v>
      </c>
      <c r="AL17" s="69">
        <f>-Assumptions!$B$39/12*'Rent Roll Calc'!AD$7</f>
        <v>-261115.7427666666</v>
      </c>
      <c r="AM17" s="69">
        <f>-Assumptions!$B$39/12*'Rent Roll Calc'!AE$7</f>
        <v>-261115.7427666666</v>
      </c>
      <c r="AN17" s="69">
        <f>-Assumptions!$B$39/12*'Rent Roll Calc'!AF$7</f>
        <v>-261115.7427666666</v>
      </c>
      <c r="AO17" s="69">
        <f>-Assumptions!$B$39/12*'Rent Roll Calc'!AG$7</f>
        <v>-268165.86782136658</v>
      </c>
      <c r="AP17" s="69">
        <f>-Assumptions!$B$39/12*'Rent Roll Calc'!AH$7</f>
        <v>-268165.86782136658</v>
      </c>
      <c r="AQ17" s="69">
        <f>-Assumptions!$B$39/12*'Rent Roll Calc'!AI$7</f>
        <v>-268165.86782136658</v>
      </c>
      <c r="AR17" s="69">
        <f>-Assumptions!$B$39/12*'Rent Roll Calc'!AJ$7</f>
        <v>-268165.86782136658</v>
      </c>
      <c r="AS17" s="69">
        <f>-Assumptions!$B$39/12*'Rent Roll Calc'!AK$7</f>
        <v>-268165.86782136658</v>
      </c>
      <c r="AT17" s="69">
        <f>-Assumptions!$B$39/12*'Rent Roll Calc'!AL$7</f>
        <v>-268165.86782136658</v>
      </c>
      <c r="AU17" s="69">
        <f>-Assumptions!$B$39/12*'Rent Roll Calc'!AM$7</f>
        <v>-268165.86782136658</v>
      </c>
      <c r="AV17" s="69">
        <f>-Assumptions!$B$39/12*'Rent Roll Calc'!AN$7</f>
        <v>-268165.86782136658</v>
      </c>
      <c r="AW17" s="69">
        <f>-Assumptions!$B$39/12*'Rent Roll Calc'!AO$7</f>
        <v>-268165.86782136658</v>
      </c>
      <c r="AX17" s="69">
        <f>-Assumptions!$B$39/12*'Rent Roll Calc'!AP$7</f>
        <v>-268165.86782136658</v>
      </c>
      <c r="AY17" s="69">
        <f>-Assumptions!$B$39/12*'Rent Roll Calc'!AQ$7</f>
        <v>-268165.86782136658</v>
      </c>
      <c r="AZ17" s="69">
        <f>-Assumptions!$B$39/12*'Rent Roll Calc'!AR$7</f>
        <v>-268165.86782136658</v>
      </c>
      <c r="BA17" s="69">
        <f>-Assumptions!$B$39/12*'Rent Roll Calc'!AS$7</f>
        <v>-275406.34625254344</v>
      </c>
      <c r="BB17" s="69">
        <f>-Assumptions!$B$39/12*'Rent Roll Calc'!AT$7</f>
        <v>-275406.34625254344</v>
      </c>
      <c r="BC17" s="69">
        <f>-Assumptions!$B$39/12*'Rent Roll Calc'!AU$7</f>
        <v>-275406.34625254344</v>
      </c>
      <c r="BD17" s="69">
        <f>-Assumptions!$B$39/12*'Rent Roll Calc'!AV$7</f>
        <v>-275406.34625254344</v>
      </c>
      <c r="BE17" s="69">
        <f>-Assumptions!$B$39/12*'Rent Roll Calc'!AW$7</f>
        <v>-275406.34625254344</v>
      </c>
      <c r="BF17" s="69">
        <f>-Assumptions!$B$39/12*'Rent Roll Calc'!AX$7</f>
        <v>-275406.34625254344</v>
      </c>
      <c r="BG17" s="69">
        <f>-Assumptions!$B$39/12*'Rent Roll Calc'!AY$7</f>
        <v>-275406.34625254344</v>
      </c>
      <c r="BH17" s="69">
        <f>-Assumptions!$B$39/12*'Rent Roll Calc'!AZ$7</f>
        <v>-275406.34625254344</v>
      </c>
      <c r="BI17" s="69">
        <f>-Assumptions!$B$39/12*'Rent Roll Calc'!BA$7</f>
        <v>-275406.34625254344</v>
      </c>
      <c r="BJ17" s="69">
        <f>-Assumptions!$B$39/12*'Rent Roll Calc'!BB$7</f>
        <v>-275406.34625254344</v>
      </c>
      <c r="BK17" s="69">
        <f>-Assumptions!$B$39/12*'Rent Roll Calc'!BC$7</f>
        <v>-275406.34625254344</v>
      </c>
      <c r="BL17" s="69">
        <f>-Assumptions!$B$39/12*'Rent Roll Calc'!BD$7</f>
        <v>-275406.34625254344</v>
      </c>
      <c r="BM17" s="69">
        <f>-Assumptions!$B$39/12*'Rent Roll Calc'!BE$7</f>
        <v>-282842.31760136213</v>
      </c>
      <c r="BN17" s="69">
        <f>-Assumptions!$B$39/12*'Rent Roll Calc'!BF$7</f>
        <v>-282842.31760136213</v>
      </c>
      <c r="BO17" s="69">
        <f>-Assumptions!$B$39/12*'Rent Roll Calc'!BG$7</f>
        <v>-282842.31760136213</v>
      </c>
      <c r="BP17" s="69">
        <f>-Assumptions!$B$39/12*'Rent Roll Calc'!BH$7</f>
        <v>-282842.31760136213</v>
      </c>
      <c r="BQ17" s="69">
        <f>-Assumptions!$B$39/12*'Rent Roll Calc'!BI$7</f>
        <v>-282842.31760136213</v>
      </c>
      <c r="BR17" s="69">
        <f>-Assumptions!$B$39/12*'Rent Roll Calc'!BJ$7</f>
        <v>-282842.31760136213</v>
      </c>
      <c r="BS17" s="69">
        <f>-Assumptions!$B$39/12*'Rent Roll Calc'!BK$7</f>
        <v>-282842.31760136213</v>
      </c>
      <c r="BT17" s="69">
        <f>-Assumptions!$B$39/12*'Rent Roll Calc'!BL$7</f>
        <v>-282842.31760136213</v>
      </c>
      <c r="BU17" s="69">
        <f>-Assumptions!$B$39/12*'Rent Roll Calc'!BM$7</f>
        <v>-282842.31760136213</v>
      </c>
      <c r="BV17" s="69">
        <f>-Assumptions!$B$39/12*'Rent Roll Calc'!BN$7</f>
        <v>-282842.31760136213</v>
      </c>
      <c r="BW17" s="69">
        <f>-Assumptions!$B$39/12*'Rent Roll Calc'!BO$7</f>
        <v>-282842.31760136213</v>
      </c>
      <c r="BX17" s="69">
        <f>-Assumptions!$B$39/12*'Rent Roll Calc'!BP$7</f>
        <v>-282842.31760136213</v>
      </c>
      <c r="BY17" s="69">
        <f>-Assumptions!$B$39/12*'Rent Roll Calc'!BQ$7</f>
        <v>-290479.06017659884</v>
      </c>
      <c r="BZ17" s="69">
        <f>-Assumptions!$B$39/12*'Rent Roll Calc'!BR$7</f>
        <v>-290479.06017659884</v>
      </c>
      <c r="CA17" s="69">
        <f>-Assumptions!$B$39/12*'Rent Roll Calc'!BS$7</f>
        <v>-290479.06017659884</v>
      </c>
      <c r="CB17" s="69">
        <f>-Assumptions!$B$39/12*'Rent Roll Calc'!BT$7</f>
        <v>-290479.06017659884</v>
      </c>
      <c r="CC17" s="69">
        <f>-Assumptions!$B$39/12*'Rent Roll Calc'!BU$7</f>
        <v>-290479.06017659884</v>
      </c>
      <c r="CD17" s="69">
        <f>-Assumptions!$B$39/12*'Rent Roll Calc'!BV$7</f>
        <v>-290479.06017659884</v>
      </c>
      <c r="CE17" s="69">
        <f>-Assumptions!$B$39/12*'Rent Roll Calc'!BW$7</f>
        <v>-290479.06017659884</v>
      </c>
      <c r="CF17" s="69">
        <f>-Assumptions!$B$39/12*'Rent Roll Calc'!BX$7</f>
        <v>-290479.06017659884</v>
      </c>
    </row>
    <row r="18" spans="1:86">
      <c r="A18" t="s">
        <v>61</v>
      </c>
      <c r="D18" s="69">
        <f t="shared" si="75"/>
        <v>0</v>
      </c>
      <c r="E18" s="69">
        <f t="shared" si="75"/>
        <v>-216965.42138359376</v>
      </c>
      <c r="F18" s="69">
        <f t="shared" si="75"/>
        <v>-324897.7217795662</v>
      </c>
      <c r="G18" s="69">
        <f t="shared" si="75"/>
        <v>-330667.87986670103</v>
      </c>
      <c r="H18" s="69">
        <f t="shared" si="75"/>
        <v>-369207.74173999444</v>
      </c>
      <c r="I18" s="69">
        <f t="shared" si="75"/>
        <v>-390494.47090197855</v>
      </c>
      <c r="J18" s="69">
        <f t="shared" si="75"/>
        <v>-403884.82917282061</v>
      </c>
      <c r="K18" s="69"/>
      <c r="L18" s="69"/>
      <c r="M18" s="69">
        <f t="shared" ref="M18:AR18" si="76">-MgmtFeePct*M14</f>
        <v>-20346.803750000003</v>
      </c>
      <c r="N18" s="69">
        <f t="shared" si="76"/>
        <v>-20625.622500000001</v>
      </c>
      <c r="O18" s="69">
        <f t="shared" si="76"/>
        <v>-14187.871250000002</v>
      </c>
      <c r="P18" s="69">
        <f t="shared" si="76"/>
        <v>-14991.852968750001</v>
      </c>
      <c r="Q18" s="69">
        <f t="shared" si="76"/>
        <v>-15986.378629010418</v>
      </c>
      <c r="R18" s="69">
        <f t="shared" si="76"/>
        <v>-16662.458514114584</v>
      </c>
      <c r="S18" s="69">
        <f t="shared" si="76"/>
        <v>-17356.995490989586</v>
      </c>
      <c r="T18" s="69">
        <f t="shared" si="76"/>
        <v>-18237.531251770833</v>
      </c>
      <c r="U18" s="69">
        <f t="shared" si="76"/>
        <v>-18443.919479270837</v>
      </c>
      <c r="V18" s="69">
        <f t="shared" si="76"/>
        <v>-19104.304259687498</v>
      </c>
      <c r="W18" s="69">
        <f t="shared" si="76"/>
        <v>-20717.776099999999</v>
      </c>
      <c r="X18" s="69">
        <f t="shared" si="76"/>
        <v>-20303.907190000002</v>
      </c>
      <c r="Y18" s="69">
        <f t="shared" si="76"/>
        <v>-23889.263698125</v>
      </c>
      <c r="Z18" s="69">
        <f t="shared" si="76"/>
        <v>-22703.938298125002</v>
      </c>
      <c r="AA18" s="69">
        <f t="shared" si="76"/>
        <v>-25403.647431458332</v>
      </c>
      <c r="AB18" s="69">
        <f t="shared" si="76"/>
        <v>-25403.647431458332</v>
      </c>
      <c r="AC18" s="69">
        <f t="shared" si="76"/>
        <v>-27974.510282477495</v>
      </c>
      <c r="AD18" s="69">
        <f t="shared" si="76"/>
        <v>-27506.552411499575</v>
      </c>
      <c r="AE18" s="69">
        <f t="shared" si="76"/>
        <v>-27506.552411499575</v>
      </c>
      <c r="AF18" s="69">
        <f t="shared" si="76"/>
        <v>-28776.307694318326</v>
      </c>
      <c r="AG18" s="69">
        <f t="shared" si="76"/>
        <v>-28776.307694318326</v>
      </c>
      <c r="AH18" s="69">
        <f t="shared" si="76"/>
        <v>-28776.307694318326</v>
      </c>
      <c r="AI18" s="69">
        <f t="shared" si="76"/>
        <v>-29050.082382437082</v>
      </c>
      <c r="AJ18" s="69">
        <f t="shared" si="76"/>
        <v>-29130.604349530829</v>
      </c>
      <c r="AK18" s="69">
        <f t="shared" si="76"/>
        <v>-29433.710237279316</v>
      </c>
      <c r="AL18" s="69">
        <f t="shared" si="76"/>
        <v>-29620.691166120465</v>
      </c>
      <c r="AM18" s="69">
        <f t="shared" si="76"/>
        <v>-29076.739036822964</v>
      </c>
      <c r="AN18" s="69">
        <f t="shared" si="76"/>
        <v>-28382.414385592961</v>
      </c>
      <c r="AO18" s="69">
        <f t="shared" si="76"/>
        <v>-28064.698785632969</v>
      </c>
      <c r="AP18" s="69">
        <f t="shared" si="76"/>
        <v>-28064.698785632969</v>
      </c>
      <c r="AQ18" s="69">
        <f t="shared" si="76"/>
        <v>-27414.200134428866</v>
      </c>
      <c r="AR18" s="69">
        <f t="shared" si="76"/>
        <v>-25392.55196489278</v>
      </c>
      <c r="AS18" s="69">
        <f t="shared" ref="AS18:BX18" si="77">-MgmtFeePct*AS14</f>
        <v>-24911.940470116737</v>
      </c>
      <c r="AT18" s="69">
        <f t="shared" si="77"/>
        <v>-26257.912445785143</v>
      </c>
      <c r="AU18" s="69">
        <f t="shared" si="77"/>
        <v>-26519.231996033832</v>
      </c>
      <c r="AV18" s="69">
        <f t="shared" si="77"/>
        <v>-27529.09045836208</v>
      </c>
      <c r="AW18" s="69">
        <f t="shared" si="77"/>
        <v>-28422.431051786483</v>
      </c>
      <c r="AX18" s="69">
        <f t="shared" si="77"/>
        <v>-30246.957308464607</v>
      </c>
      <c r="AY18" s="69">
        <f t="shared" si="77"/>
        <v>-30854.929738938281</v>
      </c>
      <c r="AZ18" s="69">
        <f t="shared" si="77"/>
        <v>-30495.001911231615</v>
      </c>
      <c r="BA18" s="69">
        <f t="shared" si="77"/>
        <v>-31020.225473628383</v>
      </c>
      <c r="BB18" s="69">
        <f t="shared" si="77"/>
        <v>-31020.225473628383</v>
      </c>
      <c r="BC18" s="69">
        <f t="shared" si="77"/>
        <v>-31564.563456379146</v>
      </c>
      <c r="BD18" s="69">
        <f t="shared" si="77"/>
        <v>-31564.563456379146</v>
      </c>
      <c r="BE18" s="69">
        <f t="shared" si="77"/>
        <v>-31683.463851742305</v>
      </c>
      <c r="BF18" s="69">
        <f t="shared" si="77"/>
        <v>-31198.57428614016</v>
      </c>
      <c r="BG18" s="69">
        <f t="shared" si="77"/>
        <v>-30368.278607473727</v>
      </c>
      <c r="BH18" s="69">
        <f t="shared" si="77"/>
        <v>-30768.527124202228</v>
      </c>
      <c r="BI18" s="69">
        <f t="shared" si="77"/>
        <v>-30788.568398992331</v>
      </c>
      <c r="BJ18" s="69">
        <f t="shared" si="77"/>
        <v>-30788.568398992331</v>
      </c>
      <c r="BK18" s="69">
        <f t="shared" si="77"/>
        <v>-31355.893142582237</v>
      </c>
      <c r="BL18" s="69">
        <f t="shared" si="77"/>
        <v>-31355.893142582237</v>
      </c>
      <c r="BM18" s="69">
        <f t="shared" si="77"/>
        <v>-33544.79199852165</v>
      </c>
      <c r="BN18" s="69">
        <f t="shared" si="77"/>
        <v>-33544.79199852165</v>
      </c>
      <c r="BO18" s="69">
        <f t="shared" si="77"/>
        <v>-33544.79199852165</v>
      </c>
      <c r="BP18" s="69">
        <f t="shared" si="77"/>
        <v>-33114.234364652897</v>
      </c>
      <c r="BQ18" s="69">
        <f t="shared" si="77"/>
        <v>-33114.234364652897</v>
      </c>
      <c r="BR18" s="69">
        <f t="shared" si="77"/>
        <v>-33114.234364652897</v>
      </c>
      <c r="BS18" s="69">
        <f t="shared" si="77"/>
        <v>-33114.234364652897</v>
      </c>
      <c r="BT18" s="69">
        <f t="shared" si="77"/>
        <v>-33114.234364652897</v>
      </c>
      <c r="BU18" s="69">
        <f t="shared" si="77"/>
        <v>-32163.639705885558</v>
      </c>
      <c r="BV18" s="69">
        <f t="shared" si="77"/>
        <v>-32310.172553131113</v>
      </c>
      <c r="BW18" s="69">
        <f t="shared" si="77"/>
        <v>-32310.172553131113</v>
      </c>
      <c r="BX18" s="69">
        <f t="shared" si="77"/>
        <v>-32650.438059211094</v>
      </c>
      <c r="BY18" s="69">
        <f t="shared" ref="BY18:CF18" si="78">-MgmtFeePct*BY14</f>
        <v>-33507.149971929743</v>
      </c>
      <c r="BZ18" s="69">
        <f t="shared" si="78"/>
        <v>-33847.54228720384</v>
      </c>
      <c r="CA18" s="69">
        <f t="shared" si="78"/>
        <v>-33847.54228720384</v>
      </c>
      <c r="CB18" s="69">
        <f t="shared" si="78"/>
        <v>-34649.634351024863</v>
      </c>
      <c r="CC18" s="69">
        <f t="shared" si="78"/>
        <v>-34649.634351024863</v>
      </c>
      <c r="CD18" s="69">
        <f t="shared" si="78"/>
        <v>-34649.634351024863</v>
      </c>
      <c r="CE18" s="69">
        <f t="shared" si="78"/>
        <v>-34649.634351024863</v>
      </c>
      <c r="CF18" s="69">
        <f t="shared" si="78"/>
        <v>-34649.634351024863</v>
      </c>
    </row>
    <row r="19" spans="1:86">
      <c r="A19" s="17" t="s">
        <v>62</v>
      </c>
      <c r="B19" s="17"/>
      <c r="C19" s="17"/>
      <c r="D19" s="70">
        <f t="shared" ref="D19" si="79">D14+D17+D18+D16</f>
        <v>0</v>
      </c>
      <c r="E19" s="70">
        <f>E14+E17+E18+E16</f>
        <v>2957772.2181476559</v>
      </c>
      <c r="F19" s="70">
        <f t="shared" ref="F19:J19" si="80">F14+F17+F18+F16</f>
        <v>5218840.2672147891</v>
      </c>
      <c r="G19" s="70">
        <f t="shared" si="80"/>
        <v>5563035.5870982539</v>
      </c>
      <c r="H19" s="70">
        <f t="shared" si="80"/>
        <v>6027050.4746882636</v>
      </c>
      <c r="I19" s="70">
        <f t="shared" si="80"/>
        <v>6312430.2528110724</v>
      </c>
      <c r="J19" s="70">
        <f t="shared" si="80"/>
        <v>6545315.287743181</v>
      </c>
      <c r="K19" s="70"/>
      <c r="L19" s="70"/>
      <c r="M19" s="70">
        <f t="shared" ref="M19:AB19" si="81">M14+M17+M18+M16</f>
        <v>313423.77958333335</v>
      </c>
      <c r="N19" s="70">
        <f t="shared" si="81"/>
        <v>321111.21083333337</v>
      </c>
      <c r="O19" s="70">
        <f t="shared" si="81"/>
        <v>143613.21208333335</v>
      </c>
      <c r="P19" s="70">
        <f t="shared" si="81"/>
        <v>165780.13661458335</v>
      </c>
      <c r="Q19" s="70">
        <f t="shared" si="81"/>
        <v>186516.32981890626</v>
      </c>
      <c r="R19" s="70">
        <f t="shared" si="81"/>
        <v>205156.81807963544</v>
      </c>
      <c r="S19" s="70">
        <f t="shared" si="81"/>
        <v>224306.19472776042</v>
      </c>
      <c r="T19" s="70">
        <f t="shared" si="81"/>
        <v>248583.82356072913</v>
      </c>
      <c r="U19" s="70">
        <f t="shared" si="81"/>
        <v>254274.24183322917</v>
      </c>
      <c r="V19" s="70">
        <f t="shared" si="81"/>
        <v>272481.99363614578</v>
      </c>
      <c r="W19" s="70">
        <f t="shared" si="81"/>
        <v>316967.71723333327</v>
      </c>
      <c r="X19" s="70">
        <f t="shared" si="81"/>
        <v>305556.76014333329</v>
      </c>
      <c r="Y19" s="70">
        <f t="shared" si="81"/>
        <v>395819.77939783852</v>
      </c>
      <c r="Z19" s="70">
        <f t="shared" si="81"/>
        <v>371729.04641020828</v>
      </c>
      <c r="AA19" s="70">
        <f t="shared" si="81"/>
        <v>402828.57418598607</v>
      </c>
      <c r="AB19" s="70">
        <f t="shared" si="81"/>
        <v>402828.57418598607</v>
      </c>
      <c r="AC19" s="70">
        <f>AC14+AC17+AC18+AC16</f>
        <v>465695.66848353203</v>
      </c>
      <c r="AD19" s="70">
        <f t="shared" ref="AD19:CF19" si="82">AD14+AD17+AD18+AD16</f>
        <v>435147.94266516843</v>
      </c>
      <c r="AE19" s="70">
        <f t="shared" si="82"/>
        <v>435147.94266516843</v>
      </c>
      <c r="AF19" s="70">
        <f t="shared" si="82"/>
        <v>470156.90974859963</v>
      </c>
      <c r="AG19" s="70">
        <f t="shared" si="82"/>
        <v>470156.90974859963</v>
      </c>
      <c r="AH19" s="70">
        <f t="shared" si="82"/>
        <v>470156.90974859963</v>
      </c>
      <c r="AI19" s="70">
        <f t="shared" si="82"/>
        <v>452223.28631464654</v>
      </c>
      <c r="AJ19" s="70">
        <f t="shared" si="82"/>
        <v>446948.72366045625</v>
      </c>
      <c r="AK19" s="70">
        <f t="shared" si="82"/>
        <v>466563.9603003792</v>
      </c>
      <c r="AL19" s="70">
        <f t="shared" si="82"/>
        <v>471719.29162414221</v>
      </c>
      <c r="AM19" s="70">
        <f t="shared" si="82"/>
        <v>472839.88494397135</v>
      </c>
      <c r="AN19" s="70">
        <f t="shared" si="82"/>
        <v>475172.19876984798</v>
      </c>
      <c r="AO19" s="70">
        <f t="shared" si="82"/>
        <v>491981.64572363353</v>
      </c>
      <c r="AP19" s="70">
        <f t="shared" si="82"/>
        <v>491981.64572363353</v>
      </c>
      <c r="AQ19" s="70">
        <f t="shared" si="82"/>
        <v>486750.05158694281</v>
      </c>
      <c r="AR19" s="70">
        <f t="shared" si="82"/>
        <v>431943.06492496288</v>
      </c>
      <c r="AS19" s="70">
        <f t="shared" si="82"/>
        <v>418691.9194261377</v>
      </c>
      <c r="AT19" s="70">
        <f t="shared" si="82"/>
        <v>455802.28961242369</v>
      </c>
      <c r="AU19" s="70">
        <f t="shared" si="82"/>
        <v>463007.24292642326</v>
      </c>
      <c r="AV19" s="70">
        <f t="shared" si="82"/>
        <v>436582.39153575303</v>
      </c>
      <c r="AW19" s="70">
        <f t="shared" si="82"/>
        <v>436590.91815019998</v>
      </c>
      <c r="AX19" s="70">
        <f t="shared" si="82"/>
        <v>486895.71351289703</v>
      </c>
      <c r="AY19" s="70">
        <f t="shared" si="82"/>
        <v>503658.38195309974</v>
      </c>
      <c r="AZ19" s="70">
        <f t="shared" si="82"/>
        <v>504718.21969923947</v>
      </c>
      <c r="BA19" s="70">
        <f t="shared" si="82"/>
        <v>504124.79976678686</v>
      </c>
      <c r="BB19" s="70">
        <f t="shared" si="82"/>
        <v>504124.79976678686</v>
      </c>
      <c r="BC19" s="70">
        <f t="shared" si="82"/>
        <v>519132.97557691508</v>
      </c>
      <c r="BD19" s="70">
        <f t="shared" si="82"/>
        <v>519132.97557691508</v>
      </c>
      <c r="BE19" s="70">
        <f t="shared" si="82"/>
        <v>511042.84863642516</v>
      </c>
      <c r="BF19" s="70">
        <f t="shared" si="82"/>
        <v>501434.66974561627</v>
      </c>
      <c r="BG19" s="70">
        <f t="shared" si="82"/>
        <v>512579.37445679039</v>
      </c>
      <c r="BH19" s="70">
        <f t="shared" si="82"/>
        <v>523614.79784659063</v>
      </c>
      <c r="BI19" s="70">
        <f t="shared" si="82"/>
        <v>524167.36442294635</v>
      </c>
      <c r="BJ19" s="70">
        <f t="shared" si="82"/>
        <v>524167.36442294635</v>
      </c>
      <c r="BK19" s="70">
        <f t="shared" si="82"/>
        <v>485288.25069562433</v>
      </c>
      <c r="BL19" s="70">
        <f t="shared" si="82"/>
        <v>485288.25069562433</v>
      </c>
      <c r="BM19" s="70">
        <f t="shared" si="82"/>
        <v>535420.58225344587</v>
      </c>
      <c r="BN19" s="70">
        <f t="shared" si="82"/>
        <v>535420.58225344587</v>
      </c>
      <c r="BO19" s="70">
        <f t="shared" si="82"/>
        <v>535420.58225344587</v>
      </c>
      <c r="BP19" s="70">
        <f t="shared" si="82"/>
        <v>537451.45516271854</v>
      </c>
      <c r="BQ19" s="70">
        <f t="shared" si="82"/>
        <v>537451.45516271854</v>
      </c>
      <c r="BR19" s="70">
        <f t="shared" si="82"/>
        <v>537451.45516271854</v>
      </c>
      <c r="BS19" s="70">
        <f t="shared" si="82"/>
        <v>537451.45516271854</v>
      </c>
      <c r="BT19" s="70">
        <f t="shared" si="82"/>
        <v>537451.45516271854</v>
      </c>
      <c r="BU19" s="70">
        <f t="shared" si="82"/>
        <v>542869.22175535129</v>
      </c>
      <c r="BV19" s="70">
        <f t="shared" si="82"/>
        <v>532756.78575197747</v>
      </c>
      <c r="BW19" s="70">
        <f t="shared" si="82"/>
        <v>532756.78575197747</v>
      </c>
      <c r="BX19" s="70">
        <f t="shared" si="82"/>
        <v>542138.39184818265</v>
      </c>
      <c r="BY19" s="70">
        <f t="shared" si="82"/>
        <v>556090.98077496234</v>
      </c>
      <c r="BZ19" s="70">
        <f t="shared" si="82"/>
        <v>532589.85737628199</v>
      </c>
      <c r="CA19" s="70">
        <f t="shared" si="82"/>
        <v>532589.85737628199</v>
      </c>
      <c r="CB19" s="70">
        <f t="shared" si="82"/>
        <v>554704.68142163299</v>
      </c>
      <c r="CC19" s="70">
        <f t="shared" si="82"/>
        <v>554704.68142163299</v>
      </c>
      <c r="CD19" s="70">
        <f t="shared" si="82"/>
        <v>554704.68142163299</v>
      </c>
      <c r="CE19" s="70">
        <f t="shared" si="82"/>
        <v>554704.68142163299</v>
      </c>
      <c r="CF19" s="70">
        <f t="shared" si="82"/>
        <v>554704.68142163299</v>
      </c>
      <c r="CG19" s="17"/>
      <c r="CH19" s="17"/>
    </row>
    <row r="20" spans="1:86"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69"/>
      <c r="AB20" s="69"/>
      <c r="AC20" s="69"/>
      <c r="AD20" s="69"/>
      <c r="AE20" s="69"/>
      <c r="AF20" s="69"/>
      <c r="AG20" s="69"/>
      <c r="AH20" s="69"/>
      <c r="AI20" s="69"/>
      <c r="AJ20" s="69"/>
      <c r="AK20" s="69"/>
      <c r="AL20" s="69"/>
      <c r="AM20" s="69"/>
      <c r="AN20" s="69"/>
      <c r="AO20" s="69"/>
      <c r="AP20" s="69"/>
      <c r="AQ20" s="69"/>
      <c r="AR20" s="69"/>
      <c r="AS20" s="69"/>
      <c r="AT20" s="69"/>
      <c r="AU20" s="69"/>
      <c r="AV20" s="69"/>
      <c r="AW20" s="69"/>
      <c r="AX20" s="69"/>
      <c r="AY20" s="69"/>
      <c r="AZ20" s="69"/>
      <c r="BA20" s="69"/>
      <c r="BB20" s="69"/>
      <c r="BC20" s="69"/>
      <c r="BD20" s="69"/>
      <c r="BE20" s="69"/>
      <c r="BF20" s="69"/>
      <c r="BG20" s="69"/>
      <c r="BH20" s="69"/>
      <c r="BI20" s="69"/>
      <c r="BJ20" s="69"/>
      <c r="BK20" s="69"/>
      <c r="BL20" s="69"/>
      <c r="BM20" s="69"/>
      <c r="BN20" s="69"/>
      <c r="BO20" s="69"/>
      <c r="BP20" s="69"/>
      <c r="BQ20" s="69"/>
      <c r="BR20" s="69"/>
      <c r="BS20" s="69"/>
      <c r="BT20" s="69"/>
      <c r="BU20" s="69"/>
      <c r="BV20" s="69"/>
      <c r="BW20" s="69"/>
      <c r="BX20" s="69"/>
      <c r="BY20" s="69"/>
      <c r="BZ20" s="69"/>
      <c r="CA20" s="69"/>
      <c r="CB20" s="69"/>
      <c r="CC20" s="69"/>
      <c r="CD20" s="69"/>
      <c r="CE20" s="69"/>
      <c r="CF20" s="69"/>
    </row>
    <row r="21" spans="1:86">
      <c r="A21" t="s">
        <v>63</v>
      </c>
      <c r="D21" s="69">
        <f t="shared" ref="D21:J24" si="83">SUMIFS($L21:$CF21,$L$3:$CF$3,D$3)</f>
        <v>0</v>
      </c>
      <c r="E21" s="69">
        <f t="shared" si="83"/>
        <v>-5990083.333333333</v>
      </c>
      <c r="F21" s="69">
        <f t="shared" si="83"/>
        <v>-1509916.6666666667</v>
      </c>
      <c r="G21" s="69">
        <f t="shared" si="83"/>
        <v>0</v>
      </c>
      <c r="H21" s="69">
        <f t="shared" si="83"/>
        <v>0</v>
      </c>
      <c r="I21" s="69">
        <f t="shared" si="83"/>
        <v>0</v>
      </c>
      <c r="J21" s="69">
        <f t="shared" si="83"/>
        <v>0</v>
      </c>
      <c r="K21" s="69"/>
      <c r="L21" s="69"/>
      <c r="M21" s="69">
        <f>-SUMIFS('CapEx Schedule'!$E$39:$V$39,'CapEx Schedule'!$E$6:$V$6,'Property Cash Flow'!M$4)*(M$4&lt;=HoldMonths)</f>
        <v>-75354.166666666672</v>
      </c>
      <c r="N21" s="69">
        <f>-SUMIFS('CapEx Schedule'!$E$39:$V$39,'CapEx Schedule'!$E$6:$V$6,'Property Cash Flow'!N$4)*(N$4&lt;=HoldMonths)</f>
        <v>-157854.16666666669</v>
      </c>
      <c r="O21" s="69">
        <f>-SUMIFS('CapEx Schedule'!$E$39:$V$39,'CapEx Schedule'!$E$6:$V$6,'Property Cash Flow'!O$4)*(O$4&lt;=HoldMonths)</f>
        <v>-167304.16666666669</v>
      </c>
      <c r="P21" s="69">
        <f>-SUMIFS('CapEx Schedule'!$E$39:$V$39,'CapEx Schedule'!$E$6:$V$6,'Property Cash Flow'!P$4)*(P$4&lt;=HoldMonths)</f>
        <v>-198454.16666666669</v>
      </c>
      <c r="Q21" s="69">
        <f>-SUMIFS('CapEx Schedule'!$E$39:$V$39,'CapEx Schedule'!$E$6:$V$6,'Property Cash Flow'!Q$4)*(Q$4&lt;=HoldMonths)</f>
        <v>-221020.83333333331</v>
      </c>
      <c r="R21" s="69">
        <f>-SUMIFS('CapEx Schedule'!$E$39:$V$39,'CapEx Schedule'!$E$6:$V$6,'Property Cash Flow'!R$4)*(R$4&lt;=HoldMonths)</f>
        <v>-488820.83333333337</v>
      </c>
      <c r="S21" s="69">
        <f>-SUMIFS('CapEx Schedule'!$E$39:$V$39,'CapEx Schedule'!$E$6:$V$6,'Property Cash Flow'!S$4)*(S$4&lt;=HoldMonths)</f>
        <v>-509737.5</v>
      </c>
      <c r="T21" s="69">
        <f>-SUMIFS('CapEx Schedule'!$E$39:$V$39,'CapEx Schedule'!$E$6:$V$6,'Property Cash Flow'!T$4)*(T$4&lt;=HoldMonths)</f>
        <v>-725454.16666666674</v>
      </c>
      <c r="U21" s="69">
        <f>-SUMIFS('CapEx Schedule'!$E$39:$V$39,'CapEx Schedule'!$E$6:$V$6,'Property Cash Flow'!U$4)*(U$4&lt;=HoldMonths)</f>
        <v>-722854.16666666674</v>
      </c>
      <c r="V21" s="69">
        <f>-SUMIFS('CapEx Schedule'!$E$39:$V$39,'CapEx Schedule'!$E$6:$V$6,'Property Cash Flow'!V$4)*(V$4&lt;=HoldMonths)</f>
        <v>-1032187.5</v>
      </c>
      <c r="W21" s="69">
        <f>-SUMIFS('CapEx Schedule'!$E$39:$V$39,'CapEx Schedule'!$E$6:$V$6,'Property Cash Flow'!W$4)*(W$4&lt;=HoldMonths)</f>
        <v>-1016020.8333333334</v>
      </c>
      <c r="X21" s="69">
        <f>-SUMIFS('CapEx Schedule'!$E$39:$V$39,'CapEx Schedule'!$E$6:$V$6,'Property Cash Flow'!X$4)*(X$4&lt;=HoldMonths)</f>
        <v>-675020.83333333337</v>
      </c>
      <c r="Y21" s="69">
        <f>-SUMIFS('CapEx Schedule'!$E$39:$V$39,'CapEx Schedule'!$E$6:$V$6,'Property Cash Flow'!Y$4)*(Y$4&lt;=HoldMonths)</f>
        <v>-675020.83333333337</v>
      </c>
      <c r="Z21" s="69">
        <f>-SUMIFS('CapEx Schedule'!$E$39:$V$39,'CapEx Schedule'!$E$6:$V$6,'Property Cash Flow'!Z$4)*(Z$4&lt;=HoldMonths)</f>
        <v>-335354.16666666663</v>
      </c>
      <c r="AA21" s="69">
        <f>-SUMIFS('CapEx Schedule'!$E$39:$V$39,'CapEx Schedule'!$E$6:$V$6,'Property Cash Flow'!AA$4)*(AA$4&lt;=HoldMonths)</f>
        <v>-335354.16666666663</v>
      </c>
      <c r="AB21" s="69">
        <f>-SUMIFS('CapEx Schedule'!$E$39:$V$39,'CapEx Schedule'!$E$6:$V$6,'Property Cash Flow'!AB$4)*(AB$4&lt;=HoldMonths)</f>
        <v>-75354.166666666672</v>
      </c>
      <c r="AC21" s="69">
        <f>-SUMIFS('CapEx Schedule'!$E$39:$V$39,'CapEx Schedule'!$E$6:$V$6,'Property Cash Flow'!AC$4)*(AC$4&lt;=HoldMonths)</f>
        <v>-44416.666666666672</v>
      </c>
      <c r="AD21" s="69">
        <f>-SUMIFS('CapEx Schedule'!$E$39:$V$39,'CapEx Schedule'!$E$6:$V$6,'Property Cash Flow'!AD$4)*(AD$4&lt;=HoldMonths)</f>
        <v>-44416.666666666672</v>
      </c>
      <c r="AE21" s="69">
        <f>-SUMIFS('CapEx Schedule'!$E$39:$V$39,'CapEx Schedule'!$E$6:$V$6,'Property Cash Flow'!AE$4)*(AE$4&lt;=HoldMonths)</f>
        <v>0</v>
      </c>
      <c r="AF21" s="69">
        <f>-SUMIFS('CapEx Schedule'!$E$39:$V$39,'CapEx Schedule'!$E$6:$V$6,'Property Cash Flow'!AF$4)*(AF$4&lt;=HoldMonths)</f>
        <v>0</v>
      </c>
      <c r="AG21" s="69">
        <f>-SUMIFS('CapEx Schedule'!$E$39:$V$39,'CapEx Schedule'!$E$6:$V$6,'Property Cash Flow'!AG$4)*(AG$4&lt;=HoldMonths)</f>
        <v>0</v>
      </c>
      <c r="AH21" s="69">
        <f>-SUMIFS('CapEx Schedule'!$E$39:$V$39,'CapEx Schedule'!$E$6:$V$6,'Property Cash Flow'!AH$4)*(AH$4&lt;=HoldMonths)</f>
        <v>0</v>
      </c>
      <c r="AI21" s="69">
        <f>-SUMIFS('CapEx Schedule'!$E$39:$V$39,'CapEx Schedule'!$E$6:$V$6,'Property Cash Flow'!AI$4)*(AI$4&lt;=HoldMonths)</f>
        <v>0</v>
      </c>
      <c r="AJ21" s="69">
        <f>-SUMIFS('CapEx Schedule'!$E$39:$V$39,'CapEx Schedule'!$E$6:$V$6,'Property Cash Flow'!AJ$4)*(AJ$4&lt;=HoldMonths)</f>
        <v>0</v>
      </c>
      <c r="AK21" s="69">
        <f>-SUMIFS('CapEx Schedule'!$E$39:$V$39,'CapEx Schedule'!$E$6:$V$6,'Property Cash Flow'!AK$4)*(AK$4&lt;=HoldMonths)</f>
        <v>0</v>
      </c>
      <c r="AL21" s="69">
        <f>-SUMIFS('CapEx Schedule'!$E$39:$V$39,'CapEx Schedule'!$E$6:$V$6,'Property Cash Flow'!AL$4)*(AL$4&lt;=HoldMonths)</f>
        <v>0</v>
      </c>
      <c r="AM21" s="69">
        <f>-SUMIFS('CapEx Schedule'!$E$39:$V$39,'CapEx Schedule'!$E$6:$V$6,'Property Cash Flow'!AM$4)*(AM$4&lt;=HoldMonths)</f>
        <v>0</v>
      </c>
      <c r="AN21" s="69">
        <f>-SUMIFS('CapEx Schedule'!$E$39:$V$39,'CapEx Schedule'!$E$6:$V$6,'Property Cash Flow'!AN$4)*(AN$4&lt;=HoldMonths)</f>
        <v>0</v>
      </c>
      <c r="AO21" s="69">
        <f>-SUMIFS('CapEx Schedule'!$E$39:$V$39,'CapEx Schedule'!$E$6:$V$6,'Property Cash Flow'!AO$4)*(AO$4&lt;=HoldMonths)</f>
        <v>0</v>
      </c>
      <c r="AP21" s="69">
        <f>-SUMIFS('CapEx Schedule'!$E$39:$V$39,'CapEx Schedule'!$E$6:$V$6,'Property Cash Flow'!AP$4)*(AP$4&lt;=HoldMonths)</f>
        <v>0</v>
      </c>
      <c r="AQ21" s="69">
        <f>-SUMIFS('CapEx Schedule'!$E$39:$V$39,'CapEx Schedule'!$E$6:$V$6,'Property Cash Flow'!AQ$4)*(AQ$4&lt;=HoldMonths)</f>
        <v>0</v>
      </c>
      <c r="AR21" s="69">
        <f>-SUMIFS('CapEx Schedule'!$E$39:$V$39,'CapEx Schedule'!$E$6:$V$6,'Property Cash Flow'!AR$4)*(AR$4&lt;=HoldMonths)</f>
        <v>0</v>
      </c>
      <c r="AS21" s="69">
        <f>-SUMIFS('CapEx Schedule'!$E$39:$V$39,'CapEx Schedule'!$E$6:$V$6,'Property Cash Flow'!AS$4)*(AS$4&lt;=HoldMonths)</f>
        <v>0</v>
      </c>
      <c r="AT21" s="69">
        <f>-SUMIFS('CapEx Schedule'!$E$39:$V$39,'CapEx Schedule'!$E$6:$V$6,'Property Cash Flow'!AT$4)*(AT$4&lt;=HoldMonths)</f>
        <v>0</v>
      </c>
      <c r="AU21" s="69">
        <f>-SUMIFS('CapEx Schedule'!$E$39:$V$39,'CapEx Schedule'!$E$6:$V$6,'Property Cash Flow'!AU$4)*(AU$4&lt;=HoldMonths)</f>
        <v>0</v>
      </c>
      <c r="AV21" s="69">
        <f>-SUMIFS('CapEx Schedule'!$E$39:$V$39,'CapEx Schedule'!$E$6:$V$6,'Property Cash Flow'!AV$4)*(AV$4&lt;=HoldMonths)</f>
        <v>0</v>
      </c>
      <c r="AW21" s="69">
        <f>-SUMIFS('CapEx Schedule'!$E$39:$V$39,'CapEx Schedule'!$E$6:$V$6,'Property Cash Flow'!AW$4)*(AW$4&lt;=HoldMonths)</f>
        <v>0</v>
      </c>
      <c r="AX21" s="69">
        <f>-SUMIFS('CapEx Schedule'!$E$39:$V$39,'CapEx Schedule'!$E$6:$V$6,'Property Cash Flow'!AX$4)*(AX$4&lt;=HoldMonths)</f>
        <v>0</v>
      </c>
      <c r="AY21" s="69">
        <f>-SUMIFS('CapEx Schedule'!$E$39:$V$39,'CapEx Schedule'!$E$6:$V$6,'Property Cash Flow'!AY$4)*(AY$4&lt;=HoldMonths)</f>
        <v>0</v>
      </c>
      <c r="AZ21" s="69">
        <f>-SUMIFS('CapEx Schedule'!$E$39:$V$39,'CapEx Schedule'!$E$6:$V$6,'Property Cash Flow'!AZ$4)*(AZ$4&lt;=HoldMonths)</f>
        <v>0</v>
      </c>
      <c r="BA21" s="69">
        <f>-SUMIFS('CapEx Schedule'!$E$39:$V$39,'CapEx Schedule'!$E$6:$V$6,'Property Cash Flow'!BA$4)*(BA$4&lt;=HoldMonths)</f>
        <v>0</v>
      </c>
      <c r="BB21" s="69">
        <f>-SUMIFS('CapEx Schedule'!$E$39:$V$39,'CapEx Schedule'!$E$6:$V$6,'Property Cash Flow'!BB$4)*(BB$4&lt;=HoldMonths)</f>
        <v>0</v>
      </c>
      <c r="BC21" s="69">
        <f>-SUMIFS('CapEx Schedule'!$E$39:$V$39,'CapEx Schedule'!$E$6:$V$6,'Property Cash Flow'!BC$4)*(BC$4&lt;=HoldMonths)</f>
        <v>0</v>
      </c>
      <c r="BD21" s="69">
        <f>-SUMIFS('CapEx Schedule'!$E$39:$V$39,'CapEx Schedule'!$E$6:$V$6,'Property Cash Flow'!BD$4)*(BD$4&lt;=HoldMonths)</f>
        <v>0</v>
      </c>
      <c r="BE21" s="69">
        <f>-SUMIFS('CapEx Schedule'!$E$39:$V$39,'CapEx Schedule'!$E$6:$V$6,'Property Cash Flow'!BE$4)*(BE$4&lt;=HoldMonths)</f>
        <v>0</v>
      </c>
      <c r="BF21" s="69">
        <f>-SUMIFS('CapEx Schedule'!$E$39:$V$39,'CapEx Schedule'!$E$6:$V$6,'Property Cash Flow'!BF$4)*(BF$4&lt;=HoldMonths)</f>
        <v>0</v>
      </c>
      <c r="BG21" s="69">
        <f>-SUMIFS('CapEx Schedule'!$E$39:$V$39,'CapEx Schedule'!$E$6:$V$6,'Property Cash Flow'!BG$4)*(BG$4&lt;=HoldMonths)</f>
        <v>0</v>
      </c>
      <c r="BH21" s="69">
        <f>-SUMIFS('CapEx Schedule'!$E$39:$V$39,'CapEx Schedule'!$E$6:$V$6,'Property Cash Flow'!BH$4)*(BH$4&lt;=HoldMonths)</f>
        <v>0</v>
      </c>
      <c r="BI21" s="69">
        <f>-SUMIFS('CapEx Schedule'!$E$39:$V$39,'CapEx Schedule'!$E$6:$V$6,'Property Cash Flow'!BI$4)*(BI$4&lt;=HoldMonths)</f>
        <v>0</v>
      </c>
      <c r="BJ21" s="69">
        <f>-SUMIFS('CapEx Schedule'!$E$39:$V$39,'CapEx Schedule'!$E$6:$V$6,'Property Cash Flow'!BJ$4)*(BJ$4&lt;=HoldMonths)</f>
        <v>0</v>
      </c>
      <c r="BK21" s="69">
        <f>-SUMIFS('CapEx Schedule'!$E$39:$V$39,'CapEx Schedule'!$E$6:$V$6,'Property Cash Flow'!BK$4)*(BK$4&lt;=HoldMonths)</f>
        <v>0</v>
      </c>
      <c r="BL21" s="69">
        <f>-SUMIFS('CapEx Schedule'!$E$39:$V$39,'CapEx Schedule'!$E$6:$V$6,'Property Cash Flow'!BL$4)*(BL$4&lt;=HoldMonths)</f>
        <v>0</v>
      </c>
      <c r="BM21" s="69">
        <f>-SUMIFS('CapEx Schedule'!$E$39:$V$39,'CapEx Schedule'!$E$6:$V$6,'Property Cash Flow'!BM$4)*(BM$4&lt;=HoldMonths)</f>
        <v>0</v>
      </c>
      <c r="BN21" s="69">
        <f>-SUMIFS('CapEx Schedule'!$E$39:$V$39,'CapEx Schedule'!$E$6:$V$6,'Property Cash Flow'!BN$4)*(BN$4&lt;=HoldMonths)</f>
        <v>0</v>
      </c>
      <c r="BO21" s="69">
        <f>-SUMIFS('CapEx Schedule'!$E$39:$V$39,'CapEx Schedule'!$E$6:$V$6,'Property Cash Flow'!BO$4)*(BO$4&lt;=HoldMonths)</f>
        <v>0</v>
      </c>
      <c r="BP21" s="69">
        <f>-SUMIFS('CapEx Schedule'!$E$39:$V$39,'CapEx Schedule'!$E$6:$V$6,'Property Cash Flow'!BP$4)*(BP$4&lt;=HoldMonths)</f>
        <v>0</v>
      </c>
      <c r="BQ21" s="69">
        <f>-SUMIFS('CapEx Schedule'!$E$39:$V$39,'CapEx Schedule'!$E$6:$V$6,'Property Cash Flow'!BQ$4)*(BQ$4&lt;=HoldMonths)</f>
        <v>0</v>
      </c>
      <c r="BR21" s="69">
        <f>-SUMIFS('CapEx Schedule'!$E$39:$V$39,'CapEx Schedule'!$E$6:$V$6,'Property Cash Flow'!BR$4)*(BR$4&lt;=HoldMonths)</f>
        <v>0</v>
      </c>
      <c r="BS21" s="69">
        <f>-SUMIFS('CapEx Schedule'!$E$39:$V$39,'CapEx Schedule'!$E$6:$V$6,'Property Cash Flow'!BS$4)*(BS$4&lt;=HoldMonths)</f>
        <v>0</v>
      </c>
      <c r="BT21" s="69">
        <f>-SUMIFS('CapEx Schedule'!$E$39:$V$39,'CapEx Schedule'!$E$6:$V$6,'Property Cash Flow'!BT$4)*(BT$4&lt;=HoldMonths)</f>
        <v>0</v>
      </c>
      <c r="BU21" s="69">
        <f>-SUMIFS('CapEx Schedule'!$E$39:$V$39,'CapEx Schedule'!$E$6:$V$6,'Property Cash Flow'!BU$4)*(BU$4&lt;=HoldMonths)</f>
        <v>0</v>
      </c>
      <c r="BV21" s="69">
        <f>-SUMIFS('CapEx Schedule'!$E$39:$V$39,'CapEx Schedule'!$E$6:$V$6,'Property Cash Flow'!BV$4)*(BV$4&lt;=HoldMonths)</f>
        <v>0</v>
      </c>
      <c r="BW21" s="69">
        <f>-SUMIFS('CapEx Schedule'!$E$39:$V$39,'CapEx Schedule'!$E$6:$V$6,'Property Cash Flow'!BW$4)*(BW$4&lt;=HoldMonths)</f>
        <v>0</v>
      </c>
      <c r="BX21" s="69">
        <f>-SUMIFS('CapEx Schedule'!$E$39:$V$39,'CapEx Schedule'!$E$6:$V$6,'Property Cash Flow'!BX$4)*(BX$4&lt;=HoldMonths)</f>
        <v>0</v>
      </c>
      <c r="BY21" s="69">
        <f>-SUMIFS('CapEx Schedule'!$E$39:$V$39,'CapEx Schedule'!$E$6:$V$6,'Property Cash Flow'!BY$4)*(BY$4&lt;=HoldMonths)</f>
        <v>0</v>
      </c>
      <c r="BZ21" s="69">
        <f>-SUMIFS('CapEx Schedule'!$E$39:$V$39,'CapEx Schedule'!$E$6:$V$6,'Property Cash Flow'!BZ$4)*(BZ$4&lt;=HoldMonths)</f>
        <v>0</v>
      </c>
      <c r="CA21" s="69">
        <f>-SUMIFS('CapEx Schedule'!$E$39:$V$39,'CapEx Schedule'!$E$6:$V$6,'Property Cash Flow'!CA$4)*(CA$4&lt;=HoldMonths)</f>
        <v>0</v>
      </c>
      <c r="CB21" s="69">
        <f>-SUMIFS('CapEx Schedule'!$E$39:$V$39,'CapEx Schedule'!$E$6:$V$6,'Property Cash Flow'!CB$4)*(CB$4&lt;=HoldMonths)</f>
        <v>0</v>
      </c>
      <c r="CC21" s="69">
        <f>-SUMIFS('CapEx Schedule'!$E$39:$V$39,'CapEx Schedule'!$E$6:$V$6,'Property Cash Flow'!CC$4)*(CC$4&lt;=HoldMonths)</f>
        <v>0</v>
      </c>
      <c r="CD21" s="69">
        <f>-SUMIFS('CapEx Schedule'!$E$39:$V$39,'CapEx Schedule'!$E$6:$V$6,'Property Cash Flow'!CD$4)*(CD$4&lt;=HoldMonths)</f>
        <v>0</v>
      </c>
      <c r="CE21" s="69">
        <f>-SUMIFS('CapEx Schedule'!$E$39:$V$39,'CapEx Schedule'!$E$6:$V$6,'Property Cash Flow'!CE$4)*(CE$4&lt;=HoldMonths)</f>
        <v>0</v>
      </c>
      <c r="CF21" s="69">
        <f>-SUMIFS('CapEx Schedule'!$E$39:$V$39,'CapEx Schedule'!$E$6:$V$6,'Property Cash Flow'!CF$4)*(CF$4&lt;=HoldMonths)</f>
        <v>0</v>
      </c>
    </row>
    <row r="22" spans="1:86">
      <c r="A22" t="s">
        <v>64</v>
      </c>
      <c r="D22" s="69">
        <f t="shared" si="83"/>
        <v>0</v>
      </c>
      <c r="E22" s="69">
        <f t="shared" si="83"/>
        <v>-140000.00000000003</v>
      </c>
      <c r="F22" s="69">
        <f t="shared" si="83"/>
        <v>-143499.99999999997</v>
      </c>
      <c r="G22" s="69">
        <f t="shared" si="83"/>
        <v>-147087.49999999994</v>
      </c>
      <c r="H22" s="69">
        <f t="shared" si="83"/>
        <v>-150764.68749999997</v>
      </c>
      <c r="I22" s="69">
        <f t="shared" si="83"/>
        <v>-154533.80468749991</v>
      </c>
      <c r="J22" s="69">
        <f t="shared" si="83"/>
        <v>0</v>
      </c>
      <c r="K22" s="69"/>
      <c r="L22" s="69"/>
      <c r="M22" s="69">
        <f>(-ReservesPSF/12*BldgSF*(1+ReservesGrowth)^('Rent Roll Calc'!E$5-1))*(M$4&lt;=HoldMonths)</f>
        <v>-11666.666666666666</v>
      </c>
      <c r="N22" s="69">
        <f>(-ReservesPSF/12*BldgSF*(1+ReservesGrowth)^('Rent Roll Calc'!F$5-1))*(N$4&lt;=HoldMonths)</f>
        <v>-11666.666666666666</v>
      </c>
      <c r="O22" s="69">
        <f>(-ReservesPSF/12*BldgSF*(1+ReservesGrowth)^('Rent Roll Calc'!G$5-1))*(O$4&lt;=HoldMonths)</f>
        <v>-11666.666666666666</v>
      </c>
      <c r="P22" s="69">
        <f>(-ReservesPSF/12*BldgSF*(1+ReservesGrowth)^('Rent Roll Calc'!H$5-1))*(P$4&lt;=HoldMonths)</f>
        <v>-11666.666666666666</v>
      </c>
      <c r="Q22" s="69">
        <f>(-ReservesPSF/12*BldgSF*(1+ReservesGrowth)^('Rent Roll Calc'!I$5-1))*(Q$4&lt;=HoldMonths)</f>
        <v>-11666.666666666666</v>
      </c>
      <c r="R22" s="69">
        <f>(-ReservesPSF/12*BldgSF*(1+ReservesGrowth)^('Rent Roll Calc'!J$5-1))*(R$4&lt;=HoldMonths)</f>
        <v>-11666.666666666666</v>
      </c>
      <c r="S22" s="69">
        <f>(-ReservesPSF/12*BldgSF*(1+ReservesGrowth)^('Rent Roll Calc'!K$5-1))*(S$4&lt;=HoldMonths)</f>
        <v>-11666.666666666666</v>
      </c>
      <c r="T22" s="69">
        <f>(-ReservesPSF/12*BldgSF*(1+ReservesGrowth)^('Rent Roll Calc'!L$5-1))*(T$4&lt;=HoldMonths)</f>
        <v>-11666.666666666666</v>
      </c>
      <c r="U22" s="69">
        <f>(-ReservesPSF/12*BldgSF*(1+ReservesGrowth)^('Rent Roll Calc'!M$5-1))*(U$4&lt;=HoldMonths)</f>
        <v>-11666.666666666666</v>
      </c>
      <c r="V22" s="69">
        <f>(-ReservesPSF/12*BldgSF*(1+ReservesGrowth)^('Rent Roll Calc'!N$5-1))*(V$4&lt;=HoldMonths)</f>
        <v>-11666.666666666666</v>
      </c>
      <c r="W22" s="69">
        <f>(-ReservesPSF/12*BldgSF*(1+ReservesGrowth)^('Rent Roll Calc'!O$5-1))*(W$4&lt;=HoldMonths)</f>
        <v>-11666.666666666666</v>
      </c>
      <c r="X22" s="69">
        <f>(-ReservesPSF/12*BldgSF*(1+ReservesGrowth)^('Rent Roll Calc'!P$5-1))*(X$4&lt;=HoldMonths)</f>
        <v>-11666.666666666666</v>
      </c>
      <c r="Y22" s="69">
        <f>(-ReservesPSF/12*BldgSF*(1+ReservesGrowth)^('Rent Roll Calc'!Q$5-1))*(Y$4&lt;=HoldMonths)</f>
        <v>-11958.333333333332</v>
      </c>
      <c r="Z22" s="69">
        <f>(-ReservesPSF/12*BldgSF*(1+ReservesGrowth)^('Rent Roll Calc'!R$5-1))*(Z$4&lt;=HoldMonths)</f>
        <v>-11958.333333333332</v>
      </c>
      <c r="AA22" s="69">
        <f>(-ReservesPSF/12*BldgSF*(1+ReservesGrowth)^('Rent Roll Calc'!S$5-1))*(AA$4&lt;=HoldMonths)</f>
        <v>-11958.333333333332</v>
      </c>
      <c r="AB22" s="69">
        <f>(-ReservesPSF/12*BldgSF*(1+ReservesGrowth)^('Rent Roll Calc'!T$5-1))*(AB$4&lt;=HoldMonths)</f>
        <v>-11958.333333333332</v>
      </c>
      <c r="AC22" s="69">
        <f>(-ReservesPSF/12*BldgSF*(1+ReservesGrowth)^('Rent Roll Calc'!U$5-1))*(AC$4&lt;=HoldMonths)</f>
        <v>-11958.333333333332</v>
      </c>
      <c r="AD22" s="69">
        <f>(-ReservesPSF/12*BldgSF*(1+ReservesGrowth)^('Rent Roll Calc'!V$5-1))*(AD$4&lt;=HoldMonths)</f>
        <v>-11958.333333333332</v>
      </c>
      <c r="AE22" s="69">
        <f>(-ReservesPSF/12*BldgSF*(1+ReservesGrowth)^('Rent Roll Calc'!W$5-1))*(AE$4&lt;=HoldMonths)</f>
        <v>-11958.333333333332</v>
      </c>
      <c r="AF22" s="69">
        <f>(-ReservesPSF/12*BldgSF*(1+ReservesGrowth)^('Rent Roll Calc'!X$5-1))*(AF$4&lt;=HoldMonths)</f>
        <v>-11958.333333333332</v>
      </c>
      <c r="AG22" s="69">
        <f>(-ReservesPSF/12*BldgSF*(1+ReservesGrowth)^('Rent Roll Calc'!Y$5-1))*(AG$4&lt;=HoldMonths)</f>
        <v>-11958.333333333332</v>
      </c>
      <c r="AH22" s="69">
        <f>(-ReservesPSF/12*BldgSF*(1+ReservesGrowth)^('Rent Roll Calc'!Z$5-1))*(AH$4&lt;=HoldMonths)</f>
        <v>-11958.333333333332</v>
      </c>
      <c r="AI22" s="69">
        <f>(-ReservesPSF/12*BldgSF*(1+ReservesGrowth)^('Rent Roll Calc'!AA$5-1))*(AI$4&lt;=HoldMonths)</f>
        <v>-11958.333333333332</v>
      </c>
      <c r="AJ22" s="69">
        <f>(-ReservesPSF/12*BldgSF*(1+ReservesGrowth)^('Rent Roll Calc'!AB$5-1))*(AJ$4&lt;=HoldMonths)</f>
        <v>-11958.333333333332</v>
      </c>
      <c r="AK22" s="69">
        <f>(-ReservesPSF/12*BldgSF*(1+ReservesGrowth)^('Rent Roll Calc'!AC$5-1))*(AK$4&lt;=HoldMonths)</f>
        <v>-12257.291666666664</v>
      </c>
      <c r="AL22" s="69">
        <f>(-ReservesPSF/12*BldgSF*(1+ReservesGrowth)^('Rent Roll Calc'!AD$5-1))*(AL$4&lt;=HoldMonths)</f>
        <v>-12257.291666666664</v>
      </c>
      <c r="AM22" s="69">
        <f>(-ReservesPSF/12*BldgSF*(1+ReservesGrowth)^('Rent Roll Calc'!AE$5-1))*(AM$4&lt;=HoldMonths)</f>
        <v>-12257.291666666664</v>
      </c>
      <c r="AN22" s="69">
        <f>(-ReservesPSF/12*BldgSF*(1+ReservesGrowth)^('Rent Roll Calc'!AF$5-1))*(AN$4&lt;=HoldMonths)</f>
        <v>-12257.291666666664</v>
      </c>
      <c r="AO22" s="69">
        <f>(-ReservesPSF/12*BldgSF*(1+ReservesGrowth)^('Rent Roll Calc'!AG$5-1))*(AO$4&lt;=HoldMonths)</f>
        <v>-12257.291666666664</v>
      </c>
      <c r="AP22" s="69">
        <f>(-ReservesPSF/12*BldgSF*(1+ReservesGrowth)^('Rent Roll Calc'!AH$5-1))*(AP$4&lt;=HoldMonths)</f>
        <v>-12257.291666666664</v>
      </c>
      <c r="AQ22" s="69">
        <f>(-ReservesPSF/12*BldgSF*(1+ReservesGrowth)^('Rent Roll Calc'!AI$5-1))*(AQ$4&lt;=HoldMonths)</f>
        <v>-12257.291666666664</v>
      </c>
      <c r="AR22" s="69">
        <f>(-ReservesPSF/12*BldgSF*(1+ReservesGrowth)^('Rent Roll Calc'!AJ$5-1))*(AR$4&lt;=HoldMonths)</f>
        <v>-12257.291666666664</v>
      </c>
      <c r="AS22" s="69">
        <f>(-ReservesPSF/12*BldgSF*(1+ReservesGrowth)^('Rent Roll Calc'!AK$5-1))*(AS$4&lt;=HoldMonths)</f>
        <v>-12257.291666666664</v>
      </c>
      <c r="AT22" s="69">
        <f>(-ReservesPSF/12*BldgSF*(1+ReservesGrowth)^('Rent Roll Calc'!AL$5-1))*(AT$4&lt;=HoldMonths)</f>
        <v>-12257.291666666664</v>
      </c>
      <c r="AU22" s="69">
        <f>(-ReservesPSF/12*BldgSF*(1+ReservesGrowth)^('Rent Roll Calc'!AM$5-1))*(AU$4&lt;=HoldMonths)</f>
        <v>-12257.291666666664</v>
      </c>
      <c r="AV22" s="69">
        <f>(-ReservesPSF/12*BldgSF*(1+ReservesGrowth)^('Rent Roll Calc'!AN$5-1))*(AV$4&lt;=HoldMonths)</f>
        <v>-12257.291666666664</v>
      </c>
      <c r="AW22" s="69">
        <f>(-ReservesPSF/12*BldgSF*(1+ReservesGrowth)^('Rent Roll Calc'!AO$5-1))*(AW$4&lt;=HoldMonths)</f>
        <v>-12563.723958333332</v>
      </c>
      <c r="AX22" s="69">
        <f>(-ReservesPSF/12*BldgSF*(1+ReservesGrowth)^('Rent Roll Calc'!AP$5-1))*(AX$4&lt;=HoldMonths)</f>
        <v>-12563.723958333332</v>
      </c>
      <c r="AY22" s="69">
        <f>(-ReservesPSF/12*BldgSF*(1+ReservesGrowth)^('Rent Roll Calc'!AQ$5-1))*(AY$4&lt;=HoldMonths)</f>
        <v>-12563.723958333332</v>
      </c>
      <c r="AZ22" s="69">
        <f>(-ReservesPSF/12*BldgSF*(1+ReservesGrowth)^('Rent Roll Calc'!AR$5-1))*(AZ$4&lt;=HoldMonths)</f>
        <v>-12563.723958333332</v>
      </c>
      <c r="BA22" s="69">
        <f>(-ReservesPSF/12*BldgSF*(1+ReservesGrowth)^('Rent Roll Calc'!AS$5-1))*(BA$4&lt;=HoldMonths)</f>
        <v>-12563.723958333332</v>
      </c>
      <c r="BB22" s="69">
        <f>(-ReservesPSF/12*BldgSF*(1+ReservesGrowth)^('Rent Roll Calc'!AT$5-1))*(BB$4&lt;=HoldMonths)</f>
        <v>-12563.723958333332</v>
      </c>
      <c r="BC22" s="69">
        <f>(-ReservesPSF/12*BldgSF*(1+ReservesGrowth)^('Rent Roll Calc'!AU$5-1))*(BC$4&lt;=HoldMonths)</f>
        <v>-12563.723958333332</v>
      </c>
      <c r="BD22" s="69">
        <f>(-ReservesPSF/12*BldgSF*(1+ReservesGrowth)^('Rent Roll Calc'!AV$5-1))*(BD$4&lt;=HoldMonths)</f>
        <v>-12563.723958333332</v>
      </c>
      <c r="BE22" s="69">
        <f>(-ReservesPSF/12*BldgSF*(1+ReservesGrowth)^('Rent Roll Calc'!AW$5-1))*(BE$4&lt;=HoldMonths)</f>
        <v>-12563.723958333332</v>
      </c>
      <c r="BF22" s="69">
        <f>(-ReservesPSF/12*BldgSF*(1+ReservesGrowth)^('Rent Roll Calc'!AX$5-1))*(BF$4&lt;=HoldMonths)</f>
        <v>-12563.723958333332</v>
      </c>
      <c r="BG22" s="69">
        <f>(-ReservesPSF/12*BldgSF*(1+ReservesGrowth)^('Rent Roll Calc'!AY$5-1))*(BG$4&lt;=HoldMonths)</f>
        <v>-12563.723958333332</v>
      </c>
      <c r="BH22" s="69">
        <f>(-ReservesPSF/12*BldgSF*(1+ReservesGrowth)^('Rent Roll Calc'!AZ$5-1))*(BH$4&lt;=HoldMonths)</f>
        <v>-12563.723958333332</v>
      </c>
      <c r="BI22" s="69">
        <f>(-ReservesPSF/12*BldgSF*(1+ReservesGrowth)^('Rent Roll Calc'!BA$5-1))*(BI$4&lt;=HoldMonths)</f>
        <v>-12877.817057291662</v>
      </c>
      <c r="BJ22" s="69">
        <f>(-ReservesPSF/12*BldgSF*(1+ReservesGrowth)^('Rent Roll Calc'!BB$5-1))*(BJ$4&lt;=HoldMonths)</f>
        <v>-12877.817057291662</v>
      </c>
      <c r="BK22" s="69">
        <f>(-ReservesPSF/12*BldgSF*(1+ReservesGrowth)^('Rent Roll Calc'!BC$5-1))*(BK$4&lt;=HoldMonths)</f>
        <v>-12877.817057291662</v>
      </c>
      <c r="BL22" s="69">
        <f>(-ReservesPSF/12*BldgSF*(1+ReservesGrowth)^('Rent Roll Calc'!BD$5-1))*(BL$4&lt;=HoldMonths)</f>
        <v>-12877.817057291662</v>
      </c>
      <c r="BM22" s="69">
        <f>(-ReservesPSF/12*BldgSF*(1+ReservesGrowth)^('Rent Roll Calc'!BE$5-1))*(BM$4&lt;=HoldMonths)</f>
        <v>-12877.817057291662</v>
      </c>
      <c r="BN22" s="69">
        <f>(-ReservesPSF/12*BldgSF*(1+ReservesGrowth)^('Rent Roll Calc'!BF$5-1))*(BN$4&lt;=HoldMonths)</f>
        <v>-12877.817057291662</v>
      </c>
      <c r="BO22" s="69">
        <f>(-ReservesPSF/12*BldgSF*(1+ReservesGrowth)^('Rent Roll Calc'!BG$5-1))*(BO$4&lt;=HoldMonths)</f>
        <v>-12877.817057291662</v>
      </c>
      <c r="BP22" s="69">
        <f>(-ReservesPSF/12*BldgSF*(1+ReservesGrowth)^('Rent Roll Calc'!BH$5-1))*(BP$4&lt;=HoldMonths)</f>
        <v>-12877.817057291662</v>
      </c>
      <c r="BQ22" s="69">
        <f>(-ReservesPSF/12*BldgSF*(1+ReservesGrowth)^('Rent Roll Calc'!BI$5-1))*(BQ$4&lt;=HoldMonths)</f>
        <v>-12877.817057291662</v>
      </c>
      <c r="BR22" s="69">
        <f>(-ReservesPSF/12*BldgSF*(1+ReservesGrowth)^('Rent Roll Calc'!BJ$5-1))*(BR$4&lt;=HoldMonths)</f>
        <v>-12877.817057291662</v>
      </c>
      <c r="BS22" s="69">
        <f>(-ReservesPSF/12*BldgSF*(1+ReservesGrowth)^('Rent Roll Calc'!BK$5-1))*(BS$4&lt;=HoldMonths)</f>
        <v>-12877.817057291662</v>
      </c>
      <c r="BT22" s="69">
        <f>(-ReservesPSF/12*BldgSF*(1+ReservesGrowth)^('Rent Roll Calc'!BL$5-1))*(BT$4&lt;=HoldMonths)</f>
        <v>-12877.817057291662</v>
      </c>
      <c r="BU22" s="69">
        <f>(-ReservesPSF/12*BldgSF*(1+ReservesGrowth)^('Rent Roll Calc'!BM$5-1))*(BU$4&lt;=HoldMonths)</f>
        <v>0</v>
      </c>
      <c r="BV22" s="69">
        <f>(-ReservesPSF/12*BldgSF*(1+ReservesGrowth)^('Rent Roll Calc'!BN$5-1))*(BV$4&lt;=HoldMonths)</f>
        <v>0</v>
      </c>
      <c r="BW22" s="69">
        <f>(-ReservesPSF/12*BldgSF*(1+ReservesGrowth)^('Rent Roll Calc'!BO$5-1))*(BW$4&lt;=HoldMonths)</f>
        <v>0</v>
      </c>
      <c r="BX22" s="69">
        <f>(-ReservesPSF/12*BldgSF*(1+ReservesGrowth)^('Rent Roll Calc'!BP$5-1))*(BX$4&lt;=HoldMonths)</f>
        <v>0</v>
      </c>
      <c r="BY22" s="69">
        <f>(-ReservesPSF/12*BldgSF*(1+ReservesGrowth)^('Rent Roll Calc'!BQ$5-1))*(BY$4&lt;=HoldMonths)</f>
        <v>0</v>
      </c>
      <c r="BZ22" s="69">
        <f>(-ReservesPSF/12*BldgSF*(1+ReservesGrowth)^('Rent Roll Calc'!BR$5-1))*(BZ$4&lt;=HoldMonths)</f>
        <v>0</v>
      </c>
      <c r="CA22" s="69">
        <f>(-ReservesPSF/12*BldgSF*(1+ReservesGrowth)^('Rent Roll Calc'!BS$5-1))*(CA$4&lt;=HoldMonths)</f>
        <v>0</v>
      </c>
      <c r="CB22" s="69">
        <f>(-ReservesPSF/12*BldgSF*(1+ReservesGrowth)^('Rent Roll Calc'!BT$5-1))*(CB$4&lt;=HoldMonths)</f>
        <v>0</v>
      </c>
      <c r="CC22" s="69">
        <f>(-ReservesPSF/12*BldgSF*(1+ReservesGrowth)^('Rent Roll Calc'!BU$5-1))*(CC$4&lt;=HoldMonths)</f>
        <v>0</v>
      </c>
      <c r="CD22" s="69">
        <f>(-ReservesPSF/12*BldgSF*(1+ReservesGrowth)^('Rent Roll Calc'!BV$5-1))*(CD$4&lt;=HoldMonths)</f>
        <v>0</v>
      </c>
      <c r="CE22" s="69">
        <f>(-ReservesPSF/12*BldgSF*(1+ReservesGrowth)^('Rent Roll Calc'!BW$5-1))*(CE$4&lt;=HoldMonths)</f>
        <v>0</v>
      </c>
      <c r="CF22" s="69">
        <f>(-ReservesPSF/12*BldgSF*(1+ReservesGrowth)^('Rent Roll Calc'!BX$5-1))*(CF$4&lt;=HoldMonths)</f>
        <v>0</v>
      </c>
    </row>
    <row r="23" spans="1:86">
      <c r="A23" t="s">
        <v>81</v>
      </c>
      <c r="D23" s="69">
        <f t="shared" si="83"/>
        <v>0</v>
      </c>
      <c r="E23" s="69">
        <f t="shared" si="83"/>
        <v>-4610933.333333333</v>
      </c>
      <c r="F23" s="69">
        <f t="shared" si="83"/>
        <v>-1618266.6666666667</v>
      </c>
      <c r="G23" s="69">
        <f t="shared" si="83"/>
        <v>-2215600</v>
      </c>
      <c r="H23" s="69">
        <f t="shared" si="83"/>
        <v>-817600</v>
      </c>
      <c r="I23" s="69">
        <f t="shared" si="83"/>
        <v>-601200</v>
      </c>
      <c r="J23" s="69">
        <f t="shared" si="83"/>
        <v>0</v>
      </c>
      <c r="K23" s="69"/>
      <c r="L23" s="69"/>
      <c r="M23" s="69">
        <f>'Rent Roll Calc'!E357*(M$4&lt;=HoldMonths)</f>
        <v>0</v>
      </c>
      <c r="N23" s="69">
        <f>'Rent Roll Calc'!F357*(N$4&lt;=HoldMonths)</f>
        <v>-306000</v>
      </c>
      <c r="O23" s="69">
        <f>'Rent Roll Calc'!G357*(O$4&lt;=HoldMonths)</f>
        <v>-230400</v>
      </c>
      <c r="P23" s="69">
        <f>'Rent Roll Calc'!H357*(P$4&lt;=HoldMonths)</f>
        <v>-208800</v>
      </c>
      <c r="Q23" s="69">
        <f>'Rent Roll Calc'!I357*(Q$4&lt;=HoldMonths)</f>
        <v>-331200</v>
      </c>
      <c r="R23" s="69">
        <f>'Rent Roll Calc'!J357*(R$4&lt;=HoldMonths)</f>
        <v>-450000</v>
      </c>
      <c r="S23" s="69">
        <f>'Rent Roll Calc'!K357*(S$4&lt;=HoldMonths)</f>
        <v>-180000</v>
      </c>
      <c r="T23" s="69">
        <f>'Rent Roll Calc'!L357*(T$4&lt;=HoldMonths)</f>
        <v>-663466.66666666663</v>
      </c>
      <c r="U23" s="69">
        <f>'Rent Roll Calc'!M357*(U$4&lt;=HoldMonths)</f>
        <v>-569866.66666666674</v>
      </c>
      <c r="V23" s="69">
        <f>'Rent Roll Calc'!N357*(V$4&lt;=HoldMonths)</f>
        <v>-506666.66666666669</v>
      </c>
      <c r="W23" s="69">
        <f>'Rent Roll Calc'!O357*(W$4&lt;=HoldMonths)</f>
        <v>-837866.66666666663</v>
      </c>
      <c r="X23" s="69">
        <f>'Rent Roll Calc'!P357*(X$4&lt;=HoldMonths)</f>
        <v>-326666.66666666669</v>
      </c>
      <c r="Y23" s="69">
        <f>'Rent Roll Calc'!Q357*(Y$4&lt;=HoldMonths)</f>
        <v>-326666.66666666669</v>
      </c>
      <c r="Z23" s="69">
        <f>'Rent Roll Calc'!R357*(Z$4&lt;=HoldMonths)</f>
        <v>-160000</v>
      </c>
      <c r="AA23" s="69">
        <f>'Rent Roll Calc'!S357*(AA$4&lt;=HoldMonths)</f>
        <v>-160000</v>
      </c>
      <c r="AB23" s="69">
        <f>'Rent Roll Calc'!T357*(AB$4&lt;=HoldMonths)</f>
        <v>0</v>
      </c>
      <c r="AC23" s="69">
        <f>'Rent Roll Calc'!U357*(AC$4&lt;=HoldMonths)</f>
        <v>0</v>
      </c>
      <c r="AD23" s="69">
        <f>'Rent Roll Calc'!V357*(AD$4&lt;=HoldMonths)</f>
        <v>-585600</v>
      </c>
      <c r="AE23" s="69">
        <f>'Rent Roll Calc'!W357*(AE$4&lt;=HoldMonths)</f>
        <v>0</v>
      </c>
      <c r="AF23" s="69">
        <f>'Rent Roll Calc'!X357*(AF$4&lt;=HoldMonths)</f>
        <v>0</v>
      </c>
      <c r="AG23" s="69">
        <f>'Rent Roll Calc'!Y357*(AG$4&lt;=HoldMonths)</f>
        <v>0</v>
      </c>
      <c r="AH23" s="69">
        <f>'Rent Roll Calc'!Z357*(AH$4&lt;=HoldMonths)</f>
        <v>0</v>
      </c>
      <c r="AI23" s="69">
        <f>'Rent Roll Calc'!AA357*(AI$4&lt;=HoldMonths)</f>
        <v>-306000</v>
      </c>
      <c r="AJ23" s="69">
        <f>'Rent Roll Calc'!AB357*(AJ$4&lt;=HoldMonths)</f>
        <v>-80000</v>
      </c>
      <c r="AK23" s="69">
        <f>'Rent Roll Calc'!AC357*(AK$4&lt;=HoldMonths)</f>
        <v>0</v>
      </c>
      <c r="AL23" s="69">
        <f>'Rent Roll Calc'!AD357*(AL$4&lt;=HoldMonths)</f>
        <v>0</v>
      </c>
      <c r="AM23" s="69">
        <f>'Rent Roll Calc'!AE357*(AM$4&lt;=HoldMonths)</f>
        <v>0</v>
      </c>
      <c r="AN23" s="69">
        <f>'Rent Roll Calc'!AF357*(AN$4&lt;=HoldMonths)</f>
        <v>0</v>
      </c>
      <c r="AO23" s="69">
        <f>'Rent Roll Calc'!AG357*(AO$4&lt;=HoldMonths)</f>
        <v>0</v>
      </c>
      <c r="AP23" s="69">
        <f>'Rent Roll Calc'!AH357*(AP$4&lt;=HoldMonths)</f>
        <v>0</v>
      </c>
      <c r="AQ23" s="69">
        <f>'Rent Roll Calc'!AI357*(AQ$4&lt;=HoldMonths)</f>
        <v>-121600</v>
      </c>
      <c r="AR23" s="69">
        <f>'Rent Roll Calc'!AJ357*(AR$4&lt;=HoldMonths)</f>
        <v>-453600</v>
      </c>
      <c r="AS23" s="69">
        <f>'Rent Roll Calc'!AK357*(AS$4&lt;=HoldMonths)</f>
        <v>0</v>
      </c>
      <c r="AT23" s="69">
        <f>'Rent Roll Calc'!AL357*(AT$4&lt;=HoldMonths)</f>
        <v>-396000</v>
      </c>
      <c r="AU23" s="69">
        <f>'Rent Roll Calc'!AM357*(AU$4&lt;=HoldMonths)</f>
        <v>-284400</v>
      </c>
      <c r="AV23" s="69">
        <f>'Rent Roll Calc'!AN357*(AV$4&lt;=HoldMonths)</f>
        <v>-960000</v>
      </c>
      <c r="AW23" s="69">
        <f>'Rent Roll Calc'!AO357*(AW$4&lt;=HoldMonths)</f>
        <v>-280800</v>
      </c>
      <c r="AX23" s="69">
        <f>'Rent Roll Calc'!AP357*(AX$4&lt;=HoldMonths)</f>
        <v>0</v>
      </c>
      <c r="AY23" s="69">
        <f>'Rent Roll Calc'!AQ357*(AY$4&lt;=HoldMonths)</f>
        <v>0</v>
      </c>
      <c r="AZ23" s="69">
        <f>'Rent Roll Calc'!AR357*(AZ$4&lt;=HoldMonths)</f>
        <v>0</v>
      </c>
      <c r="BA23" s="69">
        <f>'Rent Roll Calc'!AS357*(BA$4&lt;=HoldMonths)</f>
        <v>-244800</v>
      </c>
      <c r="BB23" s="69">
        <f>'Rent Roll Calc'!AT357*(BB$4&lt;=HoldMonths)</f>
        <v>0</v>
      </c>
      <c r="BC23" s="69">
        <f>'Rent Roll Calc'!AU357*(BC$4&lt;=HoldMonths)</f>
        <v>0</v>
      </c>
      <c r="BD23" s="69">
        <f>'Rent Roll Calc'!AV357*(BD$4&lt;=HoldMonths)</f>
        <v>0</v>
      </c>
      <c r="BE23" s="69">
        <f>'Rent Roll Calc'!AW357*(BE$4&lt;=HoldMonths)</f>
        <v>-112000</v>
      </c>
      <c r="BF23" s="69">
        <f>'Rent Roll Calc'!AX357*(BF$4&lt;=HoldMonths)</f>
        <v>-180000</v>
      </c>
      <c r="BG23" s="69">
        <f>'Rent Roll Calc'!AY357*(BG$4&lt;=HoldMonths)</f>
        <v>0</v>
      </c>
      <c r="BH23" s="69">
        <f>'Rent Roll Calc'!AZ357*(BH$4&lt;=HoldMonths)</f>
        <v>0</v>
      </c>
      <c r="BI23" s="69">
        <f>'Rent Roll Calc'!BA357*(BI$4&lt;=HoldMonths)</f>
        <v>0</v>
      </c>
      <c r="BJ23" s="69">
        <f>'Rent Roll Calc'!BB357*(BJ$4&lt;=HoldMonths)</f>
        <v>0</v>
      </c>
      <c r="BK23" s="69">
        <f>'Rent Roll Calc'!BC357*(BK$4&lt;=HoldMonths)</f>
        <v>-601200</v>
      </c>
      <c r="BL23" s="69">
        <f>'Rent Roll Calc'!BD357*(BL$4&lt;=HoldMonths)</f>
        <v>0</v>
      </c>
      <c r="BM23" s="69">
        <f>'Rent Roll Calc'!BE357*(BM$4&lt;=HoldMonths)</f>
        <v>0</v>
      </c>
      <c r="BN23" s="69">
        <f>'Rent Roll Calc'!BF357*(BN$4&lt;=HoldMonths)</f>
        <v>0</v>
      </c>
      <c r="BO23" s="69">
        <f>'Rent Roll Calc'!BG357*(BO$4&lt;=HoldMonths)</f>
        <v>0</v>
      </c>
      <c r="BP23" s="69">
        <f>'Rent Roll Calc'!BH357*(BP$4&lt;=HoldMonths)</f>
        <v>0</v>
      </c>
      <c r="BQ23" s="69">
        <f>'Rent Roll Calc'!BI357*(BQ$4&lt;=HoldMonths)</f>
        <v>0</v>
      </c>
      <c r="BR23" s="69">
        <f>'Rent Roll Calc'!BJ357*(BR$4&lt;=HoldMonths)</f>
        <v>0</v>
      </c>
      <c r="BS23" s="69">
        <f>'Rent Roll Calc'!BK357*(BS$4&lt;=HoldMonths)</f>
        <v>0</v>
      </c>
      <c r="BT23" s="69">
        <f>'Rent Roll Calc'!BL357*(BT$4&lt;=HoldMonths)</f>
        <v>0</v>
      </c>
      <c r="BU23" s="69">
        <f>'Rent Roll Calc'!BM357*(BU$4&lt;=HoldMonths)</f>
        <v>0</v>
      </c>
      <c r="BV23" s="69">
        <f>'Rent Roll Calc'!BN357*(BV$4&lt;=HoldMonths)</f>
        <v>0</v>
      </c>
      <c r="BW23" s="69">
        <f>'Rent Roll Calc'!BO357*(BW$4&lt;=HoldMonths)</f>
        <v>0</v>
      </c>
      <c r="BX23" s="69">
        <f>'Rent Roll Calc'!BP357*(BX$4&lt;=HoldMonths)</f>
        <v>0</v>
      </c>
      <c r="BY23" s="69">
        <f>'Rent Roll Calc'!BQ357*(BY$4&lt;=HoldMonths)</f>
        <v>0</v>
      </c>
      <c r="BZ23" s="69">
        <f>'Rent Roll Calc'!BR357*(BZ$4&lt;=HoldMonths)</f>
        <v>0</v>
      </c>
      <c r="CA23" s="69">
        <f>'Rent Roll Calc'!BS357*(CA$4&lt;=HoldMonths)</f>
        <v>0</v>
      </c>
      <c r="CB23" s="69">
        <f>'Rent Roll Calc'!BT357*(CB$4&lt;=HoldMonths)</f>
        <v>0</v>
      </c>
      <c r="CC23" s="69">
        <f>'Rent Roll Calc'!BU357*(CC$4&lt;=HoldMonths)</f>
        <v>0</v>
      </c>
      <c r="CD23" s="69">
        <f>'Rent Roll Calc'!BV357*(CD$4&lt;=HoldMonths)</f>
        <v>0</v>
      </c>
      <c r="CE23" s="69">
        <f>'Rent Roll Calc'!BW357*(CE$4&lt;=HoldMonths)</f>
        <v>0</v>
      </c>
      <c r="CF23" s="69">
        <f>'Rent Roll Calc'!BX357*(CF$4&lt;=HoldMonths)</f>
        <v>0</v>
      </c>
    </row>
    <row r="24" spans="1:86">
      <c r="A24" t="s">
        <v>82</v>
      </c>
      <c r="D24" s="69">
        <f t="shared" si="83"/>
        <v>0</v>
      </c>
      <c r="E24" s="69">
        <f t="shared" si="83"/>
        <v>-111087.44999999998</v>
      </c>
      <c r="F24" s="69">
        <f t="shared" si="83"/>
        <v>-99636.90625</v>
      </c>
      <c r="G24" s="69">
        <f t="shared" si="83"/>
        <v>-67500.46875</v>
      </c>
      <c r="H24" s="69">
        <f t="shared" si="83"/>
        <v>-29283.449999999997</v>
      </c>
      <c r="I24" s="69">
        <f t="shared" si="83"/>
        <v>-20600.493749999998</v>
      </c>
      <c r="J24" s="69">
        <f t="shared" si="83"/>
        <v>0</v>
      </c>
      <c r="K24" s="69"/>
      <c r="L24" s="69"/>
      <c r="M24" s="69">
        <f>'Rent Roll Calc'!E358*(M$4&lt;=HoldMonths)</f>
        <v>0</v>
      </c>
      <c r="N24" s="69">
        <f>'Rent Roll Calc'!F358*(N$4&lt;=HoldMonths)</f>
        <v>-10485.281249999998</v>
      </c>
      <c r="O24" s="69">
        <f>'Rent Roll Calc'!G358*(O$4&lt;=HoldMonths)</f>
        <v>-7894.7999999999993</v>
      </c>
      <c r="P24" s="69">
        <f>'Rent Roll Calc'!H358*(P$4&lt;=HoldMonths)</f>
        <v>-7154.6624999999995</v>
      </c>
      <c r="Q24" s="69">
        <f>'Rent Roll Calc'!I358*(Q$4&lt;=HoldMonths)</f>
        <v>-11348.774999999998</v>
      </c>
      <c r="R24" s="69">
        <f>'Rent Roll Calc'!J358*(R$4&lt;=HoldMonths)</f>
        <v>-9251.7187499999982</v>
      </c>
      <c r="S24" s="69">
        <f>'Rent Roll Calc'!K358*(S$4&lt;=HoldMonths)</f>
        <v>0</v>
      </c>
      <c r="T24" s="69">
        <f>'Rent Roll Calc'!L358*(T$4&lt;=HoldMonths)</f>
        <v>-10855.349999999999</v>
      </c>
      <c r="U24" s="69">
        <f>'Rent Roll Calc'!M358*(U$4&lt;=HoldMonths)</f>
        <v>-7648.0874999999987</v>
      </c>
      <c r="V24" s="69">
        <f>'Rent Roll Calc'!N358*(V$4&lt;=HoldMonths)</f>
        <v>0</v>
      </c>
      <c r="W24" s="69">
        <f>'Rent Roll Calc'!O358*(W$4&lt;=HoldMonths)</f>
        <v>-46448.774999999994</v>
      </c>
      <c r="X24" s="69">
        <f>'Rent Roll Calc'!P358*(X$4&lt;=HoldMonths)</f>
        <v>0</v>
      </c>
      <c r="Y24" s="69">
        <f>'Rent Roll Calc'!Q358*(Y$4&lt;=HoldMonths)</f>
        <v>-32500</v>
      </c>
      <c r="Z24" s="69">
        <f>'Rent Roll Calc'!R358*(Z$4&lt;=HoldMonths)</f>
        <v>0</v>
      </c>
      <c r="AA24" s="69">
        <f>'Rent Roll Calc'!S358*(AA$4&lt;=HoldMonths)</f>
        <v>-31200</v>
      </c>
      <c r="AB24" s="69">
        <f>'Rent Roll Calc'!T358*(AB$4&lt;=HoldMonths)</f>
        <v>0</v>
      </c>
      <c r="AC24" s="69">
        <f>'Rent Roll Calc'!U358*(AC$4&lt;=HoldMonths)</f>
        <v>0</v>
      </c>
      <c r="AD24" s="69">
        <f>'Rent Roll Calc'!V358*(AD$4&lt;=HoldMonths)</f>
        <v>-21804.749999999996</v>
      </c>
      <c r="AE24" s="69">
        <f>'Rent Roll Calc'!W358*(AE$4&lt;=HoldMonths)</f>
        <v>0</v>
      </c>
      <c r="AF24" s="69">
        <f>'Rent Roll Calc'!X358*(AF$4&lt;=HoldMonths)</f>
        <v>0</v>
      </c>
      <c r="AG24" s="69">
        <f>'Rent Roll Calc'!Y358*(AG$4&lt;=HoldMonths)</f>
        <v>0</v>
      </c>
      <c r="AH24" s="69">
        <f>'Rent Roll Calc'!Z358*(AH$4&lt;=HoldMonths)</f>
        <v>0</v>
      </c>
      <c r="AI24" s="69">
        <f>'Rent Roll Calc'!AA358*(AI$4&lt;=HoldMonths)</f>
        <v>-10485.281249999998</v>
      </c>
      <c r="AJ24" s="69">
        <f>'Rent Roll Calc'!AB358*(AJ$4&lt;=HoldMonths)</f>
        <v>-3646.8749999999995</v>
      </c>
      <c r="AK24" s="69">
        <f>'Rent Roll Calc'!AC358*(AK$4&lt;=HoldMonths)</f>
        <v>0</v>
      </c>
      <c r="AL24" s="69">
        <f>'Rent Roll Calc'!AD358*(AL$4&lt;=HoldMonths)</f>
        <v>0</v>
      </c>
      <c r="AM24" s="69">
        <f>'Rent Roll Calc'!AE358*(AM$4&lt;=HoldMonths)</f>
        <v>0</v>
      </c>
      <c r="AN24" s="69">
        <f>'Rent Roll Calc'!AF358*(AN$4&lt;=HoldMonths)</f>
        <v>0</v>
      </c>
      <c r="AO24" s="69">
        <f>'Rent Roll Calc'!AG358*(AO$4&lt;=HoldMonths)</f>
        <v>0</v>
      </c>
      <c r="AP24" s="69">
        <f>'Rent Roll Calc'!AH358*(AP$4&lt;=HoldMonths)</f>
        <v>0</v>
      </c>
      <c r="AQ24" s="69">
        <f>'Rent Roll Calc'!AI358*(AQ$4&lt;=HoldMonths)</f>
        <v>-5543.2499999999991</v>
      </c>
      <c r="AR24" s="69">
        <f>'Rent Roll Calc'!AJ358*(AR$4&lt;=HoldMonths)</f>
        <v>-15542.887499999999</v>
      </c>
      <c r="AS24" s="69">
        <f>'Rent Roll Calc'!AK358*(AS$4&lt;=HoldMonths)</f>
        <v>0</v>
      </c>
      <c r="AT24" s="69">
        <f>'Rent Roll Calc'!AL358*(AT$4&lt;=HoldMonths)</f>
        <v>-13569.187499999998</v>
      </c>
      <c r="AU24" s="69">
        <f>'Rent Roll Calc'!AM358*(AU$4&lt;=HoldMonths)</f>
        <v>-9745.1437499999993</v>
      </c>
      <c r="AV24" s="69">
        <f>'Rent Roll Calc'!AN358*(AV$4&lt;=HoldMonths)</f>
        <v>-23099.999999999996</v>
      </c>
      <c r="AW24" s="69">
        <f>'Rent Roll Calc'!AO358*(AW$4&lt;=HoldMonths)</f>
        <v>-9621.7874999999985</v>
      </c>
      <c r="AX24" s="69">
        <f>'Rent Roll Calc'!AP358*(AX$4&lt;=HoldMonths)</f>
        <v>0</v>
      </c>
      <c r="AY24" s="69">
        <f>'Rent Roll Calc'!AQ358*(AY$4&lt;=HoldMonths)</f>
        <v>0</v>
      </c>
      <c r="AZ24" s="69">
        <f>'Rent Roll Calc'!AR358*(AZ$4&lt;=HoldMonths)</f>
        <v>0</v>
      </c>
      <c r="BA24" s="69">
        <f>'Rent Roll Calc'!AS358*(BA$4&lt;=HoldMonths)</f>
        <v>-8388.2249999999985</v>
      </c>
      <c r="BB24" s="69">
        <f>'Rent Roll Calc'!AT358*(BB$4&lt;=HoldMonths)</f>
        <v>0</v>
      </c>
      <c r="BC24" s="69">
        <f>'Rent Roll Calc'!AU358*(BC$4&lt;=HoldMonths)</f>
        <v>0</v>
      </c>
      <c r="BD24" s="69">
        <f>'Rent Roll Calc'!AV358*(BD$4&lt;=HoldMonths)</f>
        <v>0</v>
      </c>
      <c r="BE24" s="69">
        <f>'Rent Roll Calc'!AW358*(BE$4&lt;=HoldMonths)</f>
        <v>-5105.6249999999991</v>
      </c>
      <c r="BF24" s="69">
        <f>'Rent Roll Calc'!AX358*(BF$4&lt;=HoldMonths)</f>
        <v>-6167.8124999999991</v>
      </c>
      <c r="BG24" s="69">
        <f>'Rent Roll Calc'!AY358*(BG$4&lt;=HoldMonths)</f>
        <v>0</v>
      </c>
      <c r="BH24" s="69">
        <f>'Rent Roll Calc'!AZ358*(BH$4&lt;=HoldMonths)</f>
        <v>0</v>
      </c>
      <c r="BI24" s="69">
        <f>'Rent Roll Calc'!BA358*(BI$4&lt;=HoldMonths)</f>
        <v>0</v>
      </c>
      <c r="BJ24" s="69">
        <f>'Rent Roll Calc'!BB358*(BJ$4&lt;=HoldMonths)</f>
        <v>0</v>
      </c>
      <c r="BK24" s="69">
        <f>'Rent Roll Calc'!BC358*(BK$4&lt;=HoldMonths)</f>
        <v>-20600.493749999998</v>
      </c>
      <c r="BL24" s="69">
        <f>'Rent Roll Calc'!BD358*(BL$4&lt;=HoldMonths)</f>
        <v>0</v>
      </c>
      <c r="BM24" s="69">
        <f>'Rent Roll Calc'!BE358*(BM$4&lt;=HoldMonths)</f>
        <v>0</v>
      </c>
      <c r="BN24" s="69">
        <f>'Rent Roll Calc'!BF358*(BN$4&lt;=HoldMonths)</f>
        <v>0</v>
      </c>
      <c r="BO24" s="69">
        <f>'Rent Roll Calc'!BG358*(BO$4&lt;=HoldMonths)</f>
        <v>0</v>
      </c>
      <c r="BP24" s="69">
        <f>'Rent Roll Calc'!BH358*(BP$4&lt;=HoldMonths)</f>
        <v>0</v>
      </c>
      <c r="BQ24" s="69">
        <f>'Rent Roll Calc'!BI358*(BQ$4&lt;=HoldMonths)</f>
        <v>0</v>
      </c>
      <c r="BR24" s="69">
        <f>'Rent Roll Calc'!BJ358*(BR$4&lt;=HoldMonths)</f>
        <v>0</v>
      </c>
      <c r="BS24" s="69">
        <f>'Rent Roll Calc'!BK358*(BS$4&lt;=HoldMonths)</f>
        <v>0</v>
      </c>
      <c r="BT24" s="69">
        <f>'Rent Roll Calc'!BL358*(BT$4&lt;=HoldMonths)</f>
        <v>0</v>
      </c>
      <c r="BU24" s="69">
        <f>'Rent Roll Calc'!BM358*(BU$4&lt;=HoldMonths)</f>
        <v>0</v>
      </c>
      <c r="BV24" s="69">
        <f>'Rent Roll Calc'!BN358*(BV$4&lt;=HoldMonths)</f>
        <v>0</v>
      </c>
      <c r="BW24" s="69">
        <f>'Rent Roll Calc'!BO358*(BW$4&lt;=HoldMonths)</f>
        <v>0</v>
      </c>
      <c r="BX24" s="69">
        <f>'Rent Roll Calc'!BP358*(BX$4&lt;=HoldMonths)</f>
        <v>0</v>
      </c>
      <c r="BY24" s="69">
        <f>'Rent Roll Calc'!BQ358*(BY$4&lt;=HoldMonths)</f>
        <v>0</v>
      </c>
      <c r="BZ24" s="69">
        <f>'Rent Roll Calc'!BR358*(BZ$4&lt;=HoldMonths)</f>
        <v>0</v>
      </c>
      <c r="CA24" s="69">
        <f>'Rent Roll Calc'!BS358*(CA$4&lt;=HoldMonths)</f>
        <v>0</v>
      </c>
      <c r="CB24" s="69">
        <f>'Rent Roll Calc'!BT358*(CB$4&lt;=HoldMonths)</f>
        <v>0</v>
      </c>
      <c r="CC24" s="69">
        <f>'Rent Roll Calc'!BU358*(CC$4&lt;=HoldMonths)</f>
        <v>0</v>
      </c>
      <c r="CD24" s="69">
        <f>'Rent Roll Calc'!BV358*(CD$4&lt;=HoldMonths)</f>
        <v>0</v>
      </c>
      <c r="CE24" s="69">
        <f>'Rent Roll Calc'!BW358*(CE$4&lt;=HoldMonths)</f>
        <v>0</v>
      </c>
      <c r="CF24" s="69">
        <f>'Rent Roll Calc'!BX358*(CF$4&lt;=HoldMonths)</f>
        <v>0</v>
      </c>
    </row>
    <row r="25" spans="1:86">
      <c r="A25" s="17" t="s">
        <v>191</v>
      </c>
      <c r="B25" s="17"/>
      <c r="C25" s="17"/>
      <c r="D25" s="70">
        <f t="shared" ref="D25:J25" si="84">SUM(D21:D24)</f>
        <v>0</v>
      </c>
      <c r="E25" s="70">
        <f t="shared" si="84"/>
        <v>-10852104.116666665</v>
      </c>
      <c r="F25" s="70">
        <f t="shared" si="84"/>
        <v>-3371320.2395833335</v>
      </c>
      <c r="G25" s="70">
        <f t="shared" si="84"/>
        <v>-2430187.96875</v>
      </c>
      <c r="H25" s="70">
        <f t="shared" si="84"/>
        <v>-997648.13749999995</v>
      </c>
      <c r="I25" s="70">
        <f t="shared" si="84"/>
        <v>-776334.29843749991</v>
      </c>
      <c r="J25" s="70">
        <f t="shared" si="84"/>
        <v>0</v>
      </c>
      <c r="K25" s="70"/>
      <c r="L25" s="70"/>
      <c r="M25" s="70">
        <f t="shared" ref="M25" si="85">SUM(M21:M24)</f>
        <v>-87020.833333333343</v>
      </c>
      <c r="N25" s="70">
        <f t="shared" ref="N25" si="86">SUM(N21:N24)</f>
        <v>-486006.11458333337</v>
      </c>
      <c r="O25" s="70">
        <f t="shared" ref="O25" si="87">SUM(O21:O24)</f>
        <v>-417265.63333333336</v>
      </c>
      <c r="P25" s="70">
        <f t="shared" ref="P25" si="88">SUM(P21:P24)</f>
        <v>-426075.49583333335</v>
      </c>
      <c r="Q25" s="70">
        <f t="shared" ref="Q25" si="89">SUM(Q21:Q24)</f>
        <v>-575236.27500000002</v>
      </c>
      <c r="R25" s="70">
        <f t="shared" ref="R25" si="90">SUM(R21:R24)</f>
        <v>-959739.21875</v>
      </c>
      <c r="S25" s="70">
        <f t="shared" ref="S25" si="91">SUM(S21:S24)</f>
        <v>-701404.16666666674</v>
      </c>
      <c r="T25" s="70">
        <f t="shared" ref="T25" si="92">SUM(T21:T24)</f>
        <v>-1411442.85</v>
      </c>
      <c r="U25" s="70">
        <f t="shared" ref="U25" si="93">SUM(U21:U24)</f>
        <v>-1312035.5874999999</v>
      </c>
      <c r="V25" s="70">
        <f t="shared" ref="V25" si="94">SUM(V21:V24)</f>
        <v>-1550520.8333333333</v>
      </c>
      <c r="W25" s="70">
        <f t="shared" ref="W25" si="95">SUM(W21:W24)</f>
        <v>-1912002.9416666664</v>
      </c>
      <c r="X25" s="70">
        <f t="shared" ref="X25" si="96">SUM(X21:X24)</f>
        <v>-1013354.1666666667</v>
      </c>
      <c r="Y25" s="70">
        <f t="shared" ref="Y25" si="97">SUM(Y21:Y24)</f>
        <v>-1046145.8333333335</v>
      </c>
      <c r="Z25" s="70">
        <f t="shared" ref="Z25" si="98">SUM(Z21:Z24)</f>
        <v>-507312.49999999994</v>
      </c>
      <c r="AA25" s="70">
        <f t="shared" ref="AA25" si="99">SUM(AA21:AA24)</f>
        <v>-538512.5</v>
      </c>
      <c r="AB25" s="70">
        <f t="shared" ref="AB25" si="100">SUM(AB21:AB24)</f>
        <v>-87312.5</v>
      </c>
      <c r="AC25" s="70">
        <f t="shared" ref="AC25" si="101">SUM(AC21:AC24)</f>
        <v>-56375</v>
      </c>
      <c r="AD25" s="70">
        <f t="shared" ref="AD25" si="102">SUM(AD21:AD24)</f>
        <v>-663779.75</v>
      </c>
      <c r="AE25" s="70">
        <f t="shared" ref="AE25" si="103">SUM(AE21:AE24)</f>
        <v>-11958.333333333332</v>
      </c>
      <c r="AF25" s="70">
        <f t="shared" ref="AF25" si="104">SUM(AF21:AF24)</f>
        <v>-11958.333333333332</v>
      </c>
      <c r="AG25" s="70">
        <f t="shared" ref="AG25" si="105">SUM(AG21:AG24)</f>
        <v>-11958.333333333332</v>
      </c>
      <c r="AH25" s="70">
        <f t="shared" ref="AH25" si="106">SUM(AH21:AH24)</f>
        <v>-11958.333333333332</v>
      </c>
      <c r="AI25" s="70">
        <f t="shared" ref="AI25" si="107">SUM(AI21:AI24)</f>
        <v>-328443.61458333331</v>
      </c>
      <c r="AJ25" s="70">
        <f t="shared" ref="AJ25" si="108">SUM(AJ21:AJ24)</f>
        <v>-95605.208333333328</v>
      </c>
      <c r="AK25" s="70">
        <f t="shared" ref="AK25" si="109">SUM(AK21:AK24)</f>
        <v>-12257.291666666664</v>
      </c>
      <c r="AL25" s="70">
        <f t="shared" ref="AL25" si="110">SUM(AL21:AL24)</f>
        <v>-12257.291666666664</v>
      </c>
      <c r="AM25" s="70">
        <f t="shared" ref="AM25" si="111">SUM(AM21:AM24)</f>
        <v>-12257.291666666664</v>
      </c>
      <c r="AN25" s="70">
        <f t="shared" ref="AN25" si="112">SUM(AN21:AN24)</f>
        <v>-12257.291666666664</v>
      </c>
      <c r="AO25" s="70">
        <f t="shared" ref="AO25" si="113">SUM(AO21:AO24)</f>
        <v>-12257.291666666664</v>
      </c>
      <c r="AP25" s="70">
        <f t="shared" ref="AP25" si="114">SUM(AP21:AP24)</f>
        <v>-12257.291666666664</v>
      </c>
      <c r="AQ25" s="70">
        <f t="shared" ref="AQ25" si="115">SUM(AQ21:AQ24)</f>
        <v>-139400.54166666666</v>
      </c>
      <c r="AR25" s="70">
        <f t="shared" ref="AR25" si="116">SUM(AR21:AR24)</f>
        <v>-481400.1791666667</v>
      </c>
      <c r="AS25" s="70">
        <f t="shared" ref="AS25" si="117">SUM(AS21:AS24)</f>
        <v>-12257.291666666664</v>
      </c>
      <c r="AT25" s="70">
        <f t="shared" ref="AT25" si="118">SUM(AT21:AT24)</f>
        <v>-421826.47916666669</v>
      </c>
      <c r="AU25" s="70">
        <f t="shared" ref="AU25" si="119">SUM(AU21:AU24)</f>
        <v>-306402.43541666667</v>
      </c>
      <c r="AV25" s="70">
        <f t="shared" ref="AV25" si="120">SUM(AV21:AV24)</f>
        <v>-995357.29166666663</v>
      </c>
      <c r="AW25" s="70">
        <f t="shared" ref="AW25" si="121">SUM(AW21:AW24)</f>
        <v>-302985.51145833329</v>
      </c>
      <c r="AX25" s="70">
        <f t="shared" ref="AX25" si="122">SUM(AX21:AX24)</f>
        <v>-12563.723958333332</v>
      </c>
      <c r="AY25" s="70">
        <f t="shared" ref="AY25" si="123">SUM(AY21:AY24)</f>
        <v>-12563.723958333332</v>
      </c>
      <c r="AZ25" s="70">
        <f t="shared" ref="AZ25" si="124">SUM(AZ21:AZ24)</f>
        <v>-12563.723958333332</v>
      </c>
      <c r="BA25" s="70">
        <f t="shared" ref="BA25" si="125">SUM(BA21:BA24)</f>
        <v>-265751.94895833335</v>
      </c>
      <c r="BB25" s="70">
        <f t="shared" ref="BB25" si="126">SUM(BB21:BB24)</f>
        <v>-12563.723958333332</v>
      </c>
      <c r="BC25" s="70">
        <f t="shared" ref="BC25" si="127">SUM(BC21:BC24)</f>
        <v>-12563.723958333332</v>
      </c>
      <c r="BD25" s="70">
        <f t="shared" ref="BD25" si="128">SUM(BD21:BD24)</f>
        <v>-12563.723958333332</v>
      </c>
      <c r="BE25" s="70">
        <f t="shared" ref="BE25" si="129">SUM(BE21:BE24)</f>
        <v>-129669.34895833333</v>
      </c>
      <c r="BF25" s="70">
        <f t="shared" ref="BF25" si="130">SUM(BF21:BF24)</f>
        <v>-198731.53645833334</v>
      </c>
      <c r="BG25" s="70">
        <f t="shared" ref="BG25" si="131">SUM(BG21:BG24)</f>
        <v>-12563.723958333332</v>
      </c>
      <c r="BH25" s="70">
        <f t="shared" ref="BH25" si="132">SUM(BH21:BH24)</f>
        <v>-12563.723958333332</v>
      </c>
      <c r="BI25" s="70">
        <f t="shared" ref="BI25" si="133">SUM(BI21:BI24)</f>
        <v>-12877.817057291662</v>
      </c>
      <c r="BJ25" s="70">
        <f t="shared" ref="BJ25" si="134">SUM(BJ21:BJ24)</f>
        <v>-12877.817057291662</v>
      </c>
      <c r="BK25" s="70">
        <f t="shared" ref="BK25" si="135">SUM(BK21:BK24)</f>
        <v>-634678.31080729165</v>
      </c>
      <c r="BL25" s="70">
        <f t="shared" ref="BL25" si="136">SUM(BL21:BL24)</f>
        <v>-12877.817057291662</v>
      </c>
      <c r="BM25" s="70">
        <f t="shared" ref="BM25" si="137">SUM(BM21:BM24)</f>
        <v>-12877.817057291662</v>
      </c>
      <c r="BN25" s="70">
        <f t="shared" ref="BN25" si="138">SUM(BN21:BN24)</f>
        <v>-12877.817057291662</v>
      </c>
      <c r="BO25" s="70">
        <f t="shared" ref="BO25" si="139">SUM(BO21:BO24)</f>
        <v>-12877.817057291662</v>
      </c>
      <c r="BP25" s="70">
        <f t="shared" ref="BP25" si="140">SUM(BP21:BP24)</f>
        <v>-12877.817057291662</v>
      </c>
      <c r="BQ25" s="70">
        <f t="shared" ref="BQ25" si="141">SUM(BQ21:BQ24)</f>
        <v>-12877.817057291662</v>
      </c>
      <c r="BR25" s="70">
        <f t="shared" ref="BR25" si="142">SUM(BR21:BR24)</f>
        <v>-12877.817057291662</v>
      </c>
      <c r="BS25" s="70">
        <f t="shared" ref="BS25" si="143">SUM(BS21:BS24)</f>
        <v>-12877.817057291662</v>
      </c>
      <c r="BT25" s="70">
        <f t="shared" ref="BT25" si="144">SUM(BT21:BT24)</f>
        <v>-12877.817057291662</v>
      </c>
      <c r="BU25" s="70">
        <f t="shared" ref="BU25" si="145">SUM(BU21:BU24)</f>
        <v>0</v>
      </c>
      <c r="BV25" s="70">
        <f t="shared" ref="BV25" si="146">SUM(BV21:BV24)</f>
        <v>0</v>
      </c>
      <c r="BW25" s="70">
        <f t="shared" ref="BW25" si="147">SUM(BW21:BW24)</f>
        <v>0</v>
      </c>
      <c r="BX25" s="70">
        <f t="shared" ref="BX25" si="148">SUM(BX21:BX24)</f>
        <v>0</v>
      </c>
      <c r="BY25" s="70">
        <f t="shared" ref="BY25" si="149">SUM(BY21:BY24)</f>
        <v>0</v>
      </c>
      <c r="BZ25" s="70">
        <f t="shared" ref="BZ25" si="150">SUM(BZ21:BZ24)</f>
        <v>0</v>
      </c>
      <c r="CA25" s="70">
        <f t="shared" ref="CA25" si="151">SUM(CA21:CA24)</f>
        <v>0</v>
      </c>
      <c r="CB25" s="70">
        <f t="shared" ref="CB25" si="152">SUM(CB21:CB24)</f>
        <v>0</v>
      </c>
      <c r="CC25" s="70">
        <f t="shared" ref="CC25" si="153">SUM(CC21:CC24)</f>
        <v>0</v>
      </c>
      <c r="CD25" s="70">
        <f t="shared" ref="CD25" si="154">SUM(CD21:CD24)</f>
        <v>0</v>
      </c>
      <c r="CE25" s="70">
        <f t="shared" ref="CE25" si="155">SUM(CE21:CE24)</f>
        <v>0</v>
      </c>
      <c r="CF25" s="70">
        <f t="shared" ref="CF25" si="156">SUM(CF21:CF24)</f>
        <v>0</v>
      </c>
    </row>
    <row r="26" spans="1:86"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  <c r="AA26" s="69"/>
      <c r="AB26" s="69"/>
      <c r="AC26" s="69"/>
      <c r="AD26" s="69"/>
      <c r="AE26" s="69"/>
      <c r="AF26" s="69"/>
      <c r="AG26" s="69"/>
      <c r="AH26" s="69"/>
      <c r="AI26" s="69"/>
      <c r="AJ26" s="69"/>
      <c r="AK26" s="69"/>
      <c r="AL26" s="69"/>
      <c r="AM26" s="69"/>
      <c r="AN26" s="69"/>
      <c r="AO26" s="69"/>
      <c r="AP26" s="69"/>
      <c r="AQ26" s="69"/>
      <c r="AR26" s="69"/>
      <c r="AS26" s="69"/>
      <c r="AT26" s="69"/>
      <c r="AU26" s="69"/>
      <c r="AV26" s="69"/>
      <c r="AW26" s="69"/>
      <c r="AX26" s="69"/>
      <c r="AY26" s="69"/>
      <c r="AZ26" s="69"/>
      <c r="BA26" s="69"/>
      <c r="BB26" s="69"/>
      <c r="BC26" s="69"/>
      <c r="BD26" s="69"/>
      <c r="BE26" s="69"/>
      <c r="BF26" s="69"/>
      <c r="BG26" s="69"/>
      <c r="BH26" s="69"/>
      <c r="BI26" s="69"/>
      <c r="BJ26" s="69"/>
      <c r="BK26" s="69"/>
      <c r="BL26" s="69"/>
      <c r="BM26" s="69"/>
      <c r="BN26" s="69"/>
      <c r="BO26" s="69"/>
      <c r="BP26" s="69"/>
      <c r="BQ26" s="69"/>
      <c r="BR26" s="69"/>
      <c r="BS26" s="69"/>
      <c r="BT26" s="69"/>
      <c r="BU26" s="69"/>
      <c r="BV26" s="69"/>
      <c r="BW26" s="69"/>
      <c r="BX26" s="69"/>
      <c r="BY26" s="69"/>
      <c r="BZ26" s="69"/>
      <c r="CA26" s="69"/>
      <c r="CB26" s="69"/>
      <c r="CC26" s="69"/>
      <c r="CD26" s="69"/>
      <c r="CE26" s="69"/>
      <c r="CF26" s="69"/>
    </row>
    <row r="27" spans="1:86">
      <c r="A27" s="17" t="s">
        <v>192</v>
      </c>
      <c r="B27" s="17"/>
      <c r="C27" s="17"/>
      <c r="D27" s="70">
        <f t="shared" ref="D27:J27" si="157">SUMIFS($L27:$CF27,$L$3:$CF$3,D$3)</f>
        <v>0</v>
      </c>
      <c r="E27" s="70">
        <f t="shared" si="157"/>
        <v>-7894331.8985190112</v>
      </c>
      <c r="F27" s="70">
        <f t="shared" si="157"/>
        <v>1847520.0276314563</v>
      </c>
      <c r="G27" s="70">
        <f t="shared" si="157"/>
        <v>3132847.6183482516</v>
      </c>
      <c r="H27" s="70">
        <f t="shared" si="157"/>
        <v>5029402.3371882625</v>
      </c>
      <c r="I27" s="70">
        <f t="shared" si="157"/>
        <v>5536095.954373572</v>
      </c>
      <c r="J27" s="70">
        <f t="shared" si="157"/>
        <v>0</v>
      </c>
      <c r="K27" s="70"/>
      <c r="L27" s="70">
        <f t="shared" ref="L27:AQ27" si="158">(L19+L25)*(L$4&lt;=HoldMonths)</f>
        <v>0</v>
      </c>
      <c r="M27" s="70">
        <f t="shared" si="158"/>
        <v>226402.94625000001</v>
      </c>
      <c r="N27" s="70">
        <f t="shared" si="158"/>
        <v>-164894.90375</v>
      </c>
      <c r="O27" s="70">
        <f t="shared" si="158"/>
        <v>-273652.42125000001</v>
      </c>
      <c r="P27" s="70">
        <f t="shared" si="158"/>
        <v>-260295.35921875</v>
      </c>
      <c r="Q27" s="70">
        <f t="shared" si="158"/>
        <v>-388719.94518109376</v>
      </c>
      <c r="R27" s="70">
        <f t="shared" si="158"/>
        <v>-754582.4006703645</v>
      </c>
      <c r="S27" s="70">
        <f t="shared" si="158"/>
        <v>-477097.97193890635</v>
      </c>
      <c r="T27" s="70">
        <f t="shared" si="158"/>
        <v>-1162859.0264392709</v>
      </c>
      <c r="U27" s="70">
        <f t="shared" si="158"/>
        <v>-1057761.3456667708</v>
      </c>
      <c r="V27" s="70">
        <f t="shared" si="158"/>
        <v>-1278038.8396971875</v>
      </c>
      <c r="W27" s="70">
        <f t="shared" si="158"/>
        <v>-1595035.2244333331</v>
      </c>
      <c r="X27" s="70">
        <f t="shared" si="158"/>
        <v>-707797.4065233334</v>
      </c>
      <c r="Y27" s="70">
        <f t="shared" si="158"/>
        <v>-650326.05393549497</v>
      </c>
      <c r="Z27" s="70">
        <f t="shared" si="158"/>
        <v>-135583.45358979166</v>
      </c>
      <c r="AA27" s="70">
        <f t="shared" si="158"/>
        <v>-135683.92581401393</v>
      </c>
      <c r="AB27" s="70">
        <f t="shared" si="158"/>
        <v>315516.07418598607</v>
      </c>
      <c r="AC27" s="70">
        <f t="shared" si="158"/>
        <v>409320.66848353203</v>
      </c>
      <c r="AD27" s="70">
        <f t="shared" si="158"/>
        <v>-228631.80733483157</v>
      </c>
      <c r="AE27" s="70">
        <f t="shared" si="158"/>
        <v>423189.60933183512</v>
      </c>
      <c r="AF27" s="70">
        <f t="shared" si="158"/>
        <v>458198.57641526632</v>
      </c>
      <c r="AG27" s="70">
        <f t="shared" si="158"/>
        <v>458198.57641526632</v>
      </c>
      <c r="AH27" s="70">
        <f t="shared" si="158"/>
        <v>458198.57641526632</v>
      </c>
      <c r="AI27" s="70">
        <f t="shared" si="158"/>
        <v>123779.67173131322</v>
      </c>
      <c r="AJ27" s="70">
        <f t="shared" si="158"/>
        <v>351343.51532712294</v>
      </c>
      <c r="AK27" s="70">
        <f t="shared" si="158"/>
        <v>454306.66863371251</v>
      </c>
      <c r="AL27" s="70">
        <f t="shared" si="158"/>
        <v>459461.99995747552</v>
      </c>
      <c r="AM27" s="70">
        <f t="shared" si="158"/>
        <v>460582.59327730467</v>
      </c>
      <c r="AN27" s="70">
        <f t="shared" si="158"/>
        <v>462914.90710318129</v>
      </c>
      <c r="AO27" s="70">
        <f t="shared" si="158"/>
        <v>479724.35405696684</v>
      </c>
      <c r="AP27" s="70">
        <f t="shared" si="158"/>
        <v>479724.35405696684</v>
      </c>
      <c r="AQ27" s="70">
        <f t="shared" si="158"/>
        <v>347349.50992027612</v>
      </c>
      <c r="AR27" s="70">
        <f t="shared" ref="AR27:BW27" si="159">(AR19+AR25)*(AR$4&lt;=HoldMonths)</f>
        <v>-49457.114241703821</v>
      </c>
      <c r="AS27" s="70">
        <f t="shared" si="159"/>
        <v>406434.62775947101</v>
      </c>
      <c r="AT27" s="70">
        <f t="shared" si="159"/>
        <v>33975.810445757001</v>
      </c>
      <c r="AU27" s="70">
        <f t="shared" si="159"/>
        <v>156604.80750975659</v>
      </c>
      <c r="AV27" s="70">
        <f t="shared" si="159"/>
        <v>-558774.90013091359</v>
      </c>
      <c r="AW27" s="70">
        <f t="shared" si="159"/>
        <v>133605.40669186669</v>
      </c>
      <c r="AX27" s="70">
        <f t="shared" si="159"/>
        <v>474331.98955456371</v>
      </c>
      <c r="AY27" s="70">
        <f t="shared" si="159"/>
        <v>491094.65799476643</v>
      </c>
      <c r="AZ27" s="70">
        <f t="shared" si="159"/>
        <v>492154.49574090616</v>
      </c>
      <c r="BA27" s="70">
        <f t="shared" si="159"/>
        <v>238372.85080845351</v>
      </c>
      <c r="BB27" s="70">
        <f t="shared" si="159"/>
        <v>491561.07580845355</v>
      </c>
      <c r="BC27" s="70">
        <f t="shared" si="159"/>
        <v>506569.25161858177</v>
      </c>
      <c r="BD27" s="70">
        <f t="shared" si="159"/>
        <v>506569.25161858177</v>
      </c>
      <c r="BE27" s="70">
        <f t="shared" si="159"/>
        <v>381373.49967809184</v>
      </c>
      <c r="BF27" s="70">
        <f t="shared" si="159"/>
        <v>302703.13328728289</v>
      </c>
      <c r="BG27" s="70">
        <f t="shared" si="159"/>
        <v>500015.65049845708</v>
      </c>
      <c r="BH27" s="70">
        <f t="shared" si="159"/>
        <v>511051.07388825732</v>
      </c>
      <c r="BI27" s="70">
        <f t="shared" si="159"/>
        <v>511289.54736565467</v>
      </c>
      <c r="BJ27" s="70">
        <f t="shared" si="159"/>
        <v>511289.54736565467</v>
      </c>
      <c r="BK27" s="70">
        <f t="shared" si="159"/>
        <v>-149390.06011166732</v>
      </c>
      <c r="BL27" s="70">
        <f t="shared" si="159"/>
        <v>472410.43363833264</v>
      </c>
      <c r="BM27" s="70">
        <f t="shared" si="159"/>
        <v>522542.76519615419</v>
      </c>
      <c r="BN27" s="70">
        <f t="shared" si="159"/>
        <v>522542.76519615419</v>
      </c>
      <c r="BO27" s="70">
        <f t="shared" si="159"/>
        <v>522542.76519615419</v>
      </c>
      <c r="BP27" s="70">
        <f t="shared" si="159"/>
        <v>524573.63810542691</v>
      </c>
      <c r="BQ27" s="70">
        <f t="shared" si="159"/>
        <v>524573.63810542691</v>
      </c>
      <c r="BR27" s="70">
        <f t="shared" si="159"/>
        <v>524573.63810542691</v>
      </c>
      <c r="BS27" s="70">
        <f t="shared" si="159"/>
        <v>524573.63810542691</v>
      </c>
      <c r="BT27" s="70">
        <f t="shared" si="159"/>
        <v>524573.63810542691</v>
      </c>
      <c r="BU27" s="70">
        <f t="shared" si="159"/>
        <v>0</v>
      </c>
      <c r="BV27" s="70">
        <f t="shared" si="159"/>
        <v>0</v>
      </c>
      <c r="BW27" s="70">
        <f t="shared" si="159"/>
        <v>0</v>
      </c>
      <c r="BX27" s="70">
        <f t="shared" ref="BX27:CF27" si="160">(BX19+BX25)*(BX$4&lt;=HoldMonths)</f>
        <v>0</v>
      </c>
      <c r="BY27" s="70">
        <f t="shared" si="160"/>
        <v>0</v>
      </c>
      <c r="BZ27" s="70">
        <f t="shared" si="160"/>
        <v>0</v>
      </c>
      <c r="CA27" s="70">
        <f t="shared" si="160"/>
        <v>0</v>
      </c>
      <c r="CB27" s="70">
        <f t="shared" si="160"/>
        <v>0</v>
      </c>
      <c r="CC27" s="70">
        <f t="shared" si="160"/>
        <v>0</v>
      </c>
      <c r="CD27" s="70">
        <f t="shared" si="160"/>
        <v>0</v>
      </c>
      <c r="CE27" s="70">
        <f t="shared" si="160"/>
        <v>0</v>
      </c>
      <c r="CF27" s="70">
        <f t="shared" si="160"/>
        <v>0</v>
      </c>
      <c r="CG27" s="17"/>
      <c r="CH27" s="17"/>
    </row>
    <row r="28" spans="1:86"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  <c r="AA28" s="69"/>
      <c r="AB28" s="69"/>
      <c r="AC28" s="69"/>
      <c r="AD28" s="69"/>
      <c r="AE28" s="69"/>
      <c r="AF28" s="69"/>
      <c r="AG28" s="69"/>
      <c r="AH28" s="69"/>
      <c r="AI28" s="69"/>
      <c r="AJ28" s="69"/>
      <c r="AK28" s="69"/>
      <c r="AL28" s="69"/>
      <c r="AM28" s="69"/>
      <c r="AN28" s="69"/>
      <c r="AO28" s="69"/>
      <c r="AP28" s="69"/>
      <c r="AQ28" s="69"/>
      <c r="AR28" s="69"/>
      <c r="AS28" s="69"/>
      <c r="AT28" s="69"/>
      <c r="AU28" s="69"/>
      <c r="AV28" s="69"/>
      <c r="AW28" s="69"/>
      <c r="AX28" s="69"/>
      <c r="AY28" s="69"/>
      <c r="AZ28" s="69"/>
      <c r="BA28" s="69"/>
      <c r="BB28" s="69"/>
      <c r="BC28" s="69"/>
      <c r="BD28" s="69"/>
      <c r="BE28" s="69"/>
      <c r="BF28" s="69"/>
      <c r="BG28" s="69"/>
      <c r="BH28" s="69"/>
      <c r="BI28" s="69"/>
      <c r="BJ28" s="69"/>
      <c r="BK28" s="69"/>
      <c r="BL28" s="69"/>
      <c r="BM28" s="69"/>
      <c r="BN28" s="69"/>
      <c r="BO28" s="69"/>
      <c r="BP28" s="69"/>
      <c r="BQ28" s="69"/>
      <c r="BR28" s="69"/>
      <c r="BS28" s="69"/>
      <c r="BT28" s="69"/>
      <c r="BU28" s="69"/>
      <c r="BV28" s="69"/>
      <c r="BW28" s="69"/>
      <c r="BX28" s="69"/>
      <c r="BY28" s="69"/>
      <c r="BZ28" s="69"/>
      <c r="CA28" s="69"/>
      <c r="CB28" s="69"/>
      <c r="CC28" s="69"/>
      <c r="CD28" s="69"/>
      <c r="CE28" s="69"/>
      <c r="CF28" s="69"/>
    </row>
    <row r="29" spans="1:86">
      <c r="A29" s="17" t="s">
        <v>193</v>
      </c>
      <c r="D29" s="69">
        <f t="shared" ref="D29:J32" si="161">SUMIFS($L29:$CF29,$L$3:$CF$3,D$3)</f>
        <v>-50000000</v>
      </c>
      <c r="E29" s="69">
        <f t="shared" si="161"/>
        <v>0</v>
      </c>
      <c r="F29" s="69">
        <f t="shared" si="161"/>
        <v>0</v>
      </c>
      <c r="G29" s="69">
        <f t="shared" si="161"/>
        <v>0</v>
      </c>
      <c r="H29" s="69">
        <f t="shared" si="161"/>
        <v>0</v>
      </c>
      <c r="I29" s="69">
        <f t="shared" si="161"/>
        <v>0</v>
      </c>
      <c r="J29" s="69">
        <f t="shared" si="161"/>
        <v>0</v>
      </c>
      <c r="K29" s="69"/>
      <c r="L29" s="69">
        <f>-PurchasePrice</f>
        <v>-50000000</v>
      </c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  <c r="AL29" s="69"/>
      <c r="AM29" s="69"/>
      <c r="AN29" s="69"/>
      <c r="AO29" s="69"/>
      <c r="AP29" s="69"/>
      <c r="AQ29" s="69"/>
      <c r="AR29" s="69"/>
      <c r="AS29" s="69"/>
      <c r="AT29" s="69"/>
      <c r="AU29" s="69"/>
      <c r="AV29" s="69"/>
      <c r="AW29" s="69"/>
      <c r="AX29" s="69"/>
      <c r="AY29" s="69"/>
      <c r="AZ29" s="69"/>
      <c r="BA29" s="69"/>
      <c r="BB29" s="69"/>
      <c r="BC29" s="69"/>
      <c r="BD29" s="69"/>
      <c r="BE29" s="69"/>
      <c r="BF29" s="69"/>
      <c r="BG29" s="69"/>
      <c r="BH29" s="69"/>
      <c r="BI29" s="69"/>
      <c r="BJ29" s="69"/>
      <c r="BK29" s="69"/>
      <c r="BL29" s="69"/>
      <c r="BM29" s="69"/>
      <c r="BN29" s="69"/>
      <c r="BO29" s="69"/>
      <c r="BP29" s="69"/>
      <c r="BQ29" s="69"/>
      <c r="BR29" s="69"/>
      <c r="BS29" s="69"/>
      <c r="BT29" s="69"/>
      <c r="BU29" s="69"/>
      <c r="BV29" s="69"/>
      <c r="BW29" s="69"/>
      <c r="BX29" s="69"/>
      <c r="BY29" s="69"/>
      <c r="BZ29" s="69"/>
      <c r="CA29" s="69"/>
      <c r="CB29" s="69"/>
      <c r="CC29" s="69"/>
      <c r="CD29" s="69"/>
      <c r="CE29" s="69"/>
      <c r="CF29" s="69"/>
    </row>
    <row r="30" spans="1:86">
      <c r="A30" t="s">
        <v>194</v>
      </c>
      <c r="D30" s="69">
        <f t="shared" si="161"/>
        <v>-1500000</v>
      </c>
      <c r="E30" s="69">
        <f t="shared" si="161"/>
        <v>0</v>
      </c>
      <c r="F30" s="69">
        <f t="shared" si="161"/>
        <v>0</v>
      </c>
      <c r="G30" s="69">
        <f t="shared" si="161"/>
        <v>0</v>
      </c>
      <c r="H30" s="69">
        <f t="shared" si="161"/>
        <v>0</v>
      </c>
      <c r="I30" s="69">
        <f t="shared" si="161"/>
        <v>0</v>
      </c>
      <c r="J30" s="69">
        <f t="shared" si="161"/>
        <v>0</v>
      </c>
      <c r="K30" s="69"/>
      <c r="L30" s="69">
        <f>L29*Assumptions!B7</f>
        <v>-1500000</v>
      </c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69"/>
      <c r="AM30" s="69"/>
      <c r="AN30" s="69"/>
      <c r="AO30" s="69"/>
      <c r="AP30" s="69"/>
      <c r="AQ30" s="69"/>
      <c r="AR30" s="69"/>
      <c r="AS30" s="69"/>
      <c r="AT30" s="69"/>
      <c r="AU30" s="69"/>
      <c r="AV30" s="69"/>
      <c r="AW30" s="69"/>
      <c r="AX30" s="69"/>
      <c r="AY30" s="69"/>
      <c r="AZ30" s="69"/>
      <c r="BA30" s="69"/>
      <c r="BB30" s="69"/>
      <c r="BC30" s="69"/>
      <c r="BD30" s="69"/>
      <c r="BE30" s="69"/>
      <c r="BF30" s="69"/>
      <c r="BG30" s="69"/>
      <c r="BH30" s="69"/>
      <c r="BI30" s="69"/>
      <c r="BJ30" s="69"/>
      <c r="BK30" s="69"/>
      <c r="BL30" s="69"/>
      <c r="BM30" s="69"/>
      <c r="BN30" s="69"/>
      <c r="BO30" s="69"/>
      <c r="BP30" s="69"/>
      <c r="BQ30" s="69"/>
      <c r="BR30" s="69"/>
      <c r="BS30" s="69"/>
      <c r="BT30" s="69"/>
      <c r="BU30" s="69"/>
      <c r="BV30" s="69"/>
      <c r="BW30" s="69"/>
      <c r="BX30" s="69"/>
      <c r="BY30" s="69"/>
      <c r="BZ30" s="69"/>
      <c r="CA30" s="69"/>
      <c r="CB30" s="69"/>
      <c r="CC30" s="69"/>
      <c r="CD30" s="69"/>
      <c r="CE30" s="69"/>
      <c r="CF30" s="69"/>
    </row>
    <row r="31" spans="1:86">
      <c r="A31" s="17" t="s">
        <v>195</v>
      </c>
      <c r="D31" s="69">
        <f t="shared" ca="1" si="161"/>
        <v>0</v>
      </c>
      <c r="E31" s="69">
        <f t="shared" ca="1" si="161"/>
        <v>0</v>
      </c>
      <c r="F31" s="69">
        <f t="shared" ca="1" si="161"/>
        <v>0</v>
      </c>
      <c r="G31" s="69">
        <f t="shared" ca="1" si="161"/>
        <v>0</v>
      </c>
      <c r="H31" s="69">
        <f t="shared" ca="1" si="161"/>
        <v>0</v>
      </c>
      <c r="I31" s="69">
        <f t="shared" ca="1" si="161"/>
        <v>84455681.132170066</v>
      </c>
      <c r="J31" s="69">
        <f t="shared" ca="1" si="161"/>
        <v>0</v>
      </c>
      <c r="K31" s="69"/>
      <c r="L31" s="69">
        <f ca="1">(L$4=HoldMonths)*SUM(OFFSET('Property Cash Flow'!M$19,0,0,1,12))/ExitCap</f>
        <v>0</v>
      </c>
      <c r="M31" s="69">
        <f ca="1">(M$4=HoldMonths)*SUM(OFFSET('Property Cash Flow'!N$19,0,0,1,12))/ExitCap</f>
        <v>0</v>
      </c>
      <c r="N31" s="69">
        <f ca="1">(N$4=HoldMonths)*SUM(OFFSET('Property Cash Flow'!O$19,0,0,1,12))/ExitCap</f>
        <v>0</v>
      </c>
      <c r="O31" s="69">
        <f ca="1">(O$4=HoldMonths)*SUM(OFFSET('Property Cash Flow'!P$19,0,0,1,12))/ExitCap</f>
        <v>0</v>
      </c>
      <c r="P31" s="69">
        <f ca="1">(P$4=HoldMonths)*SUM(OFFSET('Property Cash Flow'!Q$19,0,0,1,12))/ExitCap</f>
        <v>0</v>
      </c>
      <c r="Q31" s="69">
        <f ca="1">(Q$4=HoldMonths)*SUM(OFFSET('Property Cash Flow'!R$19,0,0,1,12))/ExitCap</f>
        <v>0</v>
      </c>
      <c r="R31" s="69">
        <f ca="1">(R$4=HoldMonths)*SUM(OFFSET('Property Cash Flow'!S$19,0,0,1,12))/ExitCap</f>
        <v>0</v>
      </c>
      <c r="S31" s="69">
        <f ca="1">(S$4=HoldMonths)*SUM(OFFSET('Property Cash Flow'!T$19,0,0,1,12))/ExitCap</f>
        <v>0</v>
      </c>
      <c r="T31" s="69">
        <f ca="1">(T$4=HoldMonths)*SUM(OFFSET('Property Cash Flow'!U$19,0,0,1,12))/ExitCap</f>
        <v>0</v>
      </c>
      <c r="U31" s="69">
        <f ca="1">(U$4=HoldMonths)*SUM(OFFSET('Property Cash Flow'!V$19,0,0,1,12))/ExitCap</f>
        <v>0</v>
      </c>
      <c r="V31" s="69">
        <f ca="1">(V$4=HoldMonths)*SUM(OFFSET('Property Cash Flow'!W$19,0,0,1,12))/ExitCap</f>
        <v>0</v>
      </c>
      <c r="W31" s="69">
        <f ca="1">(W$4=HoldMonths)*SUM(OFFSET('Property Cash Flow'!X$19,0,0,1,12))/ExitCap</f>
        <v>0</v>
      </c>
      <c r="X31" s="69">
        <f ca="1">(X$4=HoldMonths)*SUM(OFFSET('Property Cash Flow'!Y$19,0,0,1,12))/ExitCap</f>
        <v>0</v>
      </c>
      <c r="Y31" s="69">
        <f ca="1">(Y$4=HoldMonths)*SUM(OFFSET('Property Cash Flow'!Z$19,0,0,1,12))/ExitCap</f>
        <v>0</v>
      </c>
      <c r="Z31" s="69">
        <f ca="1">(Z$4=HoldMonths)*SUM(OFFSET('Property Cash Flow'!AA$19,0,0,1,12))/ExitCap</f>
        <v>0</v>
      </c>
      <c r="AA31" s="69">
        <f ca="1">(AA$4=HoldMonths)*SUM(OFFSET('Property Cash Flow'!AB$19,0,0,1,12))/ExitCap</f>
        <v>0</v>
      </c>
      <c r="AB31" s="69">
        <f ca="1">(AB$4=HoldMonths)*SUM(OFFSET('Property Cash Flow'!AC$19,0,0,1,12))/ExitCap</f>
        <v>0</v>
      </c>
      <c r="AC31" s="69">
        <f ca="1">(AC$4=HoldMonths)*SUM(OFFSET('Property Cash Flow'!AD$19,0,0,1,12))/ExitCap</f>
        <v>0</v>
      </c>
      <c r="AD31" s="69">
        <f ca="1">(AD$4=HoldMonths)*SUM(OFFSET('Property Cash Flow'!AE$19,0,0,1,12))/ExitCap</f>
        <v>0</v>
      </c>
      <c r="AE31" s="69">
        <f ca="1">(AE$4=HoldMonths)*SUM(OFFSET('Property Cash Flow'!AF$19,0,0,1,12))/ExitCap</f>
        <v>0</v>
      </c>
      <c r="AF31" s="69">
        <f ca="1">(AF$4=HoldMonths)*SUM(OFFSET('Property Cash Flow'!AG$19,0,0,1,12))/ExitCap</f>
        <v>0</v>
      </c>
      <c r="AG31" s="69">
        <f ca="1">(AG$4=HoldMonths)*SUM(OFFSET('Property Cash Flow'!AH$19,0,0,1,12))/ExitCap</f>
        <v>0</v>
      </c>
      <c r="AH31" s="69">
        <f ca="1">(AH$4=HoldMonths)*SUM(OFFSET('Property Cash Flow'!AI$19,0,0,1,12))/ExitCap</f>
        <v>0</v>
      </c>
      <c r="AI31" s="69">
        <f ca="1">(AI$4=HoldMonths)*SUM(OFFSET('Property Cash Flow'!AJ$19,0,0,1,12))/ExitCap</f>
        <v>0</v>
      </c>
      <c r="AJ31" s="69">
        <f ca="1">(AJ$4=HoldMonths)*SUM(OFFSET('Property Cash Flow'!AK$19,0,0,1,12))/ExitCap</f>
        <v>0</v>
      </c>
      <c r="AK31" s="69">
        <f ca="1">(AK$4=HoldMonths)*SUM(OFFSET('Property Cash Flow'!AL$19,0,0,1,12))/ExitCap</f>
        <v>0</v>
      </c>
      <c r="AL31" s="69">
        <f ca="1">(AL$4=HoldMonths)*SUM(OFFSET('Property Cash Flow'!AM$19,0,0,1,12))/ExitCap</f>
        <v>0</v>
      </c>
      <c r="AM31" s="69">
        <f ca="1">(AM$4=HoldMonths)*SUM(OFFSET('Property Cash Flow'!AN$19,0,0,1,12))/ExitCap</f>
        <v>0</v>
      </c>
      <c r="AN31" s="69">
        <f ca="1">(AN$4=HoldMonths)*SUM(OFFSET('Property Cash Flow'!AO$19,0,0,1,12))/ExitCap</f>
        <v>0</v>
      </c>
      <c r="AO31" s="69">
        <f ca="1">(AO$4=HoldMonths)*SUM(OFFSET('Property Cash Flow'!AP$19,0,0,1,12))/ExitCap</f>
        <v>0</v>
      </c>
      <c r="AP31" s="69">
        <f ca="1">(AP$4=HoldMonths)*SUM(OFFSET('Property Cash Flow'!AQ$19,0,0,1,12))/ExitCap</f>
        <v>0</v>
      </c>
      <c r="AQ31" s="69">
        <f ca="1">(AQ$4=HoldMonths)*SUM(OFFSET('Property Cash Flow'!AR$19,0,0,1,12))/ExitCap</f>
        <v>0</v>
      </c>
      <c r="AR31" s="69">
        <f ca="1">(AR$4=HoldMonths)*SUM(OFFSET('Property Cash Flow'!AS$19,0,0,1,12))/ExitCap</f>
        <v>0</v>
      </c>
      <c r="AS31" s="69">
        <f ca="1">(AS$4=HoldMonths)*SUM(OFFSET('Property Cash Flow'!AT$19,0,0,1,12))/ExitCap</f>
        <v>0</v>
      </c>
      <c r="AT31" s="69">
        <f ca="1">(AT$4=HoldMonths)*SUM(OFFSET('Property Cash Flow'!AU$19,0,0,1,12))/ExitCap</f>
        <v>0</v>
      </c>
      <c r="AU31" s="69">
        <f ca="1">(AU$4=HoldMonths)*SUM(OFFSET('Property Cash Flow'!AV$19,0,0,1,12))/ExitCap</f>
        <v>0</v>
      </c>
      <c r="AV31" s="69">
        <f ca="1">(AV$4=HoldMonths)*SUM(OFFSET('Property Cash Flow'!AW$19,0,0,1,12))/ExitCap</f>
        <v>0</v>
      </c>
      <c r="AW31" s="69">
        <f ca="1">(AW$4=HoldMonths)*SUM(OFFSET('Property Cash Flow'!AX$19,0,0,1,12))/ExitCap</f>
        <v>0</v>
      </c>
      <c r="AX31" s="69">
        <f ca="1">(AX$4=HoldMonths)*SUM(OFFSET('Property Cash Flow'!AY$19,0,0,1,12))/ExitCap</f>
        <v>0</v>
      </c>
      <c r="AY31" s="69">
        <f ca="1">(AY$4=HoldMonths)*SUM(OFFSET('Property Cash Flow'!AZ$19,0,0,1,12))/ExitCap</f>
        <v>0</v>
      </c>
      <c r="AZ31" s="69">
        <f ca="1">(AZ$4=HoldMonths)*SUM(OFFSET('Property Cash Flow'!BA$19,0,0,1,12))/ExitCap</f>
        <v>0</v>
      </c>
      <c r="BA31" s="69">
        <f ca="1">(BA$4=HoldMonths)*SUM(OFFSET('Property Cash Flow'!BB$19,0,0,1,12))/ExitCap</f>
        <v>0</v>
      </c>
      <c r="BB31" s="69">
        <f ca="1">(BB$4=HoldMonths)*SUM(OFFSET('Property Cash Flow'!BC$19,0,0,1,12))/ExitCap</f>
        <v>0</v>
      </c>
      <c r="BC31" s="69">
        <f ca="1">(BC$4=HoldMonths)*SUM(OFFSET('Property Cash Flow'!BD$19,0,0,1,12))/ExitCap</f>
        <v>0</v>
      </c>
      <c r="BD31" s="69">
        <f ca="1">(BD$4=HoldMonths)*SUM(OFFSET('Property Cash Flow'!BE$19,0,0,1,12))/ExitCap</f>
        <v>0</v>
      </c>
      <c r="BE31" s="69">
        <f ca="1">(BE$4=HoldMonths)*SUM(OFFSET('Property Cash Flow'!BF$19,0,0,1,12))/ExitCap</f>
        <v>0</v>
      </c>
      <c r="BF31" s="69">
        <f ca="1">(BF$4=HoldMonths)*SUM(OFFSET('Property Cash Flow'!BG$19,0,0,1,12))/ExitCap</f>
        <v>0</v>
      </c>
      <c r="BG31" s="69">
        <f ca="1">(BG$4=HoldMonths)*SUM(OFFSET('Property Cash Flow'!BH$19,0,0,1,12))/ExitCap</f>
        <v>0</v>
      </c>
      <c r="BH31" s="69">
        <f ca="1">(BH$4=HoldMonths)*SUM(OFFSET('Property Cash Flow'!BI$19,0,0,1,12))/ExitCap</f>
        <v>0</v>
      </c>
      <c r="BI31" s="69">
        <f ca="1">(BI$4=HoldMonths)*SUM(OFFSET('Property Cash Flow'!BJ$19,0,0,1,12))/ExitCap</f>
        <v>0</v>
      </c>
      <c r="BJ31" s="69">
        <f ca="1">(BJ$4=HoldMonths)*SUM(OFFSET('Property Cash Flow'!BK$19,0,0,1,12))/ExitCap</f>
        <v>0</v>
      </c>
      <c r="BK31" s="69">
        <f ca="1">(BK$4=HoldMonths)*SUM(OFFSET('Property Cash Flow'!BL$19,0,0,1,12))/ExitCap</f>
        <v>0</v>
      </c>
      <c r="BL31" s="69">
        <f ca="1">(BL$4=HoldMonths)*SUM(OFFSET('Property Cash Flow'!BM$19,0,0,1,12))/ExitCap</f>
        <v>0</v>
      </c>
      <c r="BM31" s="69">
        <f ca="1">(BM$4=HoldMonths)*SUM(OFFSET('Property Cash Flow'!BN$19,0,0,1,12))/ExitCap</f>
        <v>0</v>
      </c>
      <c r="BN31" s="69">
        <f ca="1">(BN$4=HoldMonths)*SUM(OFFSET('Property Cash Flow'!BO$19,0,0,1,12))/ExitCap</f>
        <v>0</v>
      </c>
      <c r="BO31" s="69">
        <f ca="1">(BO$4=HoldMonths)*SUM(OFFSET('Property Cash Flow'!BP$19,0,0,1,12))/ExitCap</f>
        <v>0</v>
      </c>
      <c r="BP31" s="69">
        <f ca="1">(BP$4=HoldMonths)*SUM(OFFSET('Property Cash Flow'!BQ$19,0,0,1,12))/ExitCap</f>
        <v>0</v>
      </c>
      <c r="BQ31" s="69">
        <f ca="1">(BQ$4=HoldMonths)*SUM(OFFSET('Property Cash Flow'!BR$19,0,0,1,12))/ExitCap</f>
        <v>0</v>
      </c>
      <c r="BR31" s="69">
        <f ca="1">(BR$4=HoldMonths)*SUM(OFFSET('Property Cash Flow'!BS$19,0,0,1,12))/ExitCap</f>
        <v>0</v>
      </c>
      <c r="BS31" s="69">
        <f ca="1">(BS$4=HoldMonths)*SUM(OFFSET('Property Cash Flow'!BT$19,0,0,1,12))/ExitCap</f>
        <v>0</v>
      </c>
      <c r="BT31" s="69">
        <f ca="1">(BT$4=HoldMonths)*SUM(OFFSET('Property Cash Flow'!BU$19,0,0,1,12))/ExitCap</f>
        <v>84455681.132170066</v>
      </c>
      <c r="BU31" s="69">
        <f ca="1">(BU$4=HoldMonths)*SUM(OFFSET('Property Cash Flow'!BV$19,0,0,1,12))/ExitCap</f>
        <v>0</v>
      </c>
      <c r="BV31" s="69">
        <f ca="1">(BV$4=HoldMonths)*SUM(OFFSET('Property Cash Flow'!BW$19,0,0,1,12))/ExitCap</f>
        <v>0</v>
      </c>
      <c r="BW31" s="69">
        <f ca="1">(BW$4=HoldMonths)*SUM(OFFSET('Property Cash Flow'!BX$19,0,0,1,12))/ExitCap</f>
        <v>0</v>
      </c>
      <c r="BX31" s="69">
        <f ca="1">(BX$4=HoldMonths)*SUM(OFFSET('Property Cash Flow'!BY$19,0,0,1,12))/ExitCap</f>
        <v>0</v>
      </c>
      <c r="BY31" s="69">
        <f ca="1">(BY$4=HoldMonths)*SUM(OFFSET('Property Cash Flow'!BZ$19,0,0,1,12))/ExitCap</f>
        <v>0</v>
      </c>
      <c r="BZ31" s="69">
        <f ca="1">(BZ$4=HoldMonths)*SUM(OFFSET('Property Cash Flow'!CA$19,0,0,1,12))/ExitCap</f>
        <v>0</v>
      </c>
      <c r="CA31" s="69">
        <f ca="1">(CA$4=HoldMonths)*SUM(OFFSET('Property Cash Flow'!CB$19,0,0,1,12))/ExitCap</f>
        <v>0</v>
      </c>
      <c r="CB31" s="69">
        <f ca="1">(CB$4=HoldMonths)*SUM(OFFSET('Property Cash Flow'!CC$19,0,0,1,12))/ExitCap</f>
        <v>0</v>
      </c>
      <c r="CC31" s="69">
        <f ca="1">(CC$4=HoldMonths)*SUM(OFFSET('Property Cash Flow'!CD$19,0,0,1,12))/ExitCap</f>
        <v>0</v>
      </c>
      <c r="CD31" s="69">
        <f ca="1">(CD$4=HoldMonths)*SUM(OFFSET('Property Cash Flow'!CE$19,0,0,1,12))/ExitCap</f>
        <v>0</v>
      </c>
      <c r="CE31" s="69">
        <f ca="1">(CE$4=HoldMonths)*SUM(OFFSET('Property Cash Flow'!CF$19,0,0,1,12))/ExitCap</f>
        <v>0</v>
      </c>
      <c r="CF31" s="69">
        <f ca="1">(CF$4=HoldMonths)*SUM(OFFSET('Property Cash Flow'!CG$19,0,0,1,12))/ExitCap</f>
        <v>0</v>
      </c>
    </row>
    <row r="32" spans="1:86">
      <c r="A32" t="s">
        <v>196</v>
      </c>
      <c r="D32" s="69">
        <f t="shared" ca="1" si="161"/>
        <v>0</v>
      </c>
      <c r="E32" s="69">
        <f t="shared" ca="1" si="161"/>
        <v>0</v>
      </c>
      <c r="F32" s="69">
        <f t="shared" ca="1" si="161"/>
        <v>0</v>
      </c>
      <c r="G32" s="69">
        <f t="shared" ca="1" si="161"/>
        <v>0</v>
      </c>
      <c r="H32" s="69">
        <f t="shared" ca="1" si="161"/>
        <v>0</v>
      </c>
      <c r="I32" s="69">
        <f t="shared" ca="1" si="161"/>
        <v>-1689113.6226434014</v>
      </c>
      <c r="J32" s="69">
        <f t="shared" ca="1" si="161"/>
        <v>0</v>
      </c>
      <c r="K32" s="69"/>
      <c r="L32" s="69">
        <f t="shared" ref="L32:AQ32" ca="1" si="162">L31*-DispCost</f>
        <v>0</v>
      </c>
      <c r="M32" s="69">
        <f t="shared" ca="1" si="162"/>
        <v>0</v>
      </c>
      <c r="N32" s="69">
        <f t="shared" ca="1" si="162"/>
        <v>0</v>
      </c>
      <c r="O32" s="69">
        <f t="shared" ca="1" si="162"/>
        <v>0</v>
      </c>
      <c r="P32" s="69">
        <f t="shared" ca="1" si="162"/>
        <v>0</v>
      </c>
      <c r="Q32" s="69">
        <f t="shared" ca="1" si="162"/>
        <v>0</v>
      </c>
      <c r="R32" s="69">
        <f t="shared" ca="1" si="162"/>
        <v>0</v>
      </c>
      <c r="S32" s="69">
        <f t="shared" ca="1" si="162"/>
        <v>0</v>
      </c>
      <c r="T32" s="69">
        <f t="shared" ca="1" si="162"/>
        <v>0</v>
      </c>
      <c r="U32" s="69">
        <f t="shared" ca="1" si="162"/>
        <v>0</v>
      </c>
      <c r="V32" s="69">
        <f t="shared" ca="1" si="162"/>
        <v>0</v>
      </c>
      <c r="W32" s="69">
        <f t="shared" ca="1" si="162"/>
        <v>0</v>
      </c>
      <c r="X32" s="69">
        <f t="shared" ca="1" si="162"/>
        <v>0</v>
      </c>
      <c r="Y32" s="69">
        <f t="shared" ca="1" si="162"/>
        <v>0</v>
      </c>
      <c r="Z32" s="69">
        <f t="shared" ca="1" si="162"/>
        <v>0</v>
      </c>
      <c r="AA32" s="69">
        <f t="shared" ca="1" si="162"/>
        <v>0</v>
      </c>
      <c r="AB32" s="69">
        <f t="shared" ca="1" si="162"/>
        <v>0</v>
      </c>
      <c r="AC32" s="69">
        <f t="shared" ca="1" si="162"/>
        <v>0</v>
      </c>
      <c r="AD32" s="69">
        <f t="shared" ca="1" si="162"/>
        <v>0</v>
      </c>
      <c r="AE32" s="69">
        <f t="shared" ca="1" si="162"/>
        <v>0</v>
      </c>
      <c r="AF32" s="69">
        <f t="shared" ca="1" si="162"/>
        <v>0</v>
      </c>
      <c r="AG32" s="69">
        <f t="shared" ca="1" si="162"/>
        <v>0</v>
      </c>
      <c r="AH32" s="69">
        <f t="shared" ca="1" si="162"/>
        <v>0</v>
      </c>
      <c r="AI32" s="69">
        <f t="shared" ca="1" si="162"/>
        <v>0</v>
      </c>
      <c r="AJ32" s="69">
        <f t="shared" ca="1" si="162"/>
        <v>0</v>
      </c>
      <c r="AK32" s="69">
        <f t="shared" ca="1" si="162"/>
        <v>0</v>
      </c>
      <c r="AL32" s="69">
        <f t="shared" ca="1" si="162"/>
        <v>0</v>
      </c>
      <c r="AM32" s="69">
        <f t="shared" ca="1" si="162"/>
        <v>0</v>
      </c>
      <c r="AN32" s="69">
        <f t="shared" ca="1" si="162"/>
        <v>0</v>
      </c>
      <c r="AO32" s="69">
        <f t="shared" ca="1" si="162"/>
        <v>0</v>
      </c>
      <c r="AP32" s="69">
        <f t="shared" ca="1" si="162"/>
        <v>0</v>
      </c>
      <c r="AQ32" s="69">
        <f t="shared" ca="1" si="162"/>
        <v>0</v>
      </c>
      <c r="AR32" s="69">
        <f t="shared" ref="AR32:BW32" ca="1" si="163">AR31*-DispCost</f>
        <v>0</v>
      </c>
      <c r="AS32" s="69">
        <f t="shared" ca="1" si="163"/>
        <v>0</v>
      </c>
      <c r="AT32" s="69">
        <f t="shared" ca="1" si="163"/>
        <v>0</v>
      </c>
      <c r="AU32" s="69">
        <f t="shared" ca="1" si="163"/>
        <v>0</v>
      </c>
      <c r="AV32" s="69">
        <f t="shared" ca="1" si="163"/>
        <v>0</v>
      </c>
      <c r="AW32" s="69">
        <f t="shared" ca="1" si="163"/>
        <v>0</v>
      </c>
      <c r="AX32" s="69">
        <f t="shared" ca="1" si="163"/>
        <v>0</v>
      </c>
      <c r="AY32" s="69">
        <f t="shared" ca="1" si="163"/>
        <v>0</v>
      </c>
      <c r="AZ32" s="69">
        <f t="shared" ca="1" si="163"/>
        <v>0</v>
      </c>
      <c r="BA32" s="69">
        <f t="shared" ca="1" si="163"/>
        <v>0</v>
      </c>
      <c r="BB32" s="69">
        <f t="shared" ca="1" si="163"/>
        <v>0</v>
      </c>
      <c r="BC32" s="69">
        <f t="shared" ca="1" si="163"/>
        <v>0</v>
      </c>
      <c r="BD32" s="69">
        <f t="shared" ca="1" si="163"/>
        <v>0</v>
      </c>
      <c r="BE32" s="69">
        <f t="shared" ca="1" si="163"/>
        <v>0</v>
      </c>
      <c r="BF32" s="69">
        <f t="shared" ca="1" si="163"/>
        <v>0</v>
      </c>
      <c r="BG32" s="69">
        <f t="shared" ca="1" si="163"/>
        <v>0</v>
      </c>
      <c r="BH32" s="69">
        <f t="shared" ca="1" si="163"/>
        <v>0</v>
      </c>
      <c r="BI32" s="69">
        <f t="shared" ca="1" si="163"/>
        <v>0</v>
      </c>
      <c r="BJ32" s="69">
        <f t="shared" ca="1" si="163"/>
        <v>0</v>
      </c>
      <c r="BK32" s="69">
        <f t="shared" ca="1" si="163"/>
        <v>0</v>
      </c>
      <c r="BL32" s="69">
        <f t="shared" ca="1" si="163"/>
        <v>0</v>
      </c>
      <c r="BM32" s="69">
        <f t="shared" ca="1" si="163"/>
        <v>0</v>
      </c>
      <c r="BN32" s="69">
        <f t="shared" ca="1" si="163"/>
        <v>0</v>
      </c>
      <c r="BO32" s="69">
        <f t="shared" ca="1" si="163"/>
        <v>0</v>
      </c>
      <c r="BP32" s="69">
        <f t="shared" ca="1" si="163"/>
        <v>0</v>
      </c>
      <c r="BQ32" s="69">
        <f t="shared" ca="1" si="163"/>
        <v>0</v>
      </c>
      <c r="BR32" s="69">
        <f t="shared" ca="1" si="163"/>
        <v>0</v>
      </c>
      <c r="BS32" s="69">
        <f t="shared" ca="1" si="163"/>
        <v>0</v>
      </c>
      <c r="BT32" s="69">
        <f t="shared" ca="1" si="163"/>
        <v>-1689113.6226434014</v>
      </c>
      <c r="BU32" s="69">
        <f t="shared" ca="1" si="163"/>
        <v>0</v>
      </c>
      <c r="BV32" s="69">
        <f t="shared" ca="1" si="163"/>
        <v>0</v>
      </c>
      <c r="BW32" s="69">
        <f t="shared" ca="1" si="163"/>
        <v>0</v>
      </c>
      <c r="BX32" s="69">
        <f t="shared" ref="BX32:CF32" ca="1" si="164">BX31*-DispCost</f>
        <v>0</v>
      </c>
      <c r="BY32" s="69">
        <f t="shared" ca="1" si="164"/>
        <v>0</v>
      </c>
      <c r="BZ32" s="69">
        <f t="shared" ca="1" si="164"/>
        <v>0</v>
      </c>
      <c r="CA32" s="69">
        <f t="shared" ca="1" si="164"/>
        <v>0</v>
      </c>
      <c r="CB32" s="69">
        <f t="shared" ca="1" si="164"/>
        <v>0</v>
      </c>
      <c r="CC32" s="69">
        <f t="shared" ca="1" si="164"/>
        <v>0</v>
      </c>
      <c r="CD32" s="69">
        <f t="shared" ca="1" si="164"/>
        <v>0</v>
      </c>
      <c r="CE32" s="69">
        <f t="shared" ca="1" si="164"/>
        <v>0</v>
      </c>
      <c r="CF32" s="69">
        <f t="shared" ca="1" si="164"/>
        <v>0</v>
      </c>
    </row>
    <row r="33" spans="1:84"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  <c r="AA33" s="69"/>
      <c r="AB33" s="69"/>
      <c r="AC33" s="69"/>
      <c r="AD33" s="69"/>
      <c r="AE33" s="69"/>
      <c r="AF33" s="69"/>
      <c r="AG33" s="69"/>
      <c r="AH33" s="69"/>
      <c r="AI33" s="69"/>
      <c r="AJ33" s="69"/>
      <c r="AK33" s="69"/>
      <c r="AL33" s="69"/>
      <c r="AM33" s="69"/>
      <c r="AN33" s="69"/>
      <c r="AO33" s="69"/>
      <c r="AP33" s="69"/>
      <c r="AQ33" s="69"/>
      <c r="AR33" s="69"/>
      <c r="AS33" s="69"/>
      <c r="AT33" s="69"/>
      <c r="AU33" s="69"/>
      <c r="AV33" s="69"/>
      <c r="AW33" s="69"/>
      <c r="AX33" s="69"/>
      <c r="AY33" s="69"/>
      <c r="AZ33" s="69"/>
      <c r="BA33" s="69"/>
      <c r="BB33" s="69"/>
      <c r="BC33" s="69"/>
      <c r="BD33" s="69"/>
      <c r="BE33" s="69"/>
      <c r="BF33" s="69"/>
      <c r="BG33" s="69"/>
      <c r="BH33" s="69"/>
      <c r="BI33" s="69"/>
      <c r="BJ33" s="69"/>
      <c r="BK33" s="69"/>
      <c r="BL33" s="69"/>
      <c r="BM33" s="69"/>
      <c r="BN33" s="69"/>
      <c r="BO33" s="69"/>
      <c r="BP33" s="69"/>
      <c r="BQ33" s="69"/>
      <c r="BR33" s="69"/>
      <c r="BS33" s="69"/>
      <c r="BT33" s="69"/>
      <c r="BU33" s="69"/>
      <c r="BV33" s="69"/>
      <c r="BW33" s="69"/>
      <c r="BX33" s="69"/>
      <c r="BY33" s="69"/>
      <c r="BZ33" s="69"/>
      <c r="CA33" s="69"/>
      <c r="CB33" s="69"/>
      <c r="CC33" s="69"/>
      <c r="CD33" s="69"/>
      <c r="CE33" s="69"/>
      <c r="CF33" s="69"/>
    </row>
    <row r="34" spans="1:84">
      <c r="A34" s="17" t="s">
        <v>279</v>
      </c>
      <c r="D34" s="70">
        <f ca="1">SUM(D27,D29:D32)</f>
        <v>-51500000</v>
      </c>
      <c r="E34" s="70">
        <f t="shared" ref="E34:I34" ca="1" si="165">SUM(E27,E29:E32)</f>
        <v>-7894331.8985190112</v>
      </c>
      <c r="F34" s="70">
        <f t="shared" ca="1" si="165"/>
        <v>1847520.0276314563</v>
      </c>
      <c r="G34" s="70">
        <f t="shared" ca="1" si="165"/>
        <v>3132847.6183482516</v>
      </c>
      <c r="H34" s="70">
        <f t="shared" ca="1" si="165"/>
        <v>5029402.3371882625</v>
      </c>
      <c r="I34" s="70">
        <f t="shared" ca="1" si="165"/>
        <v>88302663.463900238</v>
      </c>
      <c r="J34" s="70">
        <f t="shared" ref="J34" ca="1" si="166">SUM(J27,J29:J32)</f>
        <v>0</v>
      </c>
      <c r="K34" s="69"/>
      <c r="L34" s="70">
        <f t="shared" ref="L34:BW34" ca="1" si="167">SUM(L27,L29:L32)</f>
        <v>-51500000</v>
      </c>
      <c r="M34" s="70">
        <f t="shared" ca="1" si="167"/>
        <v>226402.94625000001</v>
      </c>
      <c r="N34" s="70">
        <f t="shared" ca="1" si="167"/>
        <v>-164894.90375</v>
      </c>
      <c r="O34" s="70">
        <f t="shared" ca="1" si="167"/>
        <v>-273652.42125000001</v>
      </c>
      <c r="P34" s="70">
        <f t="shared" ca="1" si="167"/>
        <v>-260295.35921875</v>
      </c>
      <c r="Q34" s="70">
        <f t="shared" ca="1" si="167"/>
        <v>-388719.94518109376</v>
      </c>
      <c r="R34" s="70">
        <f t="shared" ca="1" si="167"/>
        <v>-754582.4006703645</v>
      </c>
      <c r="S34" s="70">
        <f t="shared" ca="1" si="167"/>
        <v>-477097.97193890635</v>
      </c>
      <c r="T34" s="70">
        <f t="shared" ca="1" si="167"/>
        <v>-1162859.0264392709</v>
      </c>
      <c r="U34" s="70">
        <f t="shared" ca="1" si="167"/>
        <v>-1057761.3456667708</v>
      </c>
      <c r="V34" s="70">
        <f t="shared" ca="1" si="167"/>
        <v>-1278038.8396971875</v>
      </c>
      <c r="W34" s="70">
        <f t="shared" ca="1" si="167"/>
        <v>-1595035.2244333331</v>
      </c>
      <c r="X34" s="70">
        <f t="shared" ca="1" si="167"/>
        <v>-707797.4065233334</v>
      </c>
      <c r="Y34" s="70">
        <f t="shared" ca="1" si="167"/>
        <v>-650326.05393549497</v>
      </c>
      <c r="Z34" s="70">
        <f t="shared" ca="1" si="167"/>
        <v>-135583.45358979166</v>
      </c>
      <c r="AA34" s="70">
        <f t="shared" ca="1" si="167"/>
        <v>-135683.92581401393</v>
      </c>
      <c r="AB34" s="70">
        <f t="shared" ca="1" si="167"/>
        <v>315516.07418598607</v>
      </c>
      <c r="AC34" s="70">
        <f t="shared" ca="1" si="167"/>
        <v>409320.66848353203</v>
      </c>
      <c r="AD34" s="70">
        <f t="shared" ca="1" si="167"/>
        <v>-228631.80733483157</v>
      </c>
      <c r="AE34" s="70">
        <f t="shared" ca="1" si="167"/>
        <v>423189.60933183512</v>
      </c>
      <c r="AF34" s="70">
        <f t="shared" ca="1" si="167"/>
        <v>458198.57641526632</v>
      </c>
      <c r="AG34" s="70">
        <f t="shared" ca="1" si="167"/>
        <v>458198.57641526632</v>
      </c>
      <c r="AH34" s="70">
        <f t="shared" ca="1" si="167"/>
        <v>458198.57641526632</v>
      </c>
      <c r="AI34" s="70">
        <f t="shared" ca="1" si="167"/>
        <v>123779.67173131322</v>
      </c>
      <c r="AJ34" s="70">
        <f t="shared" ca="1" si="167"/>
        <v>351343.51532712294</v>
      </c>
      <c r="AK34" s="70">
        <f t="shared" ca="1" si="167"/>
        <v>454306.66863371251</v>
      </c>
      <c r="AL34" s="70">
        <f t="shared" ca="1" si="167"/>
        <v>459461.99995747552</v>
      </c>
      <c r="AM34" s="70">
        <f t="shared" ca="1" si="167"/>
        <v>460582.59327730467</v>
      </c>
      <c r="AN34" s="70">
        <f t="shared" ca="1" si="167"/>
        <v>462914.90710318129</v>
      </c>
      <c r="AO34" s="70">
        <f t="shared" ca="1" si="167"/>
        <v>479724.35405696684</v>
      </c>
      <c r="AP34" s="70">
        <f t="shared" ca="1" si="167"/>
        <v>479724.35405696684</v>
      </c>
      <c r="AQ34" s="70">
        <f t="shared" ca="1" si="167"/>
        <v>347349.50992027612</v>
      </c>
      <c r="AR34" s="70">
        <f t="shared" ca="1" si="167"/>
        <v>-49457.114241703821</v>
      </c>
      <c r="AS34" s="70">
        <f t="shared" ca="1" si="167"/>
        <v>406434.62775947101</v>
      </c>
      <c r="AT34" s="70">
        <f t="shared" ca="1" si="167"/>
        <v>33975.810445757001</v>
      </c>
      <c r="AU34" s="70">
        <f t="shared" ca="1" si="167"/>
        <v>156604.80750975659</v>
      </c>
      <c r="AV34" s="70">
        <f t="shared" ca="1" si="167"/>
        <v>-558774.90013091359</v>
      </c>
      <c r="AW34" s="70">
        <f t="shared" ca="1" si="167"/>
        <v>133605.40669186669</v>
      </c>
      <c r="AX34" s="70">
        <f t="shared" ca="1" si="167"/>
        <v>474331.98955456371</v>
      </c>
      <c r="AY34" s="70">
        <f t="shared" ca="1" si="167"/>
        <v>491094.65799476643</v>
      </c>
      <c r="AZ34" s="70">
        <f t="shared" ca="1" si="167"/>
        <v>492154.49574090616</v>
      </c>
      <c r="BA34" s="70">
        <f t="shared" ca="1" si="167"/>
        <v>238372.85080845351</v>
      </c>
      <c r="BB34" s="70">
        <f t="shared" ca="1" si="167"/>
        <v>491561.07580845355</v>
      </c>
      <c r="BC34" s="70">
        <f t="shared" ca="1" si="167"/>
        <v>506569.25161858177</v>
      </c>
      <c r="BD34" s="70">
        <f t="shared" ca="1" si="167"/>
        <v>506569.25161858177</v>
      </c>
      <c r="BE34" s="70">
        <f t="shared" ca="1" si="167"/>
        <v>381373.49967809184</v>
      </c>
      <c r="BF34" s="70">
        <f t="shared" ca="1" si="167"/>
        <v>302703.13328728289</v>
      </c>
      <c r="BG34" s="70">
        <f t="shared" ca="1" si="167"/>
        <v>500015.65049845708</v>
      </c>
      <c r="BH34" s="70">
        <f t="shared" ca="1" si="167"/>
        <v>511051.07388825732</v>
      </c>
      <c r="BI34" s="70">
        <f t="shared" ca="1" si="167"/>
        <v>511289.54736565467</v>
      </c>
      <c r="BJ34" s="70">
        <f t="shared" ca="1" si="167"/>
        <v>511289.54736565467</v>
      </c>
      <c r="BK34" s="70">
        <f t="shared" ca="1" si="167"/>
        <v>-149390.06011166732</v>
      </c>
      <c r="BL34" s="70">
        <f t="shared" ca="1" si="167"/>
        <v>472410.43363833264</v>
      </c>
      <c r="BM34" s="70">
        <f t="shared" ca="1" si="167"/>
        <v>522542.76519615419</v>
      </c>
      <c r="BN34" s="70">
        <f t="shared" ca="1" si="167"/>
        <v>522542.76519615419</v>
      </c>
      <c r="BO34" s="70">
        <f t="shared" ca="1" si="167"/>
        <v>522542.76519615419</v>
      </c>
      <c r="BP34" s="70">
        <f t="shared" ca="1" si="167"/>
        <v>524573.63810542691</v>
      </c>
      <c r="BQ34" s="70">
        <f t="shared" ca="1" si="167"/>
        <v>524573.63810542691</v>
      </c>
      <c r="BR34" s="70">
        <f t="shared" ca="1" si="167"/>
        <v>524573.63810542691</v>
      </c>
      <c r="BS34" s="70">
        <f t="shared" ca="1" si="167"/>
        <v>524573.63810542691</v>
      </c>
      <c r="BT34" s="70">
        <f t="shared" ca="1" si="167"/>
        <v>83291141.147632092</v>
      </c>
      <c r="BU34" s="70">
        <f t="shared" ca="1" si="167"/>
        <v>0</v>
      </c>
      <c r="BV34" s="70">
        <f t="shared" ca="1" si="167"/>
        <v>0</v>
      </c>
      <c r="BW34" s="70">
        <f t="shared" ca="1" si="167"/>
        <v>0</v>
      </c>
      <c r="BX34" s="70">
        <f t="shared" ref="BX34:CF34" ca="1" si="168">SUM(BX27,BX29:BX32)</f>
        <v>0</v>
      </c>
      <c r="BY34" s="70">
        <f t="shared" ca="1" si="168"/>
        <v>0</v>
      </c>
      <c r="BZ34" s="70">
        <f t="shared" ca="1" si="168"/>
        <v>0</v>
      </c>
      <c r="CA34" s="70">
        <f t="shared" ca="1" si="168"/>
        <v>0</v>
      </c>
      <c r="CB34" s="70">
        <f t="shared" ca="1" si="168"/>
        <v>0</v>
      </c>
      <c r="CC34" s="70">
        <f t="shared" ca="1" si="168"/>
        <v>0</v>
      </c>
      <c r="CD34" s="70">
        <f t="shared" ca="1" si="168"/>
        <v>0</v>
      </c>
      <c r="CE34" s="70">
        <f t="shared" ca="1" si="168"/>
        <v>0</v>
      </c>
      <c r="CF34" s="70">
        <f t="shared" ca="1" si="168"/>
        <v>0</v>
      </c>
    </row>
    <row r="35" spans="1:84">
      <c r="A35" s="64" t="s">
        <v>197</v>
      </c>
      <c r="B35" s="272">
        <f ca="1">XIRR(L34:CF34,$L$5:$CF$5)</f>
        <v>0.11468806862831116</v>
      </c>
      <c r="C35" s="64"/>
      <c r="D35" s="71"/>
      <c r="E35" s="71"/>
      <c r="F35" s="71"/>
      <c r="G35" s="71"/>
      <c r="H35" s="71"/>
      <c r="I35" s="71"/>
      <c r="J35" s="71"/>
      <c r="K35" s="71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  <c r="AA35" s="69"/>
      <c r="AB35" s="69"/>
      <c r="AC35" s="69"/>
      <c r="AD35" s="69"/>
      <c r="AE35" s="69"/>
      <c r="AF35" s="69"/>
      <c r="AG35" s="69"/>
      <c r="AH35" s="69"/>
      <c r="AI35" s="69"/>
      <c r="AJ35" s="69"/>
      <c r="AK35" s="69"/>
      <c r="AL35" s="69"/>
      <c r="AM35" s="69"/>
      <c r="AN35" s="69"/>
      <c r="AO35" s="69"/>
      <c r="AP35" s="69"/>
      <c r="AQ35" s="69"/>
      <c r="AR35" s="69"/>
      <c r="AS35" s="69"/>
      <c r="AT35" s="69"/>
      <c r="AU35" s="69"/>
      <c r="AV35" s="69"/>
      <c r="AW35" s="69"/>
      <c r="AX35" s="69"/>
      <c r="AY35" s="69"/>
      <c r="AZ35" s="69"/>
      <c r="BA35" s="69"/>
      <c r="BB35" s="69"/>
      <c r="BC35" s="69"/>
      <c r="BD35" s="69"/>
      <c r="BE35" s="69"/>
      <c r="BF35" s="69"/>
      <c r="BG35" s="69"/>
      <c r="BH35" s="69"/>
      <c r="BI35" s="69"/>
      <c r="BJ35" s="69"/>
      <c r="BK35" s="69"/>
      <c r="BL35" s="69"/>
      <c r="BM35" s="69"/>
      <c r="BN35" s="69"/>
      <c r="BO35" s="69"/>
      <c r="BP35" s="69"/>
      <c r="BQ35" s="69"/>
      <c r="BR35" s="69"/>
      <c r="BS35" s="69"/>
      <c r="BT35" s="69"/>
      <c r="BU35" s="69"/>
      <c r="BV35" s="69"/>
      <c r="BW35" s="69"/>
      <c r="BX35" s="69"/>
      <c r="BY35" s="69"/>
      <c r="BZ35" s="69"/>
      <c r="CA35" s="69"/>
      <c r="CB35" s="69"/>
      <c r="CC35" s="69"/>
      <c r="CD35" s="69"/>
      <c r="CE35" s="69"/>
      <c r="CF35" s="69"/>
    </row>
    <row r="36" spans="1:84">
      <c r="A36" s="64" t="s">
        <v>203</v>
      </c>
      <c r="B36" s="71">
        <f ca="1">-SUMIF(L34:CF34,"&lt;0")</f>
        <v>61528582.159927428</v>
      </c>
      <c r="C36" s="64"/>
      <c r="D36" s="71"/>
      <c r="E36" s="71"/>
      <c r="F36" s="71"/>
      <c r="G36" s="71"/>
      <c r="H36" s="71"/>
      <c r="I36" s="71"/>
      <c r="J36" s="71"/>
      <c r="K36" s="71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69"/>
      <c r="Y36" s="69"/>
      <c r="Z36" s="69"/>
      <c r="AA36" s="69"/>
      <c r="AB36" s="69"/>
      <c r="AC36" s="69"/>
      <c r="AD36" s="69"/>
      <c r="AE36" s="69"/>
      <c r="AF36" s="69"/>
      <c r="AG36" s="69"/>
      <c r="AH36" s="69"/>
      <c r="AI36" s="69"/>
      <c r="AJ36" s="69"/>
      <c r="AK36" s="69"/>
      <c r="AL36" s="69"/>
      <c r="AM36" s="69"/>
      <c r="AN36" s="69"/>
      <c r="AO36" s="69"/>
      <c r="AP36" s="69"/>
      <c r="AQ36" s="69"/>
      <c r="AR36" s="69"/>
      <c r="AS36" s="69"/>
      <c r="AT36" s="69"/>
      <c r="AU36" s="69"/>
      <c r="AV36" s="69"/>
      <c r="AW36" s="69"/>
      <c r="AX36" s="69"/>
      <c r="AY36" s="69"/>
      <c r="AZ36" s="69"/>
      <c r="BA36" s="69"/>
      <c r="BB36" s="69"/>
      <c r="BC36" s="69"/>
      <c r="BD36" s="69"/>
      <c r="BE36" s="69"/>
      <c r="BF36" s="69"/>
      <c r="BG36" s="69"/>
      <c r="BH36" s="69"/>
      <c r="BI36" s="69"/>
      <c r="BJ36" s="69"/>
      <c r="BK36" s="69"/>
      <c r="BL36" s="69"/>
      <c r="BM36" s="69"/>
      <c r="BN36" s="69"/>
      <c r="BO36" s="69"/>
      <c r="BP36" s="69"/>
      <c r="BQ36" s="69"/>
      <c r="BR36" s="69"/>
      <c r="BS36" s="69"/>
      <c r="BT36" s="69"/>
      <c r="BU36" s="69"/>
      <c r="BV36" s="69"/>
      <c r="BW36" s="69"/>
      <c r="BX36" s="69"/>
      <c r="BY36" s="69"/>
      <c r="BZ36" s="69"/>
      <c r="CA36" s="69"/>
      <c r="CB36" s="69"/>
      <c r="CC36" s="69"/>
      <c r="CD36" s="69"/>
      <c r="CE36" s="69"/>
      <c r="CF36" s="69"/>
    </row>
    <row r="37" spans="1:84">
      <c r="A37" s="64" t="s">
        <v>204</v>
      </c>
      <c r="B37" s="71">
        <f ca="1">SUM(L34:CF34)</f>
        <v>38918101.54854919</v>
      </c>
      <c r="C37" s="64"/>
      <c r="D37" s="71"/>
      <c r="E37" s="71"/>
      <c r="F37" s="71"/>
      <c r="G37" s="71"/>
      <c r="H37" s="71"/>
      <c r="I37" s="71"/>
      <c r="J37" s="71"/>
      <c r="K37" s="71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  <c r="AA37" s="69"/>
      <c r="AB37" s="69"/>
      <c r="AC37" s="69"/>
      <c r="AD37" s="69"/>
      <c r="AE37" s="69"/>
      <c r="AF37" s="69"/>
      <c r="AG37" s="69"/>
      <c r="AH37" s="69"/>
      <c r="AI37" s="69"/>
      <c r="AJ37" s="69"/>
      <c r="AK37" s="69"/>
      <c r="AL37" s="69"/>
      <c r="AM37" s="69"/>
      <c r="AN37" s="69"/>
      <c r="AO37" s="69"/>
      <c r="AP37" s="69"/>
      <c r="AQ37" s="69"/>
      <c r="AR37" s="69"/>
      <c r="AS37" s="69"/>
      <c r="AT37" s="69"/>
      <c r="AU37" s="69"/>
      <c r="AV37" s="69"/>
      <c r="AW37" s="69"/>
      <c r="AX37" s="69"/>
      <c r="AY37" s="69"/>
      <c r="AZ37" s="69"/>
      <c r="BA37" s="69"/>
      <c r="BB37" s="69"/>
      <c r="BC37" s="69"/>
      <c r="BD37" s="69"/>
      <c r="BE37" s="69"/>
      <c r="BF37" s="69"/>
      <c r="BG37" s="69"/>
      <c r="BH37" s="69"/>
      <c r="BI37" s="69"/>
      <c r="BJ37" s="69"/>
      <c r="BK37" s="69"/>
      <c r="BL37" s="69"/>
      <c r="BM37" s="69"/>
      <c r="BN37" s="69"/>
      <c r="BO37" s="69"/>
      <c r="BP37" s="69"/>
      <c r="BQ37" s="69"/>
      <c r="BR37" s="69"/>
      <c r="BS37" s="69"/>
      <c r="BT37" s="69"/>
      <c r="BU37" s="69"/>
      <c r="BV37" s="69"/>
      <c r="BW37" s="69"/>
      <c r="BX37" s="69"/>
      <c r="BY37" s="69"/>
      <c r="BZ37" s="69"/>
      <c r="CA37" s="69"/>
      <c r="CB37" s="69"/>
      <c r="CC37" s="69"/>
      <c r="CD37" s="69"/>
      <c r="CE37" s="69"/>
      <c r="CF37" s="69"/>
    </row>
    <row r="38" spans="1:84">
      <c r="A38" s="64" t="s">
        <v>198</v>
      </c>
      <c r="B38" s="68">
        <f ca="1">B37/B36+1</f>
        <v>1.6325206949737892</v>
      </c>
      <c r="C38" s="64"/>
      <c r="D38" s="71"/>
      <c r="E38" s="71"/>
      <c r="F38" s="71"/>
      <c r="G38" s="71"/>
      <c r="H38" s="71"/>
      <c r="I38" s="71"/>
      <c r="J38" s="71"/>
      <c r="K38" s="71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  <c r="AA38" s="69"/>
      <c r="AB38" s="69"/>
      <c r="AC38" s="69"/>
      <c r="AD38" s="69"/>
      <c r="AE38" s="69"/>
      <c r="AF38" s="69"/>
      <c r="AG38" s="69"/>
      <c r="AH38" s="69"/>
      <c r="AI38" s="69"/>
      <c r="AJ38" s="69"/>
      <c r="AK38" s="69"/>
      <c r="AL38" s="69"/>
      <c r="AM38" s="69"/>
      <c r="AN38" s="69"/>
      <c r="AO38" s="69"/>
      <c r="AP38" s="69"/>
      <c r="AQ38" s="69"/>
      <c r="AR38" s="69"/>
      <c r="AS38" s="69"/>
      <c r="AT38" s="69"/>
      <c r="AU38" s="69"/>
      <c r="AV38" s="69"/>
      <c r="AW38" s="69"/>
      <c r="AX38" s="69"/>
      <c r="AY38" s="69"/>
      <c r="AZ38" s="69"/>
      <c r="BA38" s="69"/>
      <c r="BB38" s="69"/>
      <c r="BC38" s="69"/>
      <c r="BD38" s="69"/>
      <c r="BE38" s="69"/>
      <c r="BF38" s="69"/>
      <c r="BG38" s="69"/>
      <c r="BH38" s="69"/>
      <c r="BI38" s="69"/>
      <c r="BJ38" s="69"/>
      <c r="BK38" s="69"/>
      <c r="BL38" s="69"/>
      <c r="BM38" s="69"/>
      <c r="BN38" s="69"/>
      <c r="BO38" s="69"/>
      <c r="BP38" s="69"/>
      <c r="BQ38" s="69"/>
      <c r="BR38" s="69"/>
      <c r="BS38" s="69"/>
      <c r="BT38" s="69"/>
      <c r="BU38" s="69"/>
      <c r="BV38" s="69"/>
      <c r="BW38" s="69"/>
      <c r="BX38" s="69"/>
      <c r="BY38" s="69"/>
      <c r="BZ38" s="69"/>
      <c r="CA38" s="69"/>
      <c r="CB38" s="69"/>
      <c r="CC38" s="69"/>
      <c r="CD38" s="69"/>
      <c r="CE38" s="69"/>
      <c r="CF38" s="69"/>
    </row>
    <row r="39" spans="1:84"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  <c r="AA39" s="69"/>
      <c r="AB39" s="69"/>
      <c r="AC39" s="69"/>
      <c r="AD39" s="69"/>
      <c r="AE39" s="69"/>
      <c r="AF39" s="69"/>
      <c r="AG39" s="69"/>
      <c r="AH39" s="69"/>
      <c r="AI39" s="69"/>
      <c r="AJ39" s="69"/>
      <c r="AK39" s="69"/>
      <c r="AL39" s="69"/>
      <c r="AM39" s="69"/>
      <c r="AN39" s="69"/>
      <c r="AO39" s="69"/>
      <c r="AP39" s="69"/>
      <c r="AQ39" s="69"/>
      <c r="AR39" s="69"/>
      <c r="AS39" s="69"/>
      <c r="AT39" s="69"/>
      <c r="AU39" s="69"/>
      <c r="AV39" s="69"/>
      <c r="AW39" s="69"/>
      <c r="AX39" s="69"/>
      <c r="AY39" s="69"/>
      <c r="AZ39" s="69"/>
      <c r="BA39" s="69"/>
      <c r="BB39" s="69"/>
      <c r="BC39" s="69"/>
      <c r="BD39" s="69"/>
      <c r="BE39" s="69"/>
      <c r="BF39" s="69"/>
      <c r="BG39" s="69"/>
      <c r="BH39" s="69"/>
      <c r="BI39" s="69"/>
      <c r="BJ39" s="69"/>
      <c r="BK39" s="69"/>
      <c r="BL39" s="69"/>
      <c r="BM39" s="69"/>
      <c r="BN39" s="69"/>
      <c r="BO39" s="69"/>
      <c r="BP39" s="69"/>
      <c r="BQ39" s="69"/>
      <c r="BR39" s="69"/>
      <c r="BS39" s="69"/>
      <c r="BT39" s="69"/>
      <c r="BU39" s="69"/>
      <c r="BV39" s="69"/>
      <c r="BW39" s="69"/>
      <c r="BX39" s="69"/>
      <c r="BY39" s="69"/>
      <c r="BZ39" s="69"/>
      <c r="CA39" s="69"/>
      <c r="CB39" s="69"/>
      <c r="CC39" s="69"/>
      <c r="CD39" s="69"/>
      <c r="CE39" s="69"/>
      <c r="CF39" s="69"/>
    </row>
    <row r="40" spans="1:84"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  <c r="AB40" s="69"/>
      <c r="AC40" s="69"/>
      <c r="AD40" s="69"/>
      <c r="AE40" s="69"/>
      <c r="AF40" s="69"/>
      <c r="AG40" s="69"/>
      <c r="AH40" s="69"/>
      <c r="AI40" s="69"/>
      <c r="AJ40" s="69"/>
      <c r="AK40" s="69"/>
      <c r="AL40" s="69"/>
      <c r="AM40" s="69"/>
      <c r="AN40" s="69"/>
      <c r="AO40" s="69"/>
      <c r="AP40" s="69"/>
      <c r="AQ40" s="69"/>
      <c r="AR40" s="69"/>
      <c r="AS40" s="69"/>
      <c r="AT40" s="69"/>
      <c r="AU40" s="69"/>
      <c r="AV40" s="69"/>
      <c r="AW40" s="69"/>
      <c r="AX40" s="69"/>
      <c r="AY40" s="69"/>
      <c r="AZ40" s="69"/>
      <c r="BA40" s="69"/>
      <c r="BB40" s="69"/>
      <c r="BC40" s="69"/>
      <c r="BD40" s="69"/>
      <c r="BE40" s="69"/>
      <c r="BF40" s="69"/>
      <c r="BG40" s="69"/>
      <c r="BH40" s="69"/>
      <c r="BI40" s="69"/>
      <c r="BJ40" s="69"/>
      <c r="BK40" s="69"/>
      <c r="BL40" s="69"/>
      <c r="BM40" s="69"/>
      <c r="BN40" s="69"/>
      <c r="BO40" s="69"/>
      <c r="BP40" s="69"/>
      <c r="BQ40" s="69"/>
      <c r="BR40" s="69"/>
      <c r="BS40" s="69"/>
      <c r="BT40" s="69"/>
      <c r="BU40" s="69"/>
      <c r="BV40" s="69"/>
      <c r="BW40" s="69"/>
      <c r="BX40" s="69"/>
      <c r="BY40" s="69"/>
      <c r="BZ40" s="69"/>
      <c r="CA40" s="69"/>
      <c r="CB40" s="69"/>
      <c r="CC40" s="69"/>
      <c r="CD40" s="69"/>
      <c r="CE40" s="69"/>
      <c r="CF40" s="69"/>
    </row>
    <row r="41" spans="1:84">
      <c r="A41" s="17" t="s">
        <v>266</v>
      </c>
      <c r="D41" s="69"/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  <c r="AA41" s="69"/>
      <c r="AB41" s="69"/>
      <c r="AC41" s="69"/>
      <c r="AD41" s="69"/>
      <c r="AE41" s="69"/>
      <c r="AF41" s="69"/>
      <c r="AG41" s="69"/>
      <c r="AH41" s="69"/>
      <c r="AI41" s="69"/>
      <c r="AJ41" s="69"/>
      <c r="AK41" s="69"/>
      <c r="AL41" s="69"/>
      <c r="AM41" s="69"/>
      <c r="AN41" s="69"/>
      <c r="AO41" s="69"/>
      <c r="AP41" s="69"/>
      <c r="AQ41" s="69"/>
      <c r="AR41" s="69"/>
      <c r="AS41" s="69"/>
      <c r="AT41" s="69"/>
      <c r="AU41" s="69"/>
      <c r="AV41" s="69"/>
      <c r="AW41" s="69"/>
      <c r="AX41" s="69"/>
      <c r="AY41" s="69"/>
      <c r="AZ41" s="69"/>
      <c r="BA41" s="69"/>
      <c r="BB41" s="69"/>
      <c r="BC41" s="69"/>
      <c r="BD41" s="69"/>
      <c r="BE41" s="69"/>
      <c r="BF41" s="69"/>
      <c r="BG41" s="69"/>
      <c r="BH41" s="69"/>
      <c r="BI41" s="69"/>
      <c r="BJ41" s="69"/>
      <c r="BK41" s="69"/>
      <c r="BL41" s="69"/>
      <c r="BM41" s="69"/>
      <c r="BN41" s="69"/>
      <c r="BO41" s="69"/>
      <c r="BP41" s="69"/>
      <c r="BQ41" s="69"/>
      <c r="BR41" s="69"/>
      <c r="BS41" s="69"/>
      <c r="BT41" s="69"/>
      <c r="BU41" s="69"/>
      <c r="BV41" s="69"/>
      <c r="BW41" s="69"/>
      <c r="BX41" s="69"/>
      <c r="BY41" s="69"/>
      <c r="BZ41" s="69"/>
      <c r="CA41" s="69"/>
      <c r="CB41" s="69"/>
      <c r="CC41" s="69"/>
      <c r="CD41" s="69"/>
      <c r="CE41" s="69"/>
      <c r="CF41" s="69"/>
    </row>
    <row r="42" spans="1:84">
      <c r="A42" s="104" t="s">
        <v>268</v>
      </c>
      <c r="B42" s="106"/>
      <c r="D42" s="69"/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/>
      <c r="AA42" s="69"/>
      <c r="AB42" s="69"/>
      <c r="AC42" s="69"/>
      <c r="AD42" s="69"/>
      <c r="AE42" s="69"/>
      <c r="AF42" s="69"/>
      <c r="AG42" s="69"/>
      <c r="AH42" s="69"/>
      <c r="AI42" s="69"/>
      <c r="AJ42" s="69"/>
      <c r="AK42" s="69"/>
      <c r="AL42" s="69"/>
      <c r="AM42" s="69"/>
      <c r="AN42" s="69"/>
      <c r="AO42" s="69"/>
      <c r="AP42" s="69"/>
      <c r="AQ42" s="69"/>
      <c r="AR42" s="69"/>
      <c r="AS42" s="69"/>
      <c r="AT42" s="69"/>
      <c r="AU42" s="69"/>
      <c r="AV42" s="69"/>
      <c r="AW42" s="69"/>
      <c r="AX42" s="69"/>
      <c r="AY42" s="69"/>
      <c r="AZ42" s="69"/>
      <c r="BA42" s="69"/>
      <c r="BB42" s="69"/>
      <c r="BC42" s="69"/>
      <c r="BD42" s="69"/>
      <c r="BE42" s="69"/>
      <c r="BF42" s="69"/>
      <c r="BG42" s="69"/>
      <c r="BH42" s="69"/>
      <c r="BI42" s="69"/>
      <c r="BJ42" s="69"/>
      <c r="BK42" s="69"/>
      <c r="BL42" s="69"/>
      <c r="BM42" s="69"/>
      <c r="BN42" s="69"/>
      <c r="BO42" s="69"/>
      <c r="BP42" s="69"/>
      <c r="BQ42" s="69"/>
      <c r="BR42" s="69"/>
      <c r="BS42" s="69"/>
      <c r="BT42" s="69"/>
      <c r="BU42" s="69"/>
      <c r="BV42" s="69"/>
      <c r="BW42" s="69"/>
      <c r="BX42" s="69"/>
      <c r="BY42" s="69"/>
      <c r="BZ42" s="69"/>
      <c r="CA42" s="69"/>
      <c r="CB42" s="69"/>
      <c r="CC42" s="69"/>
      <c r="CD42" s="69"/>
      <c r="CE42" s="69"/>
      <c r="CF42" s="69"/>
    </row>
    <row r="43" spans="1:84">
      <c r="A43" s="17" t="s">
        <v>269</v>
      </c>
      <c r="B43" s="106"/>
      <c r="D43" s="70">
        <v>0</v>
      </c>
      <c r="E43" s="70">
        <f ca="1">D48</f>
        <v>38625000</v>
      </c>
      <c r="F43" s="70">
        <f t="shared" ref="F43:J43" ca="1" si="169">E48</f>
        <v>47665743.890740864</v>
      </c>
      <c r="G43" s="70">
        <f t="shared" ca="1" si="169"/>
        <v>52075650.630648524</v>
      </c>
      <c r="H43" s="70">
        <f t="shared" ca="1" si="169"/>
        <v>0</v>
      </c>
      <c r="I43" s="70">
        <f t="shared" ca="1" si="169"/>
        <v>0</v>
      </c>
      <c r="J43" s="70">
        <f t="shared" ca="1" si="169"/>
        <v>0</v>
      </c>
      <c r="K43" s="69"/>
      <c r="L43" s="70">
        <v>0</v>
      </c>
      <c r="M43" s="70">
        <f ca="1">L48</f>
        <v>38625000</v>
      </c>
      <c r="N43" s="70">
        <f t="shared" ref="N43:BY43" ca="1" si="170">M48</f>
        <v>38853531.25</v>
      </c>
      <c r="O43" s="70">
        <f t="shared" ca="1" si="170"/>
        <v>39207085.821041666</v>
      </c>
      <c r="P43" s="70">
        <f t="shared" ca="1" si="170"/>
        <v>39644300.394753657</v>
      </c>
      <c r="Q43" s="70">
        <f t="shared" ca="1" si="170"/>
        <v>40074084.024836674</v>
      </c>
      <c r="R43" s="70">
        <f t="shared" ca="1" si="170"/>
        <v>40602728.980869442</v>
      </c>
      <c r="S43" s="70">
        <f t="shared" ca="1" si="170"/>
        <v>41392883.073633246</v>
      </c>
      <c r="T43" s="70">
        <f t="shared" ca="1" si="170"/>
        <v>42003778.040490389</v>
      </c>
      <c r="U43" s="70">
        <f t="shared" ca="1" si="170"/>
        <v>43124444.663726076</v>
      </c>
      <c r="V43" s="70">
        <f t="shared" ca="1" si="170"/>
        <v>44172918.637236528</v>
      </c>
      <c r="W43" s="70">
        <f t="shared" ca="1" si="170"/>
        <v>45392804.202279739</v>
      </c>
      <c r="X43" s="70">
        <f t="shared" ca="1" si="170"/>
        <v>46857654.71213489</v>
      </c>
      <c r="Y43" s="70">
        <f t="shared" ca="1" si="170"/>
        <v>47665743.890740857</v>
      </c>
      <c r="Z43" s="70">
        <f t="shared" ca="1" si="170"/>
        <v>48435510.749212697</v>
      </c>
      <c r="AA43" s="70">
        <f t="shared" ca="1" si="170"/>
        <v>48823775.111337878</v>
      </c>
      <c r="AB43" s="70">
        <f t="shared" ca="1" si="170"/>
        <v>49214412.058440469</v>
      </c>
      <c r="AC43" s="70">
        <f t="shared" ca="1" si="170"/>
        <v>49505597.329786241</v>
      </c>
      <c r="AD43" s="70">
        <f t="shared" ca="1" si="170"/>
        <v>49798505.447320811</v>
      </c>
      <c r="AE43" s="70">
        <f t="shared" ca="1" si="170"/>
        <v>50254799.08814425</v>
      </c>
      <c r="AF43" s="70">
        <f t="shared" ca="1" si="170"/>
        <v>50562051.345902599</v>
      </c>
      <c r="AG43" s="70">
        <f t="shared" ca="1" si="170"/>
        <v>50861210.149699189</v>
      </c>
      <c r="AH43" s="70">
        <f t="shared" ca="1" si="170"/>
        <v>51162138.976418242</v>
      </c>
      <c r="AI43" s="70">
        <f t="shared" ca="1" si="170"/>
        <v>51464848.298695385</v>
      </c>
      <c r="AJ43" s="70">
        <f t="shared" ca="1" si="170"/>
        <v>51769348.651129335</v>
      </c>
      <c r="AK43" s="70">
        <f t="shared" ca="1" si="170"/>
        <v>52075650.630648516</v>
      </c>
      <c r="AL43" s="70">
        <f t="shared" ca="1" si="170"/>
        <v>52383764.896879852</v>
      </c>
      <c r="AM43" s="70">
        <f t="shared" ca="1" si="170"/>
        <v>52693702.172519721</v>
      </c>
      <c r="AN43" s="70">
        <f t="shared" ca="1" si="170"/>
        <v>53005473.243707128</v>
      </c>
      <c r="AO43" s="70">
        <f t="shared" ca="1" si="170"/>
        <v>53319088.960399061</v>
      </c>
      <c r="AP43" s="70">
        <f t="shared" ca="1" si="170"/>
        <v>53634560.236748092</v>
      </c>
      <c r="AQ43" s="70">
        <f t="shared" ca="1" si="170"/>
        <v>53930742.197166577</v>
      </c>
      <c r="AR43" s="70">
        <f t="shared" ca="1" si="170"/>
        <v>54260468.762655362</v>
      </c>
      <c r="AS43" s="70">
        <f t="shared" ca="1" si="170"/>
        <v>54618602.705182351</v>
      </c>
      <c r="AT43" s="70">
        <f t="shared" ca="1" si="170"/>
        <v>54941762.771188013</v>
      </c>
      <c r="AU43" s="70">
        <f t="shared" ca="1" si="170"/>
        <v>55266834.867584206</v>
      </c>
      <c r="AV43" s="70">
        <f t="shared" ca="1" si="170"/>
        <v>55593830.307217412</v>
      </c>
      <c r="AW43" s="70">
        <f t="shared" ca="1" si="170"/>
        <v>0</v>
      </c>
      <c r="AX43" s="70">
        <f t="shared" ca="1" si="170"/>
        <v>0</v>
      </c>
      <c r="AY43" s="70">
        <f t="shared" ca="1" si="170"/>
        <v>0</v>
      </c>
      <c r="AZ43" s="70">
        <f t="shared" ca="1" si="170"/>
        <v>0</v>
      </c>
      <c r="BA43" s="70">
        <f t="shared" ca="1" si="170"/>
        <v>0</v>
      </c>
      <c r="BB43" s="70">
        <f t="shared" ca="1" si="170"/>
        <v>0</v>
      </c>
      <c r="BC43" s="70">
        <f t="shared" ca="1" si="170"/>
        <v>0</v>
      </c>
      <c r="BD43" s="70">
        <f t="shared" ca="1" si="170"/>
        <v>0</v>
      </c>
      <c r="BE43" s="70">
        <f t="shared" ca="1" si="170"/>
        <v>0</v>
      </c>
      <c r="BF43" s="70">
        <f t="shared" ca="1" si="170"/>
        <v>0</v>
      </c>
      <c r="BG43" s="70">
        <f t="shared" ca="1" si="170"/>
        <v>0</v>
      </c>
      <c r="BH43" s="70">
        <f t="shared" ca="1" si="170"/>
        <v>0</v>
      </c>
      <c r="BI43" s="70">
        <f t="shared" ca="1" si="170"/>
        <v>0</v>
      </c>
      <c r="BJ43" s="70">
        <f t="shared" ca="1" si="170"/>
        <v>0</v>
      </c>
      <c r="BK43" s="70">
        <f t="shared" ca="1" si="170"/>
        <v>0</v>
      </c>
      <c r="BL43" s="70">
        <f t="shared" ca="1" si="170"/>
        <v>0</v>
      </c>
      <c r="BM43" s="70">
        <f t="shared" ca="1" si="170"/>
        <v>0</v>
      </c>
      <c r="BN43" s="70">
        <f t="shared" ca="1" si="170"/>
        <v>0</v>
      </c>
      <c r="BO43" s="70">
        <f t="shared" ca="1" si="170"/>
        <v>0</v>
      </c>
      <c r="BP43" s="70">
        <f t="shared" ca="1" si="170"/>
        <v>0</v>
      </c>
      <c r="BQ43" s="70">
        <f t="shared" ca="1" si="170"/>
        <v>0</v>
      </c>
      <c r="BR43" s="70">
        <f t="shared" ca="1" si="170"/>
        <v>0</v>
      </c>
      <c r="BS43" s="70">
        <f t="shared" ca="1" si="170"/>
        <v>0</v>
      </c>
      <c r="BT43" s="70">
        <f t="shared" ca="1" si="170"/>
        <v>0</v>
      </c>
      <c r="BU43" s="70">
        <f t="shared" ca="1" si="170"/>
        <v>0</v>
      </c>
      <c r="BV43" s="70">
        <f t="shared" ca="1" si="170"/>
        <v>0</v>
      </c>
      <c r="BW43" s="70">
        <f t="shared" ca="1" si="170"/>
        <v>0</v>
      </c>
      <c r="BX43" s="70">
        <f t="shared" ca="1" si="170"/>
        <v>0</v>
      </c>
      <c r="BY43" s="70">
        <f t="shared" ca="1" si="170"/>
        <v>0</v>
      </c>
      <c r="BZ43" s="70">
        <f t="shared" ref="BZ43:CF43" ca="1" si="171">BY48</f>
        <v>0</v>
      </c>
      <c r="CA43" s="70">
        <f t="shared" ca="1" si="171"/>
        <v>0</v>
      </c>
      <c r="CB43" s="70">
        <f t="shared" ca="1" si="171"/>
        <v>0</v>
      </c>
      <c r="CC43" s="70">
        <f t="shared" ca="1" si="171"/>
        <v>0</v>
      </c>
      <c r="CD43" s="70">
        <f t="shared" ca="1" si="171"/>
        <v>0</v>
      </c>
      <c r="CE43" s="70">
        <f t="shared" ca="1" si="171"/>
        <v>0</v>
      </c>
      <c r="CF43" s="70">
        <f t="shared" ca="1" si="171"/>
        <v>0</v>
      </c>
    </row>
    <row r="44" spans="1:84">
      <c r="A44" s="105" t="s">
        <v>270</v>
      </c>
      <c r="B44" s="106" t="str">
        <f ca="1">'Leverage Options'!B10</f>
        <v>75%</v>
      </c>
      <c r="D44" s="69">
        <f t="shared" ref="D44:J47" ca="1" si="172">SUMIFS($L44:$CF44,$L$3:$CF$3,D$3)</f>
        <v>38625000</v>
      </c>
      <c r="E44" s="69">
        <f t="shared" ca="1" si="172"/>
        <v>6090551.1335767573</v>
      </c>
      <c r="F44" s="69">
        <f t="shared" ca="1" si="172"/>
        <v>862668.93050559913</v>
      </c>
      <c r="G44" s="69">
        <f t="shared" ca="1" si="172"/>
        <v>456174.01077946305</v>
      </c>
      <c r="H44" s="69">
        <f t="shared" ca="1" si="172"/>
        <v>0</v>
      </c>
      <c r="I44" s="69">
        <f t="shared" ca="1" si="172"/>
        <v>0</v>
      </c>
      <c r="J44" s="69">
        <f t="shared" ca="1" si="172"/>
        <v>0</v>
      </c>
      <c r="K44" s="69"/>
      <c r="L44" s="69">
        <f ca="1">MIN(L34,0)*-$B44*(L$4&lt;=$B47)</f>
        <v>38625000</v>
      </c>
      <c r="M44" s="69">
        <f ca="1">MIN(M34,0)*-$B44*(M$4&lt;=$B47)</f>
        <v>0</v>
      </c>
      <c r="N44" s="69">
        <f t="shared" ref="N44:BY44" ca="1" si="173">MIN(N34,0)*-$B44*(N$4&lt;=$B47)</f>
        <v>123671.1778125</v>
      </c>
      <c r="O44" s="69">
        <f t="shared" ca="1" si="173"/>
        <v>205239.31593750001</v>
      </c>
      <c r="P44" s="69">
        <f t="shared" ca="1" si="173"/>
        <v>195221.5194140625</v>
      </c>
      <c r="Q44" s="69">
        <f t="shared" ca="1" si="173"/>
        <v>291539.95888582035</v>
      </c>
      <c r="R44" s="69">
        <f t="shared" ca="1" si="173"/>
        <v>565936.80050277337</v>
      </c>
      <c r="S44" s="69">
        <f t="shared" ca="1" si="173"/>
        <v>357823.47895417979</v>
      </c>
      <c r="T44" s="69">
        <f t="shared" ca="1" si="173"/>
        <v>872144.2698294532</v>
      </c>
      <c r="U44" s="69">
        <f t="shared" ca="1" si="173"/>
        <v>793321.00925007812</v>
      </c>
      <c r="V44" s="69">
        <f t="shared" ca="1" si="173"/>
        <v>958529.12977289059</v>
      </c>
      <c r="W44" s="69">
        <f t="shared" ca="1" si="173"/>
        <v>1196276.418325</v>
      </c>
      <c r="X44" s="69">
        <f t="shared" ca="1" si="173"/>
        <v>530848.05489250005</v>
      </c>
      <c r="Y44" s="69">
        <f t="shared" ca="1" si="173"/>
        <v>487744.54045162123</v>
      </c>
      <c r="Z44" s="69">
        <f t="shared" ca="1" si="173"/>
        <v>101687.59019234375</v>
      </c>
      <c r="AA44" s="69">
        <f t="shared" ca="1" si="173"/>
        <v>101762.94436051045</v>
      </c>
      <c r="AB44" s="69">
        <f t="shared" ca="1" si="173"/>
        <v>0</v>
      </c>
      <c r="AC44" s="69">
        <f t="shared" ca="1" si="173"/>
        <v>0</v>
      </c>
      <c r="AD44" s="69">
        <f t="shared" ca="1" si="173"/>
        <v>171473.85550112367</v>
      </c>
      <c r="AE44" s="69">
        <f t="shared" ca="1" si="173"/>
        <v>0</v>
      </c>
      <c r="AF44" s="69">
        <f t="shared" ca="1" si="173"/>
        <v>0</v>
      </c>
      <c r="AG44" s="69">
        <f t="shared" ca="1" si="173"/>
        <v>0</v>
      </c>
      <c r="AH44" s="69">
        <f t="shared" ca="1" si="173"/>
        <v>0</v>
      </c>
      <c r="AI44" s="69">
        <f t="shared" ca="1" si="173"/>
        <v>0</v>
      </c>
      <c r="AJ44" s="69">
        <f t="shared" ca="1" si="173"/>
        <v>0</v>
      </c>
      <c r="AK44" s="69">
        <f t="shared" ca="1" si="173"/>
        <v>0</v>
      </c>
      <c r="AL44" s="69">
        <f t="shared" ca="1" si="173"/>
        <v>0</v>
      </c>
      <c r="AM44" s="69">
        <f t="shared" ca="1" si="173"/>
        <v>0</v>
      </c>
      <c r="AN44" s="69">
        <f t="shared" ca="1" si="173"/>
        <v>0</v>
      </c>
      <c r="AO44" s="69">
        <f t="shared" ca="1" si="173"/>
        <v>0</v>
      </c>
      <c r="AP44" s="69">
        <f t="shared" ca="1" si="173"/>
        <v>0</v>
      </c>
      <c r="AQ44" s="69">
        <f t="shared" ca="1" si="173"/>
        <v>0</v>
      </c>
      <c r="AR44" s="69">
        <f t="shared" ca="1" si="173"/>
        <v>37092.835681277866</v>
      </c>
      <c r="AS44" s="69">
        <f t="shared" ca="1" si="173"/>
        <v>0</v>
      </c>
      <c r="AT44" s="69">
        <f t="shared" ca="1" si="173"/>
        <v>0</v>
      </c>
      <c r="AU44" s="69">
        <f t="shared" ca="1" si="173"/>
        <v>0</v>
      </c>
      <c r="AV44" s="69">
        <f t="shared" ca="1" si="173"/>
        <v>419081.17509818519</v>
      </c>
      <c r="AW44" s="69">
        <f t="shared" ca="1" si="173"/>
        <v>0</v>
      </c>
      <c r="AX44" s="69">
        <f t="shared" ca="1" si="173"/>
        <v>0</v>
      </c>
      <c r="AY44" s="69">
        <f t="shared" ca="1" si="173"/>
        <v>0</v>
      </c>
      <c r="AZ44" s="69">
        <f t="shared" ca="1" si="173"/>
        <v>0</v>
      </c>
      <c r="BA44" s="69">
        <f t="shared" ca="1" si="173"/>
        <v>0</v>
      </c>
      <c r="BB44" s="69">
        <f t="shared" ca="1" si="173"/>
        <v>0</v>
      </c>
      <c r="BC44" s="69">
        <f t="shared" ca="1" si="173"/>
        <v>0</v>
      </c>
      <c r="BD44" s="69">
        <f t="shared" ca="1" si="173"/>
        <v>0</v>
      </c>
      <c r="BE44" s="69">
        <f t="shared" ca="1" si="173"/>
        <v>0</v>
      </c>
      <c r="BF44" s="69">
        <f t="shared" ca="1" si="173"/>
        <v>0</v>
      </c>
      <c r="BG44" s="69">
        <f t="shared" ca="1" si="173"/>
        <v>0</v>
      </c>
      <c r="BH44" s="69">
        <f t="shared" ca="1" si="173"/>
        <v>0</v>
      </c>
      <c r="BI44" s="69">
        <f t="shared" ca="1" si="173"/>
        <v>0</v>
      </c>
      <c r="BJ44" s="69">
        <f t="shared" ca="1" si="173"/>
        <v>0</v>
      </c>
      <c r="BK44" s="69">
        <f t="shared" ca="1" si="173"/>
        <v>0</v>
      </c>
      <c r="BL44" s="69">
        <f t="shared" ca="1" si="173"/>
        <v>0</v>
      </c>
      <c r="BM44" s="69">
        <f t="shared" ca="1" si="173"/>
        <v>0</v>
      </c>
      <c r="BN44" s="69">
        <f t="shared" ca="1" si="173"/>
        <v>0</v>
      </c>
      <c r="BO44" s="69">
        <f t="shared" ca="1" si="173"/>
        <v>0</v>
      </c>
      <c r="BP44" s="69">
        <f t="shared" ca="1" si="173"/>
        <v>0</v>
      </c>
      <c r="BQ44" s="69">
        <f t="shared" ca="1" si="173"/>
        <v>0</v>
      </c>
      <c r="BR44" s="69">
        <f t="shared" ca="1" si="173"/>
        <v>0</v>
      </c>
      <c r="BS44" s="69">
        <f t="shared" ca="1" si="173"/>
        <v>0</v>
      </c>
      <c r="BT44" s="69">
        <f t="shared" ca="1" si="173"/>
        <v>0</v>
      </c>
      <c r="BU44" s="69">
        <f t="shared" ca="1" si="173"/>
        <v>0</v>
      </c>
      <c r="BV44" s="69">
        <f t="shared" ca="1" si="173"/>
        <v>0</v>
      </c>
      <c r="BW44" s="69">
        <f t="shared" ca="1" si="173"/>
        <v>0</v>
      </c>
      <c r="BX44" s="69">
        <f t="shared" ca="1" si="173"/>
        <v>0</v>
      </c>
      <c r="BY44" s="69">
        <f t="shared" ca="1" si="173"/>
        <v>0</v>
      </c>
      <c r="BZ44" s="69">
        <f t="shared" ref="BZ44:CF44" ca="1" si="174">MIN(BZ34,0)*-$B44*(BZ$4&lt;=$B47)</f>
        <v>0</v>
      </c>
      <c r="CA44" s="69">
        <f t="shared" ca="1" si="174"/>
        <v>0</v>
      </c>
      <c r="CB44" s="69">
        <f t="shared" ca="1" si="174"/>
        <v>0</v>
      </c>
      <c r="CC44" s="69">
        <f t="shared" ca="1" si="174"/>
        <v>0</v>
      </c>
      <c r="CD44" s="69">
        <f t="shared" ca="1" si="174"/>
        <v>0</v>
      </c>
      <c r="CE44" s="69">
        <f t="shared" ca="1" si="174"/>
        <v>0</v>
      </c>
      <c r="CF44" s="69">
        <f t="shared" ca="1" si="174"/>
        <v>0</v>
      </c>
    </row>
    <row r="45" spans="1:84">
      <c r="A45" s="105" t="s">
        <v>608</v>
      </c>
      <c r="B45" s="106" t="str">
        <f ca="1">'Leverage Options'!B9</f>
        <v>7.10%</v>
      </c>
      <c r="D45" s="69">
        <f t="shared" ca="1" si="172"/>
        <v>0</v>
      </c>
      <c r="E45" s="69">
        <f t="shared" ca="1" si="172"/>
        <v>2950192.7571641086</v>
      </c>
      <c r="F45" s="69">
        <f t="shared" ca="1" si="172"/>
        <v>3547237.8094020607</v>
      </c>
      <c r="G45" s="69">
        <f t="shared" ca="1" si="172"/>
        <v>3810017.0035386654</v>
      </c>
      <c r="H45" s="69">
        <f t="shared" ca="1" si="172"/>
        <v>0</v>
      </c>
      <c r="I45" s="69">
        <f t="shared" ca="1" si="172"/>
        <v>0</v>
      </c>
      <c r="J45" s="69">
        <f t="shared" ca="1" si="172"/>
        <v>0</v>
      </c>
      <c r="K45" s="69"/>
      <c r="L45" s="69">
        <f ca="1">$B45*L43*YEARFRAC(K5,L5,0)</f>
        <v>0</v>
      </c>
      <c r="M45" s="69">
        <f ca="1">$B45*M43*YEARFRAC(L5,M5,0)</f>
        <v>228531.24999999994</v>
      </c>
      <c r="N45" s="69">
        <f t="shared" ref="N45:BY45" ca="1" si="175">$B45*N43*YEARFRAC(M5,N5,0)</f>
        <v>229883.39322916663</v>
      </c>
      <c r="O45" s="69">
        <f t="shared" ca="1" si="175"/>
        <v>231975.25777449648</v>
      </c>
      <c r="P45" s="69">
        <f t="shared" ca="1" si="175"/>
        <v>234562.11066895913</v>
      </c>
      <c r="Q45" s="69">
        <f t="shared" ca="1" si="175"/>
        <v>237104.99714695028</v>
      </c>
      <c r="R45" s="69">
        <f t="shared" ca="1" si="175"/>
        <v>224217.29226102348</v>
      </c>
      <c r="S45" s="69">
        <f t="shared" ca="1" si="175"/>
        <v>253071.48790296324</v>
      </c>
      <c r="T45" s="69">
        <f t="shared" ca="1" si="175"/>
        <v>248522.35340623476</v>
      </c>
      <c r="U45" s="69">
        <f t="shared" ca="1" si="175"/>
        <v>255152.96426037926</v>
      </c>
      <c r="V45" s="69">
        <f t="shared" ca="1" si="175"/>
        <v>261356.43527031608</v>
      </c>
      <c r="W45" s="69">
        <f t="shared" ca="1" si="175"/>
        <v>268574.09153015504</v>
      </c>
      <c r="X45" s="69">
        <f t="shared" ca="1" si="175"/>
        <v>277241.12371346471</v>
      </c>
      <c r="Y45" s="69">
        <f t="shared" ca="1" si="175"/>
        <v>282022.31802021665</v>
      </c>
      <c r="Z45" s="69">
        <f t="shared" ca="1" si="175"/>
        <v>286576.77193284174</v>
      </c>
      <c r="AA45" s="69">
        <f t="shared" ca="1" si="175"/>
        <v>288874.0027420824</v>
      </c>
      <c r="AB45" s="69">
        <f t="shared" ca="1" si="175"/>
        <v>291185.27134577272</v>
      </c>
      <c r="AC45" s="69">
        <f t="shared" ca="1" si="175"/>
        <v>292908.11753456853</v>
      </c>
      <c r="AD45" s="69">
        <f t="shared" ca="1" si="175"/>
        <v>284819.78532231541</v>
      </c>
      <c r="AE45" s="69">
        <f t="shared" ca="1" si="175"/>
        <v>307252.2577583486</v>
      </c>
      <c r="AF45" s="69">
        <f t="shared" ca="1" si="175"/>
        <v>299158.80379659031</v>
      </c>
      <c r="AG45" s="69">
        <f t="shared" ca="1" si="175"/>
        <v>300928.8267190535</v>
      </c>
      <c r="AH45" s="69">
        <f t="shared" ca="1" si="175"/>
        <v>302709.32227714121</v>
      </c>
      <c r="AI45" s="69">
        <f t="shared" ca="1" si="175"/>
        <v>304500.35243394761</v>
      </c>
      <c r="AJ45" s="69">
        <f t="shared" ca="1" si="175"/>
        <v>306301.97951918188</v>
      </c>
      <c r="AK45" s="69">
        <f t="shared" ca="1" si="175"/>
        <v>308114.26623133698</v>
      </c>
      <c r="AL45" s="69">
        <f t="shared" ca="1" si="175"/>
        <v>309937.27563987242</v>
      </c>
      <c r="AM45" s="69">
        <f t="shared" ca="1" si="175"/>
        <v>311771.07118740829</v>
      </c>
      <c r="AN45" s="69">
        <f t="shared" ca="1" si="175"/>
        <v>313615.71669193381</v>
      </c>
      <c r="AO45" s="69">
        <f t="shared" ca="1" si="175"/>
        <v>315471.27634902776</v>
      </c>
      <c r="AP45" s="69">
        <f t="shared" ca="1" si="175"/>
        <v>296181.96041848668</v>
      </c>
      <c r="AQ45" s="69">
        <f t="shared" ca="1" si="175"/>
        <v>329726.56548878783</v>
      </c>
      <c r="AR45" s="69">
        <f t="shared" ca="1" si="175"/>
        <v>321041.10684571083</v>
      </c>
      <c r="AS45" s="69">
        <f t="shared" ca="1" si="175"/>
        <v>323160.0660056622</v>
      </c>
      <c r="AT45" s="69">
        <f t="shared" ca="1" si="175"/>
        <v>325072.0963961957</v>
      </c>
      <c r="AU45" s="69">
        <f t="shared" ca="1" si="175"/>
        <v>326995.43963320652</v>
      </c>
      <c r="AV45" s="69">
        <f t="shared" ca="1" si="175"/>
        <v>328930.16265103628</v>
      </c>
      <c r="AW45" s="69">
        <f t="shared" ca="1" si="175"/>
        <v>0</v>
      </c>
      <c r="AX45" s="69">
        <f t="shared" ca="1" si="175"/>
        <v>0</v>
      </c>
      <c r="AY45" s="69">
        <f t="shared" ca="1" si="175"/>
        <v>0</v>
      </c>
      <c r="AZ45" s="69">
        <f t="shared" ca="1" si="175"/>
        <v>0</v>
      </c>
      <c r="BA45" s="69">
        <f t="shared" ca="1" si="175"/>
        <v>0</v>
      </c>
      <c r="BB45" s="69">
        <f t="shared" ca="1" si="175"/>
        <v>0</v>
      </c>
      <c r="BC45" s="69">
        <f t="shared" ca="1" si="175"/>
        <v>0</v>
      </c>
      <c r="BD45" s="69">
        <f t="shared" ca="1" si="175"/>
        <v>0</v>
      </c>
      <c r="BE45" s="69">
        <f t="shared" ca="1" si="175"/>
        <v>0</v>
      </c>
      <c r="BF45" s="69">
        <f t="shared" ca="1" si="175"/>
        <v>0</v>
      </c>
      <c r="BG45" s="69">
        <f t="shared" ca="1" si="175"/>
        <v>0</v>
      </c>
      <c r="BH45" s="69">
        <f t="shared" ca="1" si="175"/>
        <v>0</v>
      </c>
      <c r="BI45" s="69">
        <f t="shared" ca="1" si="175"/>
        <v>0</v>
      </c>
      <c r="BJ45" s="69">
        <f t="shared" ca="1" si="175"/>
        <v>0</v>
      </c>
      <c r="BK45" s="69">
        <f t="shared" ca="1" si="175"/>
        <v>0</v>
      </c>
      <c r="BL45" s="69">
        <f t="shared" ca="1" si="175"/>
        <v>0</v>
      </c>
      <c r="BM45" s="69">
        <f t="shared" ca="1" si="175"/>
        <v>0</v>
      </c>
      <c r="BN45" s="69">
        <f t="shared" ca="1" si="175"/>
        <v>0</v>
      </c>
      <c r="BO45" s="69">
        <f t="shared" ca="1" si="175"/>
        <v>0</v>
      </c>
      <c r="BP45" s="69">
        <f t="shared" ca="1" si="175"/>
        <v>0</v>
      </c>
      <c r="BQ45" s="69">
        <f t="shared" ca="1" si="175"/>
        <v>0</v>
      </c>
      <c r="BR45" s="69">
        <f t="shared" ca="1" si="175"/>
        <v>0</v>
      </c>
      <c r="BS45" s="69">
        <f t="shared" ca="1" si="175"/>
        <v>0</v>
      </c>
      <c r="BT45" s="69">
        <f t="shared" ca="1" si="175"/>
        <v>0</v>
      </c>
      <c r="BU45" s="69">
        <f t="shared" ca="1" si="175"/>
        <v>0</v>
      </c>
      <c r="BV45" s="69">
        <f t="shared" ca="1" si="175"/>
        <v>0</v>
      </c>
      <c r="BW45" s="69">
        <f t="shared" ca="1" si="175"/>
        <v>0</v>
      </c>
      <c r="BX45" s="69">
        <f t="shared" ca="1" si="175"/>
        <v>0</v>
      </c>
      <c r="BY45" s="69">
        <f t="shared" ca="1" si="175"/>
        <v>0</v>
      </c>
      <c r="BZ45" s="69">
        <f t="shared" ref="BZ45:CF45" ca="1" si="176">$B45*BZ43*YEARFRAC(BY5,BZ5,0)</f>
        <v>0</v>
      </c>
      <c r="CA45" s="69">
        <f t="shared" ca="1" si="176"/>
        <v>0</v>
      </c>
      <c r="CB45" s="69">
        <f t="shared" ca="1" si="176"/>
        <v>0</v>
      </c>
      <c r="CC45" s="69">
        <f t="shared" ca="1" si="176"/>
        <v>0</v>
      </c>
      <c r="CD45" s="69">
        <f t="shared" ca="1" si="176"/>
        <v>0</v>
      </c>
      <c r="CE45" s="69">
        <f t="shared" ca="1" si="176"/>
        <v>0</v>
      </c>
      <c r="CF45" s="69">
        <f t="shared" ca="1" si="176"/>
        <v>0</v>
      </c>
    </row>
    <row r="46" spans="1:84">
      <c r="A46" s="105" t="s">
        <v>275</v>
      </c>
      <c r="B46" s="106" t="s">
        <v>264</v>
      </c>
      <c r="D46" s="69">
        <f t="shared" ca="1" si="172"/>
        <v>0</v>
      </c>
      <c r="E46" s="69">
        <f t="shared" ca="1" si="172"/>
        <v>0</v>
      </c>
      <c r="F46" s="69">
        <f t="shared" ca="1" si="172"/>
        <v>0</v>
      </c>
      <c r="G46" s="69">
        <f t="shared" ca="1" si="172"/>
        <v>0</v>
      </c>
      <c r="H46" s="69">
        <f t="shared" ca="1" si="172"/>
        <v>0</v>
      </c>
      <c r="I46" s="69">
        <f t="shared" ca="1" si="172"/>
        <v>0</v>
      </c>
      <c r="J46" s="69">
        <f t="shared" ca="1" si="172"/>
        <v>0</v>
      </c>
      <c r="K46" s="69"/>
      <c r="L46" s="69">
        <f t="shared" ref="L46:BW46" ca="1" si="177">IFERROR(PPMT((1+$B50)^(1/12)-1,L$4-$B$47,$B46*12,SUM(L44:L45),0,0),0)</f>
        <v>0</v>
      </c>
      <c r="M46" s="69">
        <f t="shared" ca="1" si="177"/>
        <v>0</v>
      </c>
      <c r="N46" s="69">
        <f t="shared" ca="1" si="177"/>
        <v>0</v>
      </c>
      <c r="O46" s="69">
        <f t="shared" ca="1" si="177"/>
        <v>0</v>
      </c>
      <c r="P46" s="69">
        <f t="shared" ca="1" si="177"/>
        <v>0</v>
      </c>
      <c r="Q46" s="69">
        <f t="shared" ca="1" si="177"/>
        <v>0</v>
      </c>
      <c r="R46" s="69">
        <f t="shared" ca="1" si="177"/>
        <v>0</v>
      </c>
      <c r="S46" s="69">
        <f t="shared" ca="1" si="177"/>
        <v>0</v>
      </c>
      <c r="T46" s="69">
        <f t="shared" ca="1" si="177"/>
        <v>0</v>
      </c>
      <c r="U46" s="69">
        <f t="shared" ca="1" si="177"/>
        <v>0</v>
      </c>
      <c r="V46" s="69">
        <f t="shared" ca="1" si="177"/>
        <v>0</v>
      </c>
      <c r="W46" s="69">
        <f t="shared" ca="1" si="177"/>
        <v>0</v>
      </c>
      <c r="X46" s="69">
        <f t="shared" ca="1" si="177"/>
        <v>0</v>
      </c>
      <c r="Y46" s="69">
        <f t="shared" ca="1" si="177"/>
        <v>0</v>
      </c>
      <c r="Z46" s="69">
        <f t="shared" ca="1" si="177"/>
        <v>0</v>
      </c>
      <c r="AA46" s="69">
        <f t="shared" ca="1" si="177"/>
        <v>0</v>
      </c>
      <c r="AB46" s="69">
        <f t="shared" ca="1" si="177"/>
        <v>0</v>
      </c>
      <c r="AC46" s="69">
        <f t="shared" ca="1" si="177"/>
        <v>0</v>
      </c>
      <c r="AD46" s="69">
        <f t="shared" ca="1" si="177"/>
        <v>0</v>
      </c>
      <c r="AE46" s="69">
        <f t="shared" ca="1" si="177"/>
        <v>0</v>
      </c>
      <c r="AF46" s="69">
        <f t="shared" ca="1" si="177"/>
        <v>0</v>
      </c>
      <c r="AG46" s="69">
        <f t="shared" ca="1" si="177"/>
        <v>0</v>
      </c>
      <c r="AH46" s="69">
        <f t="shared" ca="1" si="177"/>
        <v>0</v>
      </c>
      <c r="AI46" s="69">
        <f t="shared" ca="1" si="177"/>
        <v>0</v>
      </c>
      <c r="AJ46" s="69">
        <f t="shared" ca="1" si="177"/>
        <v>0</v>
      </c>
      <c r="AK46" s="69">
        <f t="shared" ca="1" si="177"/>
        <v>0</v>
      </c>
      <c r="AL46" s="69">
        <f t="shared" ca="1" si="177"/>
        <v>0</v>
      </c>
      <c r="AM46" s="69">
        <f t="shared" ca="1" si="177"/>
        <v>0</v>
      </c>
      <c r="AN46" s="69">
        <f t="shared" ca="1" si="177"/>
        <v>0</v>
      </c>
      <c r="AO46" s="69">
        <f t="shared" ca="1" si="177"/>
        <v>0</v>
      </c>
      <c r="AP46" s="69">
        <f t="shared" ca="1" si="177"/>
        <v>0</v>
      </c>
      <c r="AQ46" s="69">
        <f t="shared" ca="1" si="177"/>
        <v>0</v>
      </c>
      <c r="AR46" s="69">
        <f t="shared" ca="1" si="177"/>
        <v>0</v>
      </c>
      <c r="AS46" s="69">
        <f t="shared" ca="1" si="177"/>
        <v>0</v>
      </c>
      <c r="AT46" s="69">
        <f t="shared" ca="1" si="177"/>
        <v>0</v>
      </c>
      <c r="AU46" s="69">
        <f t="shared" ca="1" si="177"/>
        <v>0</v>
      </c>
      <c r="AV46" s="69">
        <f t="shared" ca="1" si="177"/>
        <v>0</v>
      </c>
      <c r="AW46" s="69">
        <f t="shared" ca="1" si="177"/>
        <v>0</v>
      </c>
      <c r="AX46" s="69">
        <f t="shared" ca="1" si="177"/>
        <v>0</v>
      </c>
      <c r="AY46" s="69">
        <f t="shared" ca="1" si="177"/>
        <v>0</v>
      </c>
      <c r="AZ46" s="69">
        <f t="shared" ca="1" si="177"/>
        <v>0</v>
      </c>
      <c r="BA46" s="69">
        <f t="shared" ca="1" si="177"/>
        <v>0</v>
      </c>
      <c r="BB46" s="69">
        <f t="shared" ca="1" si="177"/>
        <v>0</v>
      </c>
      <c r="BC46" s="69">
        <f t="shared" ca="1" si="177"/>
        <v>0</v>
      </c>
      <c r="BD46" s="69">
        <f t="shared" ca="1" si="177"/>
        <v>0</v>
      </c>
      <c r="BE46" s="69">
        <f t="shared" ca="1" si="177"/>
        <v>0</v>
      </c>
      <c r="BF46" s="69">
        <f t="shared" ca="1" si="177"/>
        <v>0</v>
      </c>
      <c r="BG46" s="69">
        <f t="shared" ca="1" si="177"/>
        <v>0</v>
      </c>
      <c r="BH46" s="69">
        <f t="shared" ca="1" si="177"/>
        <v>0</v>
      </c>
      <c r="BI46" s="69">
        <f t="shared" ca="1" si="177"/>
        <v>0</v>
      </c>
      <c r="BJ46" s="69">
        <f t="shared" ca="1" si="177"/>
        <v>0</v>
      </c>
      <c r="BK46" s="69">
        <f t="shared" ca="1" si="177"/>
        <v>0</v>
      </c>
      <c r="BL46" s="69">
        <f t="shared" ca="1" si="177"/>
        <v>0</v>
      </c>
      <c r="BM46" s="69">
        <f t="shared" ca="1" si="177"/>
        <v>0</v>
      </c>
      <c r="BN46" s="69">
        <f t="shared" ca="1" si="177"/>
        <v>0</v>
      </c>
      <c r="BO46" s="69">
        <f t="shared" ca="1" si="177"/>
        <v>0</v>
      </c>
      <c r="BP46" s="69">
        <f t="shared" ca="1" si="177"/>
        <v>0</v>
      </c>
      <c r="BQ46" s="69">
        <f t="shared" ca="1" si="177"/>
        <v>0</v>
      </c>
      <c r="BR46" s="69">
        <f t="shared" ca="1" si="177"/>
        <v>0</v>
      </c>
      <c r="BS46" s="69">
        <f t="shared" ca="1" si="177"/>
        <v>0</v>
      </c>
      <c r="BT46" s="69">
        <f t="shared" ca="1" si="177"/>
        <v>0</v>
      </c>
      <c r="BU46" s="69">
        <f t="shared" ca="1" si="177"/>
        <v>0</v>
      </c>
      <c r="BV46" s="69">
        <f t="shared" ca="1" si="177"/>
        <v>0</v>
      </c>
      <c r="BW46" s="69">
        <f t="shared" ca="1" si="177"/>
        <v>0</v>
      </c>
      <c r="BX46" s="69">
        <f t="shared" ref="BX46:CF46" ca="1" si="178">IFERROR(PPMT((1+$B50)^(1/12)-1,BX$4-$B$47,$B46*12,SUM(BX44:BX45),0,0),0)</f>
        <v>0</v>
      </c>
      <c r="BY46" s="69">
        <f t="shared" ca="1" si="178"/>
        <v>0</v>
      </c>
      <c r="BZ46" s="69">
        <f t="shared" ca="1" si="178"/>
        <v>0</v>
      </c>
      <c r="CA46" s="69">
        <f t="shared" ca="1" si="178"/>
        <v>0</v>
      </c>
      <c r="CB46" s="69">
        <f t="shared" ca="1" si="178"/>
        <v>0</v>
      </c>
      <c r="CC46" s="69">
        <f t="shared" ca="1" si="178"/>
        <v>0</v>
      </c>
      <c r="CD46" s="69">
        <f t="shared" ca="1" si="178"/>
        <v>0</v>
      </c>
      <c r="CE46" s="69">
        <f t="shared" ca="1" si="178"/>
        <v>0</v>
      </c>
      <c r="CF46" s="69">
        <f t="shared" ca="1" si="178"/>
        <v>0</v>
      </c>
    </row>
    <row r="47" spans="1:84">
      <c r="A47" s="105" t="s">
        <v>271</v>
      </c>
      <c r="B47" s="106">
        <f ca="1">'Leverage Options'!B13</f>
        <v>36</v>
      </c>
      <c r="D47" s="69">
        <f t="shared" ca="1" si="172"/>
        <v>0</v>
      </c>
      <c r="E47" s="69">
        <f t="shared" ca="1" si="172"/>
        <v>0</v>
      </c>
      <c r="F47" s="69">
        <f t="shared" ca="1" si="172"/>
        <v>0</v>
      </c>
      <c r="G47" s="69">
        <f t="shared" ca="1" si="172"/>
        <v>-56341841.64496664</v>
      </c>
      <c r="H47" s="69">
        <f t="shared" ca="1" si="172"/>
        <v>0</v>
      </c>
      <c r="I47" s="69">
        <f t="shared" ca="1" si="172"/>
        <v>0</v>
      </c>
      <c r="J47" s="69">
        <f t="shared" ca="1" si="172"/>
        <v>0</v>
      </c>
      <c r="K47" s="69"/>
      <c r="L47" s="69">
        <f ca="1">-SUM(L43:L46)*(L4=$B47)</f>
        <v>0</v>
      </c>
      <c r="M47" s="69">
        <f ca="1">-SUM(M43:M46)*(M4=$B47)</f>
        <v>0</v>
      </c>
      <c r="N47" s="69">
        <f t="shared" ref="N47:BY47" ca="1" si="179">-SUM(N43:N46)*(N4=$B47)</f>
        <v>0</v>
      </c>
      <c r="O47" s="69">
        <f t="shared" ca="1" si="179"/>
        <v>0</v>
      </c>
      <c r="P47" s="69">
        <f t="shared" ca="1" si="179"/>
        <v>0</v>
      </c>
      <c r="Q47" s="69">
        <f t="shared" ca="1" si="179"/>
        <v>0</v>
      </c>
      <c r="R47" s="69">
        <f t="shared" ca="1" si="179"/>
        <v>0</v>
      </c>
      <c r="S47" s="69">
        <f t="shared" ca="1" si="179"/>
        <v>0</v>
      </c>
      <c r="T47" s="69">
        <f t="shared" ca="1" si="179"/>
        <v>0</v>
      </c>
      <c r="U47" s="69">
        <f t="shared" ca="1" si="179"/>
        <v>0</v>
      </c>
      <c r="V47" s="69">
        <f t="shared" ca="1" si="179"/>
        <v>0</v>
      </c>
      <c r="W47" s="69">
        <f t="shared" ca="1" si="179"/>
        <v>0</v>
      </c>
      <c r="X47" s="69">
        <f t="shared" ca="1" si="179"/>
        <v>0</v>
      </c>
      <c r="Y47" s="69">
        <f t="shared" ca="1" si="179"/>
        <v>0</v>
      </c>
      <c r="Z47" s="69">
        <f t="shared" ca="1" si="179"/>
        <v>0</v>
      </c>
      <c r="AA47" s="69">
        <f t="shared" ca="1" si="179"/>
        <v>0</v>
      </c>
      <c r="AB47" s="69">
        <f t="shared" ca="1" si="179"/>
        <v>0</v>
      </c>
      <c r="AC47" s="69">
        <f t="shared" ca="1" si="179"/>
        <v>0</v>
      </c>
      <c r="AD47" s="69">
        <f t="shared" ca="1" si="179"/>
        <v>0</v>
      </c>
      <c r="AE47" s="69">
        <f t="shared" ca="1" si="179"/>
        <v>0</v>
      </c>
      <c r="AF47" s="69">
        <f t="shared" ca="1" si="179"/>
        <v>0</v>
      </c>
      <c r="AG47" s="69">
        <f t="shared" ca="1" si="179"/>
        <v>0</v>
      </c>
      <c r="AH47" s="69">
        <f t="shared" ca="1" si="179"/>
        <v>0</v>
      </c>
      <c r="AI47" s="69">
        <f t="shared" ca="1" si="179"/>
        <v>0</v>
      </c>
      <c r="AJ47" s="69">
        <f t="shared" ca="1" si="179"/>
        <v>0</v>
      </c>
      <c r="AK47" s="69">
        <f t="shared" ca="1" si="179"/>
        <v>0</v>
      </c>
      <c r="AL47" s="69">
        <f t="shared" ca="1" si="179"/>
        <v>0</v>
      </c>
      <c r="AM47" s="69">
        <f t="shared" ca="1" si="179"/>
        <v>0</v>
      </c>
      <c r="AN47" s="69">
        <f t="shared" ca="1" si="179"/>
        <v>0</v>
      </c>
      <c r="AO47" s="69">
        <f t="shared" ca="1" si="179"/>
        <v>0</v>
      </c>
      <c r="AP47" s="69">
        <f t="shared" ca="1" si="179"/>
        <v>0</v>
      </c>
      <c r="AQ47" s="69">
        <f t="shared" ca="1" si="179"/>
        <v>0</v>
      </c>
      <c r="AR47" s="69">
        <f t="shared" ca="1" si="179"/>
        <v>0</v>
      </c>
      <c r="AS47" s="69">
        <f t="shared" ca="1" si="179"/>
        <v>0</v>
      </c>
      <c r="AT47" s="69">
        <f t="shared" ca="1" si="179"/>
        <v>0</v>
      </c>
      <c r="AU47" s="69">
        <f t="shared" ca="1" si="179"/>
        <v>0</v>
      </c>
      <c r="AV47" s="69">
        <f t="shared" ca="1" si="179"/>
        <v>-56341841.64496664</v>
      </c>
      <c r="AW47" s="69">
        <f t="shared" ca="1" si="179"/>
        <v>0</v>
      </c>
      <c r="AX47" s="69">
        <f t="shared" ca="1" si="179"/>
        <v>0</v>
      </c>
      <c r="AY47" s="69">
        <f t="shared" ca="1" si="179"/>
        <v>0</v>
      </c>
      <c r="AZ47" s="69">
        <f t="shared" ca="1" si="179"/>
        <v>0</v>
      </c>
      <c r="BA47" s="69">
        <f t="shared" ca="1" si="179"/>
        <v>0</v>
      </c>
      <c r="BB47" s="69">
        <f t="shared" ca="1" si="179"/>
        <v>0</v>
      </c>
      <c r="BC47" s="69">
        <f t="shared" ca="1" si="179"/>
        <v>0</v>
      </c>
      <c r="BD47" s="69">
        <f t="shared" ca="1" si="179"/>
        <v>0</v>
      </c>
      <c r="BE47" s="69">
        <f t="shared" ca="1" si="179"/>
        <v>0</v>
      </c>
      <c r="BF47" s="69">
        <f t="shared" ca="1" si="179"/>
        <v>0</v>
      </c>
      <c r="BG47" s="69">
        <f t="shared" ca="1" si="179"/>
        <v>0</v>
      </c>
      <c r="BH47" s="69">
        <f t="shared" ca="1" si="179"/>
        <v>0</v>
      </c>
      <c r="BI47" s="69">
        <f t="shared" ca="1" si="179"/>
        <v>0</v>
      </c>
      <c r="BJ47" s="69">
        <f t="shared" ca="1" si="179"/>
        <v>0</v>
      </c>
      <c r="BK47" s="69">
        <f t="shared" ca="1" si="179"/>
        <v>0</v>
      </c>
      <c r="BL47" s="69">
        <f t="shared" ca="1" si="179"/>
        <v>0</v>
      </c>
      <c r="BM47" s="69">
        <f t="shared" ca="1" si="179"/>
        <v>0</v>
      </c>
      <c r="BN47" s="69">
        <f t="shared" ca="1" si="179"/>
        <v>0</v>
      </c>
      <c r="BO47" s="69">
        <f t="shared" ca="1" si="179"/>
        <v>0</v>
      </c>
      <c r="BP47" s="69">
        <f t="shared" ca="1" si="179"/>
        <v>0</v>
      </c>
      <c r="BQ47" s="69">
        <f t="shared" ca="1" si="179"/>
        <v>0</v>
      </c>
      <c r="BR47" s="69">
        <f t="shared" ca="1" si="179"/>
        <v>0</v>
      </c>
      <c r="BS47" s="69">
        <f t="shared" ca="1" si="179"/>
        <v>0</v>
      </c>
      <c r="BT47" s="69">
        <f t="shared" ca="1" si="179"/>
        <v>0</v>
      </c>
      <c r="BU47" s="69">
        <f t="shared" ca="1" si="179"/>
        <v>0</v>
      </c>
      <c r="BV47" s="69">
        <f t="shared" ca="1" si="179"/>
        <v>0</v>
      </c>
      <c r="BW47" s="69">
        <f t="shared" ca="1" si="179"/>
        <v>0</v>
      </c>
      <c r="BX47" s="69">
        <f t="shared" ca="1" si="179"/>
        <v>0</v>
      </c>
      <c r="BY47" s="69">
        <f t="shared" ca="1" si="179"/>
        <v>0</v>
      </c>
      <c r="BZ47" s="69">
        <f t="shared" ref="BZ47:CF47" ca="1" si="180">-SUM(BZ43:BZ46)*(BZ4=$B47)</f>
        <v>0</v>
      </c>
      <c r="CA47" s="69">
        <f t="shared" ca="1" si="180"/>
        <v>0</v>
      </c>
      <c r="CB47" s="69">
        <f t="shared" ca="1" si="180"/>
        <v>0</v>
      </c>
      <c r="CC47" s="69">
        <f t="shared" ca="1" si="180"/>
        <v>0</v>
      </c>
      <c r="CD47" s="69">
        <f t="shared" ca="1" si="180"/>
        <v>0</v>
      </c>
      <c r="CE47" s="69">
        <f t="shared" ca="1" si="180"/>
        <v>0</v>
      </c>
      <c r="CF47" s="69">
        <f t="shared" ca="1" si="180"/>
        <v>0</v>
      </c>
    </row>
    <row r="48" spans="1:84">
      <c r="A48" s="17" t="s">
        <v>272</v>
      </c>
      <c r="B48" s="106"/>
      <c r="D48" s="70">
        <f t="shared" ref="D48:J48" ca="1" si="181">SUM(D43:D47)</f>
        <v>38625000</v>
      </c>
      <c r="E48" s="70">
        <f t="shared" ca="1" si="181"/>
        <v>47665743.890740864</v>
      </c>
      <c r="F48" s="70">
        <f t="shared" ca="1" si="181"/>
        <v>52075650.630648524</v>
      </c>
      <c r="G48" s="70">
        <f t="shared" ca="1" si="181"/>
        <v>0</v>
      </c>
      <c r="H48" s="70">
        <f t="shared" ca="1" si="181"/>
        <v>0</v>
      </c>
      <c r="I48" s="70">
        <f t="shared" ca="1" si="181"/>
        <v>0</v>
      </c>
      <c r="J48" s="70">
        <f t="shared" ca="1" si="181"/>
        <v>0</v>
      </c>
      <c r="K48" s="69"/>
      <c r="L48" s="70">
        <f ca="1">SUM(L43:L47)</f>
        <v>38625000</v>
      </c>
      <c r="M48" s="70">
        <f ca="1">SUM(M43:M47)</f>
        <v>38853531.25</v>
      </c>
      <c r="N48" s="70">
        <f t="shared" ref="N48:BY48" ca="1" si="182">SUM(N43:N47)</f>
        <v>39207085.821041666</v>
      </c>
      <c r="O48" s="70">
        <f t="shared" ca="1" si="182"/>
        <v>39644300.394753657</v>
      </c>
      <c r="P48" s="70">
        <f t="shared" ca="1" si="182"/>
        <v>40074084.024836674</v>
      </c>
      <c r="Q48" s="70">
        <f t="shared" ca="1" si="182"/>
        <v>40602728.980869442</v>
      </c>
      <c r="R48" s="70">
        <f t="shared" ca="1" si="182"/>
        <v>41392883.073633246</v>
      </c>
      <c r="S48" s="70">
        <f t="shared" ca="1" si="182"/>
        <v>42003778.040490389</v>
      </c>
      <c r="T48" s="70">
        <f t="shared" ca="1" si="182"/>
        <v>43124444.663726076</v>
      </c>
      <c r="U48" s="70">
        <f t="shared" ca="1" si="182"/>
        <v>44172918.637236528</v>
      </c>
      <c r="V48" s="70">
        <f t="shared" ca="1" si="182"/>
        <v>45392804.202279739</v>
      </c>
      <c r="W48" s="70">
        <f t="shared" ca="1" si="182"/>
        <v>46857654.71213489</v>
      </c>
      <c r="X48" s="70">
        <f t="shared" ca="1" si="182"/>
        <v>47665743.890740857</v>
      </c>
      <c r="Y48" s="70">
        <f t="shared" ca="1" si="182"/>
        <v>48435510.749212697</v>
      </c>
      <c r="Z48" s="70">
        <f t="shared" ca="1" si="182"/>
        <v>48823775.111337878</v>
      </c>
      <c r="AA48" s="70">
        <f t="shared" ca="1" si="182"/>
        <v>49214412.058440469</v>
      </c>
      <c r="AB48" s="70">
        <f t="shared" ca="1" si="182"/>
        <v>49505597.329786241</v>
      </c>
      <c r="AC48" s="70">
        <f t="shared" ca="1" si="182"/>
        <v>49798505.447320811</v>
      </c>
      <c r="AD48" s="70">
        <f t="shared" ca="1" si="182"/>
        <v>50254799.08814425</v>
      </c>
      <c r="AE48" s="70">
        <f t="shared" ca="1" si="182"/>
        <v>50562051.345902599</v>
      </c>
      <c r="AF48" s="70">
        <f t="shared" ca="1" si="182"/>
        <v>50861210.149699189</v>
      </c>
      <c r="AG48" s="70">
        <f t="shared" ca="1" si="182"/>
        <v>51162138.976418242</v>
      </c>
      <c r="AH48" s="70">
        <f t="shared" ca="1" si="182"/>
        <v>51464848.298695385</v>
      </c>
      <c r="AI48" s="70">
        <f t="shared" ca="1" si="182"/>
        <v>51769348.651129335</v>
      </c>
      <c r="AJ48" s="70">
        <f t="shared" ca="1" si="182"/>
        <v>52075650.630648516</v>
      </c>
      <c r="AK48" s="70">
        <f t="shared" ca="1" si="182"/>
        <v>52383764.896879852</v>
      </c>
      <c r="AL48" s="70">
        <f t="shared" ca="1" si="182"/>
        <v>52693702.172519721</v>
      </c>
      <c r="AM48" s="70">
        <f t="shared" ca="1" si="182"/>
        <v>53005473.243707128</v>
      </c>
      <c r="AN48" s="70">
        <f t="shared" ca="1" si="182"/>
        <v>53319088.960399061</v>
      </c>
      <c r="AO48" s="70">
        <f t="shared" ca="1" si="182"/>
        <v>53634560.236748092</v>
      </c>
      <c r="AP48" s="70">
        <f t="shared" ca="1" si="182"/>
        <v>53930742.197166577</v>
      </c>
      <c r="AQ48" s="70">
        <f t="shared" ca="1" si="182"/>
        <v>54260468.762655362</v>
      </c>
      <c r="AR48" s="70">
        <f t="shared" ca="1" si="182"/>
        <v>54618602.705182351</v>
      </c>
      <c r="AS48" s="70">
        <f t="shared" ca="1" si="182"/>
        <v>54941762.771188013</v>
      </c>
      <c r="AT48" s="70">
        <f t="shared" ca="1" si="182"/>
        <v>55266834.867584206</v>
      </c>
      <c r="AU48" s="70">
        <f t="shared" ca="1" si="182"/>
        <v>55593830.307217412</v>
      </c>
      <c r="AV48" s="70">
        <f t="shared" ca="1" si="182"/>
        <v>0</v>
      </c>
      <c r="AW48" s="70">
        <f t="shared" ca="1" si="182"/>
        <v>0</v>
      </c>
      <c r="AX48" s="70">
        <f t="shared" ca="1" si="182"/>
        <v>0</v>
      </c>
      <c r="AY48" s="70">
        <f t="shared" ca="1" si="182"/>
        <v>0</v>
      </c>
      <c r="AZ48" s="70">
        <f t="shared" ca="1" si="182"/>
        <v>0</v>
      </c>
      <c r="BA48" s="70">
        <f t="shared" ca="1" si="182"/>
        <v>0</v>
      </c>
      <c r="BB48" s="70">
        <f t="shared" ca="1" si="182"/>
        <v>0</v>
      </c>
      <c r="BC48" s="70">
        <f t="shared" ca="1" si="182"/>
        <v>0</v>
      </c>
      <c r="BD48" s="70">
        <f t="shared" ca="1" si="182"/>
        <v>0</v>
      </c>
      <c r="BE48" s="70">
        <f t="shared" ca="1" si="182"/>
        <v>0</v>
      </c>
      <c r="BF48" s="70">
        <f t="shared" ca="1" si="182"/>
        <v>0</v>
      </c>
      <c r="BG48" s="70">
        <f t="shared" ca="1" si="182"/>
        <v>0</v>
      </c>
      <c r="BH48" s="70">
        <f t="shared" ca="1" si="182"/>
        <v>0</v>
      </c>
      <c r="BI48" s="70">
        <f t="shared" ca="1" si="182"/>
        <v>0</v>
      </c>
      <c r="BJ48" s="70">
        <f t="shared" ca="1" si="182"/>
        <v>0</v>
      </c>
      <c r="BK48" s="70">
        <f t="shared" ca="1" si="182"/>
        <v>0</v>
      </c>
      <c r="BL48" s="70">
        <f t="shared" ca="1" si="182"/>
        <v>0</v>
      </c>
      <c r="BM48" s="70">
        <f t="shared" ca="1" si="182"/>
        <v>0</v>
      </c>
      <c r="BN48" s="70">
        <f t="shared" ca="1" si="182"/>
        <v>0</v>
      </c>
      <c r="BO48" s="70">
        <f t="shared" ca="1" si="182"/>
        <v>0</v>
      </c>
      <c r="BP48" s="70">
        <f t="shared" ca="1" si="182"/>
        <v>0</v>
      </c>
      <c r="BQ48" s="70">
        <f t="shared" ca="1" si="182"/>
        <v>0</v>
      </c>
      <c r="BR48" s="70">
        <f t="shared" ca="1" si="182"/>
        <v>0</v>
      </c>
      <c r="BS48" s="70">
        <f t="shared" ca="1" si="182"/>
        <v>0</v>
      </c>
      <c r="BT48" s="70">
        <f t="shared" ca="1" si="182"/>
        <v>0</v>
      </c>
      <c r="BU48" s="70">
        <f t="shared" ca="1" si="182"/>
        <v>0</v>
      </c>
      <c r="BV48" s="70">
        <f t="shared" ca="1" si="182"/>
        <v>0</v>
      </c>
      <c r="BW48" s="70">
        <f t="shared" ca="1" si="182"/>
        <v>0</v>
      </c>
      <c r="BX48" s="70">
        <f t="shared" ca="1" si="182"/>
        <v>0</v>
      </c>
      <c r="BY48" s="70">
        <f t="shared" ca="1" si="182"/>
        <v>0</v>
      </c>
      <c r="BZ48" s="70">
        <f t="shared" ref="BZ48:CF48" ca="1" si="183">SUM(BZ43:BZ47)</f>
        <v>0</v>
      </c>
      <c r="CA48" s="70">
        <f t="shared" ca="1" si="183"/>
        <v>0</v>
      </c>
      <c r="CB48" s="70">
        <f t="shared" ca="1" si="183"/>
        <v>0</v>
      </c>
      <c r="CC48" s="70">
        <f t="shared" ca="1" si="183"/>
        <v>0</v>
      </c>
      <c r="CD48" s="70">
        <f t="shared" ca="1" si="183"/>
        <v>0</v>
      </c>
      <c r="CE48" s="70">
        <f t="shared" ca="1" si="183"/>
        <v>0</v>
      </c>
      <c r="CF48" s="70">
        <f t="shared" ca="1" si="183"/>
        <v>0</v>
      </c>
    </row>
    <row r="49" spans="1:86">
      <c r="B49" s="106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  <c r="AA49" s="69"/>
      <c r="AB49" s="69"/>
      <c r="AC49" s="69"/>
      <c r="AD49" s="69"/>
      <c r="AE49" s="69"/>
      <c r="AF49" s="69"/>
      <c r="AG49" s="69"/>
      <c r="AH49" s="69"/>
      <c r="AI49" s="69"/>
      <c r="AJ49" s="69"/>
      <c r="AK49" s="69"/>
      <c r="AL49" s="69"/>
      <c r="AM49" s="69"/>
      <c r="AN49" s="69"/>
      <c r="AO49" s="69"/>
      <c r="AP49" s="69"/>
      <c r="AQ49" s="69"/>
      <c r="AR49" s="69"/>
      <c r="AS49" s="69"/>
      <c r="AT49" s="69"/>
      <c r="AU49" s="69"/>
      <c r="AV49" s="69"/>
      <c r="AW49" s="69"/>
      <c r="AX49" s="69"/>
      <c r="AY49" s="69"/>
      <c r="AZ49" s="69"/>
      <c r="BA49" s="69"/>
      <c r="BB49" s="69"/>
      <c r="BC49" s="69"/>
      <c r="BD49" s="69"/>
      <c r="BE49" s="69"/>
      <c r="BF49" s="69"/>
      <c r="BG49" s="69"/>
      <c r="BH49" s="69"/>
      <c r="BI49" s="69"/>
      <c r="BJ49" s="69"/>
      <c r="BK49" s="69"/>
      <c r="BL49" s="69"/>
      <c r="BM49" s="69"/>
      <c r="BN49" s="69"/>
      <c r="BO49" s="69"/>
      <c r="BP49" s="69"/>
      <c r="BQ49" s="69"/>
      <c r="BR49" s="69"/>
      <c r="BS49" s="69"/>
      <c r="BT49" s="69"/>
      <c r="BU49" s="69"/>
      <c r="BV49" s="69"/>
      <c r="BW49" s="69"/>
      <c r="BX49" s="69"/>
      <c r="BY49" s="69"/>
      <c r="BZ49" s="69"/>
      <c r="CA49" s="69"/>
      <c r="CB49" s="69"/>
      <c r="CC49" s="69"/>
      <c r="CD49" s="69"/>
      <c r="CE49" s="69"/>
      <c r="CF49" s="69"/>
    </row>
    <row r="50" spans="1:86">
      <c r="A50" t="s">
        <v>273</v>
      </c>
      <c r="B50" s="106" t="s">
        <v>264</v>
      </c>
      <c r="D50" s="69">
        <f t="shared" ref="D50:J52" si="184">SUMIFS($L50:$CF50,$L$3:$CF$3,D$3)</f>
        <v>0</v>
      </c>
      <c r="E50" s="69">
        <f t="shared" ca="1" si="184"/>
        <v>0</v>
      </c>
      <c r="F50" s="69">
        <f t="shared" ca="1" si="184"/>
        <v>0</v>
      </c>
      <c r="G50" s="69">
        <f t="shared" ca="1" si="184"/>
        <v>0</v>
      </c>
      <c r="H50" s="69">
        <f t="shared" ca="1" si="184"/>
        <v>0</v>
      </c>
      <c r="I50" s="69">
        <f t="shared" ca="1" si="184"/>
        <v>0</v>
      </c>
      <c r="J50" s="69">
        <f t="shared" ca="1" si="184"/>
        <v>0</v>
      </c>
      <c r="K50" s="69"/>
      <c r="L50" s="69">
        <f>IFERROR(-$B50*L43*YEARFRAC(K5,L5,0),0)</f>
        <v>0</v>
      </c>
      <c r="M50" s="69">
        <f t="shared" ref="M50:BX50" ca="1" si="185">IFERROR(-$B50*M43*YEARFRAC(L5,M5,0),0)</f>
        <v>0</v>
      </c>
      <c r="N50" s="69">
        <f t="shared" ca="1" si="185"/>
        <v>0</v>
      </c>
      <c r="O50" s="69">
        <f t="shared" ca="1" si="185"/>
        <v>0</v>
      </c>
      <c r="P50" s="69">
        <f t="shared" ca="1" si="185"/>
        <v>0</v>
      </c>
      <c r="Q50" s="69">
        <f t="shared" ca="1" si="185"/>
        <v>0</v>
      </c>
      <c r="R50" s="69">
        <f t="shared" ca="1" si="185"/>
        <v>0</v>
      </c>
      <c r="S50" s="69">
        <f t="shared" ca="1" si="185"/>
        <v>0</v>
      </c>
      <c r="T50" s="69">
        <f t="shared" ca="1" si="185"/>
        <v>0</v>
      </c>
      <c r="U50" s="69">
        <f t="shared" ca="1" si="185"/>
        <v>0</v>
      </c>
      <c r="V50" s="69">
        <f t="shared" ca="1" si="185"/>
        <v>0</v>
      </c>
      <c r="W50" s="69">
        <f t="shared" ca="1" si="185"/>
        <v>0</v>
      </c>
      <c r="X50" s="69">
        <f t="shared" ca="1" si="185"/>
        <v>0</v>
      </c>
      <c r="Y50" s="69">
        <f t="shared" ca="1" si="185"/>
        <v>0</v>
      </c>
      <c r="Z50" s="69">
        <f t="shared" ca="1" si="185"/>
        <v>0</v>
      </c>
      <c r="AA50" s="69">
        <f t="shared" ca="1" si="185"/>
        <v>0</v>
      </c>
      <c r="AB50" s="69">
        <f t="shared" ca="1" si="185"/>
        <v>0</v>
      </c>
      <c r="AC50" s="69">
        <f t="shared" ca="1" si="185"/>
        <v>0</v>
      </c>
      <c r="AD50" s="69">
        <f t="shared" ca="1" si="185"/>
        <v>0</v>
      </c>
      <c r="AE50" s="69">
        <f t="shared" ca="1" si="185"/>
        <v>0</v>
      </c>
      <c r="AF50" s="69">
        <f t="shared" ca="1" si="185"/>
        <v>0</v>
      </c>
      <c r="AG50" s="69">
        <f t="shared" ca="1" si="185"/>
        <v>0</v>
      </c>
      <c r="AH50" s="69">
        <f t="shared" ca="1" si="185"/>
        <v>0</v>
      </c>
      <c r="AI50" s="69">
        <f t="shared" ca="1" si="185"/>
        <v>0</v>
      </c>
      <c r="AJ50" s="69">
        <f t="shared" ca="1" si="185"/>
        <v>0</v>
      </c>
      <c r="AK50" s="69">
        <f t="shared" ca="1" si="185"/>
        <v>0</v>
      </c>
      <c r="AL50" s="69">
        <f t="shared" ca="1" si="185"/>
        <v>0</v>
      </c>
      <c r="AM50" s="69">
        <f t="shared" ca="1" si="185"/>
        <v>0</v>
      </c>
      <c r="AN50" s="69">
        <f t="shared" ca="1" si="185"/>
        <v>0</v>
      </c>
      <c r="AO50" s="69">
        <f t="shared" ca="1" si="185"/>
        <v>0</v>
      </c>
      <c r="AP50" s="69">
        <f t="shared" ca="1" si="185"/>
        <v>0</v>
      </c>
      <c r="AQ50" s="69">
        <f t="shared" ca="1" si="185"/>
        <v>0</v>
      </c>
      <c r="AR50" s="69">
        <f t="shared" ca="1" si="185"/>
        <v>0</v>
      </c>
      <c r="AS50" s="69">
        <f t="shared" ca="1" si="185"/>
        <v>0</v>
      </c>
      <c r="AT50" s="69">
        <f t="shared" ca="1" si="185"/>
        <v>0</v>
      </c>
      <c r="AU50" s="69">
        <f t="shared" ca="1" si="185"/>
        <v>0</v>
      </c>
      <c r="AV50" s="69">
        <f t="shared" ca="1" si="185"/>
        <v>0</v>
      </c>
      <c r="AW50" s="69">
        <f t="shared" ca="1" si="185"/>
        <v>0</v>
      </c>
      <c r="AX50" s="69">
        <f t="shared" ca="1" si="185"/>
        <v>0</v>
      </c>
      <c r="AY50" s="69">
        <f t="shared" ca="1" si="185"/>
        <v>0</v>
      </c>
      <c r="AZ50" s="69">
        <f t="shared" ca="1" si="185"/>
        <v>0</v>
      </c>
      <c r="BA50" s="69">
        <f t="shared" ca="1" si="185"/>
        <v>0</v>
      </c>
      <c r="BB50" s="69">
        <f t="shared" ca="1" si="185"/>
        <v>0</v>
      </c>
      <c r="BC50" s="69">
        <f t="shared" ca="1" si="185"/>
        <v>0</v>
      </c>
      <c r="BD50" s="69">
        <f t="shared" ca="1" si="185"/>
        <v>0</v>
      </c>
      <c r="BE50" s="69">
        <f t="shared" ca="1" si="185"/>
        <v>0</v>
      </c>
      <c r="BF50" s="69">
        <f t="shared" ca="1" si="185"/>
        <v>0</v>
      </c>
      <c r="BG50" s="69">
        <f t="shared" ca="1" si="185"/>
        <v>0</v>
      </c>
      <c r="BH50" s="69">
        <f t="shared" ca="1" si="185"/>
        <v>0</v>
      </c>
      <c r="BI50" s="69">
        <f t="shared" ca="1" si="185"/>
        <v>0</v>
      </c>
      <c r="BJ50" s="69">
        <f t="shared" ca="1" si="185"/>
        <v>0</v>
      </c>
      <c r="BK50" s="69">
        <f t="shared" ca="1" si="185"/>
        <v>0</v>
      </c>
      <c r="BL50" s="69">
        <f t="shared" ca="1" si="185"/>
        <v>0</v>
      </c>
      <c r="BM50" s="69">
        <f t="shared" ca="1" si="185"/>
        <v>0</v>
      </c>
      <c r="BN50" s="69">
        <f t="shared" ca="1" si="185"/>
        <v>0</v>
      </c>
      <c r="BO50" s="69">
        <f t="shared" ca="1" si="185"/>
        <v>0</v>
      </c>
      <c r="BP50" s="69">
        <f t="shared" ca="1" si="185"/>
        <v>0</v>
      </c>
      <c r="BQ50" s="69">
        <f t="shared" ca="1" si="185"/>
        <v>0</v>
      </c>
      <c r="BR50" s="69">
        <f t="shared" ca="1" si="185"/>
        <v>0</v>
      </c>
      <c r="BS50" s="69">
        <f t="shared" ca="1" si="185"/>
        <v>0</v>
      </c>
      <c r="BT50" s="69">
        <f t="shared" ca="1" si="185"/>
        <v>0</v>
      </c>
      <c r="BU50" s="69">
        <f t="shared" ca="1" si="185"/>
        <v>0</v>
      </c>
      <c r="BV50" s="69">
        <f t="shared" ca="1" si="185"/>
        <v>0</v>
      </c>
      <c r="BW50" s="69">
        <f t="shared" ca="1" si="185"/>
        <v>0</v>
      </c>
      <c r="BX50" s="69">
        <f t="shared" ca="1" si="185"/>
        <v>0</v>
      </c>
      <c r="BY50" s="69">
        <f t="shared" ref="BY50:CF50" ca="1" si="186">IFERROR(-$B50*BY43*YEARFRAC(BX5,BY5,0),0)</f>
        <v>0</v>
      </c>
      <c r="BZ50" s="69">
        <f t="shared" ca="1" si="186"/>
        <v>0</v>
      </c>
      <c r="CA50" s="69">
        <f t="shared" ca="1" si="186"/>
        <v>0</v>
      </c>
      <c r="CB50" s="69">
        <f t="shared" ca="1" si="186"/>
        <v>0</v>
      </c>
      <c r="CC50" s="69">
        <f t="shared" ca="1" si="186"/>
        <v>0</v>
      </c>
      <c r="CD50" s="69">
        <f t="shared" ca="1" si="186"/>
        <v>0</v>
      </c>
      <c r="CE50" s="69">
        <f t="shared" ca="1" si="186"/>
        <v>0</v>
      </c>
      <c r="CF50" s="69">
        <f t="shared" ca="1" si="186"/>
        <v>0</v>
      </c>
    </row>
    <row r="51" spans="1:86">
      <c r="A51" t="s">
        <v>1030</v>
      </c>
      <c r="B51" s="52">
        <f ca="1">'Leverage Options'!B14</f>
        <v>1.4999999999999999E-2</v>
      </c>
      <c r="D51" s="69">
        <f t="shared" ca="1" si="184"/>
        <v>-690515.91112292721</v>
      </c>
      <c r="E51" s="69">
        <f t="shared" ca="1" si="184"/>
        <v>0</v>
      </c>
      <c r="F51" s="69">
        <f t="shared" ca="1" si="184"/>
        <v>0</v>
      </c>
      <c r="G51" s="69">
        <f t="shared" ca="1" si="184"/>
        <v>0</v>
      </c>
      <c r="H51" s="69">
        <f t="shared" ca="1" si="184"/>
        <v>0</v>
      </c>
      <c r="I51" s="69">
        <f t="shared" ca="1" si="184"/>
        <v>0</v>
      </c>
      <c r="J51" s="69">
        <f t="shared" ca="1" si="184"/>
        <v>0</v>
      </c>
      <c r="K51" s="69"/>
      <c r="L51" s="69">
        <f ca="1">SUM($L$44:$CF$44)*(L$4=0)*-$B51</f>
        <v>-690515.91112292721</v>
      </c>
      <c r="M51" s="69">
        <f t="shared" ref="M51:BX52" ca="1" si="187">SUM($L$44:$CF$44)*(M$4=0)*-$B51</f>
        <v>0</v>
      </c>
      <c r="N51" s="69">
        <f t="shared" ca="1" si="187"/>
        <v>0</v>
      </c>
      <c r="O51" s="69">
        <f t="shared" ca="1" si="187"/>
        <v>0</v>
      </c>
      <c r="P51" s="69">
        <f t="shared" ca="1" si="187"/>
        <v>0</v>
      </c>
      <c r="Q51" s="69">
        <f t="shared" ca="1" si="187"/>
        <v>0</v>
      </c>
      <c r="R51" s="69">
        <f t="shared" ca="1" si="187"/>
        <v>0</v>
      </c>
      <c r="S51" s="69">
        <f t="shared" ca="1" si="187"/>
        <v>0</v>
      </c>
      <c r="T51" s="69">
        <f t="shared" ca="1" si="187"/>
        <v>0</v>
      </c>
      <c r="U51" s="69">
        <f t="shared" ca="1" si="187"/>
        <v>0</v>
      </c>
      <c r="V51" s="69">
        <f t="shared" ca="1" si="187"/>
        <v>0</v>
      </c>
      <c r="W51" s="69">
        <f t="shared" ca="1" si="187"/>
        <v>0</v>
      </c>
      <c r="X51" s="69">
        <f t="shared" ca="1" si="187"/>
        <v>0</v>
      </c>
      <c r="Y51" s="69">
        <f t="shared" ca="1" si="187"/>
        <v>0</v>
      </c>
      <c r="Z51" s="69">
        <f t="shared" ca="1" si="187"/>
        <v>0</v>
      </c>
      <c r="AA51" s="69">
        <f t="shared" ca="1" si="187"/>
        <v>0</v>
      </c>
      <c r="AB51" s="69">
        <f t="shared" ca="1" si="187"/>
        <v>0</v>
      </c>
      <c r="AC51" s="69">
        <f t="shared" ca="1" si="187"/>
        <v>0</v>
      </c>
      <c r="AD51" s="69">
        <f t="shared" ca="1" si="187"/>
        <v>0</v>
      </c>
      <c r="AE51" s="69">
        <f t="shared" ca="1" si="187"/>
        <v>0</v>
      </c>
      <c r="AF51" s="69">
        <f t="shared" ca="1" si="187"/>
        <v>0</v>
      </c>
      <c r="AG51" s="69">
        <f t="shared" ca="1" si="187"/>
        <v>0</v>
      </c>
      <c r="AH51" s="69">
        <f t="shared" ca="1" si="187"/>
        <v>0</v>
      </c>
      <c r="AI51" s="69">
        <f t="shared" ca="1" si="187"/>
        <v>0</v>
      </c>
      <c r="AJ51" s="69">
        <f t="shared" ca="1" si="187"/>
        <v>0</v>
      </c>
      <c r="AK51" s="69">
        <f t="shared" ca="1" si="187"/>
        <v>0</v>
      </c>
      <c r="AL51" s="69">
        <f t="shared" ca="1" si="187"/>
        <v>0</v>
      </c>
      <c r="AM51" s="69">
        <f t="shared" ca="1" si="187"/>
        <v>0</v>
      </c>
      <c r="AN51" s="69">
        <f t="shared" ca="1" si="187"/>
        <v>0</v>
      </c>
      <c r="AO51" s="69">
        <f t="shared" ca="1" si="187"/>
        <v>0</v>
      </c>
      <c r="AP51" s="69">
        <f t="shared" ca="1" si="187"/>
        <v>0</v>
      </c>
      <c r="AQ51" s="69">
        <f t="shared" ca="1" si="187"/>
        <v>0</v>
      </c>
      <c r="AR51" s="69">
        <f t="shared" ca="1" si="187"/>
        <v>0</v>
      </c>
      <c r="AS51" s="69">
        <f t="shared" ca="1" si="187"/>
        <v>0</v>
      </c>
      <c r="AT51" s="69">
        <f t="shared" ca="1" si="187"/>
        <v>0</v>
      </c>
      <c r="AU51" s="69">
        <f t="shared" ca="1" si="187"/>
        <v>0</v>
      </c>
      <c r="AV51" s="69">
        <f t="shared" ca="1" si="187"/>
        <v>0</v>
      </c>
      <c r="AW51" s="69">
        <f t="shared" ca="1" si="187"/>
        <v>0</v>
      </c>
      <c r="AX51" s="69">
        <f t="shared" ca="1" si="187"/>
        <v>0</v>
      </c>
      <c r="AY51" s="69">
        <f t="shared" ca="1" si="187"/>
        <v>0</v>
      </c>
      <c r="AZ51" s="69">
        <f t="shared" ca="1" si="187"/>
        <v>0</v>
      </c>
      <c r="BA51" s="69">
        <f t="shared" ca="1" si="187"/>
        <v>0</v>
      </c>
      <c r="BB51" s="69">
        <f t="shared" ca="1" si="187"/>
        <v>0</v>
      </c>
      <c r="BC51" s="69">
        <f t="shared" ca="1" si="187"/>
        <v>0</v>
      </c>
      <c r="BD51" s="69">
        <f t="shared" ca="1" si="187"/>
        <v>0</v>
      </c>
      <c r="BE51" s="69">
        <f t="shared" ca="1" si="187"/>
        <v>0</v>
      </c>
      <c r="BF51" s="69">
        <f t="shared" ca="1" si="187"/>
        <v>0</v>
      </c>
      <c r="BG51" s="69">
        <f t="shared" ca="1" si="187"/>
        <v>0</v>
      </c>
      <c r="BH51" s="69">
        <f t="shared" ca="1" si="187"/>
        <v>0</v>
      </c>
      <c r="BI51" s="69">
        <f t="shared" ca="1" si="187"/>
        <v>0</v>
      </c>
      <c r="BJ51" s="69">
        <f t="shared" ca="1" si="187"/>
        <v>0</v>
      </c>
      <c r="BK51" s="69">
        <f t="shared" ca="1" si="187"/>
        <v>0</v>
      </c>
      <c r="BL51" s="69">
        <f t="shared" ca="1" si="187"/>
        <v>0</v>
      </c>
      <c r="BM51" s="69">
        <f t="shared" ca="1" si="187"/>
        <v>0</v>
      </c>
      <c r="BN51" s="69">
        <f t="shared" ca="1" si="187"/>
        <v>0</v>
      </c>
      <c r="BO51" s="69">
        <f t="shared" ca="1" si="187"/>
        <v>0</v>
      </c>
      <c r="BP51" s="69">
        <f t="shared" ca="1" si="187"/>
        <v>0</v>
      </c>
      <c r="BQ51" s="69">
        <f t="shared" ca="1" si="187"/>
        <v>0</v>
      </c>
      <c r="BR51" s="69">
        <f t="shared" ca="1" si="187"/>
        <v>0</v>
      </c>
      <c r="BS51" s="69">
        <f t="shared" ca="1" si="187"/>
        <v>0</v>
      </c>
      <c r="BT51" s="69">
        <f t="shared" ca="1" si="187"/>
        <v>0</v>
      </c>
      <c r="BU51" s="69">
        <f t="shared" ca="1" si="187"/>
        <v>0</v>
      </c>
      <c r="BV51" s="69">
        <f t="shared" ca="1" si="187"/>
        <v>0</v>
      </c>
      <c r="BW51" s="69">
        <f t="shared" ca="1" si="187"/>
        <v>0</v>
      </c>
      <c r="BX51" s="69">
        <f t="shared" ca="1" si="187"/>
        <v>0</v>
      </c>
      <c r="BY51" s="69">
        <f t="shared" ref="BY51:CF52" ca="1" si="188">SUM($L$44:$CF$44)*(BY$4=0)*-$B51</f>
        <v>0</v>
      </c>
      <c r="BZ51" s="69">
        <f t="shared" ca="1" si="188"/>
        <v>0</v>
      </c>
      <c r="CA51" s="69">
        <f t="shared" ca="1" si="188"/>
        <v>0</v>
      </c>
      <c r="CB51" s="69">
        <f t="shared" ca="1" si="188"/>
        <v>0</v>
      </c>
      <c r="CC51" s="69">
        <f t="shared" ca="1" si="188"/>
        <v>0</v>
      </c>
      <c r="CD51" s="69">
        <f t="shared" ca="1" si="188"/>
        <v>0</v>
      </c>
      <c r="CE51" s="69">
        <f t="shared" ca="1" si="188"/>
        <v>0</v>
      </c>
      <c r="CF51" s="69">
        <f t="shared" ca="1" si="188"/>
        <v>0</v>
      </c>
    </row>
    <row r="52" spans="1:86">
      <c r="A52" t="s">
        <v>231</v>
      </c>
      <c r="B52" s="106" t="str">
        <f ca="1">'Leverage Options'!$B$20</f>
        <v>1.00%</v>
      </c>
      <c r="D52" s="69">
        <f t="shared" ca="1" si="184"/>
        <v>-460343.94074861816</v>
      </c>
      <c r="E52" s="69">
        <f t="shared" ca="1" si="184"/>
        <v>0</v>
      </c>
      <c r="F52" s="69">
        <f t="shared" ca="1" si="184"/>
        <v>0</v>
      </c>
      <c r="G52" s="69">
        <f t="shared" ca="1" si="184"/>
        <v>0</v>
      </c>
      <c r="H52" s="69">
        <f t="shared" ca="1" si="184"/>
        <v>0</v>
      </c>
      <c r="I52" s="69">
        <f t="shared" ca="1" si="184"/>
        <v>0</v>
      </c>
      <c r="J52" s="69">
        <f t="shared" ca="1" si="184"/>
        <v>0</v>
      </c>
      <c r="K52" s="69"/>
      <c r="L52" s="69">
        <f ca="1">SUM($L$44:$CF$44)*(L$4=0)*-$B52</f>
        <v>-460343.94074861816</v>
      </c>
      <c r="M52" s="69">
        <f t="shared" ca="1" si="187"/>
        <v>0</v>
      </c>
      <c r="N52" s="69">
        <f t="shared" ca="1" si="187"/>
        <v>0</v>
      </c>
      <c r="O52" s="69">
        <f t="shared" ca="1" si="187"/>
        <v>0</v>
      </c>
      <c r="P52" s="69">
        <f t="shared" ca="1" si="187"/>
        <v>0</v>
      </c>
      <c r="Q52" s="69">
        <f t="shared" ca="1" si="187"/>
        <v>0</v>
      </c>
      <c r="R52" s="69">
        <f t="shared" ca="1" si="187"/>
        <v>0</v>
      </c>
      <c r="S52" s="69">
        <f t="shared" ca="1" si="187"/>
        <v>0</v>
      </c>
      <c r="T52" s="69">
        <f t="shared" ca="1" si="187"/>
        <v>0</v>
      </c>
      <c r="U52" s="69">
        <f t="shared" ca="1" si="187"/>
        <v>0</v>
      </c>
      <c r="V52" s="69">
        <f t="shared" ca="1" si="187"/>
        <v>0</v>
      </c>
      <c r="W52" s="69">
        <f t="shared" ca="1" si="187"/>
        <v>0</v>
      </c>
      <c r="X52" s="69">
        <f t="shared" ca="1" si="187"/>
        <v>0</v>
      </c>
      <c r="Y52" s="69">
        <f t="shared" ca="1" si="187"/>
        <v>0</v>
      </c>
      <c r="Z52" s="69">
        <f t="shared" ca="1" si="187"/>
        <v>0</v>
      </c>
      <c r="AA52" s="69">
        <f t="shared" ca="1" si="187"/>
        <v>0</v>
      </c>
      <c r="AB52" s="69">
        <f t="shared" ca="1" si="187"/>
        <v>0</v>
      </c>
      <c r="AC52" s="69">
        <f t="shared" ca="1" si="187"/>
        <v>0</v>
      </c>
      <c r="AD52" s="69">
        <f t="shared" ca="1" si="187"/>
        <v>0</v>
      </c>
      <c r="AE52" s="69">
        <f t="shared" ca="1" si="187"/>
        <v>0</v>
      </c>
      <c r="AF52" s="69">
        <f t="shared" ca="1" si="187"/>
        <v>0</v>
      </c>
      <c r="AG52" s="69">
        <f t="shared" ca="1" si="187"/>
        <v>0</v>
      </c>
      <c r="AH52" s="69">
        <f t="shared" ca="1" si="187"/>
        <v>0</v>
      </c>
      <c r="AI52" s="69">
        <f t="shared" ca="1" si="187"/>
        <v>0</v>
      </c>
      <c r="AJ52" s="69">
        <f t="shared" ca="1" si="187"/>
        <v>0</v>
      </c>
      <c r="AK52" s="69">
        <f t="shared" ca="1" si="187"/>
        <v>0</v>
      </c>
      <c r="AL52" s="69">
        <f t="shared" ca="1" si="187"/>
        <v>0</v>
      </c>
      <c r="AM52" s="69">
        <f t="shared" ca="1" si="187"/>
        <v>0</v>
      </c>
      <c r="AN52" s="69">
        <f t="shared" ca="1" si="187"/>
        <v>0</v>
      </c>
      <c r="AO52" s="69">
        <f t="shared" ca="1" si="187"/>
        <v>0</v>
      </c>
      <c r="AP52" s="69">
        <f t="shared" ca="1" si="187"/>
        <v>0</v>
      </c>
      <c r="AQ52" s="69">
        <f t="shared" ca="1" si="187"/>
        <v>0</v>
      </c>
      <c r="AR52" s="69">
        <f t="shared" ca="1" si="187"/>
        <v>0</v>
      </c>
      <c r="AS52" s="69">
        <f t="shared" ca="1" si="187"/>
        <v>0</v>
      </c>
      <c r="AT52" s="69">
        <f t="shared" ca="1" si="187"/>
        <v>0</v>
      </c>
      <c r="AU52" s="69">
        <f t="shared" ca="1" si="187"/>
        <v>0</v>
      </c>
      <c r="AV52" s="69">
        <f t="shared" ca="1" si="187"/>
        <v>0</v>
      </c>
      <c r="AW52" s="69">
        <f t="shared" ca="1" si="187"/>
        <v>0</v>
      </c>
      <c r="AX52" s="69">
        <f t="shared" ca="1" si="187"/>
        <v>0</v>
      </c>
      <c r="AY52" s="69">
        <f t="shared" ca="1" si="187"/>
        <v>0</v>
      </c>
      <c r="AZ52" s="69">
        <f t="shared" ca="1" si="187"/>
        <v>0</v>
      </c>
      <c r="BA52" s="69">
        <f t="shared" ca="1" si="187"/>
        <v>0</v>
      </c>
      <c r="BB52" s="69">
        <f t="shared" ca="1" si="187"/>
        <v>0</v>
      </c>
      <c r="BC52" s="69">
        <f t="shared" ca="1" si="187"/>
        <v>0</v>
      </c>
      <c r="BD52" s="69">
        <f t="shared" ca="1" si="187"/>
        <v>0</v>
      </c>
      <c r="BE52" s="69">
        <f t="shared" ca="1" si="187"/>
        <v>0</v>
      </c>
      <c r="BF52" s="69">
        <f t="shared" ca="1" si="187"/>
        <v>0</v>
      </c>
      <c r="BG52" s="69">
        <f t="shared" ca="1" si="187"/>
        <v>0</v>
      </c>
      <c r="BH52" s="69">
        <f t="shared" ca="1" si="187"/>
        <v>0</v>
      </c>
      <c r="BI52" s="69">
        <f t="shared" ca="1" si="187"/>
        <v>0</v>
      </c>
      <c r="BJ52" s="69">
        <f t="shared" ca="1" si="187"/>
        <v>0</v>
      </c>
      <c r="BK52" s="69">
        <f t="shared" ca="1" si="187"/>
        <v>0</v>
      </c>
      <c r="BL52" s="69">
        <f t="shared" ca="1" si="187"/>
        <v>0</v>
      </c>
      <c r="BM52" s="69">
        <f t="shared" ca="1" si="187"/>
        <v>0</v>
      </c>
      <c r="BN52" s="69">
        <f t="shared" ca="1" si="187"/>
        <v>0</v>
      </c>
      <c r="BO52" s="69">
        <f t="shared" ca="1" si="187"/>
        <v>0</v>
      </c>
      <c r="BP52" s="69">
        <f t="shared" ca="1" si="187"/>
        <v>0</v>
      </c>
      <c r="BQ52" s="69">
        <f t="shared" ca="1" si="187"/>
        <v>0</v>
      </c>
      <c r="BR52" s="69">
        <f t="shared" ca="1" si="187"/>
        <v>0</v>
      </c>
      <c r="BS52" s="69">
        <f t="shared" ca="1" si="187"/>
        <v>0</v>
      </c>
      <c r="BT52" s="69">
        <f t="shared" ca="1" si="187"/>
        <v>0</v>
      </c>
      <c r="BU52" s="69">
        <f t="shared" ca="1" si="187"/>
        <v>0</v>
      </c>
      <c r="BV52" s="69">
        <f t="shared" ca="1" si="187"/>
        <v>0</v>
      </c>
      <c r="BW52" s="69">
        <f t="shared" ca="1" si="187"/>
        <v>0</v>
      </c>
      <c r="BX52" s="69">
        <f t="shared" ca="1" si="187"/>
        <v>0</v>
      </c>
      <c r="BY52" s="69">
        <f t="shared" ca="1" si="188"/>
        <v>0</v>
      </c>
      <c r="BZ52" s="69">
        <f t="shared" ca="1" si="188"/>
        <v>0</v>
      </c>
      <c r="CA52" s="69">
        <f t="shared" ca="1" si="188"/>
        <v>0</v>
      </c>
      <c r="CB52" s="69">
        <f t="shared" ca="1" si="188"/>
        <v>0</v>
      </c>
      <c r="CC52" s="69">
        <f t="shared" ca="1" si="188"/>
        <v>0</v>
      </c>
      <c r="CD52" s="69">
        <f t="shared" ca="1" si="188"/>
        <v>0</v>
      </c>
      <c r="CE52" s="69">
        <f t="shared" ca="1" si="188"/>
        <v>0</v>
      </c>
      <c r="CF52" s="69">
        <f t="shared" ca="1" si="188"/>
        <v>0</v>
      </c>
    </row>
    <row r="53" spans="1:86">
      <c r="B53" s="106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  <c r="AE53" s="69"/>
      <c r="AF53" s="69"/>
      <c r="AG53" s="69"/>
      <c r="AH53" s="69"/>
      <c r="AI53" s="69"/>
      <c r="AJ53" s="69"/>
      <c r="AK53" s="69"/>
      <c r="AL53" s="69"/>
      <c r="AM53" s="69"/>
      <c r="AN53" s="69"/>
      <c r="AO53" s="69"/>
      <c r="AP53" s="69"/>
      <c r="AQ53" s="69"/>
      <c r="AR53" s="69"/>
      <c r="AS53" s="69"/>
      <c r="AT53" s="69"/>
      <c r="AU53" s="69"/>
      <c r="AV53" s="69"/>
      <c r="AW53" s="69"/>
      <c r="AX53" s="69"/>
      <c r="AY53" s="69"/>
      <c r="AZ53" s="69"/>
      <c r="BA53" s="69"/>
      <c r="BB53" s="69"/>
      <c r="BC53" s="69"/>
      <c r="BD53" s="69"/>
      <c r="BE53" s="69"/>
      <c r="BF53" s="69"/>
      <c r="BG53" s="69"/>
      <c r="BH53" s="69"/>
      <c r="BI53" s="69"/>
      <c r="BJ53" s="69"/>
      <c r="BK53" s="69"/>
      <c r="BL53" s="69"/>
      <c r="BM53" s="69"/>
      <c r="BN53" s="69"/>
      <c r="BO53" s="69"/>
      <c r="BP53" s="69"/>
      <c r="BQ53" s="69"/>
      <c r="BR53" s="69"/>
      <c r="BS53" s="69"/>
      <c r="BT53" s="69"/>
      <c r="BU53" s="69"/>
      <c r="BV53" s="69"/>
      <c r="BW53" s="69"/>
      <c r="BX53" s="69"/>
      <c r="BY53" s="69"/>
      <c r="BZ53" s="69"/>
      <c r="CA53" s="69"/>
      <c r="CB53" s="69"/>
      <c r="CC53" s="69"/>
      <c r="CD53" s="69"/>
      <c r="CE53" s="69"/>
      <c r="CF53" s="69"/>
    </row>
    <row r="54" spans="1:86">
      <c r="A54" s="17" t="s">
        <v>274</v>
      </c>
      <c r="B54" s="106"/>
      <c r="D54" s="70">
        <f t="shared" ref="D54:J54" ca="1" si="189">SUMIFS($L54:$CF54,$L$3:$CF$3,D$3)</f>
        <v>37474140.148128457</v>
      </c>
      <c r="E54" s="70">
        <f t="shared" ca="1" si="189"/>
        <v>6090551.1335767573</v>
      </c>
      <c r="F54" s="70">
        <f t="shared" ca="1" si="189"/>
        <v>862668.93050559913</v>
      </c>
      <c r="G54" s="70">
        <f t="shared" ca="1" si="189"/>
        <v>-55885667.634187177</v>
      </c>
      <c r="H54" s="70">
        <f t="shared" ca="1" si="189"/>
        <v>0</v>
      </c>
      <c r="I54" s="70">
        <f t="shared" ca="1" si="189"/>
        <v>0</v>
      </c>
      <c r="J54" s="70">
        <f t="shared" ca="1" si="189"/>
        <v>0</v>
      </c>
      <c r="K54" s="69"/>
      <c r="L54" s="70">
        <f ca="1">SUM(L44,L50,L46,L47,L51,L52)</f>
        <v>37474140.148128457</v>
      </c>
      <c r="M54" s="70">
        <f t="shared" ref="M54:BX54" ca="1" si="190">SUM(M44,M50,M46,M47,M51,M52)</f>
        <v>0</v>
      </c>
      <c r="N54" s="70">
        <f t="shared" ca="1" si="190"/>
        <v>123671.1778125</v>
      </c>
      <c r="O54" s="70">
        <f t="shared" ca="1" si="190"/>
        <v>205239.31593750001</v>
      </c>
      <c r="P54" s="70">
        <f t="shared" ca="1" si="190"/>
        <v>195221.5194140625</v>
      </c>
      <c r="Q54" s="70">
        <f t="shared" ca="1" si="190"/>
        <v>291539.95888582035</v>
      </c>
      <c r="R54" s="70">
        <f t="shared" ca="1" si="190"/>
        <v>565936.80050277337</v>
      </c>
      <c r="S54" s="70">
        <f t="shared" ca="1" si="190"/>
        <v>357823.47895417979</v>
      </c>
      <c r="T54" s="70">
        <f t="shared" ca="1" si="190"/>
        <v>872144.2698294532</v>
      </c>
      <c r="U54" s="70">
        <f t="shared" ca="1" si="190"/>
        <v>793321.00925007812</v>
      </c>
      <c r="V54" s="70">
        <f t="shared" ca="1" si="190"/>
        <v>958529.12977289059</v>
      </c>
      <c r="W54" s="70">
        <f t="shared" ca="1" si="190"/>
        <v>1196276.418325</v>
      </c>
      <c r="X54" s="70">
        <f t="shared" ca="1" si="190"/>
        <v>530848.05489250005</v>
      </c>
      <c r="Y54" s="70">
        <f t="shared" ca="1" si="190"/>
        <v>487744.54045162123</v>
      </c>
      <c r="Z54" s="70">
        <f t="shared" ca="1" si="190"/>
        <v>101687.59019234375</v>
      </c>
      <c r="AA54" s="70">
        <f t="shared" ca="1" si="190"/>
        <v>101762.94436051045</v>
      </c>
      <c r="AB54" s="70">
        <f t="shared" ca="1" si="190"/>
        <v>0</v>
      </c>
      <c r="AC54" s="70">
        <f t="shared" ca="1" si="190"/>
        <v>0</v>
      </c>
      <c r="AD54" s="70">
        <f t="shared" ca="1" si="190"/>
        <v>171473.85550112367</v>
      </c>
      <c r="AE54" s="70">
        <f t="shared" ca="1" si="190"/>
        <v>0</v>
      </c>
      <c r="AF54" s="70">
        <f t="shared" ca="1" si="190"/>
        <v>0</v>
      </c>
      <c r="AG54" s="70">
        <f t="shared" ca="1" si="190"/>
        <v>0</v>
      </c>
      <c r="AH54" s="70">
        <f t="shared" ca="1" si="190"/>
        <v>0</v>
      </c>
      <c r="AI54" s="70">
        <f t="shared" ca="1" si="190"/>
        <v>0</v>
      </c>
      <c r="AJ54" s="70">
        <f t="shared" ca="1" si="190"/>
        <v>0</v>
      </c>
      <c r="AK54" s="70">
        <f t="shared" ca="1" si="190"/>
        <v>0</v>
      </c>
      <c r="AL54" s="70">
        <f t="shared" ca="1" si="190"/>
        <v>0</v>
      </c>
      <c r="AM54" s="70">
        <f t="shared" ca="1" si="190"/>
        <v>0</v>
      </c>
      <c r="AN54" s="70">
        <f t="shared" ca="1" si="190"/>
        <v>0</v>
      </c>
      <c r="AO54" s="70">
        <f t="shared" ca="1" si="190"/>
        <v>0</v>
      </c>
      <c r="AP54" s="70">
        <f t="shared" ca="1" si="190"/>
        <v>0</v>
      </c>
      <c r="AQ54" s="70">
        <f t="shared" ca="1" si="190"/>
        <v>0</v>
      </c>
      <c r="AR54" s="70">
        <f t="shared" ca="1" si="190"/>
        <v>37092.835681277866</v>
      </c>
      <c r="AS54" s="70">
        <f t="shared" ca="1" si="190"/>
        <v>0</v>
      </c>
      <c r="AT54" s="70">
        <f t="shared" ca="1" si="190"/>
        <v>0</v>
      </c>
      <c r="AU54" s="70">
        <f t="shared" ca="1" si="190"/>
        <v>0</v>
      </c>
      <c r="AV54" s="70">
        <f t="shared" ca="1" si="190"/>
        <v>-55922760.469868451</v>
      </c>
      <c r="AW54" s="70">
        <f t="shared" ca="1" si="190"/>
        <v>0</v>
      </c>
      <c r="AX54" s="70">
        <f t="shared" ca="1" si="190"/>
        <v>0</v>
      </c>
      <c r="AY54" s="70">
        <f t="shared" ca="1" si="190"/>
        <v>0</v>
      </c>
      <c r="AZ54" s="70">
        <f t="shared" ca="1" si="190"/>
        <v>0</v>
      </c>
      <c r="BA54" s="70">
        <f t="shared" ca="1" si="190"/>
        <v>0</v>
      </c>
      <c r="BB54" s="70">
        <f t="shared" ca="1" si="190"/>
        <v>0</v>
      </c>
      <c r="BC54" s="70">
        <f t="shared" ca="1" si="190"/>
        <v>0</v>
      </c>
      <c r="BD54" s="70">
        <f t="shared" ca="1" si="190"/>
        <v>0</v>
      </c>
      <c r="BE54" s="70">
        <f t="shared" ca="1" si="190"/>
        <v>0</v>
      </c>
      <c r="BF54" s="70">
        <f t="shared" ca="1" si="190"/>
        <v>0</v>
      </c>
      <c r="BG54" s="70">
        <f t="shared" ca="1" si="190"/>
        <v>0</v>
      </c>
      <c r="BH54" s="70">
        <f t="shared" ca="1" si="190"/>
        <v>0</v>
      </c>
      <c r="BI54" s="70">
        <f t="shared" ca="1" si="190"/>
        <v>0</v>
      </c>
      <c r="BJ54" s="70">
        <f t="shared" ca="1" si="190"/>
        <v>0</v>
      </c>
      <c r="BK54" s="70">
        <f t="shared" ca="1" si="190"/>
        <v>0</v>
      </c>
      <c r="BL54" s="70">
        <f t="shared" ca="1" si="190"/>
        <v>0</v>
      </c>
      <c r="BM54" s="70">
        <f t="shared" ca="1" si="190"/>
        <v>0</v>
      </c>
      <c r="BN54" s="70">
        <f t="shared" ca="1" si="190"/>
        <v>0</v>
      </c>
      <c r="BO54" s="70">
        <f t="shared" ca="1" si="190"/>
        <v>0</v>
      </c>
      <c r="BP54" s="70">
        <f t="shared" ca="1" si="190"/>
        <v>0</v>
      </c>
      <c r="BQ54" s="70">
        <f t="shared" ca="1" si="190"/>
        <v>0</v>
      </c>
      <c r="BR54" s="70">
        <f t="shared" ca="1" si="190"/>
        <v>0</v>
      </c>
      <c r="BS54" s="70">
        <f t="shared" ca="1" si="190"/>
        <v>0</v>
      </c>
      <c r="BT54" s="70">
        <f t="shared" ca="1" si="190"/>
        <v>0</v>
      </c>
      <c r="BU54" s="70">
        <f t="shared" ca="1" si="190"/>
        <v>0</v>
      </c>
      <c r="BV54" s="70">
        <f t="shared" ca="1" si="190"/>
        <v>0</v>
      </c>
      <c r="BW54" s="70">
        <f t="shared" ca="1" si="190"/>
        <v>0</v>
      </c>
      <c r="BX54" s="70">
        <f t="shared" ca="1" si="190"/>
        <v>0</v>
      </c>
      <c r="BY54" s="70">
        <f t="shared" ref="BY54:CF54" ca="1" si="191">SUM(BY44,BY50,BY46,BY47,BY51,BY52)</f>
        <v>0</v>
      </c>
      <c r="BZ54" s="70">
        <f t="shared" ca="1" si="191"/>
        <v>0</v>
      </c>
      <c r="CA54" s="70">
        <f t="shared" ca="1" si="191"/>
        <v>0</v>
      </c>
      <c r="CB54" s="70">
        <f t="shared" ca="1" si="191"/>
        <v>0</v>
      </c>
      <c r="CC54" s="70">
        <f t="shared" ca="1" si="191"/>
        <v>0</v>
      </c>
      <c r="CD54" s="70">
        <f t="shared" ca="1" si="191"/>
        <v>0</v>
      </c>
      <c r="CE54" s="70">
        <f t="shared" ca="1" si="191"/>
        <v>0</v>
      </c>
      <c r="CF54" s="70">
        <f t="shared" ca="1" si="191"/>
        <v>0</v>
      </c>
    </row>
    <row r="55" spans="1:86">
      <c r="A55" s="17"/>
      <c r="B55" s="106"/>
      <c r="D55" s="70"/>
      <c r="E55" s="70"/>
      <c r="F55" s="70"/>
      <c r="G55" s="70"/>
      <c r="H55" s="70"/>
      <c r="I55" s="70"/>
      <c r="J55" s="70"/>
      <c r="K55" s="69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  <c r="AR55" s="70"/>
      <c r="AS55" s="70"/>
      <c r="AT55" s="70"/>
      <c r="AU55" s="70"/>
      <c r="AV55" s="70"/>
      <c r="AW55" s="70"/>
      <c r="AX55" s="70"/>
      <c r="AY55" s="70"/>
      <c r="AZ55" s="70"/>
      <c r="BA55" s="70"/>
      <c r="BB55" s="70"/>
      <c r="BC55" s="70"/>
      <c r="BD55" s="70"/>
      <c r="BE55" s="70"/>
      <c r="BF55" s="70"/>
      <c r="BG55" s="70"/>
      <c r="BH55" s="70"/>
      <c r="BI55" s="70"/>
      <c r="BJ55" s="70"/>
      <c r="BK55" s="70"/>
      <c r="BL55" s="70"/>
      <c r="BM55" s="70"/>
      <c r="BN55" s="70"/>
      <c r="BO55" s="70"/>
      <c r="BP55" s="70"/>
      <c r="BQ55" s="70"/>
      <c r="BR55" s="70"/>
      <c r="BS55" s="70"/>
      <c r="BT55" s="70"/>
      <c r="BU55" s="70"/>
      <c r="BV55" s="70"/>
      <c r="BW55" s="70"/>
      <c r="BX55" s="70"/>
      <c r="BY55" s="70"/>
      <c r="BZ55" s="70"/>
      <c r="CA55" s="70"/>
      <c r="CB55" s="70"/>
      <c r="CC55" s="70"/>
      <c r="CD55" s="70"/>
      <c r="CE55" s="70"/>
      <c r="CF55" s="70"/>
    </row>
    <row r="56" spans="1:86">
      <c r="A56" s="17"/>
      <c r="B56" s="106"/>
      <c r="D56" s="70"/>
      <c r="E56" s="70"/>
      <c r="F56" s="70"/>
      <c r="G56" s="70"/>
      <c r="H56" s="70"/>
      <c r="I56" s="70"/>
      <c r="J56" s="70"/>
      <c r="K56" s="69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  <c r="AR56" s="70"/>
      <c r="AS56" s="70"/>
      <c r="AT56" s="70"/>
      <c r="AU56" s="70"/>
      <c r="AV56" s="70"/>
      <c r="AW56" s="70"/>
      <c r="AX56" s="70"/>
      <c r="AY56" s="70"/>
      <c r="AZ56" s="70"/>
      <c r="BA56" s="70"/>
      <c r="BB56" s="70"/>
      <c r="BC56" s="70"/>
      <c r="BD56" s="70"/>
      <c r="BE56" s="70"/>
      <c r="BF56" s="70"/>
      <c r="BG56" s="70"/>
      <c r="BH56" s="70"/>
      <c r="BI56" s="70"/>
      <c r="BJ56" s="70"/>
      <c r="BK56" s="70"/>
      <c r="BL56" s="70"/>
      <c r="BM56" s="70"/>
      <c r="BN56" s="70"/>
      <c r="BO56" s="70"/>
      <c r="BP56" s="70"/>
      <c r="BQ56" s="70"/>
      <c r="BR56" s="70"/>
      <c r="BS56" s="70"/>
      <c r="BT56" s="70"/>
      <c r="BU56" s="70"/>
      <c r="BV56" s="70"/>
      <c r="BW56" s="70"/>
      <c r="BX56" s="70"/>
      <c r="BY56" s="70"/>
      <c r="BZ56" s="70"/>
      <c r="CA56" s="70"/>
      <c r="CB56" s="70"/>
      <c r="CC56" s="70"/>
      <c r="CD56" s="70"/>
      <c r="CE56" s="70"/>
      <c r="CF56" s="70"/>
    </row>
    <row r="57" spans="1:86">
      <c r="B57" s="106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  <c r="AA57" s="69"/>
      <c r="AB57" s="69"/>
      <c r="AC57" s="69"/>
      <c r="AD57" s="69"/>
      <c r="AE57" s="69"/>
      <c r="AF57" s="69"/>
      <c r="AG57" s="69"/>
      <c r="AH57" s="69"/>
      <c r="AI57" s="69"/>
      <c r="AJ57" s="69"/>
      <c r="AK57" s="69"/>
      <c r="AL57" s="69"/>
      <c r="AM57" s="69"/>
      <c r="AN57" s="69"/>
      <c r="AO57" s="69"/>
      <c r="AP57" s="69"/>
      <c r="AQ57" s="69"/>
      <c r="AR57" s="69"/>
      <c r="AS57" s="69"/>
      <c r="AT57" s="69"/>
      <c r="AU57" s="69"/>
      <c r="AV57" s="69"/>
      <c r="AW57" s="69"/>
      <c r="AX57" s="69"/>
      <c r="AY57" s="69"/>
      <c r="AZ57" s="69"/>
      <c r="BA57" s="69"/>
      <c r="BB57" s="69"/>
      <c r="BC57" s="69"/>
      <c r="BD57" s="69"/>
      <c r="BE57" s="69"/>
      <c r="BF57" s="69"/>
      <c r="BG57" s="69"/>
      <c r="BH57" s="69"/>
      <c r="BI57" s="69"/>
      <c r="BJ57" s="69"/>
      <c r="BK57" s="69"/>
      <c r="BL57" s="69"/>
      <c r="BM57" s="69"/>
      <c r="BN57" s="69"/>
      <c r="BO57" s="69"/>
      <c r="BP57" s="69"/>
      <c r="BQ57" s="69"/>
      <c r="BR57" s="69"/>
      <c r="BS57" s="69"/>
      <c r="BT57" s="69"/>
      <c r="BU57" s="69"/>
      <c r="BV57" s="69"/>
      <c r="BW57" s="69"/>
      <c r="BX57" s="69"/>
      <c r="BY57" s="69"/>
      <c r="BZ57" s="69"/>
      <c r="CA57" s="69"/>
      <c r="CB57" s="69"/>
      <c r="CC57" s="69"/>
      <c r="CD57" s="69"/>
      <c r="CE57" s="69"/>
      <c r="CF57" s="69"/>
    </row>
    <row r="58" spans="1:86">
      <c r="A58" s="104" t="s">
        <v>267</v>
      </c>
      <c r="B58" s="106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  <c r="AA58" s="69"/>
      <c r="AB58" s="69"/>
      <c r="AC58" s="69"/>
      <c r="AD58" s="69"/>
      <c r="AE58" s="69"/>
      <c r="AF58" s="69"/>
      <c r="AG58" s="69"/>
      <c r="AH58" s="69"/>
      <c r="AI58" s="69"/>
      <c r="AJ58" s="69"/>
      <c r="AK58" s="69"/>
      <c r="AL58" s="69"/>
      <c r="AM58" s="69"/>
      <c r="AN58" s="69"/>
      <c r="AO58" s="69"/>
      <c r="AP58" s="69"/>
      <c r="AQ58" s="69"/>
      <c r="AR58" s="69"/>
      <c r="AS58" s="69"/>
      <c r="AT58" s="69"/>
      <c r="AU58" s="69"/>
      <c r="AV58" s="69"/>
      <c r="AW58" s="69"/>
      <c r="AX58" s="69"/>
      <c r="AY58" s="69"/>
      <c r="AZ58" s="69"/>
      <c r="BA58" s="69"/>
      <c r="BB58" s="69"/>
      <c r="BC58" s="69"/>
      <c r="BD58" s="69"/>
      <c r="BE58" s="69"/>
      <c r="BF58" s="69"/>
      <c r="BG58" s="69"/>
      <c r="BH58" s="69"/>
      <c r="BI58" s="69"/>
      <c r="BJ58" s="69"/>
      <c r="BK58" s="69"/>
      <c r="BL58" s="69"/>
      <c r="BM58" s="69"/>
      <c r="BN58" s="69"/>
      <c r="BO58" s="69"/>
      <c r="BP58" s="69"/>
      <c r="BQ58" s="69"/>
      <c r="BR58" s="69"/>
      <c r="BS58" s="69"/>
      <c r="BT58" s="69"/>
      <c r="BU58" s="69"/>
      <c r="BV58" s="69"/>
      <c r="BW58" s="69"/>
      <c r="BX58" s="69"/>
      <c r="BY58" s="69"/>
      <c r="BZ58" s="69"/>
      <c r="CA58" s="69"/>
      <c r="CB58" s="69"/>
      <c r="CC58" s="69"/>
      <c r="CD58" s="69"/>
      <c r="CE58" s="69"/>
      <c r="CF58" s="69"/>
    </row>
    <row r="59" spans="1:86">
      <c r="A59" s="17" t="s">
        <v>269</v>
      </c>
      <c r="B59" s="106"/>
      <c r="D59" s="70">
        <v>0</v>
      </c>
      <c r="E59" s="70">
        <f ca="1">D63</f>
        <v>0</v>
      </c>
      <c r="F59" s="70">
        <f t="shared" ref="F59:J59" ca="1" si="192">E63</f>
        <v>0</v>
      </c>
      <c r="G59" s="70">
        <f t="shared" ca="1" si="192"/>
        <v>0</v>
      </c>
      <c r="H59" s="70">
        <f t="shared" ca="1" si="192"/>
        <v>57936597.256668665</v>
      </c>
      <c r="I59" s="70">
        <f t="shared" ca="1" si="192"/>
        <v>57337066.971127167</v>
      </c>
      <c r="J59" s="70">
        <f t="shared" ca="1" si="192"/>
        <v>0</v>
      </c>
      <c r="K59" s="69"/>
      <c r="L59" s="70">
        <v>0</v>
      </c>
      <c r="M59" s="70">
        <f ca="1">L63</f>
        <v>0</v>
      </c>
      <c r="N59" s="70">
        <f t="shared" ref="N59:BY59" ca="1" si="193">M63</f>
        <v>0</v>
      </c>
      <c r="O59" s="70">
        <f t="shared" ca="1" si="193"/>
        <v>0</v>
      </c>
      <c r="P59" s="70">
        <f t="shared" ca="1" si="193"/>
        <v>0</v>
      </c>
      <c r="Q59" s="70">
        <f t="shared" ca="1" si="193"/>
        <v>0</v>
      </c>
      <c r="R59" s="70">
        <f t="shared" ca="1" si="193"/>
        <v>0</v>
      </c>
      <c r="S59" s="70">
        <f t="shared" ca="1" si="193"/>
        <v>0</v>
      </c>
      <c r="T59" s="70">
        <f t="shared" ca="1" si="193"/>
        <v>0</v>
      </c>
      <c r="U59" s="70">
        <f t="shared" ca="1" si="193"/>
        <v>0</v>
      </c>
      <c r="V59" s="70">
        <f t="shared" ca="1" si="193"/>
        <v>0</v>
      </c>
      <c r="W59" s="70">
        <f t="shared" ca="1" si="193"/>
        <v>0</v>
      </c>
      <c r="X59" s="70">
        <f t="shared" ca="1" si="193"/>
        <v>0</v>
      </c>
      <c r="Y59" s="70">
        <f t="shared" ca="1" si="193"/>
        <v>0</v>
      </c>
      <c r="Z59" s="70">
        <f t="shared" ca="1" si="193"/>
        <v>0</v>
      </c>
      <c r="AA59" s="70">
        <f t="shared" ca="1" si="193"/>
        <v>0</v>
      </c>
      <c r="AB59" s="70">
        <f t="shared" ca="1" si="193"/>
        <v>0</v>
      </c>
      <c r="AC59" s="70">
        <f t="shared" ca="1" si="193"/>
        <v>0</v>
      </c>
      <c r="AD59" s="70">
        <f t="shared" ca="1" si="193"/>
        <v>0</v>
      </c>
      <c r="AE59" s="70">
        <f t="shared" ca="1" si="193"/>
        <v>0</v>
      </c>
      <c r="AF59" s="70">
        <f t="shared" ca="1" si="193"/>
        <v>0</v>
      </c>
      <c r="AG59" s="70">
        <f t="shared" ca="1" si="193"/>
        <v>0</v>
      </c>
      <c r="AH59" s="70">
        <f t="shared" ca="1" si="193"/>
        <v>0</v>
      </c>
      <c r="AI59" s="70">
        <f t="shared" ca="1" si="193"/>
        <v>0</v>
      </c>
      <c r="AJ59" s="70">
        <f t="shared" ca="1" si="193"/>
        <v>0</v>
      </c>
      <c r="AK59" s="70">
        <f t="shared" ca="1" si="193"/>
        <v>0</v>
      </c>
      <c r="AL59" s="70">
        <f t="shared" ca="1" si="193"/>
        <v>0</v>
      </c>
      <c r="AM59" s="70">
        <f t="shared" ca="1" si="193"/>
        <v>0</v>
      </c>
      <c r="AN59" s="70">
        <f t="shared" ca="1" si="193"/>
        <v>0</v>
      </c>
      <c r="AO59" s="70">
        <f t="shared" ca="1" si="193"/>
        <v>0</v>
      </c>
      <c r="AP59" s="70">
        <f t="shared" ca="1" si="193"/>
        <v>0</v>
      </c>
      <c r="AQ59" s="70">
        <f t="shared" ca="1" si="193"/>
        <v>0</v>
      </c>
      <c r="AR59" s="70">
        <f t="shared" ca="1" si="193"/>
        <v>0</v>
      </c>
      <c r="AS59" s="70">
        <f t="shared" ca="1" si="193"/>
        <v>0</v>
      </c>
      <c r="AT59" s="70">
        <f t="shared" ca="1" si="193"/>
        <v>0</v>
      </c>
      <c r="AU59" s="70">
        <f t="shared" ca="1" si="193"/>
        <v>0</v>
      </c>
      <c r="AV59" s="70">
        <f t="shared" ca="1" si="193"/>
        <v>0</v>
      </c>
      <c r="AW59" s="70">
        <f t="shared" ca="1" si="193"/>
        <v>57936597.256668665</v>
      </c>
      <c r="AX59" s="70">
        <f t="shared" ca="1" si="193"/>
        <v>57887960.978161573</v>
      </c>
      <c r="AY59" s="70">
        <f t="shared" ca="1" si="193"/>
        <v>57839086.958355956</v>
      </c>
      <c r="AZ59" s="70">
        <f t="shared" ca="1" si="193"/>
        <v>57789974.271678567</v>
      </c>
      <c r="BA59" s="70">
        <f t="shared" ca="1" si="193"/>
        <v>57740621.991704606</v>
      </c>
      <c r="BB59" s="70">
        <f t="shared" ca="1" si="193"/>
        <v>57691029.191194803</v>
      </c>
      <c r="BC59" s="70">
        <f t="shared" ca="1" si="193"/>
        <v>57641194.942133047</v>
      </c>
      <c r="BD59" s="70">
        <f t="shared" ca="1" si="193"/>
        <v>57591118.315764569</v>
      </c>
      <c r="BE59" s="70">
        <f t="shared" ca="1" si="193"/>
        <v>57540798.382634677</v>
      </c>
      <c r="BF59" s="70">
        <f t="shared" ca="1" si="193"/>
        <v>57490234.212628067</v>
      </c>
      <c r="BG59" s="70">
        <f t="shared" ca="1" si="193"/>
        <v>57439424.875008702</v>
      </c>
      <c r="BH59" s="70">
        <f t="shared" ca="1" si="193"/>
        <v>57388369.438460261</v>
      </c>
      <c r="BI59" s="70">
        <f t="shared" ca="1" si="193"/>
        <v>57337066.971127167</v>
      </c>
      <c r="BJ59" s="70">
        <f t="shared" ca="1" si="193"/>
        <v>57285516.540656202</v>
      </c>
      <c r="BK59" s="70">
        <f t="shared" ca="1" si="193"/>
        <v>57233717.214238688</v>
      </c>
      <c r="BL59" s="70">
        <f t="shared" ca="1" si="193"/>
        <v>57181668.058653325</v>
      </c>
      <c r="BM59" s="70">
        <f t="shared" ca="1" si="193"/>
        <v>57129368.140309528</v>
      </c>
      <c r="BN59" s="70">
        <f t="shared" ca="1" si="193"/>
        <v>57076816.525291473</v>
      </c>
      <c r="BO59" s="70">
        <f t="shared" ca="1" si="193"/>
        <v>57024012.279402673</v>
      </c>
      <c r="BP59" s="70">
        <f t="shared" ca="1" si="193"/>
        <v>56970954.468211204</v>
      </c>
      <c r="BQ59" s="70">
        <f t="shared" ca="1" si="193"/>
        <v>56917642.157095544</v>
      </c>
      <c r="BR59" s="70">
        <f t="shared" ca="1" si="193"/>
        <v>56864074.411291033</v>
      </c>
      <c r="BS59" s="70">
        <f t="shared" ca="1" si="193"/>
        <v>56810250.295936957</v>
      </c>
      <c r="BT59" s="70">
        <f t="shared" ca="1" si="193"/>
        <v>56756168.87612427</v>
      </c>
      <c r="BU59" s="70">
        <f t="shared" ca="1" si="193"/>
        <v>0</v>
      </c>
      <c r="BV59" s="70">
        <f t="shared" ca="1" si="193"/>
        <v>0</v>
      </c>
      <c r="BW59" s="70">
        <f t="shared" ca="1" si="193"/>
        <v>0</v>
      </c>
      <c r="BX59" s="70">
        <f t="shared" ca="1" si="193"/>
        <v>0</v>
      </c>
      <c r="BY59" s="70">
        <f t="shared" ca="1" si="193"/>
        <v>0</v>
      </c>
      <c r="BZ59" s="70">
        <f t="shared" ref="BZ59:CF59" ca="1" si="194">BY63</f>
        <v>0</v>
      </c>
      <c r="CA59" s="70">
        <f t="shared" ca="1" si="194"/>
        <v>0</v>
      </c>
      <c r="CB59" s="70">
        <f t="shared" ca="1" si="194"/>
        <v>0</v>
      </c>
      <c r="CC59" s="70">
        <f t="shared" ca="1" si="194"/>
        <v>0</v>
      </c>
      <c r="CD59" s="70">
        <f t="shared" ca="1" si="194"/>
        <v>0</v>
      </c>
      <c r="CE59" s="70">
        <f t="shared" ca="1" si="194"/>
        <v>0</v>
      </c>
      <c r="CF59" s="70">
        <f t="shared" ca="1" si="194"/>
        <v>0</v>
      </c>
    </row>
    <row r="60" spans="1:86">
      <c r="A60" s="105" t="s">
        <v>270</v>
      </c>
      <c r="B60" s="69">
        <f ca="1">MIN('Leverage Options'!B27,'Leverage Options'!B28)</f>
        <v>57936597.256668665</v>
      </c>
      <c r="D60" s="69">
        <f t="shared" ref="D60:J62" ca="1" si="195">SUMIFS($L60:$CF60,$L$3:$CF$3,D$3)</f>
        <v>0</v>
      </c>
      <c r="E60" s="69">
        <f t="shared" ca="1" si="195"/>
        <v>0</v>
      </c>
      <c r="F60" s="69">
        <f t="shared" ca="1" si="195"/>
        <v>0</v>
      </c>
      <c r="G60" s="69">
        <f t="shared" ca="1" si="195"/>
        <v>57936597.256668665</v>
      </c>
      <c r="H60" s="69">
        <f t="shared" ca="1" si="195"/>
        <v>0</v>
      </c>
      <c r="I60" s="69">
        <f t="shared" ca="1" si="195"/>
        <v>0</v>
      </c>
      <c r="J60" s="69">
        <f t="shared" ca="1" si="195"/>
        <v>0</v>
      </c>
      <c r="K60" s="69"/>
      <c r="L60" s="69">
        <f ca="1">$B60*(L$4=$B$47)</f>
        <v>0</v>
      </c>
      <c r="M60" s="69">
        <f ca="1">$B60*(M$4=$B$47)</f>
        <v>0</v>
      </c>
      <c r="N60" s="69">
        <f t="shared" ref="N60:BY60" ca="1" si="196">$B60*(N$4=$B$47)</f>
        <v>0</v>
      </c>
      <c r="O60" s="69">
        <f t="shared" ca="1" si="196"/>
        <v>0</v>
      </c>
      <c r="P60" s="69">
        <f t="shared" ca="1" si="196"/>
        <v>0</v>
      </c>
      <c r="Q60" s="69">
        <f t="shared" ca="1" si="196"/>
        <v>0</v>
      </c>
      <c r="R60" s="69">
        <f t="shared" ca="1" si="196"/>
        <v>0</v>
      </c>
      <c r="S60" s="69">
        <f t="shared" ca="1" si="196"/>
        <v>0</v>
      </c>
      <c r="T60" s="69">
        <f t="shared" ca="1" si="196"/>
        <v>0</v>
      </c>
      <c r="U60" s="69">
        <f t="shared" ca="1" si="196"/>
        <v>0</v>
      </c>
      <c r="V60" s="69">
        <f t="shared" ca="1" si="196"/>
        <v>0</v>
      </c>
      <c r="W60" s="69">
        <f t="shared" ca="1" si="196"/>
        <v>0</v>
      </c>
      <c r="X60" s="69">
        <f t="shared" ca="1" si="196"/>
        <v>0</v>
      </c>
      <c r="Y60" s="69">
        <f t="shared" ca="1" si="196"/>
        <v>0</v>
      </c>
      <c r="Z60" s="69">
        <f t="shared" ca="1" si="196"/>
        <v>0</v>
      </c>
      <c r="AA60" s="69">
        <f t="shared" ca="1" si="196"/>
        <v>0</v>
      </c>
      <c r="AB60" s="69">
        <f t="shared" ca="1" si="196"/>
        <v>0</v>
      </c>
      <c r="AC60" s="69">
        <f t="shared" ca="1" si="196"/>
        <v>0</v>
      </c>
      <c r="AD60" s="69">
        <f t="shared" ca="1" si="196"/>
        <v>0</v>
      </c>
      <c r="AE60" s="69">
        <f t="shared" ca="1" si="196"/>
        <v>0</v>
      </c>
      <c r="AF60" s="69">
        <f t="shared" ca="1" si="196"/>
        <v>0</v>
      </c>
      <c r="AG60" s="69">
        <f t="shared" ca="1" si="196"/>
        <v>0</v>
      </c>
      <c r="AH60" s="69">
        <f t="shared" ca="1" si="196"/>
        <v>0</v>
      </c>
      <c r="AI60" s="69">
        <f t="shared" ca="1" si="196"/>
        <v>0</v>
      </c>
      <c r="AJ60" s="69">
        <f t="shared" ca="1" si="196"/>
        <v>0</v>
      </c>
      <c r="AK60" s="69">
        <f t="shared" ca="1" si="196"/>
        <v>0</v>
      </c>
      <c r="AL60" s="69">
        <f t="shared" ca="1" si="196"/>
        <v>0</v>
      </c>
      <c r="AM60" s="69">
        <f t="shared" ca="1" si="196"/>
        <v>0</v>
      </c>
      <c r="AN60" s="69">
        <f t="shared" ca="1" si="196"/>
        <v>0</v>
      </c>
      <c r="AO60" s="69">
        <f t="shared" ca="1" si="196"/>
        <v>0</v>
      </c>
      <c r="AP60" s="69">
        <f t="shared" ca="1" si="196"/>
        <v>0</v>
      </c>
      <c r="AQ60" s="69">
        <f t="shared" ca="1" si="196"/>
        <v>0</v>
      </c>
      <c r="AR60" s="69">
        <f t="shared" ca="1" si="196"/>
        <v>0</v>
      </c>
      <c r="AS60" s="69">
        <f t="shared" ca="1" si="196"/>
        <v>0</v>
      </c>
      <c r="AT60" s="69">
        <f t="shared" ca="1" si="196"/>
        <v>0</v>
      </c>
      <c r="AU60" s="69">
        <f t="shared" ca="1" si="196"/>
        <v>0</v>
      </c>
      <c r="AV60" s="69">
        <f t="shared" ca="1" si="196"/>
        <v>57936597.256668665</v>
      </c>
      <c r="AW60" s="69">
        <f t="shared" ca="1" si="196"/>
        <v>0</v>
      </c>
      <c r="AX60" s="69">
        <f t="shared" ca="1" si="196"/>
        <v>0</v>
      </c>
      <c r="AY60" s="69">
        <f t="shared" ca="1" si="196"/>
        <v>0</v>
      </c>
      <c r="AZ60" s="69">
        <f t="shared" ca="1" si="196"/>
        <v>0</v>
      </c>
      <c r="BA60" s="69">
        <f t="shared" ca="1" si="196"/>
        <v>0</v>
      </c>
      <c r="BB60" s="69">
        <f t="shared" ca="1" si="196"/>
        <v>0</v>
      </c>
      <c r="BC60" s="69">
        <f t="shared" ca="1" si="196"/>
        <v>0</v>
      </c>
      <c r="BD60" s="69">
        <f t="shared" ca="1" si="196"/>
        <v>0</v>
      </c>
      <c r="BE60" s="69">
        <f t="shared" ca="1" si="196"/>
        <v>0</v>
      </c>
      <c r="BF60" s="69">
        <f t="shared" ca="1" si="196"/>
        <v>0</v>
      </c>
      <c r="BG60" s="69">
        <f t="shared" ca="1" si="196"/>
        <v>0</v>
      </c>
      <c r="BH60" s="69">
        <f t="shared" ca="1" si="196"/>
        <v>0</v>
      </c>
      <c r="BI60" s="69">
        <f t="shared" ca="1" si="196"/>
        <v>0</v>
      </c>
      <c r="BJ60" s="69">
        <f t="shared" ca="1" si="196"/>
        <v>0</v>
      </c>
      <c r="BK60" s="69">
        <f t="shared" ca="1" si="196"/>
        <v>0</v>
      </c>
      <c r="BL60" s="69">
        <f t="shared" ca="1" si="196"/>
        <v>0</v>
      </c>
      <c r="BM60" s="69">
        <f t="shared" ca="1" si="196"/>
        <v>0</v>
      </c>
      <c r="BN60" s="69">
        <f t="shared" ca="1" si="196"/>
        <v>0</v>
      </c>
      <c r="BO60" s="69">
        <f t="shared" ca="1" si="196"/>
        <v>0</v>
      </c>
      <c r="BP60" s="69">
        <f t="shared" ca="1" si="196"/>
        <v>0</v>
      </c>
      <c r="BQ60" s="69">
        <f t="shared" ca="1" si="196"/>
        <v>0</v>
      </c>
      <c r="BR60" s="69">
        <f t="shared" ca="1" si="196"/>
        <v>0</v>
      </c>
      <c r="BS60" s="69">
        <f t="shared" ca="1" si="196"/>
        <v>0</v>
      </c>
      <c r="BT60" s="69">
        <f t="shared" ca="1" si="196"/>
        <v>0</v>
      </c>
      <c r="BU60" s="69">
        <f t="shared" ca="1" si="196"/>
        <v>0</v>
      </c>
      <c r="BV60" s="69">
        <f t="shared" ca="1" si="196"/>
        <v>0</v>
      </c>
      <c r="BW60" s="69">
        <f t="shared" ca="1" si="196"/>
        <v>0</v>
      </c>
      <c r="BX60" s="69">
        <f t="shared" ca="1" si="196"/>
        <v>0</v>
      </c>
      <c r="BY60" s="69">
        <f t="shared" ca="1" si="196"/>
        <v>0</v>
      </c>
      <c r="BZ60" s="69">
        <f t="shared" ref="BZ60:CF60" ca="1" si="197">$B60*(BZ$4=$B$47)</f>
        <v>0</v>
      </c>
      <c r="CA60" s="69">
        <f t="shared" ca="1" si="197"/>
        <v>0</v>
      </c>
      <c r="CB60" s="69">
        <f t="shared" ca="1" si="197"/>
        <v>0</v>
      </c>
      <c r="CC60" s="69">
        <f t="shared" ca="1" si="197"/>
        <v>0</v>
      </c>
      <c r="CD60" s="69">
        <f t="shared" ca="1" si="197"/>
        <v>0</v>
      </c>
      <c r="CE60" s="69">
        <f t="shared" ca="1" si="197"/>
        <v>0</v>
      </c>
      <c r="CF60" s="69">
        <f t="shared" ca="1" si="197"/>
        <v>0</v>
      </c>
    </row>
    <row r="61" spans="1:86">
      <c r="A61" s="105" t="s">
        <v>275</v>
      </c>
      <c r="B61" s="106">
        <f>'Leverage Options'!B16</f>
        <v>30</v>
      </c>
      <c r="D61" s="69">
        <f t="shared" ca="1" si="195"/>
        <v>0</v>
      </c>
      <c r="E61" s="69">
        <f t="shared" ca="1" si="195"/>
        <v>0</v>
      </c>
      <c r="F61" s="69">
        <f t="shared" ca="1" si="195"/>
        <v>0</v>
      </c>
      <c r="G61" s="69">
        <f t="shared" ca="1" si="195"/>
        <v>0</v>
      </c>
      <c r="H61" s="69">
        <f t="shared" ca="1" si="195"/>
        <v>-599530.28554149566</v>
      </c>
      <c r="I61" s="69">
        <f t="shared" ca="1" si="195"/>
        <v>-635237.75418320263</v>
      </c>
      <c r="J61" s="69">
        <f t="shared" ca="1" si="195"/>
        <v>0</v>
      </c>
      <c r="K61" s="69"/>
      <c r="L61" s="69">
        <f ca="1">IFERROR(PPMT((1+$B65)^(1/12)-1,L$4-$B$47,$B61*12,SUM(L59:L60),0,0),0)</f>
        <v>0</v>
      </c>
      <c r="M61" s="69">
        <f t="shared" ref="M61:BX61" ca="1" si="198">IFERROR(PPMT((1+$B65)^(1/12)-1,M$4-$B$47,$B61*12,SUM(M59:M60),0,0),0)</f>
        <v>0</v>
      </c>
      <c r="N61" s="69">
        <f t="shared" ca="1" si="198"/>
        <v>0</v>
      </c>
      <c r="O61" s="69">
        <f t="shared" ca="1" si="198"/>
        <v>0</v>
      </c>
      <c r="P61" s="69">
        <f t="shared" ca="1" si="198"/>
        <v>0</v>
      </c>
      <c r="Q61" s="69">
        <f t="shared" ca="1" si="198"/>
        <v>0</v>
      </c>
      <c r="R61" s="69">
        <f t="shared" ca="1" si="198"/>
        <v>0</v>
      </c>
      <c r="S61" s="69">
        <f t="shared" ca="1" si="198"/>
        <v>0</v>
      </c>
      <c r="T61" s="69">
        <f t="shared" ca="1" si="198"/>
        <v>0</v>
      </c>
      <c r="U61" s="69">
        <f t="shared" ca="1" si="198"/>
        <v>0</v>
      </c>
      <c r="V61" s="69">
        <f t="shared" ca="1" si="198"/>
        <v>0</v>
      </c>
      <c r="W61" s="69">
        <f t="shared" ca="1" si="198"/>
        <v>0</v>
      </c>
      <c r="X61" s="69">
        <f t="shared" ca="1" si="198"/>
        <v>0</v>
      </c>
      <c r="Y61" s="69">
        <f t="shared" ca="1" si="198"/>
        <v>0</v>
      </c>
      <c r="Z61" s="69">
        <f t="shared" ca="1" si="198"/>
        <v>0</v>
      </c>
      <c r="AA61" s="69">
        <f t="shared" ca="1" si="198"/>
        <v>0</v>
      </c>
      <c r="AB61" s="69">
        <f t="shared" ca="1" si="198"/>
        <v>0</v>
      </c>
      <c r="AC61" s="69">
        <f t="shared" ca="1" si="198"/>
        <v>0</v>
      </c>
      <c r="AD61" s="69">
        <f t="shared" ca="1" si="198"/>
        <v>0</v>
      </c>
      <c r="AE61" s="69">
        <f t="shared" ca="1" si="198"/>
        <v>0</v>
      </c>
      <c r="AF61" s="69">
        <f t="shared" ca="1" si="198"/>
        <v>0</v>
      </c>
      <c r="AG61" s="69">
        <f t="shared" ca="1" si="198"/>
        <v>0</v>
      </c>
      <c r="AH61" s="69">
        <f t="shared" ca="1" si="198"/>
        <v>0</v>
      </c>
      <c r="AI61" s="69">
        <f t="shared" ca="1" si="198"/>
        <v>0</v>
      </c>
      <c r="AJ61" s="69">
        <f t="shared" ca="1" si="198"/>
        <v>0</v>
      </c>
      <c r="AK61" s="69">
        <f t="shared" ca="1" si="198"/>
        <v>0</v>
      </c>
      <c r="AL61" s="69">
        <f t="shared" ca="1" si="198"/>
        <v>0</v>
      </c>
      <c r="AM61" s="69">
        <f t="shared" ca="1" si="198"/>
        <v>0</v>
      </c>
      <c r="AN61" s="69">
        <f t="shared" ca="1" si="198"/>
        <v>0</v>
      </c>
      <c r="AO61" s="69">
        <f t="shared" ca="1" si="198"/>
        <v>0</v>
      </c>
      <c r="AP61" s="69">
        <f t="shared" ca="1" si="198"/>
        <v>0</v>
      </c>
      <c r="AQ61" s="69">
        <f t="shared" ca="1" si="198"/>
        <v>0</v>
      </c>
      <c r="AR61" s="69">
        <f t="shared" ca="1" si="198"/>
        <v>0</v>
      </c>
      <c r="AS61" s="69">
        <f t="shared" ca="1" si="198"/>
        <v>0</v>
      </c>
      <c r="AT61" s="69">
        <f t="shared" ca="1" si="198"/>
        <v>0</v>
      </c>
      <c r="AU61" s="69">
        <f t="shared" ca="1" si="198"/>
        <v>0</v>
      </c>
      <c r="AV61" s="69">
        <f t="shared" ca="1" si="198"/>
        <v>0</v>
      </c>
      <c r="AW61" s="69">
        <f t="shared" ca="1" si="198"/>
        <v>-48636.278507087925</v>
      </c>
      <c r="AX61" s="69">
        <f t="shared" ca="1" si="198"/>
        <v>-48874.019805617798</v>
      </c>
      <c r="AY61" s="69">
        <f t="shared" ca="1" si="198"/>
        <v>-49112.686677391765</v>
      </c>
      <c r="AZ61" s="69">
        <f t="shared" ca="1" si="198"/>
        <v>-49352.279973962002</v>
      </c>
      <c r="BA61" s="69">
        <f t="shared" ca="1" si="198"/>
        <v>-49592.80050980128</v>
      </c>
      <c r="BB61" s="69">
        <f t="shared" ca="1" si="198"/>
        <v>-49834.249061753355</v>
      </c>
      <c r="BC61" s="69">
        <f t="shared" ca="1" si="198"/>
        <v>-50076.626368478479</v>
      </c>
      <c r="BD61" s="69">
        <f t="shared" ca="1" si="198"/>
        <v>-50319.933129894278</v>
      </c>
      <c r="BE61" s="69">
        <f t="shared" ca="1" si="198"/>
        <v>-50564.170006611428</v>
      </c>
      <c r="BF61" s="69">
        <f t="shared" ca="1" si="198"/>
        <v>-50809.337619364858</v>
      </c>
      <c r="BG61" s="69">
        <f t="shared" ca="1" si="198"/>
        <v>-51055.436548439757</v>
      </c>
      <c r="BH61" s="69">
        <f t="shared" ca="1" si="198"/>
        <v>-51302.467333092776</v>
      </c>
      <c r="BI61" s="69">
        <f t="shared" ca="1" si="198"/>
        <v>-51550.430470968349</v>
      </c>
      <c r="BJ61" s="69">
        <f t="shared" ca="1" si="198"/>
        <v>-51799.326417510107</v>
      </c>
      <c r="BK61" s="69">
        <f t="shared" ca="1" si="198"/>
        <v>-52049.15558536716</v>
      </c>
      <c r="BL61" s="69">
        <f t="shared" ca="1" si="198"/>
        <v>-52299.918343795784</v>
      </c>
      <c r="BM61" s="69">
        <f t="shared" ca="1" si="198"/>
        <v>-52551.615018055665</v>
      </c>
      <c r="BN61" s="69">
        <f t="shared" ca="1" si="198"/>
        <v>-52804.245888801699</v>
      </c>
      <c r="BO61" s="69">
        <f t="shared" ca="1" si="198"/>
        <v>-53057.811191470304</v>
      </c>
      <c r="BP61" s="69">
        <f t="shared" ca="1" si="198"/>
        <v>-53312.311115661156</v>
      </c>
      <c r="BQ61" s="69">
        <f t="shared" ca="1" si="198"/>
        <v>-53567.745804513601</v>
      </c>
      <c r="BR61" s="69">
        <f t="shared" ca="1" si="198"/>
        <v>-53824.115354078254</v>
      </c>
      <c r="BS61" s="69">
        <f t="shared" ca="1" si="198"/>
        <v>-54081.419812683504</v>
      </c>
      <c r="BT61" s="69">
        <f t="shared" ca="1" si="198"/>
        <v>-54339.659180297014</v>
      </c>
      <c r="BU61" s="69">
        <f t="shared" ca="1" si="198"/>
        <v>0</v>
      </c>
      <c r="BV61" s="69">
        <f t="shared" ca="1" si="198"/>
        <v>0</v>
      </c>
      <c r="BW61" s="69">
        <f t="shared" ca="1" si="198"/>
        <v>0</v>
      </c>
      <c r="BX61" s="69">
        <f t="shared" ca="1" si="198"/>
        <v>0</v>
      </c>
      <c r="BY61" s="69">
        <f t="shared" ref="BY61:CF61" ca="1" si="199">IFERROR(PPMT((1+$B65)^(1/12)-1,BY$4-$B$47,$B61*12,SUM(BY59:BY60),0,0),0)</f>
        <v>0</v>
      </c>
      <c r="BZ61" s="69">
        <f t="shared" ca="1" si="199"/>
        <v>0</v>
      </c>
      <c r="CA61" s="69">
        <f t="shared" ca="1" si="199"/>
        <v>0</v>
      </c>
      <c r="CB61" s="69">
        <f t="shared" ca="1" si="199"/>
        <v>0</v>
      </c>
      <c r="CC61" s="69">
        <f t="shared" ca="1" si="199"/>
        <v>0</v>
      </c>
      <c r="CD61" s="69">
        <f t="shared" ca="1" si="199"/>
        <v>0</v>
      </c>
      <c r="CE61" s="69">
        <f t="shared" ca="1" si="199"/>
        <v>0</v>
      </c>
      <c r="CF61" s="69">
        <f t="shared" ca="1" si="199"/>
        <v>0</v>
      </c>
      <c r="CH61" s="28"/>
    </row>
    <row r="62" spans="1:86">
      <c r="A62" s="105" t="s">
        <v>271</v>
      </c>
      <c r="B62" s="106">
        <f ca="1">MIN(B47+'Leverage Options'!B17*12,HoldMonths)</f>
        <v>60</v>
      </c>
      <c r="D62" s="69">
        <f t="shared" ca="1" si="195"/>
        <v>0</v>
      </c>
      <c r="E62" s="69">
        <f t="shared" ca="1" si="195"/>
        <v>0</v>
      </c>
      <c r="F62" s="69">
        <f t="shared" ca="1" si="195"/>
        <v>0</v>
      </c>
      <c r="G62" s="69">
        <f t="shared" ca="1" si="195"/>
        <v>0</v>
      </c>
      <c r="H62" s="69">
        <f t="shared" ca="1" si="195"/>
        <v>0</v>
      </c>
      <c r="I62" s="69">
        <f t="shared" ca="1" si="195"/>
        <v>-56701829.216943972</v>
      </c>
      <c r="J62" s="69">
        <f t="shared" ca="1" si="195"/>
        <v>0</v>
      </c>
      <c r="K62" s="69"/>
      <c r="L62" s="69">
        <f t="shared" ref="L62" ca="1" si="200">-SUM(L59:L61)*(L$4=$B62)</f>
        <v>0</v>
      </c>
      <c r="M62" s="69">
        <f ca="1">-SUM(M59:M61)*(M$4=$B62)</f>
        <v>0</v>
      </c>
      <c r="N62" s="69">
        <f t="shared" ref="N62:BY62" ca="1" si="201">-SUM(N59:N61)*(N$4=$B62)</f>
        <v>0</v>
      </c>
      <c r="O62" s="69">
        <f t="shared" ca="1" si="201"/>
        <v>0</v>
      </c>
      <c r="P62" s="69">
        <f t="shared" ca="1" si="201"/>
        <v>0</v>
      </c>
      <c r="Q62" s="69">
        <f t="shared" ca="1" si="201"/>
        <v>0</v>
      </c>
      <c r="R62" s="69">
        <f t="shared" ca="1" si="201"/>
        <v>0</v>
      </c>
      <c r="S62" s="69">
        <f t="shared" ca="1" si="201"/>
        <v>0</v>
      </c>
      <c r="T62" s="69">
        <f t="shared" ca="1" si="201"/>
        <v>0</v>
      </c>
      <c r="U62" s="69">
        <f t="shared" ca="1" si="201"/>
        <v>0</v>
      </c>
      <c r="V62" s="69">
        <f t="shared" ca="1" si="201"/>
        <v>0</v>
      </c>
      <c r="W62" s="69">
        <f t="shared" ca="1" si="201"/>
        <v>0</v>
      </c>
      <c r="X62" s="69">
        <f t="shared" ca="1" si="201"/>
        <v>0</v>
      </c>
      <c r="Y62" s="69">
        <f t="shared" ca="1" si="201"/>
        <v>0</v>
      </c>
      <c r="Z62" s="69">
        <f t="shared" ca="1" si="201"/>
        <v>0</v>
      </c>
      <c r="AA62" s="69">
        <f t="shared" ca="1" si="201"/>
        <v>0</v>
      </c>
      <c r="AB62" s="69">
        <f t="shared" ca="1" si="201"/>
        <v>0</v>
      </c>
      <c r="AC62" s="69">
        <f t="shared" ca="1" si="201"/>
        <v>0</v>
      </c>
      <c r="AD62" s="69">
        <f t="shared" ca="1" si="201"/>
        <v>0</v>
      </c>
      <c r="AE62" s="69">
        <f t="shared" ca="1" si="201"/>
        <v>0</v>
      </c>
      <c r="AF62" s="69">
        <f t="shared" ca="1" si="201"/>
        <v>0</v>
      </c>
      <c r="AG62" s="69">
        <f t="shared" ca="1" si="201"/>
        <v>0</v>
      </c>
      <c r="AH62" s="69">
        <f t="shared" ca="1" si="201"/>
        <v>0</v>
      </c>
      <c r="AI62" s="69">
        <f t="shared" ca="1" si="201"/>
        <v>0</v>
      </c>
      <c r="AJ62" s="69">
        <f t="shared" ca="1" si="201"/>
        <v>0</v>
      </c>
      <c r="AK62" s="69">
        <f t="shared" ca="1" si="201"/>
        <v>0</v>
      </c>
      <c r="AL62" s="69">
        <f t="shared" ca="1" si="201"/>
        <v>0</v>
      </c>
      <c r="AM62" s="69">
        <f t="shared" ca="1" si="201"/>
        <v>0</v>
      </c>
      <c r="AN62" s="69">
        <f t="shared" ca="1" si="201"/>
        <v>0</v>
      </c>
      <c r="AO62" s="69">
        <f t="shared" ca="1" si="201"/>
        <v>0</v>
      </c>
      <c r="AP62" s="69">
        <f t="shared" ca="1" si="201"/>
        <v>0</v>
      </c>
      <c r="AQ62" s="69">
        <f t="shared" ca="1" si="201"/>
        <v>0</v>
      </c>
      <c r="AR62" s="69">
        <f t="shared" ca="1" si="201"/>
        <v>0</v>
      </c>
      <c r="AS62" s="69">
        <f t="shared" ca="1" si="201"/>
        <v>0</v>
      </c>
      <c r="AT62" s="69">
        <f t="shared" ca="1" si="201"/>
        <v>0</v>
      </c>
      <c r="AU62" s="69">
        <f t="shared" ca="1" si="201"/>
        <v>0</v>
      </c>
      <c r="AV62" s="69">
        <f t="shared" ca="1" si="201"/>
        <v>0</v>
      </c>
      <c r="AW62" s="69">
        <f t="shared" ca="1" si="201"/>
        <v>0</v>
      </c>
      <c r="AX62" s="69">
        <f t="shared" ca="1" si="201"/>
        <v>0</v>
      </c>
      <c r="AY62" s="69">
        <f t="shared" ca="1" si="201"/>
        <v>0</v>
      </c>
      <c r="AZ62" s="69">
        <f t="shared" ca="1" si="201"/>
        <v>0</v>
      </c>
      <c r="BA62" s="69">
        <f t="shared" ca="1" si="201"/>
        <v>0</v>
      </c>
      <c r="BB62" s="69">
        <f t="shared" ca="1" si="201"/>
        <v>0</v>
      </c>
      <c r="BC62" s="69">
        <f t="shared" ca="1" si="201"/>
        <v>0</v>
      </c>
      <c r="BD62" s="69">
        <f t="shared" ca="1" si="201"/>
        <v>0</v>
      </c>
      <c r="BE62" s="69">
        <f t="shared" ca="1" si="201"/>
        <v>0</v>
      </c>
      <c r="BF62" s="69">
        <f t="shared" ca="1" si="201"/>
        <v>0</v>
      </c>
      <c r="BG62" s="69">
        <f t="shared" ca="1" si="201"/>
        <v>0</v>
      </c>
      <c r="BH62" s="69">
        <f t="shared" ca="1" si="201"/>
        <v>0</v>
      </c>
      <c r="BI62" s="69">
        <f t="shared" ca="1" si="201"/>
        <v>0</v>
      </c>
      <c r="BJ62" s="69">
        <f t="shared" ca="1" si="201"/>
        <v>0</v>
      </c>
      <c r="BK62" s="69">
        <f t="shared" ca="1" si="201"/>
        <v>0</v>
      </c>
      <c r="BL62" s="69">
        <f t="shared" ca="1" si="201"/>
        <v>0</v>
      </c>
      <c r="BM62" s="69">
        <f t="shared" ca="1" si="201"/>
        <v>0</v>
      </c>
      <c r="BN62" s="69">
        <f t="shared" ca="1" si="201"/>
        <v>0</v>
      </c>
      <c r="BO62" s="69">
        <f t="shared" ca="1" si="201"/>
        <v>0</v>
      </c>
      <c r="BP62" s="69">
        <f t="shared" ca="1" si="201"/>
        <v>0</v>
      </c>
      <c r="BQ62" s="69">
        <f t="shared" ca="1" si="201"/>
        <v>0</v>
      </c>
      <c r="BR62" s="69">
        <f t="shared" ca="1" si="201"/>
        <v>0</v>
      </c>
      <c r="BS62" s="69">
        <f t="shared" ca="1" si="201"/>
        <v>0</v>
      </c>
      <c r="BT62" s="69">
        <f t="shared" ca="1" si="201"/>
        <v>-56701829.216943972</v>
      </c>
      <c r="BU62" s="69">
        <f t="shared" ca="1" si="201"/>
        <v>0</v>
      </c>
      <c r="BV62" s="69">
        <f t="shared" ca="1" si="201"/>
        <v>0</v>
      </c>
      <c r="BW62" s="69">
        <f t="shared" ca="1" si="201"/>
        <v>0</v>
      </c>
      <c r="BX62" s="69">
        <f t="shared" ca="1" si="201"/>
        <v>0</v>
      </c>
      <c r="BY62" s="69">
        <f t="shared" ca="1" si="201"/>
        <v>0</v>
      </c>
      <c r="BZ62" s="69">
        <f t="shared" ref="BZ62:CF62" ca="1" si="202">-SUM(BZ59:BZ61)*(BZ$4=$B62)</f>
        <v>0</v>
      </c>
      <c r="CA62" s="69">
        <f t="shared" ca="1" si="202"/>
        <v>0</v>
      </c>
      <c r="CB62" s="69">
        <f t="shared" ca="1" si="202"/>
        <v>0</v>
      </c>
      <c r="CC62" s="69">
        <f t="shared" ca="1" si="202"/>
        <v>0</v>
      </c>
      <c r="CD62" s="69">
        <f t="shared" ca="1" si="202"/>
        <v>0</v>
      </c>
      <c r="CE62" s="69">
        <f t="shared" ca="1" si="202"/>
        <v>0</v>
      </c>
      <c r="CF62" s="69">
        <f t="shared" ca="1" si="202"/>
        <v>0</v>
      </c>
    </row>
    <row r="63" spans="1:86">
      <c r="A63" s="17" t="s">
        <v>272</v>
      </c>
      <c r="B63" s="106"/>
      <c r="D63" s="70">
        <f ca="1">SUM(D59:D62)</f>
        <v>0</v>
      </c>
      <c r="E63" s="70">
        <f t="shared" ref="E63:J63" ca="1" si="203">SUM(E59:E62)</f>
        <v>0</v>
      </c>
      <c r="F63" s="70">
        <f t="shared" ca="1" si="203"/>
        <v>0</v>
      </c>
      <c r="G63" s="70">
        <f t="shared" ca="1" si="203"/>
        <v>57936597.256668665</v>
      </c>
      <c r="H63" s="70">
        <f t="shared" ca="1" si="203"/>
        <v>57337066.971127167</v>
      </c>
      <c r="I63" s="70">
        <f t="shared" ca="1" si="203"/>
        <v>0</v>
      </c>
      <c r="J63" s="70">
        <f t="shared" ca="1" si="203"/>
        <v>0</v>
      </c>
      <c r="K63" s="69"/>
      <c r="L63" s="70">
        <f ca="1">SUM(L59:L62)</f>
        <v>0</v>
      </c>
      <c r="M63" s="70">
        <f ca="1">SUM(M59:M62)</f>
        <v>0</v>
      </c>
      <c r="N63" s="70">
        <f t="shared" ref="N63:BY63" ca="1" si="204">SUM(N59:N62)</f>
        <v>0</v>
      </c>
      <c r="O63" s="70">
        <f t="shared" ca="1" si="204"/>
        <v>0</v>
      </c>
      <c r="P63" s="70">
        <f t="shared" ca="1" si="204"/>
        <v>0</v>
      </c>
      <c r="Q63" s="70">
        <f t="shared" ca="1" si="204"/>
        <v>0</v>
      </c>
      <c r="R63" s="70">
        <f t="shared" ca="1" si="204"/>
        <v>0</v>
      </c>
      <c r="S63" s="70">
        <f t="shared" ca="1" si="204"/>
        <v>0</v>
      </c>
      <c r="T63" s="70">
        <f t="shared" ca="1" si="204"/>
        <v>0</v>
      </c>
      <c r="U63" s="70">
        <f t="shared" ca="1" si="204"/>
        <v>0</v>
      </c>
      <c r="V63" s="70">
        <f t="shared" ca="1" si="204"/>
        <v>0</v>
      </c>
      <c r="W63" s="70">
        <f t="shared" ca="1" si="204"/>
        <v>0</v>
      </c>
      <c r="X63" s="70">
        <f t="shared" ca="1" si="204"/>
        <v>0</v>
      </c>
      <c r="Y63" s="70">
        <f t="shared" ca="1" si="204"/>
        <v>0</v>
      </c>
      <c r="Z63" s="70">
        <f t="shared" ca="1" si="204"/>
        <v>0</v>
      </c>
      <c r="AA63" s="70">
        <f t="shared" ca="1" si="204"/>
        <v>0</v>
      </c>
      <c r="AB63" s="70">
        <f t="shared" ca="1" si="204"/>
        <v>0</v>
      </c>
      <c r="AC63" s="70">
        <f t="shared" ca="1" si="204"/>
        <v>0</v>
      </c>
      <c r="AD63" s="70">
        <f t="shared" ca="1" si="204"/>
        <v>0</v>
      </c>
      <c r="AE63" s="70">
        <f t="shared" ca="1" si="204"/>
        <v>0</v>
      </c>
      <c r="AF63" s="70">
        <f t="shared" ca="1" si="204"/>
        <v>0</v>
      </c>
      <c r="AG63" s="70">
        <f t="shared" ca="1" si="204"/>
        <v>0</v>
      </c>
      <c r="AH63" s="70">
        <f t="shared" ca="1" si="204"/>
        <v>0</v>
      </c>
      <c r="AI63" s="70">
        <f t="shared" ca="1" si="204"/>
        <v>0</v>
      </c>
      <c r="AJ63" s="70">
        <f t="shared" ca="1" si="204"/>
        <v>0</v>
      </c>
      <c r="AK63" s="70">
        <f t="shared" ca="1" si="204"/>
        <v>0</v>
      </c>
      <c r="AL63" s="70">
        <f t="shared" ca="1" si="204"/>
        <v>0</v>
      </c>
      <c r="AM63" s="70">
        <f t="shared" ca="1" si="204"/>
        <v>0</v>
      </c>
      <c r="AN63" s="70">
        <f t="shared" ca="1" si="204"/>
        <v>0</v>
      </c>
      <c r="AO63" s="70">
        <f t="shared" ca="1" si="204"/>
        <v>0</v>
      </c>
      <c r="AP63" s="70">
        <f t="shared" ca="1" si="204"/>
        <v>0</v>
      </c>
      <c r="AQ63" s="70">
        <f t="shared" ca="1" si="204"/>
        <v>0</v>
      </c>
      <c r="AR63" s="70">
        <f t="shared" ca="1" si="204"/>
        <v>0</v>
      </c>
      <c r="AS63" s="70">
        <f t="shared" ca="1" si="204"/>
        <v>0</v>
      </c>
      <c r="AT63" s="70">
        <f t="shared" ca="1" si="204"/>
        <v>0</v>
      </c>
      <c r="AU63" s="70">
        <f t="shared" ca="1" si="204"/>
        <v>0</v>
      </c>
      <c r="AV63" s="70">
        <f t="shared" ca="1" si="204"/>
        <v>57936597.256668665</v>
      </c>
      <c r="AW63" s="70">
        <f t="shared" ca="1" si="204"/>
        <v>57887960.978161573</v>
      </c>
      <c r="AX63" s="70">
        <f t="shared" ca="1" si="204"/>
        <v>57839086.958355956</v>
      </c>
      <c r="AY63" s="70">
        <f t="shared" ca="1" si="204"/>
        <v>57789974.271678567</v>
      </c>
      <c r="AZ63" s="70">
        <f t="shared" ca="1" si="204"/>
        <v>57740621.991704606</v>
      </c>
      <c r="BA63" s="70">
        <f t="shared" ca="1" si="204"/>
        <v>57691029.191194803</v>
      </c>
      <c r="BB63" s="70">
        <f t="shared" ca="1" si="204"/>
        <v>57641194.942133047</v>
      </c>
      <c r="BC63" s="70">
        <f t="shared" ca="1" si="204"/>
        <v>57591118.315764569</v>
      </c>
      <c r="BD63" s="70">
        <f t="shared" ca="1" si="204"/>
        <v>57540798.382634677</v>
      </c>
      <c r="BE63" s="70">
        <f t="shared" ca="1" si="204"/>
        <v>57490234.212628067</v>
      </c>
      <c r="BF63" s="70">
        <f t="shared" ca="1" si="204"/>
        <v>57439424.875008702</v>
      </c>
      <c r="BG63" s="70">
        <f t="shared" ca="1" si="204"/>
        <v>57388369.438460261</v>
      </c>
      <c r="BH63" s="70">
        <f t="shared" ca="1" si="204"/>
        <v>57337066.971127167</v>
      </c>
      <c r="BI63" s="70">
        <f t="shared" ca="1" si="204"/>
        <v>57285516.540656202</v>
      </c>
      <c r="BJ63" s="70">
        <f t="shared" ca="1" si="204"/>
        <v>57233717.214238688</v>
      </c>
      <c r="BK63" s="70">
        <f t="shared" ca="1" si="204"/>
        <v>57181668.058653325</v>
      </c>
      <c r="BL63" s="70">
        <f t="shared" ca="1" si="204"/>
        <v>57129368.140309528</v>
      </c>
      <c r="BM63" s="70">
        <f t="shared" ca="1" si="204"/>
        <v>57076816.525291473</v>
      </c>
      <c r="BN63" s="70">
        <f t="shared" ca="1" si="204"/>
        <v>57024012.279402673</v>
      </c>
      <c r="BO63" s="70">
        <f t="shared" ca="1" si="204"/>
        <v>56970954.468211204</v>
      </c>
      <c r="BP63" s="70">
        <f t="shared" ca="1" si="204"/>
        <v>56917642.157095544</v>
      </c>
      <c r="BQ63" s="70">
        <f t="shared" ca="1" si="204"/>
        <v>56864074.411291033</v>
      </c>
      <c r="BR63" s="70">
        <f t="shared" ca="1" si="204"/>
        <v>56810250.295936957</v>
      </c>
      <c r="BS63" s="70">
        <f t="shared" ca="1" si="204"/>
        <v>56756168.87612427</v>
      </c>
      <c r="BT63" s="70">
        <f t="shared" ca="1" si="204"/>
        <v>0</v>
      </c>
      <c r="BU63" s="70">
        <f t="shared" ca="1" si="204"/>
        <v>0</v>
      </c>
      <c r="BV63" s="70">
        <f t="shared" ca="1" si="204"/>
        <v>0</v>
      </c>
      <c r="BW63" s="70">
        <f t="shared" ca="1" si="204"/>
        <v>0</v>
      </c>
      <c r="BX63" s="70">
        <f t="shared" ca="1" si="204"/>
        <v>0</v>
      </c>
      <c r="BY63" s="70">
        <f t="shared" ca="1" si="204"/>
        <v>0</v>
      </c>
      <c r="BZ63" s="70">
        <f t="shared" ref="BZ63:CF63" ca="1" si="205">SUM(BZ59:BZ62)</f>
        <v>0</v>
      </c>
      <c r="CA63" s="70">
        <f t="shared" ca="1" si="205"/>
        <v>0</v>
      </c>
      <c r="CB63" s="70">
        <f t="shared" ca="1" si="205"/>
        <v>0</v>
      </c>
      <c r="CC63" s="70">
        <f t="shared" ca="1" si="205"/>
        <v>0</v>
      </c>
      <c r="CD63" s="70">
        <f t="shared" ca="1" si="205"/>
        <v>0</v>
      </c>
      <c r="CE63" s="70">
        <f t="shared" ca="1" si="205"/>
        <v>0</v>
      </c>
      <c r="CF63" s="70">
        <f t="shared" ca="1" si="205"/>
        <v>0</v>
      </c>
    </row>
    <row r="64" spans="1:86">
      <c r="B64" s="106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  <c r="AF64" s="69"/>
      <c r="AG64" s="69"/>
      <c r="AH64" s="69"/>
      <c r="AI64" s="69"/>
      <c r="AJ64" s="69"/>
      <c r="AK64" s="69"/>
      <c r="AL64" s="69"/>
      <c r="AM64" s="69"/>
      <c r="AN64" s="69"/>
      <c r="AO64" s="69"/>
      <c r="AP64" s="69"/>
      <c r="AQ64" s="69"/>
      <c r="AR64" s="69"/>
      <c r="AS64" s="69"/>
      <c r="AT64" s="69"/>
      <c r="AU64" s="69"/>
      <c r="AV64" s="69"/>
      <c r="AW64" s="69"/>
      <c r="AX64" s="69"/>
      <c r="AY64" s="69"/>
      <c r="AZ64" s="69"/>
      <c r="BA64" s="69"/>
      <c r="BB64" s="69"/>
      <c r="BC64" s="69"/>
      <c r="BD64" s="69"/>
      <c r="BE64" s="69"/>
      <c r="BF64" s="69"/>
      <c r="BG64" s="69"/>
      <c r="BH64" s="69"/>
      <c r="BI64" s="69"/>
      <c r="BJ64" s="69"/>
      <c r="BK64" s="69"/>
      <c r="BL64" s="69"/>
      <c r="BM64" s="69"/>
      <c r="BN64" s="69"/>
      <c r="BO64" s="69"/>
      <c r="BP64" s="69"/>
      <c r="BQ64" s="69"/>
      <c r="BR64" s="69"/>
      <c r="BS64" s="69"/>
      <c r="BT64" s="69"/>
      <c r="BU64" s="69"/>
      <c r="BV64" s="69"/>
      <c r="BW64" s="69"/>
      <c r="BX64" s="69"/>
      <c r="BY64" s="69"/>
      <c r="BZ64" s="69"/>
      <c r="CA64" s="69"/>
      <c r="CB64" s="69"/>
      <c r="CC64" s="69"/>
      <c r="CD64" s="69"/>
      <c r="CE64" s="69"/>
      <c r="CF64" s="69"/>
    </row>
    <row r="65" spans="1:84">
      <c r="A65" t="s">
        <v>273</v>
      </c>
      <c r="B65" s="106" t="str">
        <f ca="1">'Leverage Options'!B9</f>
        <v>7.10%</v>
      </c>
      <c r="D65" s="69">
        <f t="shared" ref="D65:J65" ca="1" si="206">SUMIFS($L65:$CF65,$L$3:$CF$3,D$3)</f>
        <v>0</v>
      </c>
      <c r="E65" s="69">
        <f t="shared" ca="1" si="206"/>
        <v>0</v>
      </c>
      <c r="F65" s="69">
        <f t="shared" ca="1" si="206"/>
        <v>0</v>
      </c>
      <c r="G65" s="69">
        <f t="shared" ca="1" si="206"/>
        <v>0</v>
      </c>
      <c r="H65" s="69">
        <f t="shared" ca="1" si="206"/>
        <v>-4082805.9825844439</v>
      </c>
      <c r="I65" s="69">
        <f t="shared" ca="1" si="206"/>
        <v>-4039207.3668719609</v>
      </c>
      <c r="J65" s="69">
        <f t="shared" ca="1" si="206"/>
        <v>0</v>
      </c>
      <c r="K65" s="69"/>
      <c r="L65" s="69">
        <f ca="1">-$B65*L59*YEARFRAC(K5,L5,0)</f>
        <v>0</v>
      </c>
      <c r="M65" s="69">
        <f t="shared" ref="M65:AV65" ca="1" si="207">-$B65*M59*YEARFRAC(L5,M5,0)</f>
        <v>0</v>
      </c>
      <c r="N65" s="69">
        <f t="shared" ca="1" si="207"/>
        <v>0</v>
      </c>
      <c r="O65" s="69">
        <f t="shared" ca="1" si="207"/>
        <v>0</v>
      </c>
      <c r="P65" s="69">
        <f t="shared" ca="1" si="207"/>
        <v>0</v>
      </c>
      <c r="Q65" s="69">
        <f t="shared" ca="1" si="207"/>
        <v>0</v>
      </c>
      <c r="R65" s="69">
        <f t="shared" ca="1" si="207"/>
        <v>0</v>
      </c>
      <c r="S65" s="69">
        <f t="shared" ca="1" si="207"/>
        <v>0</v>
      </c>
      <c r="T65" s="69">
        <f t="shared" ca="1" si="207"/>
        <v>0</v>
      </c>
      <c r="U65" s="69">
        <f t="shared" ca="1" si="207"/>
        <v>0</v>
      </c>
      <c r="V65" s="69">
        <f t="shared" ca="1" si="207"/>
        <v>0</v>
      </c>
      <c r="W65" s="69">
        <f t="shared" ca="1" si="207"/>
        <v>0</v>
      </c>
      <c r="X65" s="69">
        <f t="shared" ca="1" si="207"/>
        <v>0</v>
      </c>
      <c r="Y65" s="69">
        <f t="shared" ca="1" si="207"/>
        <v>0</v>
      </c>
      <c r="Z65" s="69">
        <f t="shared" ca="1" si="207"/>
        <v>0</v>
      </c>
      <c r="AA65" s="69">
        <f t="shared" ca="1" si="207"/>
        <v>0</v>
      </c>
      <c r="AB65" s="69">
        <f t="shared" ca="1" si="207"/>
        <v>0</v>
      </c>
      <c r="AC65" s="69">
        <f t="shared" ca="1" si="207"/>
        <v>0</v>
      </c>
      <c r="AD65" s="69">
        <f t="shared" ca="1" si="207"/>
        <v>0</v>
      </c>
      <c r="AE65" s="69">
        <f t="shared" ca="1" si="207"/>
        <v>0</v>
      </c>
      <c r="AF65" s="69">
        <f t="shared" ca="1" si="207"/>
        <v>0</v>
      </c>
      <c r="AG65" s="69">
        <f t="shared" ca="1" si="207"/>
        <v>0</v>
      </c>
      <c r="AH65" s="69">
        <f t="shared" ca="1" si="207"/>
        <v>0</v>
      </c>
      <c r="AI65" s="69">
        <f t="shared" ca="1" si="207"/>
        <v>0</v>
      </c>
      <c r="AJ65" s="69">
        <f t="shared" ca="1" si="207"/>
        <v>0</v>
      </c>
      <c r="AK65" s="69">
        <f t="shared" ca="1" si="207"/>
        <v>0</v>
      </c>
      <c r="AL65" s="69">
        <f t="shared" ca="1" si="207"/>
        <v>0</v>
      </c>
      <c r="AM65" s="69">
        <f t="shared" ca="1" si="207"/>
        <v>0</v>
      </c>
      <c r="AN65" s="69">
        <f t="shared" ca="1" si="207"/>
        <v>0</v>
      </c>
      <c r="AO65" s="69">
        <f t="shared" ca="1" si="207"/>
        <v>0</v>
      </c>
      <c r="AP65" s="69">
        <f t="shared" ca="1" si="207"/>
        <v>0</v>
      </c>
      <c r="AQ65" s="69">
        <f t="shared" ca="1" si="207"/>
        <v>0</v>
      </c>
      <c r="AR65" s="69">
        <f t="shared" ca="1" si="207"/>
        <v>0</v>
      </c>
      <c r="AS65" s="69">
        <f t="shared" ca="1" si="207"/>
        <v>0</v>
      </c>
      <c r="AT65" s="69">
        <f t="shared" ca="1" si="207"/>
        <v>0</v>
      </c>
      <c r="AU65" s="69">
        <f t="shared" ca="1" si="207"/>
        <v>0</v>
      </c>
      <c r="AV65" s="69">
        <f t="shared" ca="1" si="207"/>
        <v>0</v>
      </c>
      <c r="AW65" s="69">
        <f ca="1">-$B65*AW59*YEARFRAC(AV5,AW5,0)</f>
        <v>-342791.5337686229</v>
      </c>
      <c r="AX65" s="69">
        <f t="shared" ref="AX65:CF65" ca="1" si="208">-$B65*AX59*YEARFRAC(AW5,AX5,0)</f>
        <v>-342503.76912078925</v>
      </c>
      <c r="AY65" s="69">
        <f t="shared" ca="1" si="208"/>
        <v>-342214.59783693939</v>
      </c>
      <c r="AZ65" s="69">
        <f t="shared" ca="1" si="208"/>
        <v>-341924.01444076479</v>
      </c>
      <c r="BA65" s="69">
        <f t="shared" ca="1" si="208"/>
        <v>-341632.01345091884</v>
      </c>
      <c r="BB65" s="69">
        <f t="shared" ca="1" si="208"/>
        <v>-318582.68342248682</v>
      </c>
      <c r="BC65" s="69">
        <f t="shared" ca="1" si="208"/>
        <v>-352411.8612989856</v>
      </c>
      <c r="BD65" s="69">
        <f t="shared" ca="1" si="208"/>
        <v>-340747.45003494032</v>
      </c>
      <c r="BE65" s="69">
        <f t="shared" ca="1" si="208"/>
        <v>-340449.72376392176</v>
      </c>
      <c r="BF65" s="69">
        <f t="shared" ca="1" si="208"/>
        <v>-340150.55242471601</v>
      </c>
      <c r="BG65" s="69">
        <f t="shared" ca="1" si="208"/>
        <v>-339849.93051046808</v>
      </c>
      <c r="BH65" s="69">
        <f t="shared" ca="1" si="208"/>
        <v>-339547.85251088982</v>
      </c>
      <c r="BI65" s="69">
        <f t="shared" ca="1" si="208"/>
        <v>-339244.31291250233</v>
      </c>
      <c r="BJ65" s="69">
        <f t="shared" ca="1" si="208"/>
        <v>-338939.30619888246</v>
      </c>
      <c r="BK65" s="69">
        <f t="shared" ca="1" si="208"/>
        <v>-338632.82685091218</v>
      </c>
      <c r="BL65" s="69">
        <f t="shared" ca="1" si="208"/>
        <v>-338324.86934703216</v>
      </c>
      <c r="BM65" s="69">
        <f t="shared" ca="1" si="208"/>
        <v>-338015.428163498</v>
      </c>
      <c r="BN65" s="69">
        <f t="shared" ca="1" si="208"/>
        <v>-315190.86458966509</v>
      </c>
      <c r="BO65" s="69">
        <f t="shared" ca="1" si="208"/>
        <v>-348638.47507490352</v>
      </c>
      <c r="BP65" s="69">
        <f t="shared" ca="1" si="208"/>
        <v>-337078.14727024955</v>
      </c>
      <c r="BQ65" s="69">
        <f t="shared" ca="1" si="208"/>
        <v>-336762.71609614859</v>
      </c>
      <c r="BR65" s="69">
        <f t="shared" ca="1" si="208"/>
        <v>-336445.77360013855</v>
      </c>
      <c r="BS65" s="69">
        <f t="shared" ca="1" si="208"/>
        <v>-336127.31425096025</v>
      </c>
      <c r="BT65" s="69">
        <f t="shared" ca="1" si="208"/>
        <v>-335807.33251706854</v>
      </c>
      <c r="BU65" s="69">
        <f t="shared" ca="1" si="208"/>
        <v>0</v>
      </c>
      <c r="BV65" s="69">
        <f t="shared" ca="1" si="208"/>
        <v>0</v>
      </c>
      <c r="BW65" s="69">
        <f t="shared" ca="1" si="208"/>
        <v>0</v>
      </c>
      <c r="BX65" s="69">
        <f t="shared" ca="1" si="208"/>
        <v>0</v>
      </c>
      <c r="BY65" s="69">
        <f t="shared" ca="1" si="208"/>
        <v>0</v>
      </c>
      <c r="BZ65" s="69">
        <f t="shared" ca="1" si="208"/>
        <v>0</v>
      </c>
      <c r="CA65" s="69">
        <f t="shared" ca="1" si="208"/>
        <v>0</v>
      </c>
      <c r="CB65" s="69">
        <f t="shared" ca="1" si="208"/>
        <v>0</v>
      </c>
      <c r="CC65" s="69">
        <f t="shared" ca="1" si="208"/>
        <v>0</v>
      </c>
      <c r="CD65" s="69">
        <f t="shared" ca="1" si="208"/>
        <v>0</v>
      </c>
      <c r="CE65" s="69">
        <f t="shared" ca="1" si="208"/>
        <v>0</v>
      </c>
      <c r="CF65" s="69">
        <f t="shared" ca="1" si="208"/>
        <v>0</v>
      </c>
    </row>
    <row r="66" spans="1:84">
      <c r="B66" s="106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69"/>
      <c r="AJ66" s="69"/>
      <c r="AK66" s="69"/>
      <c r="AL66" s="69"/>
      <c r="AM66" s="69"/>
      <c r="AN66" s="69"/>
      <c r="AO66" s="69"/>
      <c r="AP66" s="69"/>
      <c r="AQ66" s="69"/>
      <c r="AR66" s="69"/>
      <c r="AS66" s="69"/>
      <c r="AT66" s="69"/>
      <c r="AU66" s="69"/>
      <c r="AV66" s="69"/>
      <c r="AW66" s="69"/>
      <c r="AX66" s="69"/>
      <c r="AY66" s="69"/>
      <c r="AZ66" s="69"/>
      <c r="BA66" s="69"/>
      <c r="BB66" s="69"/>
      <c r="BC66" s="69"/>
      <c r="BD66" s="69"/>
      <c r="BE66" s="69"/>
      <c r="BF66" s="69"/>
      <c r="BG66" s="69"/>
      <c r="BH66" s="69"/>
      <c r="BI66" s="69"/>
      <c r="BJ66" s="69"/>
      <c r="BK66" s="69"/>
      <c r="BL66" s="69"/>
      <c r="BM66" s="69"/>
      <c r="BN66" s="69"/>
      <c r="BO66" s="69"/>
      <c r="BP66" s="69"/>
      <c r="BQ66" s="69"/>
      <c r="BR66" s="69"/>
      <c r="BS66" s="69"/>
      <c r="BT66" s="69"/>
      <c r="BU66" s="69"/>
      <c r="BV66" s="69"/>
      <c r="BW66" s="69"/>
      <c r="BX66" s="69"/>
      <c r="BY66" s="69"/>
      <c r="BZ66" s="69"/>
      <c r="CA66" s="69"/>
      <c r="CB66" s="69"/>
      <c r="CC66" s="69"/>
      <c r="CD66" s="69"/>
      <c r="CE66" s="69"/>
      <c r="CF66" s="69"/>
    </row>
    <row r="67" spans="1:84">
      <c r="A67" s="17" t="s">
        <v>276</v>
      </c>
      <c r="B67" s="106"/>
      <c r="D67" s="70">
        <f t="shared" ref="D67:J67" ca="1" si="209">SUMIFS($L67:$CF67,$L$3:$CF$3,D$3)</f>
        <v>0</v>
      </c>
      <c r="E67" s="70">
        <f t="shared" ca="1" si="209"/>
        <v>0</v>
      </c>
      <c r="F67" s="70">
        <f t="shared" ca="1" si="209"/>
        <v>0</v>
      </c>
      <c r="G67" s="70">
        <f t="shared" ca="1" si="209"/>
        <v>57936597.256668665</v>
      </c>
      <c r="H67" s="70">
        <f t="shared" ca="1" si="209"/>
        <v>-4682336.2681259392</v>
      </c>
      <c r="I67" s="70">
        <f t="shared" ca="1" si="209"/>
        <v>-61376274.337999135</v>
      </c>
      <c r="J67" s="70">
        <f t="shared" ca="1" si="209"/>
        <v>0</v>
      </c>
      <c r="K67" s="69"/>
      <c r="L67" s="70">
        <f ca="1">SUM(L60:L62,L65)</f>
        <v>0</v>
      </c>
      <c r="M67" s="70">
        <f ca="1">SUM(M60:M62,M65)</f>
        <v>0</v>
      </c>
      <c r="N67" s="70">
        <f t="shared" ref="N67:BY67" ca="1" si="210">SUM(N60:N62,N65)</f>
        <v>0</v>
      </c>
      <c r="O67" s="70">
        <f t="shared" ca="1" si="210"/>
        <v>0</v>
      </c>
      <c r="P67" s="70">
        <f t="shared" ca="1" si="210"/>
        <v>0</v>
      </c>
      <c r="Q67" s="70">
        <f t="shared" ca="1" si="210"/>
        <v>0</v>
      </c>
      <c r="R67" s="70">
        <f t="shared" ca="1" si="210"/>
        <v>0</v>
      </c>
      <c r="S67" s="70">
        <f t="shared" ca="1" si="210"/>
        <v>0</v>
      </c>
      <c r="T67" s="70">
        <f t="shared" ca="1" si="210"/>
        <v>0</v>
      </c>
      <c r="U67" s="70">
        <f t="shared" ca="1" si="210"/>
        <v>0</v>
      </c>
      <c r="V67" s="70">
        <f t="shared" ca="1" si="210"/>
        <v>0</v>
      </c>
      <c r="W67" s="70">
        <f t="shared" ca="1" si="210"/>
        <v>0</v>
      </c>
      <c r="X67" s="70">
        <f t="shared" ca="1" si="210"/>
        <v>0</v>
      </c>
      <c r="Y67" s="70">
        <f t="shared" ca="1" si="210"/>
        <v>0</v>
      </c>
      <c r="Z67" s="70">
        <f t="shared" ca="1" si="210"/>
        <v>0</v>
      </c>
      <c r="AA67" s="70">
        <f t="shared" ca="1" si="210"/>
        <v>0</v>
      </c>
      <c r="AB67" s="70">
        <f t="shared" ca="1" si="210"/>
        <v>0</v>
      </c>
      <c r="AC67" s="70">
        <f t="shared" ca="1" si="210"/>
        <v>0</v>
      </c>
      <c r="AD67" s="70">
        <f t="shared" ca="1" si="210"/>
        <v>0</v>
      </c>
      <c r="AE67" s="70">
        <f t="shared" ca="1" si="210"/>
        <v>0</v>
      </c>
      <c r="AF67" s="70">
        <f t="shared" ca="1" si="210"/>
        <v>0</v>
      </c>
      <c r="AG67" s="70">
        <f t="shared" ca="1" si="210"/>
        <v>0</v>
      </c>
      <c r="AH67" s="70">
        <f t="shared" ca="1" si="210"/>
        <v>0</v>
      </c>
      <c r="AI67" s="70">
        <f t="shared" ca="1" si="210"/>
        <v>0</v>
      </c>
      <c r="AJ67" s="70">
        <f t="shared" ca="1" si="210"/>
        <v>0</v>
      </c>
      <c r="AK67" s="70">
        <f t="shared" ca="1" si="210"/>
        <v>0</v>
      </c>
      <c r="AL67" s="70">
        <f t="shared" ca="1" si="210"/>
        <v>0</v>
      </c>
      <c r="AM67" s="70">
        <f t="shared" ca="1" si="210"/>
        <v>0</v>
      </c>
      <c r="AN67" s="70">
        <f t="shared" ca="1" si="210"/>
        <v>0</v>
      </c>
      <c r="AO67" s="70">
        <f t="shared" ca="1" si="210"/>
        <v>0</v>
      </c>
      <c r="AP67" s="70">
        <f t="shared" ca="1" si="210"/>
        <v>0</v>
      </c>
      <c r="AQ67" s="70">
        <f t="shared" ca="1" si="210"/>
        <v>0</v>
      </c>
      <c r="AR67" s="70">
        <f t="shared" ca="1" si="210"/>
        <v>0</v>
      </c>
      <c r="AS67" s="70">
        <f t="shared" ca="1" si="210"/>
        <v>0</v>
      </c>
      <c r="AT67" s="70">
        <f t="shared" ca="1" si="210"/>
        <v>0</v>
      </c>
      <c r="AU67" s="70">
        <f t="shared" ca="1" si="210"/>
        <v>0</v>
      </c>
      <c r="AV67" s="70">
        <f t="shared" ca="1" si="210"/>
        <v>57936597.256668665</v>
      </c>
      <c r="AW67" s="70">
        <f t="shared" ca="1" si="210"/>
        <v>-391427.81227571081</v>
      </c>
      <c r="AX67" s="70">
        <f t="shared" ca="1" si="210"/>
        <v>-391377.78892640705</v>
      </c>
      <c r="AY67" s="70">
        <f t="shared" ca="1" si="210"/>
        <v>-391327.28451433114</v>
      </c>
      <c r="AZ67" s="70">
        <f t="shared" ca="1" si="210"/>
        <v>-391276.29441472678</v>
      </c>
      <c r="BA67" s="70">
        <f t="shared" ca="1" si="210"/>
        <v>-391224.81396072009</v>
      </c>
      <c r="BB67" s="70">
        <f t="shared" ca="1" si="210"/>
        <v>-368416.93248424015</v>
      </c>
      <c r="BC67" s="70">
        <f t="shared" ca="1" si="210"/>
        <v>-402488.48766746407</v>
      </c>
      <c r="BD67" s="70">
        <f t="shared" ca="1" si="210"/>
        <v>-391067.38316483458</v>
      </c>
      <c r="BE67" s="70">
        <f t="shared" ca="1" si="210"/>
        <v>-391013.89377053321</v>
      </c>
      <c r="BF67" s="70">
        <f t="shared" ca="1" si="210"/>
        <v>-390959.89004408085</v>
      </c>
      <c r="BG67" s="70">
        <f t="shared" ca="1" si="210"/>
        <v>-390905.36705890787</v>
      </c>
      <c r="BH67" s="70">
        <f t="shared" ca="1" si="210"/>
        <v>-390850.31984398258</v>
      </c>
      <c r="BI67" s="70">
        <f t="shared" ca="1" si="210"/>
        <v>-390794.74338347069</v>
      </c>
      <c r="BJ67" s="70">
        <f t="shared" ca="1" si="210"/>
        <v>-390738.63261639257</v>
      </c>
      <c r="BK67" s="70">
        <f t="shared" ca="1" si="210"/>
        <v>-390681.98243627936</v>
      </c>
      <c r="BL67" s="70">
        <f t="shared" ca="1" si="210"/>
        <v>-390624.78769082797</v>
      </c>
      <c r="BM67" s="70">
        <f t="shared" ca="1" si="210"/>
        <v>-390567.04318155366</v>
      </c>
      <c r="BN67" s="70">
        <f t="shared" ca="1" si="210"/>
        <v>-367995.11047846678</v>
      </c>
      <c r="BO67" s="70">
        <f t="shared" ca="1" si="210"/>
        <v>-401696.28626637382</v>
      </c>
      <c r="BP67" s="70">
        <f t="shared" ca="1" si="210"/>
        <v>-390390.45838591072</v>
      </c>
      <c r="BQ67" s="70">
        <f t="shared" ca="1" si="210"/>
        <v>-390330.46190066217</v>
      </c>
      <c r="BR67" s="70">
        <f t="shared" ca="1" si="210"/>
        <v>-390269.88895421679</v>
      </c>
      <c r="BS67" s="70">
        <f t="shared" ca="1" si="210"/>
        <v>-390208.73406364373</v>
      </c>
      <c r="BT67" s="70">
        <f t="shared" ca="1" si="210"/>
        <v>-57091976.208641335</v>
      </c>
      <c r="BU67" s="70">
        <f t="shared" ca="1" si="210"/>
        <v>0</v>
      </c>
      <c r="BV67" s="70">
        <f t="shared" ca="1" si="210"/>
        <v>0</v>
      </c>
      <c r="BW67" s="70">
        <f t="shared" ca="1" si="210"/>
        <v>0</v>
      </c>
      <c r="BX67" s="70">
        <f t="shared" ca="1" si="210"/>
        <v>0</v>
      </c>
      <c r="BY67" s="70">
        <f t="shared" ca="1" si="210"/>
        <v>0</v>
      </c>
      <c r="BZ67" s="70">
        <f t="shared" ref="BZ67:CF67" ca="1" si="211">SUM(BZ60:BZ62,BZ65)</f>
        <v>0</v>
      </c>
      <c r="CA67" s="70">
        <f t="shared" ca="1" si="211"/>
        <v>0</v>
      </c>
      <c r="CB67" s="70">
        <f t="shared" ca="1" si="211"/>
        <v>0</v>
      </c>
      <c r="CC67" s="70">
        <f t="shared" ca="1" si="211"/>
        <v>0</v>
      </c>
      <c r="CD67" s="70">
        <f t="shared" ca="1" si="211"/>
        <v>0</v>
      </c>
      <c r="CE67" s="70">
        <f t="shared" ca="1" si="211"/>
        <v>0</v>
      </c>
      <c r="CF67" s="70">
        <f t="shared" ca="1" si="211"/>
        <v>0</v>
      </c>
    </row>
    <row r="68" spans="1:84"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69"/>
      <c r="AJ68" s="69"/>
      <c r="AK68" s="69"/>
      <c r="AL68" s="69"/>
      <c r="AM68" s="69"/>
      <c r="AN68" s="69"/>
      <c r="AO68" s="69"/>
      <c r="AP68" s="69"/>
      <c r="AQ68" s="69"/>
      <c r="AR68" s="69"/>
      <c r="AS68" s="69"/>
      <c r="AT68" s="69"/>
      <c r="AU68" s="69"/>
      <c r="AV68" s="69"/>
      <c r="AW68" s="69"/>
      <c r="AX68" s="69"/>
      <c r="AY68" s="69"/>
      <c r="AZ68" s="69"/>
      <c r="BA68" s="69"/>
      <c r="BB68" s="69"/>
      <c r="BC68" s="69"/>
      <c r="BD68" s="69"/>
      <c r="BE68" s="69"/>
      <c r="BF68" s="69"/>
      <c r="BG68" s="69"/>
      <c r="BH68" s="69"/>
      <c r="BI68" s="69"/>
      <c r="BJ68" s="69"/>
      <c r="BK68" s="69"/>
      <c r="BL68" s="69"/>
      <c r="BM68" s="69"/>
      <c r="BN68" s="69"/>
      <c r="BO68" s="69"/>
      <c r="BP68" s="69"/>
      <c r="BQ68" s="69"/>
      <c r="BR68" s="69"/>
      <c r="BS68" s="69"/>
      <c r="BT68" s="69"/>
      <c r="BU68" s="69"/>
      <c r="BV68" s="69"/>
      <c r="BW68" s="69"/>
      <c r="BX68" s="69"/>
      <c r="BY68" s="69"/>
      <c r="BZ68" s="69"/>
      <c r="CA68" s="69"/>
      <c r="CB68" s="69"/>
      <c r="CC68" s="69"/>
      <c r="CD68" s="69"/>
      <c r="CE68" s="69"/>
      <c r="CF68" s="69"/>
    </row>
    <row r="69" spans="1:84">
      <c r="A69" s="17" t="s">
        <v>277</v>
      </c>
      <c r="D69" s="70">
        <f t="shared" ref="D69:J69" ca="1" si="212">SUMIFS($L69:$CF69,$L$3:$CF$3,D$3)</f>
        <v>37474140.148128457</v>
      </c>
      <c r="E69" s="70">
        <f t="shared" ca="1" si="212"/>
        <v>6090551.1335767573</v>
      </c>
      <c r="F69" s="70">
        <f t="shared" ca="1" si="212"/>
        <v>862668.93050559913</v>
      </c>
      <c r="G69" s="70">
        <f t="shared" ca="1" si="212"/>
        <v>2050929.622481491</v>
      </c>
      <c r="H69" s="70">
        <f t="shared" ca="1" si="212"/>
        <v>-4682336.2681259392</v>
      </c>
      <c r="I69" s="70">
        <f t="shared" ca="1" si="212"/>
        <v>-61376274.337999135</v>
      </c>
      <c r="J69" s="70">
        <f t="shared" ca="1" si="212"/>
        <v>0</v>
      </c>
      <c r="K69" s="69"/>
      <c r="L69" s="70">
        <f ca="1">L67+L54</f>
        <v>37474140.148128457</v>
      </c>
      <c r="M69" s="70">
        <f ca="1">M67+M54</f>
        <v>0</v>
      </c>
      <c r="N69" s="70">
        <f t="shared" ref="N69:BY69" ca="1" si="213">N67+N54</f>
        <v>123671.1778125</v>
      </c>
      <c r="O69" s="70">
        <f t="shared" ca="1" si="213"/>
        <v>205239.31593750001</v>
      </c>
      <c r="P69" s="70">
        <f t="shared" ca="1" si="213"/>
        <v>195221.5194140625</v>
      </c>
      <c r="Q69" s="70">
        <f t="shared" ca="1" si="213"/>
        <v>291539.95888582035</v>
      </c>
      <c r="R69" s="70">
        <f t="shared" ca="1" si="213"/>
        <v>565936.80050277337</v>
      </c>
      <c r="S69" s="70">
        <f t="shared" ca="1" si="213"/>
        <v>357823.47895417979</v>
      </c>
      <c r="T69" s="70">
        <f t="shared" ca="1" si="213"/>
        <v>872144.2698294532</v>
      </c>
      <c r="U69" s="70">
        <f t="shared" ca="1" si="213"/>
        <v>793321.00925007812</v>
      </c>
      <c r="V69" s="70">
        <f t="shared" ca="1" si="213"/>
        <v>958529.12977289059</v>
      </c>
      <c r="W69" s="70">
        <f t="shared" ca="1" si="213"/>
        <v>1196276.418325</v>
      </c>
      <c r="X69" s="70">
        <f t="shared" ca="1" si="213"/>
        <v>530848.05489250005</v>
      </c>
      <c r="Y69" s="70">
        <f t="shared" ca="1" si="213"/>
        <v>487744.54045162123</v>
      </c>
      <c r="Z69" s="70">
        <f t="shared" ca="1" si="213"/>
        <v>101687.59019234375</v>
      </c>
      <c r="AA69" s="70">
        <f t="shared" ca="1" si="213"/>
        <v>101762.94436051045</v>
      </c>
      <c r="AB69" s="70">
        <f t="shared" ca="1" si="213"/>
        <v>0</v>
      </c>
      <c r="AC69" s="70">
        <f t="shared" ca="1" si="213"/>
        <v>0</v>
      </c>
      <c r="AD69" s="70">
        <f t="shared" ca="1" si="213"/>
        <v>171473.85550112367</v>
      </c>
      <c r="AE69" s="70">
        <f t="shared" ca="1" si="213"/>
        <v>0</v>
      </c>
      <c r="AF69" s="70">
        <f t="shared" ca="1" si="213"/>
        <v>0</v>
      </c>
      <c r="AG69" s="70">
        <f t="shared" ca="1" si="213"/>
        <v>0</v>
      </c>
      <c r="AH69" s="70">
        <f t="shared" ca="1" si="213"/>
        <v>0</v>
      </c>
      <c r="AI69" s="70">
        <f t="shared" ca="1" si="213"/>
        <v>0</v>
      </c>
      <c r="AJ69" s="70">
        <f t="shared" ca="1" si="213"/>
        <v>0</v>
      </c>
      <c r="AK69" s="70">
        <f t="shared" ca="1" si="213"/>
        <v>0</v>
      </c>
      <c r="AL69" s="70">
        <f t="shared" ca="1" si="213"/>
        <v>0</v>
      </c>
      <c r="AM69" s="70">
        <f t="shared" ca="1" si="213"/>
        <v>0</v>
      </c>
      <c r="AN69" s="70">
        <f t="shared" ca="1" si="213"/>
        <v>0</v>
      </c>
      <c r="AO69" s="70">
        <f t="shared" ca="1" si="213"/>
        <v>0</v>
      </c>
      <c r="AP69" s="70">
        <f t="shared" ca="1" si="213"/>
        <v>0</v>
      </c>
      <c r="AQ69" s="70">
        <f t="shared" ca="1" si="213"/>
        <v>0</v>
      </c>
      <c r="AR69" s="70">
        <f t="shared" ca="1" si="213"/>
        <v>37092.835681277866</v>
      </c>
      <c r="AS69" s="70">
        <f t="shared" ca="1" si="213"/>
        <v>0</v>
      </c>
      <c r="AT69" s="70">
        <f t="shared" ca="1" si="213"/>
        <v>0</v>
      </c>
      <c r="AU69" s="70">
        <f t="shared" ca="1" si="213"/>
        <v>0</v>
      </c>
      <c r="AV69" s="70">
        <f t="shared" ca="1" si="213"/>
        <v>2013836.7868002132</v>
      </c>
      <c r="AW69" s="70">
        <f t="shared" ca="1" si="213"/>
        <v>-391427.81227571081</v>
      </c>
      <c r="AX69" s="70">
        <f t="shared" ca="1" si="213"/>
        <v>-391377.78892640705</v>
      </c>
      <c r="AY69" s="70">
        <f t="shared" ca="1" si="213"/>
        <v>-391327.28451433114</v>
      </c>
      <c r="AZ69" s="70">
        <f t="shared" ca="1" si="213"/>
        <v>-391276.29441472678</v>
      </c>
      <c r="BA69" s="70">
        <f t="shared" ca="1" si="213"/>
        <v>-391224.81396072009</v>
      </c>
      <c r="BB69" s="70">
        <f t="shared" ca="1" si="213"/>
        <v>-368416.93248424015</v>
      </c>
      <c r="BC69" s="70">
        <f t="shared" ca="1" si="213"/>
        <v>-402488.48766746407</v>
      </c>
      <c r="BD69" s="70">
        <f t="shared" ca="1" si="213"/>
        <v>-391067.38316483458</v>
      </c>
      <c r="BE69" s="70">
        <f t="shared" ca="1" si="213"/>
        <v>-391013.89377053321</v>
      </c>
      <c r="BF69" s="70">
        <f t="shared" ca="1" si="213"/>
        <v>-390959.89004408085</v>
      </c>
      <c r="BG69" s="70">
        <f t="shared" ca="1" si="213"/>
        <v>-390905.36705890787</v>
      </c>
      <c r="BH69" s="70">
        <f t="shared" ca="1" si="213"/>
        <v>-390850.31984398258</v>
      </c>
      <c r="BI69" s="70">
        <f t="shared" ca="1" si="213"/>
        <v>-390794.74338347069</v>
      </c>
      <c r="BJ69" s="70">
        <f t="shared" ca="1" si="213"/>
        <v>-390738.63261639257</v>
      </c>
      <c r="BK69" s="70">
        <f t="shared" ca="1" si="213"/>
        <v>-390681.98243627936</v>
      </c>
      <c r="BL69" s="70">
        <f t="shared" ca="1" si="213"/>
        <v>-390624.78769082797</v>
      </c>
      <c r="BM69" s="70">
        <f t="shared" ca="1" si="213"/>
        <v>-390567.04318155366</v>
      </c>
      <c r="BN69" s="70">
        <f t="shared" ca="1" si="213"/>
        <v>-367995.11047846678</v>
      </c>
      <c r="BO69" s="70">
        <f t="shared" ca="1" si="213"/>
        <v>-401696.28626637382</v>
      </c>
      <c r="BP69" s="70">
        <f t="shared" ca="1" si="213"/>
        <v>-390390.45838591072</v>
      </c>
      <c r="BQ69" s="70">
        <f t="shared" ca="1" si="213"/>
        <v>-390330.46190066217</v>
      </c>
      <c r="BR69" s="70">
        <f t="shared" ca="1" si="213"/>
        <v>-390269.88895421679</v>
      </c>
      <c r="BS69" s="70">
        <f t="shared" ca="1" si="213"/>
        <v>-390208.73406364373</v>
      </c>
      <c r="BT69" s="70">
        <f t="shared" ca="1" si="213"/>
        <v>-57091976.208641335</v>
      </c>
      <c r="BU69" s="70">
        <f t="shared" ca="1" si="213"/>
        <v>0</v>
      </c>
      <c r="BV69" s="70">
        <f t="shared" ca="1" si="213"/>
        <v>0</v>
      </c>
      <c r="BW69" s="70">
        <f t="shared" ca="1" si="213"/>
        <v>0</v>
      </c>
      <c r="BX69" s="70">
        <f t="shared" ca="1" si="213"/>
        <v>0</v>
      </c>
      <c r="BY69" s="70">
        <f t="shared" ca="1" si="213"/>
        <v>0</v>
      </c>
      <c r="BZ69" s="70">
        <f t="shared" ref="BZ69:CF69" ca="1" si="214">BZ67+BZ54</f>
        <v>0</v>
      </c>
      <c r="CA69" s="70">
        <f t="shared" ca="1" si="214"/>
        <v>0</v>
      </c>
      <c r="CB69" s="70">
        <f t="shared" ca="1" si="214"/>
        <v>0</v>
      </c>
      <c r="CC69" s="70">
        <f t="shared" ca="1" si="214"/>
        <v>0</v>
      </c>
      <c r="CD69" s="70">
        <f t="shared" ca="1" si="214"/>
        <v>0</v>
      </c>
      <c r="CE69" s="70">
        <f t="shared" ca="1" si="214"/>
        <v>0</v>
      </c>
      <c r="CF69" s="70">
        <f t="shared" ca="1" si="214"/>
        <v>0</v>
      </c>
    </row>
    <row r="70" spans="1:84"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  <c r="AF70" s="69"/>
      <c r="AG70" s="69"/>
      <c r="AH70" s="69"/>
      <c r="AI70" s="69"/>
      <c r="AJ70" s="69"/>
      <c r="AK70" s="69"/>
      <c r="AL70" s="69"/>
      <c r="AM70" s="69"/>
      <c r="AN70" s="69"/>
      <c r="AO70" s="69"/>
      <c r="AP70" s="69"/>
      <c r="AQ70" s="69"/>
      <c r="AR70" s="69"/>
      <c r="AS70" s="69"/>
      <c r="AT70" s="69"/>
      <c r="AU70" s="69"/>
      <c r="AV70" s="69"/>
      <c r="AW70" s="69"/>
      <c r="AX70" s="69"/>
      <c r="AY70" s="69"/>
      <c r="AZ70" s="69"/>
      <c r="BA70" s="69"/>
      <c r="BB70" s="69"/>
      <c r="BC70" s="69"/>
      <c r="BD70" s="69"/>
      <c r="BE70" s="69"/>
      <c r="BF70" s="69"/>
      <c r="BG70" s="69"/>
      <c r="BH70" s="69"/>
      <c r="BI70" s="69"/>
      <c r="BJ70" s="69"/>
      <c r="BK70" s="69"/>
      <c r="BL70" s="69"/>
      <c r="BM70" s="69"/>
      <c r="BN70" s="69"/>
      <c r="BO70" s="69"/>
      <c r="BP70" s="69"/>
      <c r="BQ70" s="69"/>
      <c r="BR70" s="69"/>
      <c r="BS70" s="69"/>
      <c r="BT70" s="69"/>
      <c r="BU70" s="69"/>
      <c r="BV70" s="69"/>
      <c r="BW70" s="69"/>
      <c r="BX70" s="69"/>
      <c r="BY70" s="69"/>
      <c r="BZ70" s="69"/>
      <c r="CA70" s="69"/>
      <c r="CB70" s="69"/>
      <c r="CC70" s="69"/>
      <c r="CD70" s="69"/>
      <c r="CE70" s="69"/>
      <c r="CF70" s="69"/>
    </row>
    <row r="71" spans="1:84">
      <c r="A71" s="17" t="s">
        <v>278</v>
      </c>
      <c r="D71" s="70">
        <f t="shared" ref="D71:J71" ca="1" si="215">SUMIFS($L71:$CF71,$L$3:$CF$3,D$3)</f>
        <v>-14025859.851871543</v>
      </c>
      <c r="E71" s="70">
        <f t="shared" ca="1" si="215"/>
        <v>-1803780.7649422525</v>
      </c>
      <c r="F71" s="70">
        <f t="shared" ca="1" si="215"/>
        <v>2710188.9581370554</v>
      </c>
      <c r="G71" s="70">
        <f t="shared" ca="1" si="215"/>
        <v>5183777.2408297425</v>
      </c>
      <c r="H71" s="70">
        <f t="shared" ca="1" si="215"/>
        <v>347066.06906232354</v>
      </c>
      <c r="I71" s="70">
        <f t="shared" ca="1" si="215"/>
        <v>26926389.125901103</v>
      </c>
      <c r="J71" s="70">
        <f t="shared" ca="1" si="215"/>
        <v>0</v>
      </c>
      <c r="K71" s="69"/>
      <c r="L71" s="70">
        <f ca="1">L34+L69</f>
        <v>-14025859.851871543</v>
      </c>
      <c r="M71" s="70">
        <f t="shared" ref="M71:BX71" ca="1" si="216">M34+M69</f>
        <v>226402.94625000001</v>
      </c>
      <c r="N71" s="70">
        <f t="shared" ca="1" si="216"/>
        <v>-41223.725937499999</v>
      </c>
      <c r="O71" s="70">
        <f t="shared" ca="1" si="216"/>
        <v>-68413.105312500003</v>
      </c>
      <c r="P71" s="70">
        <f t="shared" ca="1" si="216"/>
        <v>-65073.839804687508</v>
      </c>
      <c r="Q71" s="70">
        <f t="shared" ca="1" si="216"/>
        <v>-97179.986295273411</v>
      </c>
      <c r="R71" s="70">
        <f t="shared" ca="1" si="216"/>
        <v>-188645.60016759112</v>
      </c>
      <c r="S71" s="70">
        <f t="shared" ca="1" si="216"/>
        <v>-119274.49298472656</v>
      </c>
      <c r="T71" s="70">
        <f t="shared" ca="1" si="216"/>
        <v>-290714.75660981773</v>
      </c>
      <c r="U71" s="70">
        <f t="shared" ca="1" si="216"/>
        <v>-264440.33641669271</v>
      </c>
      <c r="V71" s="70">
        <f t="shared" ca="1" si="216"/>
        <v>-319509.70992429694</v>
      </c>
      <c r="W71" s="70">
        <f t="shared" ca="1" si="216"/>
        <v>-398758.80610833317</v>
      </c>
      <c r="X71" s="70">
        <f t="shared" ca="1" si="216"/>
        <v>-176949.35163083335</v>
      </c>
      <c r="Y71" s="70">
        <f t="shared" ca="1" si="216"/>
        <v>-162581.51348387374</v>
      </c>
      <c r="Z71" s="70">
        <f t="shared" ca="1" si="216"/>
        <v>-33895.863397447916</v>
      </c>
      <c r="AA71" s="70">
        <f t="shared" ca="1" si="216"/>
        <v>-33920.981453503482</v>
      </c>
      <c r="AB71" s="70">
        <f t="shared" ca="1" si="216"/>
        <v>315516.07418598607</v>
      </c>
      <c r="AC71" s="70">
        <f t="shared" ca="1" si="216"/>
        <v>409320.66848353203</v>
      </c>
      <c r="AD71" s="70">
        <f t="shared" ca="1" si="216"/>
        <v>-57157.951833707892</v>
      </c>
      <c r="AE71" s="70">
        <f t="shared" ca="1" si="216"/>
        <v>423189.60933183512</v>
      </c>
      <c r="AF71" s="70">
        <f t="shared" ca="1" si="216"/>
        <v>458198.57641526632</v>
      </c>
      <c r="AG71" s="70">
        <f t="shared" ca="1" si="216"/>
        <v>458198.57641526632</v>
      </c>
      <c r="AH71" s="70">
        <f t="shared" ca="1" si="216"/>
        <v>458198.57641526632</v>
      </c>
      <c r="AI71" s="70">
        <f t="shared" ca="1" si="216"/>
        <v>123779.67173131322</v>
      </c>
      <c r="AJ71" s="70">
        <f t="shared" ca="1" si="216"/>
        <v>351343.51532712294</v>
      </c>
      <c r="AK71" s="70">
        <f t="shared" ca="1" si="216"/>
        <v>454306.66863371251</v>
      </c>
      <c r="AL71" s="70">
        <f t="shared" ca="1" si="216"/>
        <v>459461.99995747552</v>
      </c>
      <c r="AM71" s="70">
        <f t="shared" ca="1" si="216"/>
        <v>460582.59327730467</v>
      </c>
      <c r="AN71" s="70">
        <f t="shared" ca="1" si="216"/>
        <v>462914.90710318129</v>
      </c>
      <c r="AO71" s="70">
        <f t="shared" ca="1" si="216"/>
        <v>479724.35405696684</v>
      </c>
      <c r="AP71" s="70">
        <f t="shared" ca="1" si="216"/>
        <v>479724.35405696684</v>
      </c>
      <c r="AQ71" s="70">
        <f t="shared" ca="1" si="216"/>
        <v>347349.50992027612</v>
      </c>
      <c r="AR71" s="70">
        <f t="shared" ca="1" si="216"/>
        <v>-12364.278560425955</v>
      </c>
      <c r="AS71" s="70">
        <f t="shared" ca="1" si="216"/>
        <v>406434.62775947101</v>
      </c>
      <c r="AT71" s="70">
        <f t="shared" ca="1" si="216"/>
        <v>33975.810445757001</v>
      </c>
      <c r="AU71" s="70">
        <f t="shared" ca="1" si="216"/>
        <v>156604.80750975659</v>
      </c>
      <c r="AV71" s="70">
        <f t="shared" ca="1" si="216"/>
        <v>1455061.8866692996</v>
      </c>
      <c r="AW71" s="70">
        <f t="shared" ca="1" si="216"/>
        <v>-257822.40558384411</v>
      </c>
      <c r="AX71" s="70">
        <f t="shared" ca="1" si="216"/>
        <v>82954.200628156657</v>
      </c>
      <c r="AY71" s="70">
        <f t="shared" ca="1" si="216"/>
        <v>99767.373480435286</v>
      </c>
      <c r="AZ71" s="70">
        <f t="shared" ca="1" si="216"/>
        <v>100878.20132617938</v>
      </c>
      <c r="BA71" s="70">
        <f t="shared" ca="1" si="216"/>
        <v>-152851.96315226657</v>
      </c>
      <c r="BB71" s="70">
        <f t="shared" ca="1" si="216"/>
        <v>123144.14332421339</v>
      </c>
      <c r="BC71" s="70">
        <f t="shared" ca="1" si="216"/>
        <v>104080.7639511177</v>
      </c>
      <c r="BD71" s="70">
        <f t="shared" ca="1" si="216"/>
        <v>115501.86845374719</v>
      </c>
      <c r="BE71" s="70">
        <f t="shared" ca="1" si="216"/>
        <v>-9640.3940924413619</v>
      </c>
      <c r="BF71" s="70">
        <f t="shared" ca="1" si="216"/>
        <v>-88256.756756797957</v>
      </c>
      <c r="BG71" s="70">
        <f t="shared" ca="1" si="216"/>
        <v>109110.28343954921</v>
      </c>
      <c r="BH71" s="70">
        <f t="shared" ca="1" si="216"/>
        <v>120200.75404427474</v>
      </c>
      <c r="BI71" s="70">
        <f t="shared" ca="1" si="216"/>
        <v>120494.80398218398</v>
      </c>
      <c r="BJ71" s="70">
        <f t="shared" ca="1" si="216"/>
        <v>120550.9147492621</v>
      </c>
      <c r="BK71" s="70">
        <f t="shared" ca="1" si="216"/>
        <v>-540072.04254794668</v>
      </c>
      <c r="BL71" s="70">
        <f t="shared" ca="1" si="216"/>
        <v>81785.645947504672</v>
      </c>
      <c r="BM71" s="70">
        <f t="shared" ca="1" si="216"/>
        <v>131975.72201460053</v>
      </c>
      <c r="BN71" s="70">
        <f t="shared" ca="1" si="216"/>
        <v>154547.6547176874</v>
      </c>
      <c r="BO71" s="70">
        <f t="shared" ca="1" si="216"/>
        <v>120846.47892978037</v>
      </c>
      <c r="BP71" s="70">
        <f t="shared" ca="1" si="216"/>
        <v>134183.17971951619</v>
      </c>
      <c r="BQ71" s="70">
        <f t="shared" ca="1" si="216"/>
        <v>134243.17620476475</v>
      </c>
      <c r="BR71" s="70">
        <f t="shared" ca="1" si="216"/>
        <v>134303.74915121013</v>
      </c>
      <c r="BS71" s="70">
        <f t="shared" ca="1" si="216"/>
        <v>134364.90404178319</v>
      </c>
      <c r="BT71" s="70">
        <f t="shared" ca="1" si="216"/>
        <v>26199164.938990757</v>
      </c>
      <c r="BU71" s="70">
        <f t="shared" ca="1" si="216"/>
        <v>0</v>
      </c>
      <c r="BV71" s="70">
        <f t="shared" ca="1" si="216"/>
        <v>0</v>
      </c>
      <c r="BW71" s="70">
        <f t="shared" ca="1" si="216"/>
        <v>0</v>
      </c>
      <c r="BX71" s="70">
        <f t="shared" ca="1" si="216"/>
        <v>0</v>
      </c>
      <c r="BY71" s="70">
        <f t="shared" ref="BY71:CF71" ca="1" si="217">BY34+BY69</f>
        <v>0</v>
      </c>
      <c r="BZ71" s="70">
        <f t="shared" ca="1" si="217"/>
        <v>0</v>
      </c>
      <c r="CA71" s="70">
        <f t="shared" ca="1" si="217"/>
        <v>0</v>
      </c>
      <c r="CB71" s="70">
        <f t="shared" ca="1" si="217"/>
        <v>0</v>
      </c>
      <c r="CC71" s="70">
        <f t="shared" ca="1" si="217"/>
        <v>0</v>
      </c>
      <c r="CD71" s="70">
        <f t="shared" ca="1" si="217"/>
        <v>0</v>
      </c>
      <c r="CE71" s="70">
        <f t="shared" ca="1" si="217"/>
        <v>0</v>
      </c>
      <c r="CF71" s="70">
        <f t="shared" ca="1" si="217"/>
        <v>0</v>
      </c>
    </row>
    <row r="72" spans="1:84">
      <c r="A72" s="64" t="s">
        <v>197</v>
      </c>
      <c r="B72" s="67">
        <f ca="1">XIRR(L71:CF71,$L$5:$CF$5)</f>
        <v>0.21210951209068299</v>
      </c>
      <c r="D72" s="69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  <c r="AA72" s="69"/>
      <c r="AB72" s="69"/>
      <c r="AC72" s="69"/>
      <c r="AD72" s="69"/>
      <c r="AE72" s="69"/>
      <c r="AF72" s="69"/>
      <c r="AG72" s="69"/>
      <c r="AH72" s="69"/>
      <c r="AI72" s="69"/>
      <c r="AJ72" s="69"/>
      <c r="AK72" s="69"/>
      <c r="AL72" s="69"/>
      <c r="AM72" s="69"/>
      <c r="AN72" s="69"/>
      <c r="AO72" s="69"/>
      <c r="AP72" s="69"/>
      <c r="AQ72" s="69"/>
      <c r="AR72" s="69"/>
      <c r="AS72" s="69"/>
      <c r="AT72" s="69"/>
      <c r="AU72" s="69"/>
      <c r="AV72" s="69"/>
      <c r="AW72" s="69"/>
      <c r="AX72" s="69"/>
      <c r="AY72" s="69"/>
      <c r="AZ72" s="69"/>
      <c r="BA72" s="69"/>
      <c r="BB72" s="69"/>
      <c r="BC72" s="69"/>
      <c r="BD72" s="69"/>
      <c r="BE72" s="69"/>
      <c r="BF72" s="69"/>
      <c r="BG72" s="69"/>
      <c r="BH72" s="69"/>
      <c r="BI72" s="69"/>
      <c r="BJ72" s="69"/>
      <c r="BK72" s="69"/>
      <c r="BL72" s="69"/>
      <c r="BM72" s="69"/>
      <c r="BN72" s="69"/>
      <c r="BO72" s="69"/>
      <c r="BP72" s="69"/>
      <c r="BQ72" s="69"/>
      <c r="BR72" s="69"/>
      <c r="BS72" s="69"/>
      <c r="BT72" s="69"/>
      <c r="BU72" s="69"/>
      <c r="BV72" s="69"/>
      <c r="BW72" s="69"/>
      <c r="BX72" s="69"/>
      <c r="BY72" s="69"/>
      <c r="BZ72" s="69"/>
      <c r="CA72" s="69"/>
      <c r="CB72" s="69"/>
      <c r="CC72" s="69"/>
      <c r="CD72" s="69"/>
      <c r="CE72" s="69"/>
      <c r="CF72" s="69"/>
    </row>
    <row r="73" spans="1:84">
      <c r="A73" s="64" t="s">
        <v>203</v>
      </c>
      <c r="B73" s="71">
        <f ca="1">-SUMIF(L71:CF71,"&lt;0")</f>
        <v>17404607.713926051</v>
      </c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  <c r="AA73" s="69"/>
      <c r="AB73" s="69"/>
      <c r="AC73" s="69"/>
      <c r="AD73" s="69"/>
      <c r="AE73" s="69"/>
      <c r="AF73" s="69"/>
      <c r="AG73" s="69"/>
      <c r="AH73" s="69"/>
      <c r="AI73" s="69"/>
      <c r="AJ73" s="69"/>
      <c r="AK73" s="69"/>
      <c r="AL73" s="69"/>
      <c r="AM73" s="69"/>
      <c r="AN73" s="69"/>
      <c r="AO73" s="69"/>
      <c r="AP73" s="69"/>
      <c r="AQ73" s="69"/>
      <c r="AR73" s="69"/>
      <c r="AS73" s="69"/>
      <c r="AT73" s="69"/>
      <c r="AU73" s="69"/>
      <c r="AV73" s="69"/>
      <c r="AW73" s="69"/>
      <c r="AX73" s="69"/>
      <c r="AY73" s="69"/>
      <c r="AZ73" s="69"/>
      <c r="BA73" s="69"/>
      <c r="BB73" s="69"/>
      <c r="BC73" s="69"/>
      <c r="BD73" s="69"/>
      <c r="BE73" s="69"/>
      <c r="BF73" s="69"/>
      <c r="BG73" s="69"/>
      <c r="BH73" s="69"/>
      <c r="BI73" s="69"/>
      <c r="BJ73" s="69"/>
      <c r="BK73" s="69"/>
      <c r="BL73" s="69"/>
      <c r="BM73" s="69"/>
      <c r="BN73" s="69"/>
      <c r="BO73" s="69"/>
      <c r="BP73" s="69"/>
      <c r="BQ73" s="69"/>
      <c r="BR73" s="69"/>
      <c r="BS73" s="69"/>
      <c r="BT73" s="69"/>
      <c r="BU73" s="69"/>
      <c r="BV73" s="69"/>
      <c r="BW73" s="69"/>
      <c r="BX73" s="69"/>
      <c r="BY73" s="69"/>
      <c r="BZ73" s="69"/>
      <c r="CA73" s="69"/>
      <c r="CB73" s="69"/>
      <c r="CC73" s="69"/>
      <c r="CD73" s="69"/>
      <c r="CE73" s="69"/>
      <c r="CF73" s="69"/>
    </row>
    <row r="74" spans="1:84">
      <c r="A74" s="64" t="s">
        <v>204</v>
      </c>
      <c r="B74" s="71">
        <f ca="1">SUM(L71:CF71)</f>
        <v>19337780.777116433</v>
      </c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  <c r="AA74" s="69"/>
      <c r="AB74" s="69"/>
      <c r="AC74" s="69"/>
      <c r="AD74" s="69"/>
      <c r="AE74" s="69"/>
      <c r="AF74" s="69"/>
      <c r="AG74" s="69"/>
      <c r="AH74" s="69"/>
      <c r="AI74" s="69"/>
      <c r="AJ74" s="69"/>
      <c r="AK74" s="69"/>
      <c r="AL74" s="69"/>
      <c r="AM74" s="69"/>
      <c r="AN74" s="69"/>
      <c r="AO74" s="69"/>
      <c r="AP74" s="69"/>
      <c r="AQ74" s="69"/>
      <c r="AR74" s="69"/>
      <c r="AS74" s="69"/>
      <c r="AT74" s="69"/>
      <c r="AU74" s="69"/>
      <c r="AV74" s="69"/>
      <c r="AW74" s="69"/>
      <c r="AX74" s="69"/>
      <c r="AY74" s="69"/>
      <c r="AZ74" s="69"/>
      <c r="BA74" s="69"/>
      <c r="BB74" s="69"/>
      <c r="BC74" s="69"/>
      <c r="BD74" s="69"/>
      <c r="BE74" s="69"/>
      <c r="BF74" s="69"/>
      <c r="BG74" s="69"/>
      <c r="BH74" s="69"/>
      <c r="BI74" s="69"/>
      <c r="BJ74" s="69"/>
      <c r="BK74" s="69"/>
      <c r="BL74" s="69"/>
      <c r="BM74" s="69"/>
      <c r="BN74" s="69"/>
      <c r="BO74" s="69"/>
      <c r="BP74" s="69"/>
      <c r="BQ74" s="69"/>
      <c r="BR74" s="69"/>
      <c r="BS74" s="69"/>
      <c r="BT74" s="69"/>
      <c r="BU74" s="69"/>
      <c r="BV74" s="69"/>
      <c r="BW74" s="69"/>
      <c r="BX74" s="69"/>
      <c r="BY74" s="69"/>
      <c r="BZ74" s="69"/>
      <c r="CA74" s="69"/>
      <c r="CB74" s="69"/>
      <c r="CC74" s="69"/>
      <c r="CD74" s="69"/>
      <c r="CE74" s="69"/>
      <c r="CF74" s="69"/>
    </row>
    <row r="75" spans="1:84">
      <c r="A75" s="64" t="s">
        <v>198</v>
      </c>
      <c r="B75" s="68">
        <f ca="1">B74/B73+1</f>
        <v>2.1110724869508886</v>
      </c>
      <c r="D75" s="69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  <c r="AA75" s="69"/>
      <c r="AB75" s="69"/>
      <c r="AC75" s="69"/>
      <c r="AD75" s="69"/>
      <c r="AE75" s="69"/>
      <c r="AF75" s="69"/>
      <c r="AG75" s="69"/>
      <c r="AH75" s="69"/>
      <c r="AI75" s="69"/>
      <c r="AJ75" s="69"/>
      <c r="AK75" s="69"/>
      <c r="AL75" s="69"/>
      <c r="AM75" s="69"/>
      <c r="AN75" s="69"/>
      <c r="AO75" s="69"/>
      <c r="AP75" s="69"/>
      <c r="AQ75" s="69"/>
      <c r="AR75" s="69"/>
      <c r="AS75" s="69"/>
      <c r="AT75" s="69"/>
      <c r="AU75" s="69"/>
      <c r="AV75" s="69"/>
      <c r="AW75" s="69"/>
      <c r="AX75" s="69"/>
      <c r="AY75" s="69"/>
      <c r="AZ75" s="69"/>
      <c r="BA75" s="69"/>
      <c r="BB75" s="69"/>
      <c r="BC75" s="69"/>
      <c r="BD75" s="69"/>
      <c r="BE75" s="69"/>
      <c r="BF75" s="69"/>
      <c r="BG75" s="69"/>
      <c r="BH75" s="69"/>
      <c r="BI75" s="69"/>
      <c r="BJ75" s="69"/>
      <c r="BK75" s="69"/>
      <c r="BL75" s="69"/>
      <c r="BM75" s="69"/>
      <c r="BN75" s="69"/>
      <c r="BO75" s="69"/>
      <c r="BP75" s="69"/>
      <c r="BQ75" s="69"/>
      <c r="BR75" s="69"/>
      <c r="BS75" s="69"/>
      <c r="BT75" s="69"/>
      <c r="BU75" s="69"/>
      <c r="BV75" s="69"/>
      <c r="BW75" s="69"/>
      <c r="BX75" s="69"/>
      <c r="BY75" s="69"/>
      <c r="BZ75" s="69"/>
      <c r="CA75" s="69"/>
      <c r="CB75" s="69"/>
      <c r="CC75" s="69"/>
      <c r="CD75" s="69"/>
      <c r="CE75" s="69"/>
      <c r="CF75" s="69"/>
    </row>
    <row r="76" spans="1:84"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  <c r="AA76" s="69"/>
      <c r="AB76" s="69"/>
      <c r="AC76" s="69"/>
      <c r="AD76" s="69"/>
      <c r="AE76" s="69"/>
      <c r="AF76" s="69"/>
      <c r="AG76" s="69"/>
      <c r="AH76" s="69"/>
      <c r="AI76" s="69"/>
      <c r="AJ76" s="69"/>
      <c r="AK76" s="69"/>
      <c r="AL76" s="69"/>
      <c r="AM76" s="69"/>
      <c r="AN76" s="69"/>
      <c r="AO76" s="69"/>
      <c r="AP76" s="69"/>
      <c r="AQ76" s="69"/>
      <c r="AR76" s="69"/>
      <c r="AS76" s="69"/>
      <c r="AT76" s="69"/>
      <c r="AU76" s="69"/>
      <c r="AV76" s="69"/>
      <c r="AW76" s="69"/>
      <c r="AX76" s="69"/>
      <c r="AY76" s="69"/>
      <c r="AZ76" s="69"/>
      <c r="BA76" s="69"/>
      <c r="BB76" s="69"/>
      <c r="BC76" s="69"/>
      <c r="BD76" s="69"/>
      <c r="BE76" s="69"/>
      <c r="BF76" s="69"/>
      <c r="BG76" s="69"/>
      <c r="BH76" s="69"/>
      <c r="BI76" s="69"/>
      <c r="BJ76" s="69"/>
      <c r="BK76" s="69"/>
      <c r="BL76" s="69"/>
      <c r="BM76" s="69"/>
      <c r="BN76" s="69"/>
      <c r="BO76" s="69"/>
      <c r="BP76" s="69"/>
      <c r="BQ76" s="69"/>
      <c r="BR76" s="69"/>
      <c r="BS76" s="69"/>
      <c r="BT76" s="69"/>
      <c r="BU76" s="69"/>
      <c r="BV76" s="69"/>
      <c r="BW76" s="69"/>
      <c r="BX76" s="69"/>
      <c r="BY76" s="69"/>
      <c r="BZ76" s="69"/>
      <c r="CA76" s="69"/>
      <c r="CB76" s="69"/>
      <c r="CC76" s="69"/>
      <c r="CD76" s="69"/>
      <c r="CE76" s="69"/>
      <c r="CF76" s="69"/>
    </row>
    <row r="77" spans="1:84">
      <c r="D77" s="69"/>
      <c r="E77" s="69"/>
      <c r="F77" s="69"/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69"/>
      <c r="AA77" s="69"/>
      <c r="AB77" s="69"/>
      <c r="AC77" s="69"/>
      <c r="AD77" s="69"/>
      <c r="AE77" s="69"/>
      <c r="AF77" s="69"/>
      <c r="AG77" s="69"/>
      <c r="AH77" s="69"/>
      <c r="AI77" s="69"/>
      <c r="AJ77" s="69"/>
      <c r="AK77" s="69"/>
      <c r="AL77" s="69"/>
      <c r="AM77" s="69"/>
      <c r="AN77" s="69"/>
      <c r="AO77" s="69"/>
      <c r="AP77" s="69"/>
      <c r="AQ77" s="69"/>
      <c r="AR77" s="69"/>
      <c r="AS77" s="69"/>
      <c r="AT77" s="69"/>
      <c r="AU77" s="69"/>
      <c r="AV77" s="69"/>
      <c r="AW77" s="69"/>
      <c r="AX77" s="69"/>
      <c r="AY77" s="69"/>
      <c r="AZ77" s="69"/>
      <c r="BA77" s="69"/>
      <c r="BB77" s="69"/>
      <c r="BC77" s="69"/>
      <c r="BD77" s="69"/>
      <c r="BE77" s="69"/>
      <c r="BF77" s="69"/>
      <c r="BG77" s="69"/>
      <c r="BH77" s="69"/>
      <c r="BI77" s="69"/>
      <c r="BJ77" s="69"/>
      <c r="BK77" s="69"/>
      <c r="BL77" s="69"/>
      <c r="BM77" s="69"/>
      <c r="BN77" s="69"/>
      <c r="BO77" s="69"/>
      <c r="BP77" s="69"/>
      <c r="BQ77" s="69"/>
      <c r="BR77" s="69"/>
      <c r="BS77" s="69"/>
      <c r="BT77" s="69"/>
      <c r="BU77" s="69"/>
      <c r="BV77" s="69"/>
      <c r="BW77" s="69"/>
      <c r="BX77" s="69"/>
      <c r="BY77" s="69"/>
      <c r="BZ77" s="69"/>
      <c r="CA77" s="69"/>
      <c r="CB77" s="69"/>
      <c r="CC77" s="69"/>
      <c r="CD77" s="69"/>
      <c r="CE77" s="69"/>
      <c r="CF77" s="69"/>
    </row>
    <row r="78" spans="1:84"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  <c r="AA78" s="69"/>
      <c r="AB78" s="69"/>
      <c r="AC78" s="69"/>
      <c r="AD78" s="69"/>
      <c r="AE78" s="69"/>
      <c r="AF78" s="69"/>
      <c r="AG78" s="69"/>
      <c r="AH78" s="69"/>
      <c r="AI78" s="69"/>
      <c r="AJ78" s="69"/>
      <c r="AK78" s="69"/>
      <c r="AL78" s="69"/>
      <c r="AM78" s="69"/>
      <c r="AN78" s="69"/>
      <c r="AO78" s="69"/>
      <c r="AP78" s="69"/>
      <c r="AQ78" s="69"/>
      <c r="AR78" s="69"/>
      <c r="AS78" s="69"/>
      <c r="AT78" s="69"/>
      <c r="AU78" s="69"/>
      <c r="AV78" s="69"/>
      <c r="AW78" s="69"/>
      <c r="AX78" s="69"/>
      <c r="AY78" s="69"/>
      <c r="AZ78" s="69"/>
      <c r="BA78" s="69"/>
      <c r="BB78" s="69"/>
      <c r="BC78" s="69"/>
      <c r="BD78" s="69"/>
      <c r="BE78" s="69"/>
      <c r="BF78" s="69"/>
      <c r="BG78" s="69"/>
      <c r="BH78" s="69"/>
      <c r="BI78" s="69"/>
      <c r="BJ78" s="69"/>
      <c r="BK78" s="69"/>
      <c r="BL78" s="69"/>
      <c r="BM78" s="69"/>
      <c r="BN78" s="69"/>
      <c r="BO78" s="69"/>
      <c r="BP78" s="69"/>
      <c r="BQ78" s="69"/>
      <c r="BR78" s="69"/>
      <c r="BS78" s="69"/>
      <c r="BT78" s="69"/>
      <c r="BU78" s="69"/>
      <c r="BV78" s="69"/>
      <c r="BW78" s="69"/>
      <c r="BX78" s="69"/>
      <c r="BY78" s="69"/>
      <c r="BZ78" s="69"/>
      <c r="CA78" s="69"/>
      <c r="CB78" s="69"/>
      <c r="CC78" s="69"/>
      <c r="CD78" s="69"/>
      <c r="CE78" s="69"/>
      <c r="CF78" s="69"/>
    </row>
    <row r="79" spans="1:84">
      <c r="D79" s="69"/>
      <c r="E79" s="69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  <c r="Z79" s="69"/>
      <c r="AA79" s="69"/>
      <c r="AB79" s="69"/>
      <c r="AC79" s="69"/>
      <c r="AD79" s="69"/>
      <c r="AE79" s="69"/>
      <c r="AF79" s="69"/>
      <c r="AG79" s="69"/>
      <c r="AH79" s="69"/>
      <c r="AI79" s="69"/>
      <c r="AJ79" s="69"/>
      <c r="AK79" s="69"/>
      <c r="AL79" s="69"/>
      <c r="AM79" s="69"/>
      <c r="AN79" s="69"/>
      <c r="AO79" s="69"/>
      <c r="AP79" s="69"/>
      <c r="AQ79" s="69"/>
      <c r="AR79" s="69"/>
      <c r="AS79" s="69"/>
      <c r="AT79" s="69"/>
      <c r="AU79" s="69"/>
      <c r="AV79" s="69"/>
      <c r="AW79" s="69"/>
      <c r="AX79" s="69"/>
      <c r="AY79" s="69"/>
      <c r="AZ79" s="69"/>
      <c r="BA79" s="69"/>
      <c r="BB79" s="69"/>
      <c r="BC79" s="69"/>
      <c r="BD79" s="69"/>
      <c r="BE79" s="69"/>
      <c r="BF79" s="69"/>
      <c r="BG79" s="69"/>
      <c r="BH79" s="69"/>
      <c r="BI79" s="69"/>
      <c r="BJ79" s="69"/>
      <c r="BK79" s="69"/>
      <c r="BL79" s="69"/>
      <c r="BM79" s="69"/>
      <c r="BN79" s="69"/>
      <c r="BO79" s="69"/>
      <c r="BP79" s="69"/>
      <c r="BQ79" s="69"/>
      <c r="BR79" s="69"/>
      <c r="BS79" s="69"/>
      <c r="BT79" s="69"/>
      <c r="BU79" s="69"/>
      <c r="BV79" s="69"/>
      <c r="BW79" s="69"/>
      <c r="BX79" s="69"/>
      <c r="BY79" s="69"/>
      <c r="BZ79" s="69"/>
      <c r="CA79" s="69"/>
      <c r="CB79" s="69"/>
      <c r="CC79" s="69"/>
      <c r="CD79" s="69"/>
      <c r="CE79" s="69"/>
      <c r="CF79" s="69"/>
    </row>
    <row r="80" spans="1:84"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  <c r="AA80" s="69"/>
      <c r="AB80" s="69"/>
      <c r="AC80" s="69"/>
      <c r="AD80" s="69"/>
      <c r="AE80" s="69"/>
      <c r="AF80" s="69"/>
      <c r="AG80" s="69"/>
      <c r="AH80" s="69"/>
      <c r="AI80" s="69"/>
      <c r="AJ80" s="69"/>
      <c r="AK80" s="69"/>
      <c r="AL80" s="69"/>
      <c r="AM80" s="69"/>
      <c r="AN80" s="69"/>
      <c r="AO80" s="69"/>
      <c r="AP80" s="69"/>
      <c r="AQ80" s="69"/>
      <c r="AR80" s="69"/>
      <c r="AS80" s="69"/>
      <c r="AT80" s="69"/>
      <c r="AU80" s="69"/>
      <c r="AV80" s="69"/>
      <c r="AW80" s="69"/>
      <c r="AX80" s="69"/>
      <c r="AY80" s="69"/>
      <c r="AZ80" s="69"/>
      <c r="BA80" s="69"/>
      <c r="BB80" s="69"/>
      <c r="BC80" s="69"/>
      <c r="BD80" s="69"/>
      <c r="BE80" s="69"/>
      <c r="BF80" s="69"/>
      <c r="BG80" s="69"/>
      <c r="BH80" s="69"/>
      <c r="BI80" s="69"/>
      <c r="BJ80" s="69"/>
      <c r="BK80" s="69"/>
      <c r="BL80" s="69"/>
      <c r="BM80" s="69"/>
      <c r="BN80" s="69"/>
      <c r="BO80" s="69"/>
      <c r="BP80" s="69"/>
      <c r="BQ80" s="69"/>
      <c r="BR80" s="69"/>
      <c r="BS80" s="69"/>
      <c r="BT80" s="69"/>
      <c r="BU80" s="69"/>
      <c r="BV80" s="69"/>
      <c r="BW80" s="69"/>
      <c r="BX80" s="69"/>
      <c r="BY80" s="69"/>
      <c r="BZ80" s="69"/>
      <c r="CA80" s="69"/>
      <c r="CB80" s="69"/>
      <c r="CC80" s="69"/>
      <c r="CD80" s="69"/>
      <c r="CE80" s="69"/>
      <c r="CF80" s="69"/>
    </row>
    <row r="81" spans="1:84">
      <c r="D81" s="69"/>
      <c r="E81" s="69"/>
      <c r="F81" s="69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69"/>
      <c r="AA81" s="69"/>
      <c r="AB81" s="69"/>
      <c r="AC81" s="69"/>
      <c r="AD81" s="69"/>
      <c r="AE81" s="69"/>
      <c r="AF81" s="69"/>
      <c r="AG81" s="69"/>
      <c r="AH81" s="69"/>
      <c r="AI81" s="69"/>
      <c r="AJ81" s="69"/>
      <c r="AK81" s="69"/>
      <c r="AL81" s="69"/>
      <c r="AM81" s="69"/>
      <c r="AN81" s="69"/>
      <c r="AO81" s="69"/>
      <c r="AP81" s="69"/>
      <c r="AQ81" s="69"/>
      <c r="AR81" s="69"/>
      <c r="AS81" s="69"/>
      <c r="AT81" s="69"/>
      <c r="AU81" s="69"/>
      <c r="AV81" s="69"/>
      <c r="AW81" s="69"/>
      <c r="AX81" s="69"/>
      <c r="AY81" s="69"/>
      <c r="AZ81" s="69"/>
      <c r="BA81" s="69"/>
      <c r="BB81" s="69"/>
      <c r="BC81" s="69"/>
      <c r="BD81" s="69"/>
      <c r="BE81" s="69"/>
      <c r="BF81" s="69"/>
      <c r="BG81" s="69"/>
      <c r="BH81" s="69"/>
      <c r="BI81" s="69"/>
      <c r="BJ81" s="69"/>
      <c r="BK81" s="69"/>
      <c r="BL81" s="69"/>
      <c r="BM81" s="69"/>
      <c r="BN81" s="69"/>
      <c r="BO81" s="69"/>
      <c r="BP81" s="69"/>
      <c r="BQ81" s="69"/>
      <c r="BR81" s="69"/>
      <c r="BS81" s="69"/>
      <c r="BT81" s="69"/>
      <c r="BU81" s="69"/>
      <c r="BV81" s="69"/>
      <c r="BW81" s="69"/>
      <c r="BX81" s="69"/>
      <c r="BY81" s="69"/>
      <c r="BZ81" s="69"/>
      <c r="CA81" s="69"/>
      <c r="CB81" s="69"/>
      <c r="CC81" s="69"/>
      <c r="CD81" s="69"/>
      <c r="CE81" s="69"/>
      <c r="CF81" s="69"/>
    </row>
    <row r="82" spans="1:84">
      <c r="A82" s="17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/>
      <c r="AA82" s="69"/>
      <c r="AB82" s="69"/>
      <c r="AC82" s="69"/>
      <c r="AD82" s="69"/>
      <c r="AE82" s="69"/>
      <c r="AF82" s="69"/>
      <c r="AG82" s="69"/>
      <c r="AH82" s="69"/>
      <c r="AI82" s="69"/>
      <c r="AJ82" s="69"/>
      <c r="AK82" s="69"/>
      <c r="AL82" s="69"/>
      <c r="AM82" s="69"/>
      <c r="AN82" s="69"/>
      <c r="AO82" s="69"/>
      <c r="AP82" s="69"/>
      <c r="AQ82" s="69"/>
      <c r="AR82" s="69"/>
      <c r="AS82" s="69"/>
      <c r="AT82" s="69"/>
      <c r="AU82" s="69"/>
      <c r="AV82" s="69"/>
      <c r="AW82" s="69"/>
      <c r="AX82" s="69"/>
      <c r="AY82" s="69"/>
      <c r="AZ82" s="69"/>
      <c r="BA82" s="69"/>
      <c r="BB82" s="69"/>
      <c r="BC82" s="69"/>
      <c r="BD82" s="69"/>
      <c r="BE82" s="69"/>
      <c r="BF82" s="69"/>
      <c r="BG82" s="69"/>
      <c r="BH82" s="69"/>
      <c r="BI82" s="69"/>
      <c r="BJ82" s="69"/>
      <c r="BK82" s="69"/>
      <c r="BL82" s="69"/>
      <c r="BM82" s="69"/>
      <c r="BN82" s="69"/>
      <c r="BO82" s="69"/>
      <c r="BP82" s="69"/>
      <c r="BQ82" s="69"/>
      <c r="BR82" s="69"/>
      <c r="BS82" s="69"/>
      <c r="BT82" s="69"/>
      <c r="BU82" s="69"/>
      <c r="BV82" s="69"/>
      <c r="BW82" s="69"/>
      <c r="BX82" s="69"/>
      <c r="BY82" s="69"/>
      <c r="BZ82" s="69"/>
      <c r="CA82" s="69"/>
      <c r="CB82" s="69"/>
      <c r="CC82" s="69"/>
      <c r="CD82" s="69"/>
      <c r="CE82" s="69"/>
      <c r="CF82" s="69"/>
    </row>
    <row r="83" spans="1:84">
      <c r="D83" s="69"/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  <c r="AA83" s="69"/>
      <c r="AB83" s="69"/>
      <c r="AC83" s="69"/>
      <c r="AD83" s="69"/>
      <c r="AE83" s="69"/>
      <c r="AF83" s="69"/>
      <c r="AG83" s="69"/>
      <c r="AH83" s="69"/>
      <c r="AI83" s="69"/>
      <c r="AJ83" s="69"/>
      <c r="AK83" s="69"/>
      <c r="AL83" s="69"/>
      <c r="AM83" s="69"/>
      <c r="AN83" s="69"/>
      <c r="AO83" s="69"/>
      <c r="AP83" s="69"/>
      <c r="AQ83" s="69"/>
      <c r="AR83" s="69"/>
      <c r="AS83" s="69"/>
      <c r="AT83" s="69"/>
      <c r="AU83" s="69"/>
      <c r="AV83" s="69"/>
      <c r="AW83" s="69"/>
      <c r="AX83" s="69"/>
      <c r="AY83" s="69"/>
      <c r="AZ83" s="69"/>
      <c r="BA83" s="69"/>
      <c r="BB83" s="69"/>
      <c r="BC83" s="69"/>
      <c r="BD83" s="69"/>
      <c r="BE83" s="69"/>
      <c r="BF83" s="69"/>
      <c r="BG83" s="69"/>
      <c r="BH83" s="69"/>
      <c r="BI83" s="69"/>
      <c r="BJ83" s="69"/>
      <c r="BK83" s="69"/>
      <c r="BL83" s="69"/>
      <c r="BM83" s="69"/>
      <c r="BN83" s="69"/>
      <c r="BO83" s="69"/>
      <c r="BP83" s="69"/>
      <c r="BQ83" s="69"/>
      <c r="BR83" s="69"/>
      <c r="BS83" s="69"/>
      <c r="BT83" s="69"/>
      <c r="BU83" s="69"/>
      <c r="BV83" s="69"/>
      <c r="BW83" s="69"/>
      <c r="BX83" s="69"/>
      <c r="BY83" s="69"/>
      <c r="BZ83" s="69"/>
      <c r="CA83" s="69"/>
      <c r="CB83" s="69"/>
      <c r="CC83" s="69"/>
      <c r="CD83" s="69"/>
      <c r="CE83" s="69"/>
      <c r="CF83" s="69"/>
    </row>
    <row r="84" spans="1:84">
      <c r="D84" s="69"/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  <c r="AA84" s="69"/>
      <c r="AB84" s="69"/>
      <c r="AC84" s="69"/>
      <c r="AD84" s="69"/>
      <c r="AE84" s="69"/>
      <c r="AF84" s="69"/>
      <c r="AG84" s="69"/>
      <c r="AH84" s="69"/>
      <c r="AI84" s="69"/>
      <c r="AJ84" s="69"/>
      <c r="AK84" s="69"/>
      <c r="AL84" s="69"/>
      <c r="AM84" s="69"/>
      <c r="AN84" s="69"/>
      <c r="AO84" s="69"/>
      <c r="AP84" s="69"/>
      <c r="AQ84" s="69"/>
      <c r="AR84" s="69"/>
      <c r="AS84" s="69"/>
      <c r="AT84" s="69"/>
      <c r="AU84" s="69"/>
      <c r="AV84" s="69"/>
      <c r="AW84" s="69"/>
      <c r="AX84" s="69"/>
      <c r="AY84" s="69"/>
      <c r="AZ84" s="69"/>
      <c r="BA84" s="69"/>
      <c r="BB84" s="69"/>
      <c r="BC84" s="69"/>
      <c r="BD84" s="69"/>
      <c r="BE84" s="69"/>
      <c r="BF84" s="69"/>
      <c r="BG84" s="69"/>
      <c r="BH84" s="69"/>
      <c r="BI84" s="69"/>
      <c r="BJ84" s="69"/>
      <c r="BK84" s="69"/>
      <c r="BL84" s="69"/>
      <c r="BM84" s="69"/>
      <c r="BN84" s="69"/>
      <c r="BO84" s="69"/>
      <c r="BP84" s="69"/>
      <c r="BQ84" s="69"/>
      <c r="BR84" s="69"/>
      <c r="BS84" s="69"/>
      <c r="BT84" s="69"/>
      <c r="BU84" s="69"/>
      <c r="BV84" s="69"/>
      <c r="BW84" s="69"/>
      <c r="BX84" s="69"/>
      <c r="BY84" s="69"/>
      <c r="BZ84" s="69"/>
      <c r="CA84" s="69"/>
      <c r="CB84" s="69"/>
      <c r="CC84" s="69"/>
      <c r="CD84" s="69"/>
      <c r="CE84" s="69"/>
      <c r="CF84" s="69"/>
    </row>
    <row r="85" spans="1:84">
      <c r="D85" s="69"/>
      <c r="E85" s="69"/>
      <c r="F85" s="69"/>
      <c r="G85" s="69"/>
      <c r="H85" s="69"/>
      <c r="I85" s="69"/>
      <c r="J85" s="69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69"/>
      <c r="Z85" s="69"/>
      <c r="AA85" s="69"/>
      <c r="AB85" s="69"/>
      <c r="AC85" s="69"/>
      <c r="AD85" s="69"/>
      <c r="AE85" s="69"/>
      <c r="AF85" s="69"/>
      <c r="AG85" s="69"/>
      <c r="AH85" s="69"/>
      <c r="AI85" s="69"/>
      <c r="AJ85" s="69"/>
      <c r="AK85" s="69"/>
      <c r="AL85" s="69"/>
      <c r="AM85" s="69"/>
      <c r="AN85" s="69"/>
      <c r="AO85" s="69"/>
      <c r="AP85" s="69"/>
      <c r="AQ85" s="69"/>
      <c r="AR85" s="69"/>
      <c r="AS85" s="69"/>
      <c r="AT85" s="69"/>
      <c r="AU85" s="69"/>
      <c r="AV85" s="69"/>
      <c r="AW85" s="69"/>
      <c r="AX85" s="69"/>
      <c r="AY85" s="69"/>
      <c r="AZ85" s="69"/>
      <c r="BA85" s="69"/>
      <c r="BB85" s="69"/>
      <c r="BC85" s="69"/>
      <c r="BD85" s="69"/>
      <c r="BE85" s="69"/>
      <c r="BF85" s="69"/>
      <c r="BG85" s="69"/>
      <c r="BH85" s="69"/>
      <c r="BI85" s="69"/>
      <c r="BJ85" s="69"/>
      <c r="BK85" s="69"/>
      <c r="BL85" s="69"/>
      <c r="BM85" s="69"/>
      <c r="BN85" s="69"/>
      <c r="BO85" s="69"/>
      <c r="BP85" s="69"/>
      <c r="BQ85" s="69"/>
      <c r="BR85" s="69"/>
      <c r="BS85" s="69"/>
      <c r="BT85" s="69"/>
      <c r="BU85" s="69"/>
      <c r="BV85" s="69"/>
      <c r="BW85" s="69"/>
      <c r="BX85" s="69"/>
      <c r="BY85" s="69"/>
      <c r="BZ85" s="69"/>
      <c r="CA85" s="69"/>
      <c r="CB85" s="69"/>
      <c r="CC85" s="69"/>
      <c r="CD85" s="69"/>
      <c r="CE85" s="69"/>
      <c r="CF85" s="69"/>
    </row>
    <row r="86" spans="1:84"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69"/>
      <c r="AA86" s="69"/>
      <c r="AB86" s="69"/>
      <c r="AC86" s="69"/>
      <c r="AD86" s="69"/>
      <c r="AE86" s="69"/>
      <c r="AF86" s="69"/>
      <c r="AG86" s="69"/>
      <c r="AH86" s="69"/>
      <c r="AI86" s="69"/>
      <c r="AJ86" s="69"/>
      <c r="AK86" s="69"/>
      <c r="AL86" s="69"/>
      <c r="AM86" s="69"/>
      <c r="AN86" s="69"/>
      <c r="AO86" s="69"/>
      <c r="AP86" s="69"/>
      <c r="AQ86" s="69"/>
      <c r="AR86" s="69"/>
      <c r="AS86" s="69"/>
      <c r="AT86" s="69"/>
      <c r="AU86" s="69"/>
      <c r="AV86" s="69"/>
      <c r="AW86" s="69"/>
      <c r="AX86" s="69"/>
      <c r="AY86" s="69"/>
      <c r="AZ86" s="69"/>
      <c r="BA86" s="69"/>
      <c r="BB86" s="69"/>
      <c r="BC86" s="69"/>
      <c r="BD86" s="69"/>
      <c r="BE86" s="69"/>
      <c r="BF86" s="69"/>
      <c r="BG86" s="69"/>
      <c r="BH86" s="69"/>
      <c r="BI86" s="69"/>
      <c r="BJ86" s="69"/>
      <c r="BK86" s="69"/>
      <c r="BL86" s="69"/>
      <c r="BM86" s="69"/>
      <c r="BN86" s="69"/>
      <c r="BO86" s="69"/>
      <c r="BP86" s="69"/>
      <c r="BQ86" s="69"/>
      <c r="BR86" s="69"/>
      <c r="BS86" s="69"/>
      <c r="BT86" s="69"/>
      <c r="BU86" s="69"/>
      <c r="BV86" s="69"/>
      <c r="BW86" s="69"/>
      <c r="BX86" s="69"/>
      <c r="BY86" s="69"/>
      <c r="BZ86" s="69"/>
      <c r="CA86" s="69"/>
      <c r="CB86" s="69"/>
      <c r="CC86" s="69"/>
      <c r="CD86" s="69"/>
      <c r="CE86" s="69"/>
      <c r="CF86" s="69"/>
    </row>
    <row r="87" spans="1:84"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69"/>
      <c r="AA87" s="69"/>
      <c r="AB87" s="69"/>
      <c r="AC87" s="69"/>
      <c r="AD87" s="69"/>
      <c r="AE87" s="69"/>
      <c r="AF87" s="69"/>
      <c r="AG87" s="69"/>
      <c r="AH87" s="69"/>
      <c r="AI87" s="69"/>
      <c r="AJ87" s="69"/>
      <c r="AK87" s="69"/>
      <c r="AL87" s="69"/>
      <c r="AM87" s="69"/>
      <c r="AN87" s="69"/>
      <c r="AO87" s="69"/>
      <c r="AP87" s="69"/>
      <c r="AQ87" s="69"/>
      <c r="AR87" s="69"/>
      <c r="AS87" s="69"/>
      <c r="AT87" s="69"/>
      <c r="AU87" s="69"/>
      <c r="AV87" s="69"/>
      <c r="AW87" s="69"/>
      <c r="AX87" s="69"/>
      <c r="AY87" s="69"/>
      <c r="AZ87" s="69"/>
      <c r="BA87" s="69"/>
      <c r="BB87" s="69"/>
      <c r="BC87" s="69"/>
      <c r="BD87" s="69"/>
      <c r="BE87" s="69"/>
      <c r="BF87" s="69"/>
      <c r="BG87" s="69"/>
      <c r="BH87" s="69"/>
      <c r="BI87" s="69"/>
      <c r="BJ87" s="69"/>
      <c r="BK87" s="69"/>
      <c r="BL87" s="69"/>
      <c r="BM87" s="69"/>
      <c r="BN87" s="69"/>
      <c r="BO87" s="69"/>
      <c r="BP87" s="69"/>
      <c r="BQ87" s="69"/>
      <c r="BR87" s="69"/>
      <c r="BS87" s="69"/>
      <c r="BT87" s="69"/>
      <c r="BU87" s="69"/>
      <c r="BV87" s="69"/>
      <c r="BW87" s="69"/>
      <c r="BX87" s="69"/>
      <c r="BY87" s="69"/>
      <c r="BZ87" s="69"/>
      <c r="CA87" s="69"/>
      <c r="CB87" s="69"/>
      <c r="CC87" s="69"/>
      <c r="CD87" s="69"/>
      <c r="CE87" s="69"/>
      <c r="CF87" s="69"/>
    </row>
    <row r="88" spans="1:84">
      <c r="D88" s="69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69"/>
      <c r="AA88" s="69"/>
      <c r="AB88" s="69"/>
      <c r="AC88" s="69"/>
      <c r="AD88" s="69"/>
      <c r="AE88" s="69"/>
      <c r="AF88" s="69"/>
      <c r="AG88" s="69"/>
      <c r="AH88" s="69"/>
      <c r="AI88" s="69"/>
      <c r="AJ88" s="69"/>
      <c r="AK88" s="69"/>
      <c r="AL88" s="69"/>
      <c r="AM88" s="69"/>
      <c r="AN88" s="69"/>
      <c r="AO88" s="69"/>
      <c r="AP88" s="69"/>
      <c r="AQ88" s="69"/>
      <c r="AR88" s="69"/>
      <c r="AS88" s="69"/>
      <c r="AT88" s="69"/>
      <c r="AU88" s="69"/>
      <c r="AV88" s="69"/>
      <c r="AW88" s="69"/>
      <c r="AX88" s="69"/>
      <c r="AY88" s="69"/>
      <c r="AZ88" s="69"/>
      <c r="BA88" s="69"/>
      <c r="BB88" s="69"/>
      <c r="BC88" s="69"/>
      <c r="BD88" s="69"/>
      <c r="BE88" s="69"/>
      <c r="BF88" s="69"/>
      <c r="BG88" s="69"/>
      <c r="BH88" s="69"/>
      <c r="BI88" s="69"/>
      <c r="BJ88" s="69"/>
      <c r="BK88" s="69"/>
      <c r="BL88" s="69"/>
      <c r="BM88" s="69"/>
      <c r="BN88" s="69"/>
      <c r="BO88" s="69"/>
      <c r="BP88" s="69"/>
      <c r="BQ88" s="69"/>
      <c r="BR88" s="69"/>
      <c r="BS88" s="69"/>
      <c r="BT88" s="69"/>
      <c r="BU88" s="69"/>
      <c r="BV88" s="69"/>
      <c r="BW88" s="69"/>
      <c r="BX88" s="69"/>
      <c r="BY88" s="69"/>
      <c r="BZ88" s="69"/>
      <c r="CA88" s="69"/>
      <c r="CB88" s="69"/>
      <c r="CC88" s="69"/>
      <c r="CD88" s="69"/>
      <c r="CE88" s="69"/>
      <c r="CF88" s="69"/>
    </row>
    <row r="89" spans="1:84"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9"/>
      <c r="AA89" s="69"/>
      <c r="AB89" s="69"/>
      <c r="AC89" s="69"/>
      <c r="AD89" s="69"/>
      <c r="AE89" s="69"/>
      <c r="AF89" s="69"/>
      <c r="AG89" s="69"/>
      <c r="AH89" s="69"/>
      <c r="AI89" s="69"/>
      <c r="AJ89" s="69"/>
      <c r="AK89" s="69"/>
      <c r="AL89" s="69"/>
      <c r="AM89" s="69"/>
      <c r="AN89" s="69"/>
      <c r="AO89" s="69"/>
      <c r="AP89" s="69"/>
      <c r="AQ89" s="69"/>
      <c r="AR89" s="69"/>
      <c r="AS89" s="69"/>
      <c r="AT89" s="69"/>
      <c r="AU89" s="69"/>
      <c r="AV89" s="69"/>
      <c r="AW89" s="69"/>
      <c r="AX89" s="69"/>
      <c r="AY89" s="69"/>
      <c r="AZ89" s="69"/>
      <c r="BA89" s="69"/>
      <c r="BB89" s="69"/>
      <c r="BC89" s="69"/>
      <c r="BD89" s="69"/>
      <c r="BE89" s="69"/>
      <c r="BF89" s="69"/>
      <c r="BG89" s="69"/>
      <c r="BH89" s="69"/>
      <c r="BI89" s="69"/>
      <c r="BJ89" s="69"/>
      <c r="BK89" s="69"/>
      <c r="BL89" s="69"/>
      <c r="BM89" s="69"/>
      <c r="BN89" s="69"/>
      <c r="BO89" s="69"/>
      <c r="BP89" s="69"/>
      <c r="BQ89" s="69"/>
      <c r="BR89" s="69"/>
      <c r="BS89" s="69"/>
      <c r="BT89" s="69"/>
      <c r="BU89" s="69"/>
      <c r="BV89" s="69"/>
      <c r="BW89" s="69"/>
      <c r="BX89" s="69"/>
      <c r="BY89" s="69"/>
      <c r="BZ89" s="69"/>
      <c r="CA89" s="69"/>
      <c r="CB89" s="69"/>
      <c r="CC89" s="69"/>
      <c r="CD89" s="69"/>
      <c r="CE89" s="69"/>
      <c r="CF89" s="69"/>
    </row>
    <row r="90" spans="1:84">
      <c r="D90" s="69"/>
      <c r="E90" s="69"/>
      <c r="F90" s="69"/>
      <c r="G90" s="69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69"/>
      <c r="AA90" s="69"/>
      <c r="AB90" s="69"/>
      <c r="AC90" s="69"/>
      <c r="AD90" s="69"/>
      <c r="AE90" s="69"/>
      <c r="AF90" s="69"/>
      <c r="AG90" s="69"/>
      <c r="AH90" s="69"/>
      <c r="AI90" s="69"/>
      <c r="AJ90" s="69"/>
      <c r="AK90" s="69"/>
      <c r="AL90" s="69"/>
      <c r="AM90" s="69"/>
      <c r="AN90" s="69"/>
      <c r="AO90" s="69"/>
      <c r="AP90" s="69"/>
      <c r="AQ90" s="69"/>
      <c r="AR90" s="69"/>
      <c r="AS90" s="69"/>
      <c r="AT90" s="69"/>
      <c r="AU90" s="69"/>
      <c r="AV90" s="69"/>
      <c r="AW90" s="69"/>
      <c r="AX90" s="69"/>
      <c r="AY90" s="69"/>
      <c r="AZ90" s="69"/>
      <c r="BA90" s="69"/>
      <c r="BB90" s="69"/>
      <c r="BC90" s="69"/>
      <c r="BD90" s="69"/>
      <c r="BE90" s="69"/>
      <c r="BF90" s="69"/>
      <c r="BG90" s="69"/>
      <c r="BH90" s="69"/>
      <c r="BI90" s="69"/>
      <c r="BJ90" s="69"/>
      <c r="BK90" s="69"/>
      <c r="BL90" s="69"/>
      <c r="BM90" s="69"/>
      <c r="BN90" s="69"/>
      <c r="BO90" s="69"/>
      <c r="BP90" s="69"/>
      <c r="BQ90" s="69"/>
      <c r="BR90" s="69"/>
      <c r="BS90" s="69"/>
      <c r="BT90" s="69"/>
      <c r="BU90" s="69"/>
      <c r="BV90" s="69"/>
      <c r="BW90" s="69"/>
      <c r="BX90" s="69"/>
      <c r="BY90" s="69"/>
      <c r="BZ90" s="69"/>
      <c r="CA90" s="69"/>
      <c r="CB90" s="69"/>
      <c r="CC90" s="69"/>
      <c r="CD90" s="69"/>
      <c r="CE90" s="69"/>
      <c r="CF90" s="69"/>
    </row>
    <row r="91" spans="1:84">
      <c r="D91" s="69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69"/>
      <c r="AA91" s="69"/>
      <c r="AB91" s="69"/>
      <c r="AC91" s="69"/>
      <c r="AD91" s="69"/>
      <c r="AE91" s="69"/>
      <c r="AF91" s="69"/>
      <c r="AG91" s="69"/>
      <c r="AH91" s="69"/>
      <c r="AI91" s="69"/>
      <c r="AJ91" s="69"/>
      <c r="AK91" s="69"/>
      <c r="AL91" s="69"/>
      <c r="AM91" s="69"/>
      <c r="AN91" s="69"/>
      <c r="AO91" s="69"/>
      <c r="AP91" s="69"/>
      <c r="AQ91" s="69"/>
      <c r="AR91" s="69"/>
      <c r="AS91" s="69"/>
      <c r="AT91" s="69"/>
      <c r="AU91" s="69"/>
      <c r="AV91" s="69"/>
      <c r="AW91" s="69"/>
      <c r="AX91" s="69"/>
      <c r="AY91" s="69"/>
      <c r="AZ91" s="69"/>
      <c r="BA91" s="69"/>
      <c r="BB91" s="69"/>
      <c r="BC91" s="69"/>
      <c r="BD91" s="69"/>
      <c r="BE91" s="69"/>
      <c r="BF91" s="69"/>
      <c r="BG91" s="69"/>
      <c r="BH91" s="69"/>
      <c r="BI91" s="69"/>
      <c r="BJ91" s="69"/>
      <c r="BK91" s="69"/>
      <c r="BL91" s="69"/>
      <c r="BM91" s="69"/>
      <c r="BN91" s="69"/>
      <c r="BO91" s="69"/>
      <c r="BP91" s="69"/>
      <c r="BQ91" s="69"/>
      <c r="BR91" s="69"/>
      <c r="BS91" s="69"/>
      <c r="BT91" s="69"/>
      <c r="BU91" s="69"/>
      <c r="BV91" s="69"/>
      <c r="BW91" s="69"/>
      <c r="BX91" s="69"/>
      <c r="BY91" s="69"/>
      <c r="BZ91" s="69"/>
      <c r="CA91" s="69"/>
      <c r="CB91" s="69"/>
      <c r="CC91" s="69"/>
      <c r="CD91" s="69"/>
      <c r="CE91" s="69"/>
      <c r="CF91" s="69"/>
    </row>
    <row r="92" spans="1:84"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  <c r="AA92" s="69"/>
      <c r="AB92" s="69"/>
      <c r="AC92" s="69"/>
      <c r="AD92" s="69"/>
      <c r="AE92" s="69"/>
      <c r="AF92" s="69"/>
      <c r="AG92" s="69"/>
      <c r="AH92" s="69"/>
      <c r="AI92" s="69"/>
      <c r="AJ92" s="69"/>
      <c r="AK92" s="69"/>
      <c r="AL92" s="69"/>
      <c r="AM92" s="69"/>
      <c r="AN92" s="69"/>
      <c r="AO92" s="69"/>
      <c r="AP92" s="69"/>
      <c r="AQ92" s="69"/>
      <c r="AR92" s="69"/>
      <c r="AS92" s="69"/>
      <c r="AT92" s="69"/>
      <c r="AU92" s="69"/>
      <c r="AV92" s="69"/>
      <c r="AW92" s="69"/>
      <c r="AX92" s="69"/>
      <c r="AY92" s="69"/>
      <c r="AZ92" s="69"/>
      <c r="BA92" s="69"/>
      <c r="BB92" s="69"/>
      <c r="BC92" s="69"/>
      <c r="BD92" s="69"/>
      <c r="BE92" s="69"/>
      <c r="BF92" s="69"/>
      <c r="BG92" s="69"/>
      <c r="BH92" s="69"/>
      <c r="BI92" s="69"/>
      <c r="BJ92" s="69"/>
      <c r="BK92" s="69"/>
      <c r="BL92" s="69"/>
      <c r="BM92" s="69"/>
      <c r="BN92" s="69"/>
      <c r="BO92" s="69"/>
      <c r="BP92" s="69"/>
      <c r="BQ92" s="69"/>
      <c r="BR92" s="69"/>
      <c r="BS92" s="69"/>
      <c r="BT92" s="69"/>
      <c r="BU92" s="69"/>
      <c r="BV92" s="69"/>
      <c r="BW92" s="69"/>
      <c r="BX92" s="69"/>
      <c r="BY92" s="69"/>
      <c r="BZ92" s="69"/>
      <c r="CA92" s="69"/>
      <c r="CB92" s="69"/>
      <c r="CC92" s="69"/>
      <c r="CD92" s="69"/>
      <c r="CE92" s="69"/>
      <c r="CF92" s="69"/>
    </row>
    <row r="93" spans="1:84"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69"/>
      <c r="AA93" s="69"/>
      <c r="AB93" s="69"/>
      <c r="AC93" s="69"/>
      <c r="AD93" s="69"/>
      <c r="AE93" s="69"/>
      <c r="AF93" s="69"/>
      <c r="AG93" s="69"/>
      <c r="AH93" s="69"/>
      <c r="AI93" s="69"/>
      <c r="AJ93" s="69"/>
      <c r="AK93" s="69"/>
      <c r="AL93" s="69"/>
      <c r="AM93" s="69"/>
      <c r="AN93" s="69"/>
      <c r="AO93" s="69"/>
      <c r="AP93" s="69"/>
      <c r="AQ93" s="69"/>
      <c r="AR93" s="69"/>
      <c r="AS93" s="69"/>
      <c r="AT93" s="69"/>
      <c r="AU93" s="69"/>
      <c r="AV93" s="69"/>
      <c r="AW93" s="69"/>
      <c r="AX93" s="69"/>
      <c r="AY93" s="69"/>
      <c r="AZ93" s="69"/>
      <c r="BA93" s="69"/>
      <c r="BB93" s="69"/>
      <c r="BC93" s="69"/>
      <c r="BD93" s="69"/>
      <c r="BE93" s="69"/>
      <c r="BF93" s="69"/>
      <c r="BG93" s="69"/>
      <c r="BH93" s="69"/>
      <c r="BI93" s="69"/>
      <c r="BJ93" s="69"/>
      <c r="BK93" s="69"/>
      <c r="BL93" s="69"/>
      <c r="BM93" s="69"/>
      <c r="BN93" s="69"/>
      <c r="BO93" s="69"/>
      <c r="BP93" s="69"/>
      <c r="BQ93" s="69"/>
      <c r="BR93" s="69"/>
      <c r="BS93" s="69"/>
      <c r="BT93" s="69"/>
      <c r="BU93" s="69"/>
      <c r="BV93" s="69"/>
      <c r="BW93" s="69"/>
      <c r="BX93" s="69"/>
      <c r="BY93" s="69"/>
      <c r="BZ93" s="69"/>
      <c r="CA93" s="69"/>
      <c r="CB93" s="69"/>
      <c r="CC93" s="69"/>
      <c r="CD93" s="69"/>
      <c r="CE93" s="69"/>
      <c r="CF93" s="69"/>
    </row>
    <row r="94" spans="1:84">
      <c r="D94" s="69"/>
      <c r="E94" s="69"/>
      <c r="F94" s="69"/>
      <c r="G94" s="69"/>
      <c r="H94" s="69"/>
      <c r="I94" s="69"/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  <c r="Z94" s="69"/>
      <c r="AA94" s="69"/>
      <c r="AB94" s="69"/>
      <c r="AC94" s="69"/>
      <c r="AD94" s="69"/>
      <c r="AE94" s="69"/>
      <c r="AF94" s="69"/>
      <c r="AG94" s="69"/>
      <c r="AH94" s="69"/>
      <c r="AI94" s="69"/>
      <c r="AJ94" s="69"/>
      <c r="AK94" s="69"/>
      <c r="AL94" s="69"/>
      <c r="AM94" s="69"/>
      <c r="AN94" s="69"/>
      <c r="AO94" s="69"/>
      <c r="AP94" s="69"/>
      <c r="AQ94" s="69"/>
      <c r="AR94" s="69"/>
      <c r="AS94" s="69"/>
      <c r="AT94" s="69"/>
      <c r="AU94" s="69"/>
      <c r="AV94" s="69"/>
      <c r="AW94" s="69"/>
      <c r="AX94" s="69"/>
      <c r="AY94" s="69"/>
      <c r="AZ94" s="69"/>
      <c r="BA94" s="69"/>
      <c r="BB94" s="69"/>
      <c r="BC94" s="69"/>
      <c r="BD94" s="69"/>
      <c r="BE94" s="69"/>
      <c r="BF94" s="69"/>
      <c r="BG94" s="69"/>
      <c r="BH94" s="69"/>
      <c r="BI94" s="69"/>
      <c r="BJ94" s="69"/>
      <c r="BK94" s="69"/>
      <c r="BL94" s="69"/>
      <c r="BM94" s="69"/>
      <c r="BN94" s="69"/>
      <c r="BO94" s="69"/>
      <c r="BP94" s="69"/>
      <c r="BQ94" s="69"/>
      <c r="BR94" s="69"/>
      <c r="BS94" s="69"/>
      <c r="BT94" s="69"/>
      <c r="BU94" s="69"/>
      <c r="BV94" s="69"/>
      <c r="BW94" s="69"/>
      <c r="BX94" s="69"/>
      <c r="BY94" s="69"/>
      <c r="BZ94" s="69"/>
      <c r="CA94" s="69"/>
      <c r="CB94" s="69"/>
      <c r="CC94" s="69"/>
      <c r="CD94" s="69"/>
      <c r="CE94" s="69"/>
      <c r="CF94" s="69"/>
    </row>
    <row r="95" spans="1:84">
      <c r="D95" s="69"/>
      <c r="E95" s="69"/>
      <c r="F95" s="69"/>
      <c r="G95" s="69"/>
      <c r="H95" s="69"/>
      <c r="I95" s="69"/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  <c r="Z95" s="69"/>
      <c r="AA95" s="69"/>
      <c r="AB95" s="69"/>
      <c r="AC95" s="69"/>
      <c r="AD95" s="69"/>
      <c r="AE95" s="69"/>
      <c r="AF95" s="69"/>
      <c r="AG95" s="69"/>
      <c r="AH95" s="69"/>
      <c r="AI95" s="69"/>
      <c r="AJ95" s="69"/>
      <c r="AK95" s="69"/>
      <c r="AL95" s="69"/>
      <c r="AM95" s="69"/>
      <c r="AN95" s="69"/>
      <c r="AO95" s="69"/>
      <c r="AP95" s="69"/>
      <c r="AQ95" s="69"/>
      <c r="AR95" s="69"/>
      <c r="AS95" s="69"/>
      <c r="AT95" s="69"/>
      <c r="AU95" s="69"/>
      <c r="AV95" s="69"/>
      <c r="AW95" s="69"/>
      <c r="AX95" s="69"/>
      <c r="AY95" s="69"/>
      <c r="AZ95" s="69"/>
      <c r="BA95" s="69"/>
      <c r="BB95" s="69"/>
      <c r="BC95" s="69"/>
      <c r="BD95" s="69"/>
      <c r="BE95" s="69"/>
      <c r="BF95" s="69"/>
      <c r="BG95" s="69"/>
      <c r="BH95" s="69"/>
      <c r="BI95" s="69"/>
      <c r="BJ95" s="69"/>
      <c r="BK95" s="69"/>
      <c r="BL95" s="69"/>
      <c r="BM95" s="69"/>
      <c r="BN95" s="69"/>
      <c r="BO95" s="69"/>
      <c r="BP95" s="69"/>
      <c r="BQ95" s="69"/>
      <c r="BR95" s="69"/>
      <c r="BS95" s="69"/>
      <c r="BT95" s="69"/>
      <c r="BU95" s="69"/>
      <c r="BV95" s="69"/>
      <c r="BW95" s="69"/>
      <c r="BX95" s="69"/>
      <c r="BY95" s="69"/>
      <c r="BZ95" s="69"/>
      <c r="CA95" s="69"/>
      <c r="CB95" s="69"/>
      <c r="CC95" s="69"/>
      <c r="CD95" s="69"/>
      <c r="CE95" s="69"/>
      <c r="CF95" s="69"/>
    </row>
  </sheetData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C1BC8-928E-4107-A48C-3022F37BCC4A}">
  <sheetPr>
    <tabColor theme="9"/>
  </sheetPr>
  <dimension ref="A1:X49"/>
  <sheetViews>
    <sheetView showGridLines="0" topLeftCell="A6" zoomScale="70" zoomScaleNormal="70" workbookViewId="0">
      <selection activeCell="P51" sqref="P51"/>
    </sheetView>
  </sheetViews>
  <sheetFormatPr defaultRowHeight="14.75"/>
  <cols>
    <col min="1" max="1" width="36" customWidth="1"/>
    <col min="2" max="2" width="20.04296875" customWidth="1"/>
    <col min="3" max="3" width="10" bestFit="1" customWidth="1"/>
    <col min="4" max="4" width="14" customWidth="1"/>
    <col min="5" max="22" width="7.6796875" customWidth="1"/>
  </cols>
  <sheetData>
    <row r="1" spans="1:24" ht="18.5">
      <c r="A1" s="76" t="s">
        <v>694</v>
      </c>
    </row>
    <row r="2" spans="1:24">
      <c r="A2" s="112" t="s">
        <v>695</v>
      </c>
    </row>
    <row r="3" spans="1:24">
      <c r="A3" s="112" t="s">
        <v>1018</v>
      </c>
    </row>
    <row r="4" spans="1:24">
      <c r="A4" s="112" t="s">
        <v>696</v>
      </c>
    </row>
    <row r="6" spans="1:24" ht="27">
      <c r="A6" s="108" t="s">
        <v>697</v>
      </c>
      <c r="B6" s="108" t="s">
        <v>698</v>
      </c>
      <c r="C6" s="108" t="s">
        <v>724</v>
      </c>
      <c r="D6" s="108" t="s">
        <v>699</v>
      </c>
      <c r="E6" s="214">
        <v>1</v>
      </c>
      <c r="F6" s="214">
        <v>2</v>
      </c>
      <c r="G6" s="214">
        <v>3</v>
      </c>
      <c r="H6" s="214">
        <v>4</v>
      </c>
      <c r="I6" s="214">
        <v>5</v>
      </c>
      <c r="J6" s="214">
        <v>6</v>
      </c>
      <c r="K6" s="214">
        <v>7</v>
      </c>
      <c r="L6" s="214">
        <v>8</v>
      </c>
      <c r="M6" s="214">
        <v>9</v>
      </c>
      <c r="N6" s="214">
        <v>10</v>
      </c>
      <c r="O6" s="214">
        <v>11</v>
      </c>
      <c r="P6" s="214">
        <v>12</v>
      </c>
      <c r="Q6" s="214">
        <v>13</v>
      </c>
      <c r="R6" s="214">
        <v>14</v>
      </c>
      <c r="S6" s="214">
        <v>15</v>
      </c>
      <c r="T6" s="214">
        <v>16</v>
      </c>
      <c r="U6" s="214">
        <v>17</v>
      </c>
      <c r="V6" s="214">
        <v>18</v>
      </c>
    </row>
    <row r="7" spans="1:24" ht="15.5" thickBot="1">
      <c r="A7" s="77" t="s">
        <v>700</v>
      </c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</row>
    <row r="8" spans="1:24">
      <c r="A8" s="79" t="s">
        <v>1008</v>
      </c>
      <c r="B8" s="110">
        <v>365000</v>
      </c>
      <c r="C8" s="209">
        <v>1</v>
      </c>
      <c r="D8" s="211">
        <v>18</v>
      </c>
      <c r="E8" s="215">
        <f>$B8/$D8*(AND(E$6&gt;=$C8,E$6&lt;=$C8+$D8-1))</f>
        <v>20277.777777777777</v>
      </c>
      <c r="F8" s="215">
        <f t="shared" ref="F8:U23" si="0">$B8/$D8*(AND(F$6&gt;=$C8,F$6&lt;=$C8+$D8-1))</f>
        <v>20277.777777777777</v>
      </c>
      <c r="G8" s="215">
        <f t="shared" si="0"/>
        <v>20277.777777777777</v>
      </c>
      <c r="H8" s="215">
        <f t="shared" si="0"/>
        <v>20277.777777777777</v>
      </c>
      <c r="I8" s="215">
        <f t="shared" si="0"/>
        <v>20277.777777777777</v>
      </c>
      <c r="J8" s="215">
        <f t="shared" si="0"/>
        <v>20277.777777777777</v>
      </c>
      <c r="K8" s="215">
        <f t="shared" si="0"/>
        <v>20277.777777777777</v>
      </c>
      <c r="L8" s="215">
        <f t="shared" si="0"/>
        <v>20277.777777777777</v>
      </c>
      <c r="M8" s="215">
        <f t="shared" si="0"/>
        <v>20277.777777777777</v>
      </c>
      <c r="N8" s="215">
        <f t="shared" si="0"/>
        <v>20277.777777777777</v>
      </c>
      <c r="O8" s="215">
        <f t="shared" si="0"/>
        <v>20277.777777777777</v>
      </c>
      <c r="P8" s="215">
        <f t="shared" si="0"/>
        <v>20277.777777777777</v>
      </c>
      <c r="Q8" s="215">
        <f t="shared" si="0"/>
        <v>20277.777777777777</v>
      </c>
      <c r="R8" s="215">
        <f t="shared" si="0"/>
        <v>20277.777777777777</v>
      </c>
      <c r="S8" s="215">
        <f t="shared" si="0"/>
        <v>20277.777777777777</v>
      </c>
      <c r="T8" s="215">
        <f t="shared" si="0"/>
        <v>20277.777777777777</v>
      </c>
      <c r="U8" s="215">
        <f t="shared" si="0"/>
        <v>20277.777777777777</v>
      </c>
      <c r="V8" s="215">
        <f t="shared" ref="V8:V23" si="1">$B8/$D8*(AND(V$6&gt;=$C8,V$6&lt;=$C8+$D8-1))</f>
        <v>20277.777777777777</v>
      </c>
      <c r="X8" s="215" t="str">
        <f>IF(SUM(E8:V8)=B8,"OK","ERROR")</f>
        <v>OK</v>
      </c>
    </row>
    <row r="9" spans="1:24">
      <c r="A9" s="79" t="s">
        <v>701</v>
      </c>
      <c r="B9" s="110">
        <v>82500</v>
      </c>
      <c r="C9" s="209">
        <v>2</v>
      </c>
      <c r="D9" s="211">
        <v>1</v>
      </c>
      <c r="E9" s="216">
        <f t="shared" ref="E9:E23" si="2">$B9/$D9*(AND(E$6&gt;=$C9,E$6&lt;=$C9+$D9-1))</f>
        <v>0</v>
      </c>
      <c r="F9" s="217">
        <f t="shared" si="0"/>
        <v>82500</v>
      </c>
      <c r="G9" s="216">
        <f t="shared" si="0"/>
        <v>0</v>
      </c>
      <c r="H9" s="216">
        <f t="shared" si="0"/>
        <v>0</v>
      </c>
      <c r="I9" s="216">
        <f t="shared" si="0"/>
        <v>0</v>
      </c>
      <c r="J9" s="216">
        <f t="shared" si="0"/>
        <v>0</v>
      </c>
      <c r="K9" s="216">
        <f t="shared" si="0"/>
        <v>0</v>
      </c>
      <c r="L9" s="216">
        <f t="shared" si="0"/>
        <v>0</v>
      </c>
      <c r="M9" s="216">
        <f t="shared" si="0"/>
        <v>0</v>
      </c>
      <c r="N9" s="216">
        <f t="shared" si="0"/>
        <v>0</v>
      </c>
      <c r="O9" s="216">
        <f t="shared" si="0"/>
        <v>0</v>
      </c>
      <c r="P9" s="216">
        <f t="shared" si="0"/>
        <v>0</v>
      </c>
      <c r="Q9" s="216">
        <f t="shared" si="0"/>
        <v>0</v>
      </c>
      <c r="R9" s="216">
        <f t="shared" si="0"/>
        <v>0</v>
      </c>
      <c r="S9" s="216">
        <f t="shared" si="0"/>
        <v>0</v>
      </c>
      <c r="T9" s="216">
        <f t="shared" si="0"/>
        <v>0</v>
      </c>
      <c r="U9" s="216">
        <f t="shared" si="0"/>
        <v>0</v>
      </c>
      <c r="V9" s="216">
        <f t="shared" si="1"/>
        <v>0</v>
      </c>
      <c r="X9" s="215" t="str">
        <f t="shared" ref="X9:X23" si="3">IF(SUM(E9:V9)=B9,"OK","ERROR")</f>
        <v>OK</v>
      </c>
    </row>
    <row r="10" spans="1:24">
      <c r="A10" s="79" t="s">
        <v>702</v>
      </c>
      <c r="B10" s="110">
        <v>300000</v>
      </c>
      <c r="C10" s="209">
        <v>3</v>
      </c>
      <c r="D10" s="211">
        <v>8</v>
      </c>
      <c r="E10" s="216">
        <f t="shared" si="2"/>
        <v>0</v>
      </c>
      <c r="F10" s="216">
        <f t="shared" si="0"/>
        <v>0</v>
      </c>
      <c r="G10" s="217">
        <f t="shared" si="0"/>
        <v>37500</v>
      </c>
      <c r="H10" s="217">
        <f t="shared" si="0"/>
        <v>37500</v>
      </c>
      <c r="I10" s="217">
        <f t="shared" si="0"/>
        <v>37500</v>
      </c>
      <c r="J10" s="217">
        <f t="shared" si="0"/>
        <v>37500</v>
      </c>
      <c r="K10" s="217">
        <f t="shared" si="0"/>
        <v>37500</v>
      </c>
      <c r="L10" s="217">
        <f t="shared" si="0"/>
        <v>37500</v>
      </c>
      <c r="M10" s="217">
        <f t="shared" si="0"/>
        <v>37500</v>
      </c>
      <c r="N10" s="217">
        <f t="shared" si="0"/>
        <v>37500</v>
      </c>
      <c r="O10" s="216">
        <f t="shared" si="0"/>
        <v>0</v>
      </c>
      <c r="P10" s="216">
        <f t="shared" si="0"/>
        <v>0</v>
      </c>
      <c r="Q10" s="216">
        <f t="shared" si="0"/>
        <v>0</v>
      </c>
      <c r="R10" s="216">
        <f t="shared" si="0"/>
        <v>0</v>
      </c>
      <c r="S10" s="216">
        <f t="shared" si="0"/>
        <v>0</v>
      </c>
      <c r="T10" s="216">
        <f t="shared" si="0"/>
        <v>0</v>
      </c>
      <c r="U10" s="216">
        <f t="shared" si="0"/>
        <v>0</v>
      </c>
      <c r="V10" s="216">
        <f t="shared" si="1"/>
        <v>0</v>
      </c>
      <c r="X10" s="215" t="str">
        <f t="shared" si="3"/>
        <v>OK</v>
      </c>
    </row>
    <row r="11" spans="1:24">
      <c r="A11" s="79" t="s">
        <v>703</v>
      </c>
      <c r="B11" s="110">
        <v>60900</v>
      </c>
      <c r="C11" s="209">
        <v>3</v>
      </c>
      <c r="D11" s="211">
        <v>2</v>
      </c>
      <c r="E11" s="216">
        <f t="shared" si="2"/>
        <v>0</v>
      </c>
      <c r="F11" s="216">
        <f t="shared" si="0"/>
        <v>0</v>
      </c>
      <c r="G11" s="217">
        <f t="shared" si="0"/>
        <v>30450</v>
      </c>
      <c r="H11" s="217">
        <f t="shared" si="0"/>
        <v>30450</v>
      </c>
      <c r="I11" s="216">
        <f t="shared" si="0"/>
        <v>0</v>
      </c>
      <c r="J11" s="216">
        <f t="shared" si="0"/>
        <v>0</v>
      </c>
      <c r="K11" s="216">
        <f t="shared" si="0"/>
        <v>0</v>
      </c>
      <c r="L11" s="216">
        <f t="shared" si="0"/>
        <v>0</v>
      </c>
      <c r="M11" s="216">
        <f t="shared" si="0"/>
        <v>0</v>
      </c>
      <c r="N11" s="216">
        <f t="shared" si="0"/>
        <v>0</v>
      </c>
      <c r="O11" s="216">
        <f t="shared" si="0"/>
        <v>0</v>
      </c>
      <c r="P11" s="216">
        <f t="shared" si="0"/>
        <v>0</v>
      </c>
      <c r="Q11" s="216">
        <f t="shared" si="0"/>
        <v>0</v>
      </c>
      <c r="R11" s="216">
        <f t="shared" si="0"/>
        <v>0</v>
      </c>
      <c r="S11" s="216">
        <f t="shared" si="0"/>
        <v>0</v>
      </c>
      <c r="T11" s="216">
        <f t="shared" si="0"/>
        <v>0</v>
      </c>
      <c r="U11" s="216">
        <f t="shared" si="0"/>
        <v>0</v>
      </c>
      <c r="V11" s="216">
        <f t="shared" si="1"/>
        <v>0</v>
      </c>
      <c r="X11" s="215" t="str">
        <f t="shared" si="3"/>
        <v>OK</v>
      </c>
    </row>
    <row r="12" spans="1:24">
      <c r="A12" s="79" t="s">
        <v>704</v>
      </c>
      <c r="B12" s="110">
        <v>62300</v>
      </c>
      <c r="C12" s="209">
        <v>4</v>
      </c>
      <c r="D12" s="211">
        <v>2</v>
      </c>
      <c r="E12" s="216">
        <f t="shared" si="2"/>
        <v>0</v>
      </c>
      <c r="F12" s="216">
        <f t="shared" si="0"/>
        <v>0</v>
      </c>
      <c r="G12" s="216">
        <f t="shared" si="0"/>
        <v>0</v>
      </c>
      <c r="H12" s="217">
        <f t="shared" si="0"/>
        <v>31150</v>
      </c>
      <c r="I12" s="217">
        <f t="shared" si="0"/>
        <v>31150</v>
      </c>
      <c r="J12" s="216">
        <f t="shared" si="0"/>
        <v>0</v>
      </c>
      <c r="K12" s="216">
        <f t="shared" si="0"/>
        <v>0</v>
      </c>
      <c r="L12" s="216">
        <f t="shared" si="0"/>
        <v>0</v>
      </c>
      <c r="M12" s="216">
        <f t="shared" si="0"/>
        <v>0</v>
      </c>
      <c r="N12" s="216">
        <f t="shared" si="0"/>
        <v>0</v>
      </c>
      <c r="O12" s="216">
        <f t="shared" si="0"/>
        <v>0</v>
      </c>
      <c r="P12" s="216">
        <f t="shared" si="0"/>
        <v>0</v>
      </c>
      <c r="Q12" s="216">
        <f t="shared" si="0"/>
        <v>0</v>
      </c>
      <c r="R12" s="216">
        <f t="shared" si="0"/>
        <v>0</v>
      </c>
      <c r="S12" s="216">
        <f t="shared" si="0"/>
        <v>0</v>
      </c>
      <c r="T12" s="216">
        <f t="shared" si="0"/>
        <v>0</v>
      </c>
      <c r="U12" s="216">
        <f t="shared" si="0"/>
        <v>0</v>
      </c>
      <c r="V12" s="216">
        <f t="shared" si="1"/>
        <v>0</v>
      </c>
      <c r="X12" s="215" t="str">
        <f t="shared" si="3"/>
        <v>OK</v>
      </c>
    </row>
    <row r="13" spans="1:24">
      <c r="A13" s="79" t="s">
        <v>705</v>
      </c>
      <c r="B13" s="110">
        <v>56700</v>
      </c>
      <c r="C13" s="209">
        <v>5</v>
      </c>
      <c r="D13" s="211">
        <v>2</v>
      </c>
      <c r="E13" s="216">
        <f t="shared" si="2"/>
        <v>0</v>
      </c>
      <c r="F13" s="216">
        <f t="shared" si="0"/>
        <v>0</v>
      </c>
      <c r="G13" s="216">
        <f t="shared" si="0"/>
        <v>0</v>
      </c>
      <c r="H13" s="216">
        <f t="shared" si="0"/>
        <v>0</v>
      </c>
      <c r="I13" s="217">
        <f t="shared" si="0"/>
        <v>28350</v>
      </c>
      <c r="J13" s="217">
        <f t="shared" si="0"/>
        <v>28350</v>
      </c>
      <c r="K13" s="216">
        <f t="shared" si="0"/>
        <v>0</v>
      </c>
      <c r="L13" s="216">
        <f t="shared" si="0"/>
        <v>0</v>
      </c>
      <c r="M13" s="216">
        <f t="shared" si="0"/>
        <v>0</v>
      </c>
      <c r="N13" s="216">
        <f t="shared" si="0"/>
        <v>0</v>
      </c>
      <c r="O13" s="216">
        <f t="shared" si="0"/>
        <v>0</v>
      </c>
      <c r="P13" s="216">
        <f t="shared" si="0"/>
        <v>0</v>
      </c>
      <c r="Q13" s="216">
        <f t="shared" si="0"/>
        <v>0</v>
      </c>
      <c r="R13" s="216">
        <f t="shared" si="0"/>
        <v>0</v>
      </c>
      <c r="S13" s="216">
        <f t="shared" si="0"/>
        <v>0</v>
      </c>
      <c r="T13" s="216">
        <f t="shared" si="0"/>
        <v>0</v>
      </c>
      <c r="U13" s="216">
        <f t="shared" si="0"/>
        <v>0</v>
      </c>
      <c r="V13" s="216">
        <f t="shared" si="1"/>
        <v>0</v>
      </c>
      <c r="X13" s="215" t="str">
        <f t="shared" si="3"/>
        <v>OK</v>
      </c>
    </row>
    <row r="14" spans="1:24">
      <c r="A14" s="79" t="s">
        <v>706</v>
      </c>
      <c r="B14" s="110">
        <v>60900</v>
      </c>
      <c r="C14" s="209">
        <v>6</v>
      </c>
      <c r="D14" s="211">
        <v>2</v>
      </c>
      <c r="E14" s="216">
        <f t="shared" si="2"/>
        <v>0</v>
      </c>
      <c r="F14" s="216">
        <f t="shared" si="0"/>
        <v>0</v>
      </c>
      <c r="G14" s="216">
        <f t="shared" si="0"/>
        <v>0</v>
      </c>
      <c r="H14" s="216">
        <f t="shared" si="0"/>
        <v>0</v>
      </c>
      <c r="I14" s="216">
        <f t="shared" si="0"/>
        <v>0</v>
      </c>
      <c r="J14" s="217">
        <f t="shared" si="0"/>
        <v>30450</v>
      </c>
      <c r="K14" s="217">
        <f t="shared" si="0"/>
        <v>30450</v>
      </c>
      <c r="L14" s="216">
        <f t="shared" si="0"/>
        <v>0</v>
      </c>
      <c r="M14" s="216">
        <f t="shared" si="0"/>
        <v>0</v>
      </c>
      <c r="N14" s="216">
        <f t="shared" si="0"/>
        <v>0</v>
      </c>
      <c r="O14" s="216">
        <f t="shared" si="0"/>
        <v>0</v>
      </c>
      <c r="P14" s="216">
        <f t="shared" si="0"/>
        <v>0</v>
      </c>
      <c r="Q14" s="216">
        <f t="shared" si="0"/>
        <v>0</v>
      </c>
      <c r="R14" s="216">
        <f t="shared" si="0"/>
        <v>0</v>
      </c>
      <c r="S14" s="216">
        <f t="shared" si="0"/>
        <v>0</v>
      </c>
      <c r="T14" s="216">
        <f t="shared" si="0"/>
        <v>0</v>
      </c>
      <c r="U14" s="216">
        <f t="shared" si="0"/>
        <v>0</v>
      </c>
      <c r="V14" s="216">
        <f t="shared" si="1"/>
        <v>0</v>
      </c>
      <c r="X14" s="215" t="str">
        <f t="shared" si="3"/>
        <v>OK</v>
      </c>
    </row>
    <row r="15" spans="1:24">
      <c r="A15" s="79" t="s">
        <v>707</v>
      </c>
      <c r="B15" s="110">
        <v>53200</v>
      </c>
      <c r="C15" s="209">
        <v>7</v>
      </c>
      <c r="D15" s="211">
        <v>2</v>
      </c>
      <c r="E15" s="216">
        <f t="shared" si="2"/>
        <v>0</v>
      </c>
      <c r="F15" s="216">
        <f t="shared" si="0"/>
        <v>0</v>
      </c>
      <c r="G15" s="216">
        <f t="shared" si="0"/>
        <v>0</v>
      </c>
      <c r="H15" s="216">
        <f t="shared" si="0"/>
        <v>0</v>
      </c>
      <c r="I15" s="216">
        <f t="shared" si="0"/>
        <v>0</v>
      </c>
      <c r="J15" s="216">
        <f t="shared" si="0"/>
        <v>0</v>
      </c>
      <c r="K15" s="217">
        <f t="shared" si="0"/>
        <v>26600</v>
      </c>
      <c r="L15" s="217">
        <f t="shared" si="0"/>
        <v>26600</v>
      </c>
      <c r="M15" s="216">
        <f t="shared" si="0"/>
        <v>0</v>
      </c>
      <c r="N15" s="216">
        <f t="shared" si="0"/>
        <v>0</v>
      </c>
      <c r="O15" s="216">
        <f t="shared" si="0"/>
        <v>0</v>
      </c>
      <c r="P15" s="216">
        <f t="shared" si="0"/>
        <v>0</v>
      </c>
      <c r="Q15" s="216">
        <f t="shared" si="0"/>
        <v>0</v>
      </c>
      <c r="R15" s="216">
        <f t="shared" si="0"/>
        <v>0</v>
      </c>
      <c r="S15" s="216">
        <f t="shared" si="0"/>
        <v>0</v>
      </c>
      <c r="T15" s="216">
        <f t="shared" si="0"/>
        <v>0</v>
      </c>
      <c r="U15" s="216">
        <f t="shared" si="0"/>
        <v>0</v>
      </c>
      <c r="V15" s="216">
        <f t="shared" si="1"/>
        <v>0</v>
      </c>
      <c r="X15" s="215" t="str">
        <f t="shared" si="3"/>
        <v>OK</v>
      </c>
    </row>
    <row r="16" spans="1:24">
      <c r="A16" s="79" t="s">
        <v>1009</v>
      </c>
      <c r="B16" s="110">
        <v>72000</v>
      </c>
      <c r="C16" s="209">
        <v>3</v>
      </c>
      <c r="D16" s="211">
        <v>3</v>
      </c>
      <c r="E16" s="216">
        <f t="shared" si="2"/>
        <v>0</v>
      </c>
      <c r="F16" s="216">
        <f t="shared" si="0"/>
        <v>0</v>
      </c>
      <c r="G16" s="217">
        <f t="shared" si="0"/>
        <v>24000</v>
      </c>
      <c r="H16" s="217">
        <f t="shared" si="0"/>
        <v>24000</v>
      </c>
      <c r="I16" s="217">
        <f t="shared" si="0"/>
        <v>24000</v>
      </c>
      <c r="J16" s="216">
        <f t="shared" si="0"/>
        <v>0</v>
      </c>
      <c r="K16" s="216">
        <f t="shared" si="0"/>
        <v>0</v>
      </c>
      <c r="L16" s="216">
        <f t="shared" si="0"/>
        <v>0</v>
      </c>
      <c r="M16" s="216">
        <f t="shared" si="0"/>
        <v>0</v>
      </c>
      <c r="N16" s="216">
        <f t="shared" si="0"/>
        <v>0</v>
      </c>
      <c r="O16" s="216">
        <f t="shared" si="0"/>
        <v>0</v>
      </c>
      <c r="P16" s="216">
        <f t="shared" si="0"/>
        <v>0</v>
      </c>
      <c r="Q16" s="216">
        <f t="shared" si="0"/>
        <v>0</v>
      </c>
      <c r="R16" s="216">
        <f t="shared" si="0"/>
        <v>0</v>
      </c>
      <c r="S16" s="216">
        <f t="shared" si="0"/>
        <v>0</v>
      </c>
      <c r="T16" s="216">
        <f t="shared" si="0"/>
        <v>0</v>
      </c>
      <c r="U16" s="216">
        <f t="shared" si="0"/>
        <v>0</v>
      </c>
      <c r="V16" s="216">
        <f t="shared" si="1"/>
        <v>0</v>
      </c>
      <c r="X16" s="215" t="str">
        <f t="shared" si="3"/>
        <v>OK</v>
      </c>
    </row>
    <row r="17" spans="1:24">
      <c r="A17" s="79" t="s">
        <v>1010</v>
      </c>
      <c r="B17" s="110">
        <v>74000</v>
      </c>
      <c r="C17" s="209">
        <v>5</v>
      </c>
      <c r="D17" s="211">
        <v>3</v>
      </c>
      <c r="E17" s="216">
        <f t="shared" si="2"/>
        <v>0</v>
      </c>
      <c r="F17" s="216">
        <f t="shared" si="0"/>
        <v>0</v>
      </c>
      <c r="G17" s="216">
        <f t="shared" si="0"/>
        <v>0</v>
      </c>
      <c r="H17" s="216">
        <f t="shared" si="0"/>
        <v>0</v>
      </c>
      <c r="I17" s="217">
        <f t="shared" si="0"/>
        <v>24666.666666666668</v>
      </c>
      <c r="J17" s="217">
        <f t="shared" si="0"/>
        <v>24666.666666666668</v>
      </c>
      <c r="K17" s="217">
        <f t="shared" si="0"/>
        <v>24666.666666666668</v>
      </c>
      <c r="L17" s="216">
        <f t="shared" si="0"/>
        <v>0</v>
      </c>
      <c r="M17" s="216">
        <f t="shared" si="0"/>
        <v>0</v>
      </c>
      <c r="N17" s="216">
        <f t="shared" si="0"/>
        <v>0</v>
      </c>
      <c r="O17" s="216">
        <f t="shared" si="0"/>
        <v>0</v>
      </c>
      <c r="P17" s="216">
        <f t="shared" si="0"/>
        <v>0</v>
      </c>
      <c r="Q17" s="216">
        <f t="shared" si="0"/>
        <v>0</v>
      </c>
      <c r="R17" s="216">
        <f t="shared" si="0"/>
        <v>0</v>
      </c>
      <c r="S17" s="216">
        <f t="shared" si="0"/>
        <v>0</v>
      </c>
      <c r="T17" s="216">
        <f t="shared" si="0"/>
        <v>0</v>
      </c>
      <c r="U17" s="216">
        <f t="shared" si="0"/>
        <v>0</v>
      </c>
      <c r="V17" s="216">
        <f t="shared" si="1"/>
        <v>0</v>
      </c>
      <c r="X17" s="215" t="str">
        <f t="shared" si="3"/>
        <v>OK</v>
      </c>
    </row>
    <row r="18" spans="1:24">
      <c r="A18" s="79" t="s">
        <v>1011</v>
      </c>
      <c r="B18" s="110">
        <v>68000</v>
      </c>
      <c r="C18" s="209">
        <v>7</v>
      </c>
      <c r="D18" s="211">
        <v>3</v>
      </c>
      <c r="E18" s="216">
        <f t="shared" si="2"/>
        <v>0</v>
      </c>
      <c r="F18" s="216">
        <f t="shared" si="0"/>
        <v>0</v>
      </c>
      <c r="G18" s="216">
        <f t="shared" si="0"/>
        <v>0</v>
      </c>
      <c r="H18" s="216">
        <f t="shared" si="0"/>
        <v>0</v>
      </c>
      <c r="I18" s="216">
        <f t="shared" si="0"/>
        <v>0</v>
      </c>
      <c r="J18" s="216">
        <f t="shared" si="0"/>
        <v>0</v>
      </c>
      <c r="K18" s="217">
        <f t="shared" si="0"/>
        <v>22666.666666666668</v>
      </c>
      <c r="L18" s="217">
        <f t="shared" si="0"/>
        <v>22666.666666666668</v>
      </c>
      <c r="M18" s="217">
        <f t="shared" si="0"/>
        <v>22666.666666666668</v>
      </c>
      <c r="N18" s="216">
        <f t="shared" si="0"/>
        <v>0</v>
      </c>
      <c r="O18" s="216">
        <f t="shared" si="0"/>
        <v>0</v>
      </c>
      <c r="P18" s="216">
        <f t="shared" si="0"/>
        <v>0</v>
      </c>
      <c r="Q18" s="216">
        <f t="shared" si="0"/>
        <v>0</v>
      </c>
      <c r="R18" s="216">
        <f t="shared" si="0"/>
        <v>0</v>
      </c>
      <c r="S18" s="216">
        <f t="shared" si="0"/>
        <v>0</v>
      </c>
      <c r="T18" s="216">
        <f t="shared" si="0"/>
        <v>0</v>
      </c>
      <c r="U18" s="216">
        <f t="shared" si="0"/>
        <v>0</v>
      </c>
      <c r="V18" s="216">
        <f t="shared" si="1"/>
        <v>0</v>
      </c>
      <c r="X18" s="215" t="str">
        <f t="shared" si="3"/>
        <v>OK</v>
      </c>
    </row>
    <row r="19" spans="1:24">
      <c r="A19" s="79" t="s">
        <v>1012</v>
      </c>
      <c r="B19" s="110">
        <v>72000</v>
      </c>
      <c r="C19" s="209">
        <v>9</v>
      </c>
      <c r="D19" s="211">
        <v>3</v>
      </c>
      <c r="E19" s="216">
        <f t="shared" si="2"/>
        <v>0</v>
      </c>
      <c r="F19" s="216">
        <f t="shared" si="0"/>
        <v>0</v>
      </c>
      <c r="G19" s="216">
        <f t="shared" si="0"/>
        <v>0</v>
      </c>
      <c r="H19" s="216">
        <f t="shared" si="0"/>
        <v>0</v>
      </c>
      <c r="I19" s="216">
        <f t="shared" si="0"/>
        <v>0</v>
      </c>
      <c r="J19" s="216">
        <f t="shared" si="0"/>
        <v>0</v>
      </c>
      <c r="K19" s="216">
        <f t="shared" si="0"/>
        <v>0</v>
      </c>
      <c r="L19" s="216">
        <f t="shared" si="0"/>
        <v>0</v>
      </c>
      <c r="M19" s="217">
        <f t="shared" si="0"/>
        <v>24000</v>
      </c>
      <c r="N19" s="217">
        <f t="shared" si="0"/>
        <v>24000</v>
      </c>
      <c r="O19" s="217">
        <f t="shared" si="0"/>
        <v>24000</v>
      </c>
      <c r="P19" s="216">
        <f t="shared" si="0"/>
        <v>0</v>
      </c>
      <c r="Q19" s="216">
        <f t="shared" si="0"/>
        <v>0</v>
      </c>
      <c r="R19" s="216">
        <f t="shared" si="0"/>
        <v>0</v>
      </c>
      <c r="S19" s="216">
        <f t="shared" si="0"/>
        <v>0</v>
      </c>
      <c r="T19" s="216">
        <f t="shared" si="0"/>
        <v>0</v>
      </c>
      <c r="U19" s="216">
        <f t="shared" si="0"/>
        <v>0</v>
      </c>
      <c r="V19" s="216">
        <f t="shared" si="1"/>
        <v>0</v>
      </c>
      <c r="X19" s="215" t="str">
        <f t="shared" si="3"/>
        <v>OK</v>
      </c>
    </row>
    <row r="20" spans="1:24">
      <c r="A20" s="79" t="s">
        <v>1013</v>
      </c>
      <c r="B20" s="110">
        <v>64000</v>
      </c>
      <c r="C20" s="209">
        <v>11</v>
      </c>
      <c r="D20" s="211">
        <v>3</v>
      </c>
      <c r="E20" s="216">
        <f t="shared" si="2"/>
        <v>0</v>
      </c>
      <c r="F20" s="216">
        <f t="shared" si="0"/>
        <v>0</v>
      </c>
      <c r="G20" s="216">
        <f t="shared" si="0"/>
        <v>0</v>
      </c>
      <c r="H20" s="216">
        <f t="shared" si="0"/>
        <v>0</v>
      </c>
      <c r="I20" s="216">
        <f t="shared" si="0"/>
        <v>0</v>
      </c>
      <c r="J20" s="216">
        <f t="shared" si="0"/>
        <v>0</v>
      </c>
      <c r="K20" s="216">
        <f t="shared" si="0"/>
        <v>0</v>
      </c>
      <c r="L20" s="216">
        <f t="shared" si="0"/>
        <v>0</v>
      </c>
      <c r="M20" s="216">
        <f t="shared" si="0"/>
        <v>0</v>
      </c>
      <c r="N20" s="216">
        <f t="shared" si="0"/>
        <v>0</v>
      </c>
      <c r="O20" s="217">
        <f t="shared" si="0"/>
        <v>21333.333333333332</v>
      </c>
      <c r="P20" s="217">
        <f t="shared" si="0"/>
        <v>21333.333333333332</v>
      </c>
      <c r="Q20" s="217">
        <f t="shared" si="0"/>
        <v>21333.333333333332</v>
      </c>
      <c r="R20" s="216">
        <f t="shared" si="0"/>
        <v>0</v>
      </c>
      <c r="S20" s="216">
        <f t="shared" si="0"/>
        <v>0</v>
      </c>
      <c r="T20" s="216">
        <f t="shared" si="0"/>
        <v>0</v>
      </c>
      <c r="U20" s="216">
        <f t="shared" si="0"/>
        <v>0</v>
      </c>
      <c r="V20" s="216">
        <f t="shared" si="1"/>
        <v>0</v>
      </c>
      <c r="X20" s="215" t="str">
        <f t="shared" si="3"/>
        <v>OK</v>
      </c>
    </row>
    <row r="21" spans="1:24">
      <c r="A21" s="79" t="s">
        <v>1014</v>
      </c>
      <c r="B21" s="110">
        <v>144000</v>
      </c>
      <c r="C21" s="209">
        <v>10</v>
      </c>
      <c r="D21" s="211">
        <v>2</v>
      </c>
      <c r="E21" s="216">
        <f t="shared" si="2"/>
        <v>0</v>
      </c>
      <c r="F21" s="216">
        <f t="shared" si="0"/>
        <v>0</v>
      </c>
      <c r="G21" s="216">
        <f t="shared" si="0"/>
        <v>0</v>
      </c>
      <c r="H21" s="216">
        <f t="shared" si="0"/>
        <v>0</v>
      </c>
      <c r="I21" s="216">
        <f t="shared" si="0"/>
        <v>0</v>
      </c>
      <c r="J21" s="216">
        <f t="shared" si="0"/>
        <v>0</v>
      </c>
      <c r="K21" s="216">
        <f t="shared" si="0"/>
        <v>0</v>
      </c>
      <c r="L21" s="216">
        <f t="shared" si="0"/>
        <v>0</v>
      </c>
      <c r="M21" s="216">
        <f t="shared" si="0"/>
        <v>0</v>
      </c>
      <c r="N21" s="217">
        <f t="shared" si="0"/>
        <v>72000</v>
      </c>
      <c r="O21" s="217">
        <f t="shared" si="0"/>
        <v>72000</v>
      </c>
      <c r="P21" s="216">
        <f t="shared" si="0"/>
        <v>0</v>
      </c>
      <c r="Q21" s="216">
        <f t="shared" si="0"/>
        <v>0</v>
      </c>
      <c r="R21" s="216">
        <f t="shared" si="0"/>
        <v>0</v>
      </c>
      <c r="S21" s="216">
        <f t="shared" si="0"/>
        <v>0</v>
      </c>
      <c r="T21" s="216">
        <f t="shared" si="0"/>
        <v>0</v>
      </c>
      <c r="U21" s="216">
        <f t="shared" si="0"/>
        <v>0</v>
      </c>
      <c r="V21" s="216">
        <f t="shared" si="1"/>
        <v>0</v>
      </c>
      <c r="X21" s="215" t="str">
        <f t="shared" si="3"/>
        <v>OK</v>
      </c>
    </row>
    <row r="22" spans="1:24">
      <c r="A22" s="79" t="s">
        <v>708</v>
      </c>
      <c r="B22" s="110">
        <v>95000</v>
      </c>
      <c r="C22" s="209">
        <v>12</v>
      </c>
      <c r="D22" s="211">
        <v>2</v>
      </c>
      <c r="E22" s="216">
        <f t="shared" si="2"/>
        <v>0</v>
      </c>
      <c r="F22" s="216">
        <f t="shared" si="0"/>
        <v>0</v>
      </c>
      <c r="G22" s="216">
        <f t="shared" si="0"/>
        <v>0</v>
      </c>
      <c r="H22" s="216">
        <f t="shared" si="0"/>
        <v>0</v>
      </c>
      <c r="I22" s="216">
        <f t="shared" si="0"/>
        <v>0</v>
      </c>
      <c r="J22" s="216">
        <f t="shared" si="0"/>
        <v>0</v>
      </c>
      <c r="K22" s="216">
        <f t="shared" si="0"/>
        <v>0</v>
      </c>
      <c r="L22" s="216">
        <f t="shared" si="0"/>
        <v>0</v>
      </c>
      <c r="M22" s="216">
        <f t="shared" si="0"/>
        <v>0</v>
      </c>
      <c r="N22" s="216">
        <f t="shared" si="0"/>
        <v>0</v>
      </c>
      <c r="O22" s="216">
        <f t="shared" si="0"/>
        <v>0</v>
      </c>
      <c r="P22" s="217">
        <f t="shared" si="0"/>
        <v>47500</v>
      </c>
      <c r="Q22" s="217">
        <f t="shared" si="0"/>
        <v>47500</v>
      </c>
      <c r="R22" s="216">
        <f t="shared" si="0"/>
        <v>0</v>
      </c>
      <c r="S22" s="216">
        <f t="shared" si="0"/>
        <v>0</v>
      </c>
      <c r="T22" s="216">
        <f t="shared" si="0"/>
        <v>0</v>
      </c>
      <c r="U22" s="216">
        <f t="shared" si="0"/>
        <v>0</v>
      </c>
      <c r="V22" s="216">
        <f t="shared" si="1"/>
        <v>0</v>
      </c>
      <c r="X22" s="215" t="str">
        <f t="shared" si="3"/>
        <v>OK</v>
      </c>
    </row>
    <row r="23" spans="1:24">
      <c r="A23" s="79" t="s">
        <v>709</v>
      </c>
      <c r="B23" s="110">
        <v>0</v>
      </c>
      <c r="C23" s="209">
        <v>14</v>
      </c>
      <c r="D23" s="211">
        <v>2</v>
      </c>
      <c r="E23" s="216">
        <f t="shared" si="2"/>
        <v>0</v>
      </c>
      <c r="F23" s="216">
        <f t="shared" si="0"/>
        <v>0</v>
      </c>
      <c r="G23" s="216">
        <f t="shared" si="0"/>
        <v>0</v>
      </c>
      <c r="H23" s="216">
        <f t="shared" si="0"/>
        <v>0</v>
      </c>
      <c r="I23" s="216">
        <f t="shared" si="0"/>
        <v>0</v>
      </c>
      <c r="J23" s="216">
        <f t="shared" si="0"/>
        <v>0</v>
      </c>
      <c r="K23" s="216">
        <f t="shared" si="0"/>
        <v>0</v>
      </c>
      <c r="L23" s="216">
        <f t="shared" si="0"/>
        <v>0</v>
      </c>
      <c r="M23" s="216">
        <f t="shared" si="0"/>
        <v>0</v>
      </c>
      <c r="N23" s="216">
        <f t="shared" si="0"/>
        <v>0</v>
      </c>
      <c r="O23" s="216">
        <f t="shared" si="0"/>
        <v>0</v>
      </c>
      <c r="P23" s="216">
        <f t="shared" si="0"/>
        <v>0</v>
      </c>
      <c r="Q23" s="216">
        <f t="shared" si="0"/>
        <v>0</v>
      </c>
      <c r="R23" s="215">
        <f t="shared" si="0"/>
        <v>0</v>
      </c>
      <c r="S23" s="215">
        <f t="shared" si="0"/>
        <v>0</v>
      </c>
      <c r="T23" s="216">
        <f t="shared" si="0"/>
        <v>0</v>
      </c>
      <c r="U23" s="216">
        <f t="shared" ref="U23" si="4">$B23/$D23*(AND(U$6&gt;=$C23,U$6&lt;=$C23+$D23-1))</f>
        <v>0</v>
      </c>
      <c r="V23" s="216">
        <f t="shared" si="1"/>
        <v>0</v>
      </c>
      <c r="X23" s="215" t="str">
        <f t="shared" si="3"/>
        <v>OK</v>
      </c>
    </row>
    <row r="24" spans="1:24">
      <c r="C24" s="33"/>
      <c r="D24" s="212"/>
    </row>
    <row r="25" spans="1:24" ht="15.5" thickBot="1">
      <c r="A25" s="77" t="s">
        <v>710</v>
      </c>
      <c r="B25" s="77"/>
      <c r="C25" s="210"/>
      <c r="D25" s="213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</row>
    <row r="26" spans="1:24">
      <c r="A26" s="78" t="s">
        <v>711</v>
      </c>
      <c r="B26" s="110">
        <v>910000</v>
      </c>
      <c r="C26" s="209">
        <v>6</v>
      </c>
      <c r="D26" s="211">
        <v>6</v>
      </c>
      <c r="E26" s="216">
        <f t="shared" ref="E26:T32" si="5">$B26/$D26*(AND(E$6&gt;=$C26,E$6&lt;=$C26+$D26-1))</f>
        <v>0</v>
      </c>
      <c r="F26" s="216">
        <f t="shared" si="5"/>
        <v>0</v>
      </c>
      <c r="G26" s="216">
        <f t="shared" si="5"/>
        <v>0</v>
      </c>
      <c r="H26" s="218">
        <f t="shared" si="5"/>
        <v>0</v>
      </c>
      <c r="I26" s="218">
        <f t="shared" si="5"/>
        <v>0</v>
      </c>
      <c r="J26" s="218">
        <f t="shared" si="5"/>
        <v>151666.66666666666</v>
      </c>
      <c r="K26" s="218">
        <f t="shared" si="5"/>
        <v>151666.66666666666</v>
      </c>
      <c r="L26" s="218">
        <f t="shared" si="5"/>
        <v>151666.66666666666</v>
      </c>
      <c r="M26" s="218">
        <f t="shared" si="5"/>
        <v>151666.66666666666</v>
      </c>
      <c r="N26" s="218">
        <f t="shared" si="5"/>
        <v>151666.66666666666</v>
      </c>
      <c r="O26" s="218">
        <f t="shared" si="5"/>
        <v>151666.66666666666</v>
      </c>
      <c r="P26" s="216">
        <f t="shared" si="5"/>
        <v>0</v>
      </c>
      <c r="Q26" s="216">
        <f t="shared" si="5"/>
        <v>0</v>
      </c>
      <c r="R26" s="216">
        <f t="shared" si="5"/>
        <v>0</v>
      </c>
      <c r="S26" s="216">
        <f t="shared" si="5"/>
        <v>0</v>
      </c>
      <c r="T26" s="216">
        <f t="shared" si="5"/>
        <v>0</v>
      </c>
      <c r="U26" s="216">
        <f t="shared" ref="U26:V32" si="6">$B26/$D26*(AND(U$6&gt;=$C26,U$6&lt;=$C26+$D26-1))</f>
        <v>0</v>
      </c>
      <c r="V26" s="216">
        <f t="shared" si="6"/>
        <v>0</v>
      </c>
      <c r="X26" s="215" t="str">
        <f t="shared" ref="X26:X32" si="7">IF(SUM(E26:V26)=B26,"OK","ERROR")</f>
        <v>OK</v>
      </c>
    </row>
    <row r="27" spans="1:24">
      <c r="A27" s="78" t="s">
        <v>712</v>
      </c>
      <c r="B27" s="110">
        <v>845000</v>
      </c>
      <c r="C27" s="209">
        <v>6</v>
      </c>
      <c r="D27" s="211">
        <v>6</v>
      </c>
      <c r="E27" s="216">
        <f t="shared" si="5"/>
        <v>0</v>
      </c>
      <c r="F27" s="216">
        <f t="shared" si="5"/>
        <v>0</v>
      </c>
      <c r="G27" s="216">
        <f t="shared" si="5"/>
        <v>0</v>
      </c>
      <c r="H27" s="218">
        <f t="shared" si="5"/>
        <v>0</v>
      </c>
      <c r="I27" s="218">
        <f t="shared" si="5"/>
        <v>0</v>
      </c>
      <c r="J27" s="218">
        <f t="shared" si="5"/>
        <v>140833.33333333334</v>
      </c>
      <c r="K27" s="218">
        <f t="shared" si="5"/>
        <v>140833.33333333334</v>
      </c>
      <c r="L27" s="218">
        <f t="shared" si="5"/>
        <v>140833.33333333334</v>
      </c>
      <c r="M27" s="218">
        <f t="shared" si="5"/>
        <v>140833.33333333334</v>
      </c>
      <c r="N27" s="218">
        <f t="shared" si="5"/>
        <v>140833.33333333334</v>
      </c>
      <c r="O27" s="218">
        <f t="shared" si="5"/>
        <v>140833.33333333334</v>
      </c>
      <c r="P27" s="216">
        <f t="shared" si="5"/>
        <v>0</v>
      </c>
      <c r="Q27" s="216">
        <f t="shared" si="5"/>
        <v>0</v>
      </c>
      <c r="R27" s="216">
        <f t="shared" si="5"/>
        <v>0</v>
      </c>
      <c r="S27" s="216">
        <f t="shared" si="5"/>
        <v>0</v>
      </c>
      <c r="T27" s="216">
        <f t="shared" si="5"/>
        <v>0</v>
      </c>
      <c r="U27" s="216">
        <f t="shared" si="6"/>
        <v>0</v>
      </c>
      <c r="V27" s="216">
        <f t="shared" si="6"/>
        <v>0</v>
      </c>
      <c r="X27" s="215" t="str">
        <f t="shared" si="7"/>
        <v>OK</v>
      </c>
    </row>
    <row r="28" spans="1:24">
      <c r="A28" s="78" t="s">
        <v>713</v>
      </c>
      <c r="B28" s="110">
        <v>845000</v>
      </c>
      <c r="C28" s="209">
        <v>8</v>
      </c>
      <c r="D28" s="211">
        <v>6</v>
      </c>
      <c r="E28" s="216">
        <f t="shared" si="5"/>
        <v>0</v>
      </c>
      <c r="F28" s="216">
        <f t="shared" si="5"/>
        <v>0</v>
      </c>
      <c r="G28" s="216">
        <f t="shared" si="5"/>
        <v>0</v>
      </c>
      <c r="H28" s="216">
        <f t="shared" si="5"/>
        <v>0</v>
      </c>
      <c r="I28" s="216">
        <f t="shared" si="5"/>
        <v>0</v>
      </c>
      <c r="J28" s="218">
        <f t="shared" si="5"/>
        <v>0</v>
      </c>
      <c r="K28" s="218">
        <f t="shared" si="5"/>
        <v>0</v>
      </c>
      <c r="L28" s="218">
        <f t="shared" si="5"/>
        <v>140833.33333333334</v>
      </c>
      <c r="M28" s="218">
        <f t="shared" si="5"/>
        <v>140833.33333333334</v>
      </c>
      <c r="N28" s="218">
        <f t="shared" si="5"/>
        <v>140833.33333333334</v>
      </c>
      <c r="O28" s="218">
        <f t="shared" si="5"/>
        <v>140833.33333333334</v>
      </c>
      <c r="P28" s="218">
        <f t="shared" si="5"/>
        <v>140833.33333333334</v>
      </c>
      <c r="Q28" s="218">
        <f t="shared" si="5"/>
        <v>140833.33333333334</v>
      </c>
      <c r="R28" s="216">
        <f t="shared" si="5"/>
        <v>0</v>
      </c>
      <c r="S28" s="216">
        <f t="shared" si="5"/>
        <v>0</v>
      </c>
      <c r="T28" s="216">
        <f t="shared" si="5"/>
        <v>0</v>
      </c>
      <c r="U28" s="216">
        <f t="shared" si="6"/>
        <v>0</v>
      </c>
      <c r="V28" s="216">
        <f t="shared" si="6"/>
        <v>0</v>
      </c>
      <c r="X28" s="215" t="str">
        <f t="shared" si="7"/>
        <v>OK</v>
      </c>
    </row>
    <row r="29" spans="1:24">
      <c r="A29" s="78" t="s">
        <v>714</v>
      </c>
      <c r="B29" s="110">
        <v>780000</v>
      </c>
      <c r="C29" s="209">
        <v>8</v>
      </c>
      <c r="D29" s="211">
        <v>6</v>
      </c>
      <c r="E29" s="216">
        <f t="shared" si="5"/>
        <v>0</v>
      </c>
      <c r="F29" s="216">
        <f t="shared" si="5"/>
        <v>0</v>
      </c>
      <c r="G29" s="216">
        <f t="shared" si="5"/>
        <v>0</v>
      </c>
      <c r="H29" s="216">
        <f t="shared" si="5"/>
        <v>0</v>
      </c>
      <c r="I29" s="216">
        <f t="shared" si="5"/>
        <v>0</v>
      </c>
      <c r="J29" s="218">
        <f t="shared" si="5"/>
        <v>0</v>
      </c>
      <c r="K29" s="218">
        <f t="shared" si="5"/>
        <v>0</v>
      </c>
      <c r="L29" s="218">
        <f t="shared" si="5"/>
        <v>130000</v>
      </c>
      <c r="M29" s="218">
        <f t="shared" si="5"/>
        <v>130000</v>
      </c>
      <c r="N29" s="218">
        <f t="shared" si="5"/>
        <v>130000</v>
      </c>
      <c r="O29" s="218">
        <f t="shared" si="5"/>
        <v>130000</v>
      </c>
      <c r="P29" s="218">
        <f t="shared" si="5"/>
        <v>130000</v>
      </c>
      <c r="Q29" s="218">
        <f t="shared" si="5"/>
        <v>130000</v>
      </c>
      <c r="R29" s="216">
        <f t="shared" si="5"/>
        <v>0</v>
      </c>
      <c r="S29" s="216">
        <f t="shared" si="5"/>
        <v>0</v>
      </c>
      <c r="T29" s="216">
        <f t="shared" si="5"/>
        <v>0</v>
      </c>
      <c r="U29" s="216">
        <f t="shared" si="6"/>
        <v>0</v>
      </c>
      <c r="V29" s="216">
        <f t="shared" si="6"/>
        <v>0</v>
      </c>
      <c r="X29" s="215" t="str">
        <f t="shared" si="7"/>
        <v>OK</v>
      </c>
    </row>
    <row r="30" spans="1:24">
      <c r="A30" s="78" t="s">
        <v>715</v>
      </c>
      <c r="B30" s="110">
        <v>812500</v>
      </c>
      <c r="C30" s="209">
        <v>10</v>
      </c>
      <c r="D30" s="211">
        <v>6</v>
      </c>
      <c r="E30" s="216">
        <f t="shared" si="5"/>
        <v>0</v>
      </c>
      <c r="F30" s="216">
        <f t="shared" si="5"/>
        <v>0</v>
      </c>
      <c r="G30" s="216">
        <f t="shared" si="5"/>
        <v>0</v>
      </c>
      <c r="H30" s="216">
        <f t="shared" si="5"/>
        <v>0</v>
      </c>
      <c r="I30" s="216">
        <f t="shared" si="5"/>
        <v>0</v>
      </c>
      <c r="J30" s="216">
        <f t="shared" si="5"/>
        <v>0</v>
      </c>
      <c r="K30" s="216">
        <f t="shared" si="5"/>
        <v>0</v>
      </c>
      <c r="L30" s="218">
        <f t="shared" si="5"/>
        <v>0</v>
      </c>
      <c r="M30" s="218">
        <f t="shared" si="5"/>
        <v>0</v>
      </c>
      <c r="N30" s="218">
        <f t="shared" si="5"/>
        <v>135416.66666666666</v>
      </c>
      <c r="O30" s="218">
        <f t="shared" si="5"/>
        <v>135416.66666666666</v>
      </c>
      <c r="P30" s="218">
        <f t="shared" si="5"/>
        <v>135416.66666666666</v>
      </c>
      <c r="Q30" s="218">
        <f t="shared" si="5"/>
        <v>135416.66666666666</v>
      </c>
      <c r="R30" s="218">
        <f t="shared" si="5"/>
        <v>135416.66666666666</v>
      </c>
      <c r="S30" s="218">
        <f t="shared" si="5"/>
        <v>135416.66666666666</v>
      </c>
      <c r="T30" s="216">
        <f t="shared" si="5"/>
        <v>0</v>
      </c>
      <c r="U30" s="216">
        <f t="shared" si="6"/>
        <v>0</v>
      </c>
      <c r="V30" s="216">
        <f t="shared" si="6"/>
        <v>0</v>
      </c>
      <c r="X30" s="215" t="str">
        <f t="shared" si="7"/>
        <v>OK</v>
      </c>
    </row>
    <row r="31" spans="1:24">
      <c r="A31" s="78" t="s">
        <v>716</v>
      </c>
      <c r="B31" s="110">
        <v>747500</v>
      </c>
      <c r="C31" s="209">
        <v>10</v>
      </c>
      <c r="D31" s="211">
        <v>6</v>
      </c>
      <c r="E31" s="216">
        <f t="shared" si="5"/>
        <v>0</v>
      </c>
      <c r="F31" s="216">
        <f t="shared" si="5"/>
        <v>0</v>
      </c>
      <c r="G31" s="216">
        <f t="shared" si="5"/>
        <v>0</v>
      </c>
      <c r="H31" s="216">
        <f t="shared" si="5"/>
        <v>0</v>
      </c>
      <c r="I31" s="216">
        <f t="shared" si="5"/>
        <v>0</v>
      </c>
      <c r="J31" s="216">
        <f t="shared" si="5"/>
        <v>0</v>
      </c>
      <c r="K31" s="216">
        <f t="shared" si="5"/>
        <v>0</v>
      </c>
      <c r="L31" s="218">
        <f t="shared" si="5"/>
        <v>0</v>
      </c>
      <c r="M31" s="218">
        <f t="shared" si="5"/>
        <v>0</v>
      </c>
      <c r="N31" s="218">
        <f t="shared" si="5"/>
        <v>124583.33333333333</v>
      </c>
      <c r="O31" s="218">
        <f t="shared" si="5"/>
        <v>124583.33333333333</v>
      </c>
      <c r="P31" s="218">
        <f t="shared" si="5"/>
        <v>124583.33333333333</v>
      </c>
      <c r="Q31" s="218">
        <f t="shared" si="5"/>
        <v>124583.33333333333</v>
      </c>
      <c r="R31" s="218">
        <f t="shared" si="5"/>
        <v>124583.33333333333</v>
      </c>
      <c r="S31" s="218">
        <f t="shared" si="5"/>
        <v>124583.33333333333</v>
      </c>
      <c r="T31" s="216">
        <f t="shared" si="5"/>
        <v>0</v>
      </c>
      <c r="U31" s="216">
        <f t="shared" si="6"/>
        <v>0</v>
      </c>
      <c r="V31" s="216">
        <f t="shared" si="6"/>
        <v>0</v>
      </c>
      <c r="X31" s="215" t="str">
        <f t="shared" si="7"/>
        <v>OK</v>
      </c>
    </row>
    <row r="32" spans="1:24">
      <c r="A32" s="78" t="s">
        <v>717</v>
      </c>
      <c r="B32" s="110">
        <v>0</v>
      </c>
      <c r="C32" s="209">
        <v>11</v>
      </c>
      <c r="D32" s="211">
        <v>1</v>
      </c>
      <c r="E32" s="216">
        <f t="shared" si="5"/>
        <v>0</v>
      </c>
      <c r="F32" s="216">
        <f t="shared" si="5"/>
        <v>0</v>
      </c>
      <c r="G32" s="216">
        <f t="shared" si="5"/>
        <v>0</v>
      </c>
      <c r="H32" s="216">
        <f t="shared" si="5"/>
        <v>0</v>
      </c>
      <c r="I32" s="216">
        <f t="shared" si="5"/>
        <v>0</v>
      </c>
      <c r="J32" s="216">
        <f t="shared" si="5"/>
        <v>0</v>
      </c>
      <c r="K32" s="216">
        <f t="shared" si="5"/>
        <v>0</v>
      </c>
      <c r="L32" s="216">
        <f t="shared" si="5"/>
        <v>0</v>
      </c>
      <c r="M32" s="216">
        <f t="shared" si="5"/>
        <v>0</v>
      </c>
      <c r="N32" s="216">
        <f t="shared" si="5"/>
        <v>0</v>
      </c>
      <c r="O32" s="216">
        <f t="shared" si="5"/>
        <v>0</v>
      </c>
      <c r="P32" s="216">
        <f t="shared" si="5"/>
        <v>0</v>
      </c>
      <c r="Q32" s="216">
        <f t="shared" si="5"/>
        <v>0</v>
      </c>
      <c r="R32" s="216">
        <f t="shared" si="5"/>
        <v>0</v>
      </c>
      <c r="S32" s="216">
        <f t="shared" si="5"/>
        <v>0</v>
      </c>
      <c r="T32" s="215">
        <f t="shared" si="5"/>
        <v>0</v>
      </c>
      <c r="U32" s="216">
        <f t="shared" si="6"/>
        <v>0</v>
      </c>
      <c r="V32" s="216">
        <f t="shared" si="6"/>
        <v>0</v>
      </c>
      <c r="X32" s="215" t="str">
        <f t="shared" si="7"/>
        <v>OK</v>
      </c>
    </row>
    <row r="33" spans="1:24">
      <c r="A33" s="78"/>
      <c r="B33" s="110"/>
      <c r="C33" s="209"/>
      <c r="D33" s="211"/>
      <c r="E33" s="216"/>
      <c r="F33" s="216"/>
      <c r="G33" s="216"/>
      <c r="H33" s="216"/>
      <c r="I33" s="216"/>
      <c r="J33" s="216"/>
      <c r="K33" s="216"/>
      <c r="L33" s="216"/>
      <c r="M33" s="216"/>
      <c r="N33" s="216"/>
      <c r="O33" s="216"/>
      <c r="P33" s="216"/>
      <c r="Q33" s="216"/>
      <c r="R33" s="216"/>
      <c r="S33" s="216"/>
      <c r="T33" s="216"/>
      <c r="U33" s="216"/>
      <c r="V33" s="216"/>
      <c r="X33" s="215"/>
    </row>
    <row r="34" spans="1:24" ht="15.5" thickBot="1">
      <c r="A34" s="77" t="s">
        <v>1015</v>
      </c>
      <c r="B34" s="77"/>
      <c r="C34" s="210"/>
      <c r="D34" s="213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</row>
    <row r="35" spans="1:24">
      <c r="A35" s="78" t="s">
        <v>1016</v>
      </c>
      <c r="B35" s="110">
        <v>495000</v>
      </c>
      <c r="C35" s="209">
        <v>1</v>
      </c>
      <c r="D35" s="211">
        <v>16</v>
      </c>
      <c r="E35" s="218">
        <f t="shared" ref="E35:T36" si="8">$B35/$D35*(AND(E$6&gt;=$C35,E$6&lt;=$C35+$D35-1))</f>
        <v>30937.5</v>
      </c>
      <c r="F35" s="218">
        <f t="shared" si="8"/>
        <v>30937.5</v>
      </c>
      <c r="G35" s="218">
        <f t="shared" si="8"/>
        <v>30937.5</v>
      </c>
      <c r="H35" s="218">
        <f t="shared" si="8"/>
        <v>30937.5</v>
      </c>
      <c r="I35" s="218">
        <f t="shared" si="8"/>
        <v>30937.5</v>
      </c>
      <c r="J35" s="218">
        <f t="shared" si="8"/>
        <v>30937.5</v>
      </c>
      <c r="K35" s="218">
        <f t="shared" si="8"/>
        <v>30937.5</v>
      </c>
      <c r="L35" s="218">
        <f t="shared" si="8"/>
        <v>30937.5</v>
      </c>
      <c r="M35" s="218">
        <f t="shared" si="8"/>
        <v>30937.5</v>
      </c>
      <c r="N35" s="218">
        <f t="shared" si="8"/>
        <v>30937.5</v>
      </c>
      <c r="O35" s="218">
        <f t="shared" si="8"/>
        <v>30937.5</v>
      </c>
      <c r="P35" s="218">
        <f t="shared" si="8"/>
        <v>30937.5</v>
      </c>
      <c r="Q35" s="218">
        <f t="shared" si="8"/>
        <v>30937.5</v>
      </c>
      <c r="R35" s="218">
        <f t="shared" si="8"/>
        <v>30937.5</v>
      </c>
      <c r="S35" s="218">
        <f t="shared" si="8"/>
        <v>30937.5</v>
      </c>
      <c r="T35" s="218">
        <f t="shared" si="8"/>
        <v>30937.5</v>
      </c>
      <c r="U35" s="216">
        <f t="shared" ref="U35:V36" si="9">$B35/$D35*(AND(U$6&gt;=$C35,U$6&lt;=$C35+$D35-1))</f>
        <v>0</v>
      </c>
      <c r="V35" s="216">
        <f t="shared" si="9"/>
        <v>0</v>
      </c>
      <c r="X35" s="215" t="str">
        <f t="shared" ref="X35:X36" si="10">IF(SUM(E35:V35)=B35,"OK","ERROR")</f>
        <v>OK</v>
      </c>
    </row>
    <row r="36" spans="1:24">
      <c r="A36" s="78" t="s">
        <v>1017</v>
      </c>
      <c r="B36" s="110">
        <v>434500</v>
      </c>
      <c r="C36" s="209">
        <v>1</v>
      </c>
      <c r="D36" s="211">
        <v>18</v>
      </c>
      <c r="E36" s="218">
        <f t="shared" si="8"/>
        <v>24138.888888888891</v>
      </c>
      <c r="F36" s="218">
        <f t="shared" si="8"/>
        <v>24138.888888888891</v>
      </c>
      <c r="G36" s="218">
        <f t="shared" si="8"/>
        <v>24138.888888888891</v>
      </c>
      <c r="H36" s="218">
        <f t="shared" si="8"/>
        <v>24138.888888888891</v>
      </c>
      <c r="I36" s="218">
        <f t="shared" si="8"/>
        <v>24138.888888888891</v>
      </c>
      <c r="J36" s="218">
        <f t="shared" si="8"/>
        <v>24138.888888888891</v>
      </c>
      <c r="K36" s="218">
        <f t="shared" si="8"/>
        <v>24138.888888888891</v>
      </c>
      <c r="L36" s="218">
        <f t="shared" si="8"/>
        <v>24138.888888888891</v>
      </c>
      <c r="M36" s="218">
        <f t="shared" si="8"/>
        <v>24138.888888888891</v>
      </c>
      <c r="N36" s="218">
        <f t="shared" si="8"/>
        <v>24138.888888888891</v>
      </c>
      <c r="O36" s="218">
        <f t="shared" si="8"/>
        <v>24138.888888888891</v>
      </c>
      <c r="P36" s="218">
        <f t="shared" si="8"/>
        <v>24138.888888888891</v>
      </c>
      <c r="Q36" s="218">
        <f t="shared" si="8"/>
        <v>24138.888888888891</v>
      </c>
      <c r="R36" s="218">
        <f t="shared" si="8"/>
        <v>24138.888888888891</v>
      </c>
      <c r="S36" s="218">
        <f t="shared" si="8"/>
        <v>24138.888888888891</v>
      </c>
      <c r="T36" s="218">
        <f t="shared" si="8"/>
        <v>24138.888888888891</v>
      </c>
      <c r="U36" s="218">
        <f t="shared" si="9"/>
        <v>24138.888888888891</v>
      </c>
      <c r="V36" s="218">
        <f t="shared" si="9"/>
        <v>24138.888888888891</v>
      </c>
      <c r="X36" s="215" t="str">
        <f t="shared" si="10"/>
        <v>OK</v>
      </c>
    </row>
    <row r="37" spans="1:24">
      <c r="A37" s="78"/>
      <c r="B37" s="110"/>
      <c r="C37" s="209"/>
      <c r="D37" s="211"/>
      <c r="E37" s="216"/>
      <c r="F37" s="216"/>
      <c r="G37" s="216"/>
      <c r="H37" s="216"/>
      <c r="I37" s="216"/>
      <c r="J37" s="216"/>
      <c r="K37" s="216"/>
      <c r="L37" s="216"/>
      <c r="M37" s="216"/>
      <c r="N37" s="216"/>
      <c r="O37" s="216"/>
      <c r="P37" s="216"/>
      <c r="Q37" s="216"/>
      <c r="R37" s="216"/>
      <c r="S37" s="216"/>
      <c r="T37" s="216"/>
      <c r="U37" s="216"/>
      <c r="V37" s="216"/>
      <c r="X37" s="216"/>
    </row>
    <row r="38" spans="1:24">
      <c r="A38" s="78" t="s">
        <v>727</v>
      </c>
      <c r="B38" s="221">
        <f>RenoDuration</f>
        <v>0</v>
      </c>
      <c r="C38" s="209"/>
      <c r="D38" s="211"/>
      <c r="E38" s="216">
        <f>SUM(E8:E23,E26:E32,E35:E36)*$B38</f>
        <v>0</v>
      </c>
      <c r="F38" s="216">
        <f t="shared" ref="F38:V38" si="11">SUM(F8:F23,F26:F32,F35:F36)*$B38</f>
        <v>0</v>
      </c>
      <c r="G38" s="216">
        <f t="shared" si="11"/>
        <v>0</v>
      </c>
      <c r="H38" s="216">
        <f t="shared" si="11"/>
        <v>0</v>
      </c>
      <c r="I38" s="216">
        <f t="shared" si="11"/>
        <v>0</v>
      </c>
      <c r="J38" s="216">
        <f t="shared" si="11"/>
        <v>0</v>
      </c>
      <c r="K38" s="216">
        <f t="shared" si="11"/>
        <v>0</v>
      </c>
      <c r="L38" s="216">
        <f t="shared" si="11"/>
        <v>0</v>
      </c>
      <c r="M38" s="216">
        <f t="shared" si="11"/>
        <v>0</v>
      </c>
      <c r="N38" s="216">
        <f t="shared" si="11"/>
        <v>0</v>
      </c>
      <c r="O38" s="216">
        <f t="shared" si="11"/>
        <v>0</v>
      </c>
      <c r="P38" s="216">
        <f t="shared" si="11"/>
        <v>0</v>
      </c>
      <c r="Q38" s="216">
        <f t="shared" si="11"/>
        <v>0</v>
      </c>
      <c r="R38" s="216">
        <f t="shared" si="11"/>
        <v>0</v>
      </c>
      <c r="S38" s="216">
        <f t="shared" si="11"/>
        <v>0</v>
      </c>
      <c r="T38" s="216">
        <f t="shared" si="11"/>
        <v>0</v>
      </c>
      <c r="U38" s="216">
        <f t="shared" si="11"/>
        <v>0</v>
      </c>
      <c r="V38" s="216">
        <f t="shared" si="11"/>
        <v>0</v>
      </c>
    </row>
    <row r="39" spans="1:24">
      <c r="A39" s="219" t="s">
        <v>726</v>
      </c>
      <c r="B39" s="220">
        <f>SUM(E39:V39)</f>
        <v>7500000.0000000009</v>
      </c>
      <c r="C39" s="219"/>
      <c r="D39" s="219"/>
      <c r="E39" s="220">
        <f>SUM(E8:E23,E26:E38)</f>
        <v>75354.166666666672</v>
      </c>
      <c r="F39" s="220">
        <f t="shared" ref="F39:V39" si="12">SUM(F8:F23,F26:F38)</f>
        <v>157854.16666666669</v>
      </c>
      <c r="G39" s="220">
        <f t="shared" si="12"/>
        <v>167304.16666666669</v>
      </c>
      <c r="H39" s="220">
        <f t="shared" si="12"/>
        <v>198454.16666666669</v>
      </c>
      <c r="I39" s="220">
        <f t="shared" si="12"/>
        <v>221020.83333333331</v>
      </c>
      <c r="J39" s="220">
        <f t="shared" si="12"/>
        <v>488820.83333333337</v>
      </c>
      <c r="K39" s="220">
        <f t="shared" si="12"/>
        <v>509737.5</v>
      </c>
      <c r="L39" s="220">
        <f t="shared" si="12"/>
        <v>725454.16666666674</v>
      </c>
      <c r="M39" s="220">
        <f t="shared" si="12"/>
        <v>722854.16666666674</v>
      </c>
      <c r="N39" s="220">
        <f t="shared" si="12"/>
        <v>1032187.5</v>
      </c>
      <c r="O39" s="220">
        <f t="shared" si="12"/>
        <v>1016020.8333333334</v>
      </c>
      <c r="P39" s="220">
        <f t="shared" si="12"/>
        <v>675020.83333333337</v>
      </c>
      <c r="Q39" s="220">
        <f t="shared" si="12"/>
        <v>675020.83333333337</v>
      </c>
      <c r="R39" s="220">
        <f t="shared" si="12"/>
        <v>335354.16666666663</v>
      </c>
      <c r="S39" s="220">
        <f t="shared" si="12"/>
        <v>335354.16666666663</v>
      </c>
      <c r="T39" s="220">
        <f t="shared" si="12"/>
        <v>75354.166666666672</v>
      </c>
      <c r="U39" s="220">
        <f t="shared" si="12"/>
        <v>44416.666666666672</v>
      </c>
      <c r="V39" s="220">
        <f t="shared" si="12"/>
        <v>44416.666666666672</v>
      </c>
      <c r="X39" s="215" t="str">
        <f t="shared" ref="X39" si="13">IF(SUM(E39:V39)=B39,"OK","ERROR")</f>
        <v>OK</v>
      </c>
    </row>
    <row r="40" spans="1:24">
      <c r="E40" s="216"/>
      <c r="F40" s="216"/>
      <c r="G40" s="216"/>
      <c r="H40" s="216"/>
      <c r="I40" s="216"/>
      <c r="J40" s="216"/>
      <c r="K40" s="216"/>
      <c r="L40" s="216"/>
      <c r="M40" s="216"/>
      <c r="N40" s="216"/>
      <c r="O40" s="216"/>
      <c r="P40" s="216"/>
      <c r="Q40" s="216"/>
      <c r="R40" s="216"/>
      <c r="S40" s="216"/>
      <c r="T40" s="216"/>
      <c r="U40" s="216"/>
      <c r="V40" s="216"/>
    </row>
    <row r="41" spans="1:24">
      <c r="E41" s="216"/>
      <c r="F41" s="216"/>
      <c r="G41" s="216"/>
      <c r="H41" s="216"/>
      <c r="I41" s="216"/>
      <c r="J41" s="216"/>
      <c r="K41" s="216"/>
      <c r="L41" s="216"/>
      <c r="M41" s="216"/>
      <c r="N41" s="216"/>
      <c r="O41" s="216"/>
      <c r="P41" s="216"/>
      <c r="Q41" s="216"/>
      <c r="R41" s="216"/>
      <c r="S41" s="216"/>
      <c r="T41" s="216"/>
      <c r="U41" s="216"/>
      <c r="V41" s="216"/>
    </row>
    <row r="42" spans="1:24" ht="15.5" thickBot="1">
      <c r="A42" s="77" t="s">
        <v>718</v>
      </c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</row>
    <row r="43" spans="1:24">
      <c r="A43" s="269" t="s">
        <v>719</v>
      </c>
      <c r="B43" s="269"/>
      <c r="C43" s="269"/>
      <c r="D43" s="269"/>
      <c r="E43" s="269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  <c r="V43" s="269"/>
    </row>
    <row r="44" spans="1:24">
      <c r="A44" s="269" t="s">
        <v>1028</v>
      </c>
      <c r="B44" s="269"/>
      <c r="C44" s="269"/>
      <c r="D44" s="269"/>
      <c r="E44" s="26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  <c r="V44" s="269"/>
    </row>
    <row r="45" spans="1:24">
      <c r="A45" s="269" t="s">
        <v>720</v>
      </c>
      <c r="B45" s="269"/>
      <c r="C45" s="269"/>
      <c r="D45" s="269"/>
      <c r="E45" s="269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  <c r="V45" s="269"/>
    </row>
    <row r="46" spans="1:24">
      <c r="A46" s="269" t="s">
        <v>721</v>
      </c>
      <c r="B46" s="269"/>
      <c r="C46" s="269"/>
      <c r="D46" s="269"/>
      <c r="E46" s="26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  <c r="V46" s="269"/>
    </row>
    <row r="47" spans="1:24">
      <c r="A47" s="269" t="s">
        <v>725</v>
      </c>
      <c r="B47" s="269"/>
      <c r="C47" s="269"/>
      <c r="D47" s="269"/>
      <c r="E47" s="269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  <c r="V47" s="269"/>
    </row>
    <row r="48" spans="1:24">
      <c r="A48" s="269" t="s">
        <v>722</v>
      </c>
      <c r="B48" s="269"/>
      <c r="C48" s="269"/>
      <c r="D48" s="269"/>
      <c r="E48" s="269"/>
      <c r="F48" s="269"/>
      <c r="G48" s="269"/>
      <c r="H48" s="269"/>
      <c r="I48" s="269"/>
      <c r="J48" s="269"/>
      <c r="K48" s="269"/>
      <c r="L48" s="269"/>
      <c r="M48" s="269"/>
      <c r="N48" s="269"/>
      <c r="O48" s="269"/>
      <c r="P48" s="269"/>
      <c r="Q48" s="269"/>
      <c r="R48" s="269"/>
      <c r="S48" s="269"/>
      <c r="T48" s="269"/>
      <c r="U48" s="269"/>
      <c r="V48" s="269"/>
    </row>
    <row r="49" spans="1:22">
      <c r="A49" s="269" t="s">
        <v>723</v>
      </c>
      <c r="B49" s="269"/>
      <c r="C49" s="269"/>
      <c r="D49" s="269"/>
      <c r="E49" s="269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  <c r="V49" s="269"/>
    </row>
  </sheetData>
  <mergeCells count="7">
    <mergeCell ref="A48:V48"/>
    <mergeCell ref="A49:V49"/>
    <mergeCell ref="A43:V43"/>
    <mergeCell ref="A44:V44"/>
    <mergeCell ref="A45:V45"/>
    <mergeCell ref="A46:V46"/>
    <mergeCell ref="A47:V4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C0CDA-7919-45A3-985D-D92280E6ED0F}">
  <sheetPr>
    <tabColor rgb="FFED7D31"/>
  </sheetPr>
  <dimension ref="A1:BM91"/>
  <sheetViews>
    <sheetView showGridLines="0" zoomScale="85" zoomScaleNormal="85" workbookViewId="0">
      <pane xSplit="3" ySplit="5" topLeftCell="D57" activePane="bottomRight" state="frozen"/>
      <selection pane="topRight" activeCell="D1" sqref="D1"/>
      <selection pane="bottomLeft" activeCell="A6" sqref="A6"/>
      <selection pane="bottomRight" activeCell="B72" sqref="B72"/>
    </sheetView>
  </sheetViews>
  <sheetFormatPr defaultRowHeight="14.75"/>
  <cols>
    <col min="1" max="1" width="43.6328125" customWidth="1"/>
    <col min="2" max="2" width="14.54296875" customWidth="1"/>
    <col min="3" max="3" width="9.08984375" customWidth="1"/>
    <col min="4" max="64" width="12.36328125" customWidth="1"/>
  </cols>
  <sheetData>
    <row r="1" spans="1:64" ht="17.25">
      <c r="A1" s="41" t="s">
        <v>622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125"/>
      <c r="AF1" s="125"/>
      <c r="AG1" s="125"/>
      <c r="AH1" s="125"/>
      <c r="AI1" s="125"/>
      <c r="AJ1" s="125"/>
      <c r="AK1" s="125"/>
      <c r="AL1" s="125"/>
      <c r="AM1" s="125"/>
      <c r="AN1" s="125"/>
      <c r="AO1" s="125"/>
      <c r="AP1" s="125"/>
      <c r="AQ1" s="125"/>
      <c r="AR1" s="125"/>
      <c r="AS1" s="125"/>
      <c r="AT1" s="125"/>
      <c r="AU1" s="125"/>
      <c r="AV1" s="125"/>
      <c r="AW1" s="125"/>
      <c r="AX1" s="125"/>
      <c r="AY1" s="125"/>
      <c r="AZ1" s="125"/>
      <c r="BA1" s="125"/>
      <c r="BB1" s="125"/>
      <c r="BC1" s="125"/>
      <c r="BD1" s="125"/>
      <c r="BE1" s="125"/>
      <c r="BF1" s="125"/>
      <c r="BG1" s="125"/>
      <c r="BH1" s="125"/>
      <c r="BI1" s="125"/>
      <c r="BJ1" s="125"/>
      <c r="BK1" s="125"/>
      <c r="BL1" s="125"/>
    </row>
    <row r="2" spans="1:64">
      <c r="A2" s="193" t="s">
        <v>693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25"/>
      <c r="AH2" s="125"/>
      <c r="AI2" s="125"/>
      <c r="AJ2" s="125"/>
      <c r="AK2" s="125"/>
      <c r="AL2" s="125"/>
      <c r="AM2" s="125"/>
      <c r="AN2" s="125"/>
      <c r="AO2" s="125"/>
      <c r="AP2" s="125"/>
      <c r="AQ2" s="125"/>
      <c r="AR2" s="125"/>
      <c r="AS2" s="125"/>
      <c r="AT2" s="125"/>
      <c r="AU2" s="125"/>
      <c r="AV2" s="125"/>
      <c r="AW2" s="125"/>
      <c r="AX2" s="125"/>
      <c r="AY2" s="125"/>
      <c r="AZ2" s="125"/>
      <c r="BA2" s="125"/>
      <c r="BB2" s="125"/>
      <c r="BC2" s="125"/>
      <c r="BD2" s="125"/>
      <c r="BE2" s="125"/>
      <c r="BF2" s="125"/>
      <c r="BG2" s="125"/>
      <c r="BH2" s="125"/>
      <c r="BI2" s="125"/>
      <c r="BJ2" s="125"/>
      <c r="BK2" s="125"/>
      <c r="BL2" s="125"/>
    </row>
    <row r="3" spans="1:64">
      <c r="A3" s="194" t="s">
        <v>201</v>
      </c>
      <c r="B3" s="194"/>
      <c r="C3" s="194"/>
      <c r="D3" s="195">
        <f>'Property Cash Flow'!L3</f>
        <v>0</v>
      </c>
      <c r="E3" s="195">
        <f>'Property Cash Flow'!M3</f>
        <v>1</v>
      </c>
      <c r="F3" s="195">
        <f>'Property Cash Flow'!N3</f>
        <v>1</v>
      </c>
      <c r="G3" s="195">
        <f>'Property Cash Flow'!O3</f>
        <v>1</v>
      </c>
      <c r="H3" s="195">
        <f>'Property Cash Flow'!P3</f>
        <v>1</v>
      </c>
      <c r="I3" s="195">
        <f>'Property Cash Flow'!Q3</f>
        <v>1</v>
      </c>
      <c r="J3" s="195">
        <f>'Property Cash Flow'!R3</f>
        <v>1</v>
      </c>
      <c r="K3" s="195">
        <f>'Property Cash Flow'!S3</f>
        <v>1</v>
      </c>
      <c r="L3" s="195">
        <f>'Property Cash Flow'!T3</f>
        <v>1</v>
      </c>
      <c r="M3" s="195">
        <f>'Property Cash Flow'!U3</f>
        <v>1</v>
      </c>
      <c r="N3" s="195">
        <f>'Property Cash Flow'!V3</f>
        <v>1</v>
      </c>
      <c r="O3" s="195">
        <f>'Property Cash Flow'!W3</f>
        <v>1</v>
      </c>
      <c r="P3" s="195">
        <f>'Property Cash Flow'!X3</f>
        <v>1</v>
      </c>
      <c r="Q3" s="195">
        <f>'Property Cash Flow'!Y3</f>
        <v>2</v>
      </c>
      <c r="R3" s="195">
        <f>'Property Cash Flow'!Z3</f>
        <v>2</v>
      </c>
      <c r="S3" s="195">
        <f>'Property Cash Flow'!AA3</f>
        <v>2</v>
      </c>
      <c r="T3" s="195">
        <f>'Property Cash Flow'!AB3</f>
        <v>2</v>
      </c>
      <c r="U3" s="195">
        <f>'Property Cash Flow'!AC3</f>
        <v>2</v>
      </c>
      <c r="V3" s="195">
        <f>'Property Cash Flow'!AD3</f>
        <v>2</v>
      </c>
      <c r="W3" s="195">
        <f>'Property Cash Flow'!AE3</f>
        <v>2</v>
      </c>
      <c r="X3" s="195">
        <f>'Property Cash Flow'!AF3</f>
        <v>2</v>
      </c>
      <c r="Y3" s="195">
        <f>'Property Cash Flow'!AG3</f>
        <v>2</v>
      </c>
      <c r="Z3" s="195">
        <f>'Property Cash Flow'!AH3</f>
        <v>2</v>
      </c>
      <c r="AA3" s="195">
        <f>'Property Cash Flow'!AI3</f>
        <v>2</v>
      </c>
      <c r="AB3" s="195">
        <f>'Property Cash Flow'!AJ3</f>
        <v>2</v>
      </c>
      <c r="AC3" s="195">
        <f>'Property Cash Flow'!AK3</f>
        <v>3</v>
      </c>
      <c r="AD3" s="195">
        <f>'Property Cash Flow'!AL3</f>
        <v>3</v>
      </c>
      <c r="AE3" s="195">
        <f>'Property Cash Flow'!AM3</f>
        <v>3</v>
      </c>
      <c r="AF3" s="195">
        <f>'Property Cash Flow'!AN3</f>
        <v>3</v>
      </c>
      <c r="AG3" s="195">
        <f>'Property Cash Flow'!AO3</f>
        <v>3</v>
      </c>
      <c r="AH3" s="195">
        <f>'Property Cash Flow'!AP3</f>
        <v>3</v>
      </c>
      <c r="AI3" s="195">
        <f>'Property Cash Flow'!AQ3</f>
        <v>3</v>
      </c>
      <c r="AJ3" s="195">
        <f>'Property Cash Flow'!AR3</f>
        <v>3</v>
      </c>
      <c r="AK3" s="195">
        <f>'Property Cash Flow'!AS3</f>
        <v>3</v>
      </c>
      <c r="AL3" s="195">
        <f>'Property Cash Flow'!AT3</f>
        <v>3</v>
      </c>
      <c r="AM3" s="195">
        <f>'Property Cash Flow'!AU3</f>
        <v>3</v>
      </c>
      <c r="AN3" s="195">
        <f>'Property Cash Flow'!AV3</f>
        <v>3</v>
      </c>
      <c r="AO3" s="195">
        <f>'Property Cash Flow'!AW3</f>
        <v>4</v>
      </c>
      <c r="AP3" s="195">
        <f>'Property Cash Flow'!AX3</f>
        <v>4</v>
      </c>
      <c r="AQ3" s="195">
        <f>'Property Cash Flow'!AY3</f>
        <v>4</v>
      </c>
      <c r="AR3" s="195">
        <f>'Property Cash Flow'!AZ3</f>
        <v>4</v>
      </c>
      <c r="AS3" s="195">
        <f>'Property Cash Flow'!BA3</f>
        <v>4</v>
      </c>
      <c r="AT3" s="195">
        <f>'Property Cash Flow'!BB3</f>
        <v>4</v>
      </c>
      <c r="AU3" s="195">
        <f>'Property Cash Flow'!BC3</f>
        <v>4</v>
      </c>
      <c r="AV3" s="195">
        <f>'Property Cash Flow'!BD3</f>
        <v>4</v>
      </c>
      <c r="AW3" s="195">
        <f>'Property Cash Flow'!BE3</f>
        <v>4</v>
      </c>
      <c r="AX3" s="195">
        <f>'Property Cash Flow'!BF3</f>
        <v>4</v>
      </c>
      <c r="AY3" s="195">
        <f>'Property Cash Flow'!BG3</f>
        <v>4</v>
      </c>
      <c r="AZ3" s="195">
        <f>'Property Cash Flow'!BH3</f>
        <v>4</v>
      </c>
      <c r="BA3" s="195">
        <f>'Property Cash Flow'!BI3</f>
        <v>5</v>
      </c>
      <c r="BB3" s="195">
        <f>'Property Cash Flow'!BJ3</f>
        <v>5</v>
      </c>
      <c r="BC3" s="195">
        <f>'Property Cash Flow'!BK3</f>
        <v>5</v>
      </c>
      <c r="BD3" s="195">
        <f>'Property Cash Flow'!BL3</f>
        <v>5</v>
      </c>
      <c r="BE3" s="195">
        <f>'Property Cash Flow'!BM3</f>
        <v>5</v>
      </c>
      <c r="BF3" s="195">
        <f>'Property Cash Flow'!BN3</f>
        <v>5</v>
      </c>
      <c r="BG3" s="195">
        <f>'Property Cash Flow'!BO3</f>
        <v>5</v>
      </c>
      <c r="BH3" s="195">
        <f>'Property Cash Flow'!BP3</f>
        <v>5</v>
      </c>
      <c r="BI3" s="195">
        <f>'Property Cash Flow'!BQ3</f>
        <v>5</v>
      </c>
      <c r="BJ3" s="195">
        <f>'Property Cash Flow'!BR3</f>
        <v>5</v>
      </c>
      <c r="BK3" s="195">
        <f>'Property Cash Flow'!BS3</f>
        <v>5</v>
      </c>
      <c r="BL3" s="195">
        <f>'Property Cash Flow'!BT3</f>
        <v>5</v>
      </c>
    </row>
    <row r="4" spans="1:64">
      <c r="A4" s="194" t="s">
        <v>51</v>
      </c>
      <c r="B4" s="194"/>
      <c r="C4" s="194"/>
      <c r="D4" s="196">
        <f>'Property Cash Flow'!L4</f>
        <v>0</v>
      </c>
      <c r="E4" s="196">
        <f>'Property Cash Flow'!M4</f>
        <v>1</v>
      </c>
      <c r="F4" s="196">
        <f>'Property Cash Flow'!N4</f>
        <v>2</v>
      </c>
      <c r="G4" s="196">
        <f>'Property Cash Flow'!O4</f>
        <v>3</v>
      </c>
      <c r="H4" s="196">
        <f>'Property Cash Flow'!P4</f>
        <v>4</v>
      </c>
      <c r="I4" s="196">
        <f>'Property Cash Flow'!Q4</f>
        <v>5</v>
      </c>
      <c r="J4" s="196">
        <f>'Property Cash Flow'!R4</f>
        <v>6</v>
      </c>
      <c r="K4" s="196">
        <f>'Property Cash Flow'!S4</f>
        <v>7</v>
      </c>
      <c r="L4" s="196">
        <f>'Property Cash Flow'!T4</f>
        <v>8</v>
      </c>
      <c r="M4" s="196">
        <f>'Property Cash Flow'!U4</f>
        <v>9</v>
      </c>
      <c r="N4" s="196">
        <f>'Property Cash Flow'!V4</f>
        <v>10</v>
      </c>
      <c r="O4" s="196">
        <f>'Property Cash Flow'!W4</f>
        <v>11</v>
      </c>
      <c r="P4" s="196">
        <f>'Property Cash Flow'!X4</f>
        <v>12</v>
      </c>
      <c r="Q4" s="196">
        <f>'Property Cash Flow'!Y4</f>
        <v>13</v>
      </c>
      <c r="R4" s="196">
        <f>'Property Cash Flow'!Z4</f>
        <v>14</v>
      </c>
      <c r="S4" s="196">
        <f>'Property Cash Flow'!AA4</f>
        <v>15</v>
      </c>
      <c r="T4" s="196">
        <f>'Property Cash Flow'!AB4</f>
        <v>16</v>
      </c>
      <c r="U4" s="196">
        <f>'Property Cash Flow'!AC4</f>
        <v>17</v>
      </c>
      <c r="V4" s="196">
        <f>'Property Cash Flow'!AD4</f>
        <v>18</v>
      </c>
      <c r="W4" s="196">
        <f>'Property Cash Flow'!AE4</f>
        <v>19</v>
      </c>
      <c r="X4" s="196">
        <f>'Property Cash Flow'!AF4</f>
        <v>20</v>
      </c>
      <c r="Y4" s="196">
        <f>'Property Cash Flow'!AG4</f>
        <v>21</v>
      </c>
      <c r="Z4" s="196">
        <f>'Property Cash Flow'!AH4</f>
        <v>22</v>
      </c>
      <c r="AA4" s="196">
        <f>'Property Cash Flow'!AI4</f>
        <v>23</v>
      </c>
      <c r="AB4" s="196">
        <f>'Property Cash Flow'!AJ4</f>
        <v>24</v>
      </c>
      <c r="AC4" s="196">
        <f>'Property Cash Flow'!AK4</f>
        <v>25</v>
      </c>
      <c r="AD4" s="196">
        <f>'Property Cash Flow'!AL4</f>
        <v>26</v>
      </c>
      <c r="AE4" s="196">
        <f>'Property Cash Flow'!AM4</f>
        <v>27</v>
      </c>
      <c r="AF4" s="196">
        <f>'Property Cash Flow'!AN4</f>
        <v>28</v>
      </c>
      <c r="AG4" s="196">
        <f>'Property Cash Flow'!AO4</f>
        <v>29</v>
      </c>
      <c r="AH4" s="196">
        <f>'Property Cash Flow'!AP4</f>
        <v>30</v>
      </c>
      <c r="AI4" s="196">
        <f>'Property Cash Flow'!AQ4</f>
        <v>31</v>
      </c>
      <c r="AJ4" s="196">
        <f>'Property Cash Flow'!AR4</f>
        <v>32</v>
      </c>
      <c r="AK4" s="196">
        <f>'Property Cash Flow'!AS4</f>
        <v>33</v>
      </c>
      <c r="AL4" s="196">
        <f>'Property Cash Flow'!AT4</f>
        <v>34</v>
      </c>
      <c r="AM4" s="196">
        <f>'Property Cash Flow'!AU4</f>
        <v>35</v>
      </c>
      <c r="AN4" s="196">
        <f>'Property Cash Flow'!AV4</f>
        <v>36</v>
      </c>
      <c r="AO4" s="196">
        <f>'Property Cash Flow'!AW4</f>
        <v>37</v>
      </c>
      <c r="AP4" s="196">
        <f>'Property Cash Flow'!AX4</f>
        <v>38</v>
      </c>
      <c r="AQ4" s="196">
        <f>'Property Cash Flow'!AY4</f>
        <v>39</v>
      </c>
      <c r="AR4" s="196">
        <f>'Property Cash Flow'!AZ4</f>
        <v>40</v>
      </c>
      <c r="AS4" s="196">
        <f>'Property Cash Flow'!BA4</f>
        <v>41</v>
      </c>
      <c r="AT4" s="196">
        <f>'Property Cash Flow'!BB4</f>
        <v>42</v>
      </c>
      <c r="AU4" s="196">
        <f>'Property Cash Flow'!BC4</f>
        <v>43</v>
      </c>
      <c r="AV4" s="196">
        <f>'Property Cash Flow'!BD4</f>
        <v>44</v>
      </c>
      <c r="AW4" s="196">
        <f>'Property Cash Flow'!BE4</f>
        <v>45</v>
      </c>
      <c r="AX4" s="196">
        <f>'Property Cash Flow'!BF4</f>
        <v>46</v>
      </c>
      <c r="AY4" s="196">
        <f>'Property Cash Flow'!BG4</f>
        <v>47</v>
      </c>
      <c r="AZ4" s="196">
        <f>'Property Cash Flow'!BH4</f>
        <v>48</v>
      </c>
      <c r="BA4" s="196">
        <f>'Property Cash Flow'!BI4</f>
        <v>49</v>
      </c>
      <c r="BB4" s="196">
        <f>'Property Cash Flow'!BJ4</f>
        <v>50</v>
      </c>
      <c r="BC4" s="196">
        <f>'Property Cash Flow'!BK4</f>
        <v>51</v>
      </c>
      <c r="BD4" s="196">
        <f>'Property Cash Flow'!BL4</f>
        <v>52</v>
      </c>
      <c r="BE4" s="196">
        <f>'Property Cash Flow'!BM4</f>
        <v>53</v>
      </c>
      <c r="BF4" s="196">
        <f>'Property Cash Flow'!BN4</f>
        <v>54</v>
      </c>
      <c r="BG4" s="196">
        <f>'Property Cash Flow'!BO4</f>
        <v>55</v>
      </c>
      <c r="BH4" s="196">
        <f>'Property Cash Flow'!BP4</f>
        <v>56</v>
      </c>
      <c r="BI4" s="196">
        <f>'Property Cash Flow'!BQ4</f>
        <v>57</v>
      </c>
      <c r="BJ4" s="196">
        <f>'Property Cash Flow'!BR4</f>
        <v>58</v>
      </c>
      <c r="BK4" s="196">
        <f>'Property Cash Flow'!BS4</f>
        <v>59</v>
      </c>
      <c r="BL4" s="196">
        <f>'Property Cash Flow'!BT4</f>
        <v>60</v>
      </c>
    </row>
    <row r="5" spans="1:64">
      <c r="A5" s="194" t="s">
        <v>155</v>
      </c>
      <c r="B5" s="194"/>
      <c r="C5" s="194"/>
      <c r="D5" s="197">
        <f>'Property Cash Flow'!L5</f>
        <v>46265</v>
      </c>
      <c r="E5" s="197">
        <f>'Property Cash Flow'!M5</f>
        <v>46295</v>
      </c>
      <c r="F5" s="197">
        <f>'Property Cash Flow'!N5</f>
        <v>46326</v>
      </c>
      <c r="G5" s="197">
        <f>'Property Cash Flow'!O5</f>
        <v>46356</v>
      </c>
      <c r="H5" s="197">
        <f>'Property Cash Flow'!P5</f>
        <v>46387</v>
      </c>
      <c r="I5" s="197">
        <f>'Property Cash Flow'!Q5</f>
        <v>46418</v>
      </c>
      <c r="J5" s="197">
        <f>'Property Cash Flow'!R5</f>
        <v>46446</v>
      </c>
      <c r="K5" s="197">
        <f>'Property Cash Flow'!S5</f>
        <v>46477</v>
      </c>
      <c r="L5" s="197">
        <f>'Property Cash Flow'!T5</f>
        <v>46507</v>
      </c>
      <c r="M5" s="197">
        <f>'Property Cash Flow'!U5</f>
        <v>46538</v>
      </c>
      <c r="N5" s="197">
        <f>'Property Cash Flow'!V5</f>
        <v>46568</v>
      </c>
      <c r="O5" s="197">
        <f>'Property Cash Flow'!W5</f>
        <v>46599</v>
      </c>
      <c r="P5" s="197">
        <f>'Property Cash Flow'!X5</f>
        <v>46630</v>
      </c>
      <c r="Q5" s="197">
        <f>'Property Cash Flow'!Y5</f>
        <v>46660</v>
      </c>
      <c r="R5" s="197">
        <f>'Property Cash Flow'!Z5</f>
        <v>46691</v>
      </c>
      <c r="S5" s="197">
        <f>'Property Cash Flow'!AA5</f>
        <v>46721</v>
      </c>
      <c r="T5" s="197">
        <f>'Property Cash Flow'!AB5</f>
        <v>46752</v>
      </c>
      <c r="U5" s="197">
        <f>'Property Cash Flow'!AC5</f>
        <v>46783</v>
      </c>
      <c r="V5" s="197">
        <f>'Property Cash Flow'!AD5</f>
        <v>46812</v>
      </c>
      <c r="W5" s="197">
        <f>'Property Cash Flow'!AE5</f>
        <v>46843</v>
      </c>
      <c r="X5" s="197">
        <f>'Property Cash Flow'!AF5</f>
        <v>46873</v>
      </c>
      <c r="Y5" s="197">
        <f>'Property Cash Flow'!AG5</f>
        <v>46904</v>
      </c>
      <c r="Z5" s="197">
        <f>'Property Cash Flow'!AH5</f>
        <v>46934</v>
      </c>
      <c r="AA5" s="197">
        <f>'Property Cash Flow'!AI5</f>
        <v>46965</v>
      </c>
      <c r="AB5" s="197">
        <f>'Property Cash Flow'!AJ5</f>
        <v>46996</v>
      </c>
      <c r="AC5" s="197">
        <f>'Property Cash Flow'!AK5</f>
        <v>47026</v>
      </c>
      <c r="AD5" s="197">
        <f>'Property Cash Flow'!AL5</f>
        <v>47057</v>
      </c>
      <c r="AE5" s="197">
        <f>'Property Cash Flow'!AM5</f>
        <v>47087</v>
      </c>
      <c r="AF5" s="197">
        <f>'Property Cash Flow'!AN5</f>
        <v>47118</v>
      </c>
      <c r="AG5" s="197">
        <f>'Property Cash Flow'!AO5</f>
        <v>47149</v>
      </c>
      <c r="AH5" s="197">
        <f>'Property Cash Flow'!AP5</f>
        <v>47177</v>
      </c>
      <c r="AI5" s="197">
        <f>'Property Cash Flow'!AQ5</f>
        <v>47208</v>
      </c>
      <c r="AJ5" s="197">
        <f>'Property Cash Flow'!AR5</f>
        <v>47238</v>
      </c>
      <c r="AK5" s="197">
        <f>'Property Cash Flow'!AS5</f>
        <v>47269</v>
      </c>
      <c r="AL5" s="197">
        <f>'Property Cash Flow'!AT5</f>
        <v>47299</v>
      </c>
      <c r="AM5" s="197">
        <f>'Property Cash Flow'!AU5</f>
        <v>47330</v>
      </c>
      <c r="AN5" s="197">
        <f>'Property Cash Flow'!AV5</f>
        <v>47361</v>
      </c>
      <c r="AO5" s="197">
        <f>'Property Cash Flow'!AW5</f>
        <v>47391</v>
      </c>
      <c r="AP5" s="197">
        <f>'Property Cash Flow'!AX5</f>
        <v>47422</v>
      </c>
      <c r="AQ5" s="197">
        <f>'Property Cash Flow'!AY5</f>
        <v>47452</v>
      </c>
      <c r="AR5" s="197">
        <f>'Property Cash Flow'!AZ5</f>
        <v>47483</v>
      </c>
      <c r="AS5" s="197">
        <f>'Property Cash Flow'!BA5</f>
        <v>47514</v>
      </c>
      <c r="AT5" s="197">
        <f>'Property Cash Flow'!BB5</f>
        <v>47542</v>
      </c>
      <c r="AU5" s="197">
        <f>'Property Cash Flow'!BC5</f>
        <v>47573</v>
      </c>
      <c r="AV5" s="197">
        <f>'Property Cash Flow'!BD5</f>
        <v>47603</v>
      </c>
      <c r="AW5" s="197">
        <f>'Property Cash Flow'!BE5</f>
        <v>47634</v>
      </c>
      <c r="AX5" s="197">
        <f>'Property Cash Flow'!BF5</f>
        <v>47664</v>
      </c>
      <c r="AY5" s="197">
        <f>'Property Cash Flow'!BG5</f>
        <v>47695</v>
      </c>
      <c r="AZ5" s="197">
        <f>'Property Cash Flow'!BH5</f>
        <v>47726</v>
      </c>
      <c r="BA5" s="197">
        <f>'Property Cash Flow'!BI5</f>
        <v>47756</v>
      </c>
      <c r="BB5" s="197">
        <f>'Property Cash Flow'!BJ5</f>
        <v>47787</v>
      </c>
      <c r="BC5" s="197">
        <f>'Property Cash Flow'!BK5</f>
        <v>47817</v>
      </c>
      <c r="BD5" s="197">
        <f>'Property Cash Flow'!BL5</f>
        <v>47848</v>
      </c>
      <c r="BE5" s="197">
        <f>'Property Cash Flow'!BM5</f>
        <v>47879</v>
      </c>
      <c r="BF5" s="197">
        <f>'Property Cash Flow'!BN5</f>
        <v>47907</v>
      </c>
      <c r="BG5" s="197">
        <f>'Property Cash Flow'!BO5</f>
        <v>47938</v>
      </c>
      <c r="BH5" s="197">
        <f>'Property Cash Flow'!BP5</f>
        <v>47968</v>
      </c>
      <c r="BI5" s="197">
        <f>'Property Cash Flow'!BQ5</f>
        <v>47999</v>
      </c>
      <c r="BJ5" s="197">
        <f>'Property Cash Flow'!BR5</f>
        <v>48029</v>
      </c>
      <c r="BK5" s="197">
        <f>'Property Cash Flow'!BS5</f>
        <v>48060</v>
      </c>
      <c r="BL5" s="197">
        <f>'Property Cash Flow'!BT5</f>
        <v>48091</v>
      </c>
    </row>
    <row r="6" spans="1:64">
      <c r="A6" s="125"/>
      <c r="B6" s="125"/>
      <c r="C6" s="125"/>
      <c r="D6" s="125"/>
      <c r="E6" s="125"/>
      <c r="F6" s="125"/>
      <c r="G6" s="125"/>
      <c r="H6" s="125"/>
      <c r="I6" s="125"/>
      <c r="J6" s="125"/>
      <c r="K6" s="125"/>
      <c r="L6" s="125"/>
      <c r="M6" s="125"/>
      <c r="N6" s="125"/>
      <c r="O6" s="125"/>
      <c r="P6" s="125"/>
      <c r="Q6" s="125"/>
      <c r="R6" s="125"/>
      <c r="S6" s="125"/>
      <c r="T6" s="125"/>
      <c r="U6" s="125"/>
      <c r="V6" s="125"/>
      <c r="W6" s="125"/>
      <c r="X6" s="125"/>
      <c r="Y6" s="125"/>
      <c r="Z6" s="125"/>
      <c r="AA6" s="125"/>
      <c r="AB6" s="125"/>
      <c r="AC6" s="125"/>
      <c r="AD6" s="125"/>
      <c r="AE6" s="125"/>
      <c r="AF6" s="125"/>
      <c r="AG6" s="125"/>
      <c r="AH6" s="125"/>
      <c r="AI6" s="125"/>
      <c r="AJ6" s="125"/>
      <c r="AK6" s="125"/>
      <c r="AL6" s="125"/>
      <c r="AM6" s="125"/>
      <c r="AN6" s="125"/>
      <c r="AO6" s="125"/>
      <c r="AP6" s="125"/>
      <c r="AQ6" s="125"/>
      <c r="AR6" s="125"/>
      <c r="AS6" s="125"/>
      <c r="AT6" s="125"/>
      <c r="AU6" s="125"/>
      <c r="AV6" s="125"/>
      <c r="AW6" s="125"/>
      <c r="AX6" s="125"/>
      <c r="AY6" s="125"/>
      <c r="AZ6" s="125"/>
      <c r="BA6" s="125"/>
      <c r="BB6" s="125"/>
      <c r="BC6" s="125"/>
      <c r="BD6" s="125"/>
      <c r="BE6" s="125"/>
      <c r="BF6" s="125"/>
      <c r="BG6" s="125"/>
      <c r="BH6" s="125"/>
      <c r="BI6" s="125"/>
      <c r="BJ6" s="125"/>
      <c r="BK6" s="125"/>
      <c r="BL6" s="125"/>
    </row>
    <row r="7" spans="1:64">
      <c r="A7" s="198" t="s">
        <v>623</v>
      </c>
      <c r="B7" s="198"/>
      <c r="C7" s="198"/>
      <c r="D7" s="198"/>
      <c r="E7" s="198"/>
      <c r="F7" s="198"/>
      <c r="G7" s="198"/>
      <c r="H7" s="198"/>
      <c r="I7" s="198"/>
      <c r="J7" s="198"/>
      <c r="K7" s="198"/>
      <c r="L7" s="198"/>
      <c r="M7" s="198"/>
      <c r="N7" s="198"/>
      <c r="O7" s="198"/>
      <c r="P7" s="198"/>
      <c r="Q7" s="198"/>
      <c r="R7" s="198"/>
      <c r="S7" s="198"/>
      <c r="T7" s="198"/>
      <c r="U7" s="198"/>
      <c r="V7" s="198"/>
      <c r="W7" s="198"/>
      <c r="X7" s="198"/>
      <c r="Y7" s="198"/>
      <c r="Z7" s="198"/>
      <c r="AA7" s="198"/>
      <c r="AB7" s="198"/>
      <c r="AC7" s="198"/>
      <c r="AD7" s="198"/>
      <c r="AE7" s="198"/>
      <c r="AF7" s="198"/>
      <c r="AG7" s="198"/>
      <c r="AH7" s="198"/>
      <c r="AI7" s="198"/>
      <c r="AJ7" s="198"/>
      <c r="AK7" s="198"/>
      <c r="AL7" s="198"/>
      <c r="AM7" s="198"/>
      <c r="AN7" s="198"/>
      <c r="AO7" s="198"/>
      <c r="AP7" s="198"/>
      <c r="AQ7" s="198"/>
      <c r="AR7" s="198"/>
      <c r="AS7" s="198"/>
      <c r="AT7" s="198"/>
      <c r="AU7" s="198"/>
      <c r="AV7" s="198"/>
      <c r="AW7" s="198"/>
      <c r="AX7" s="198"/>
      <c r="AY7" s="198"/>
      <c r="AZ7" s="198"/>
      <c r="BA7" s="198"/>
      <c r="BB7" s="198"/>
      <c r="BC7" s="198"/>
      <c r="BD7" s="198"/>
      <c r="BE7" s="198"/>
      <c r="BF7" s="198"/>
      <c r="BG7" s="198"/>
      <c r="BH7" s="198"/>
      <c r="BI7" s="198"/>
      <c r="BJ7" s="198"/>
      <c r="BK7" s="198"/>
      <c r="BL7" s="198"/>
    </row>
    <row r="8" spans="1:64">
      <c r="A8" s="125" t="s">
        <v>624</v>
      </c>
      <c r="B8" s="125"/>
      <c r="C8" s="125"/>
      <c r="D8" s="264">
        <f ca="1">'Property Cash Flow'!L71</f>
        <v>-14025859.851871543</v>
      </c>
      <c r="E8" s="264">
        <f ca="1">'Property Cash Flow'!M71</f>
        <v>226402.94625000001</v>
      </c>
      <c r="F8" s="264">
        <f ca="1">'Property Cash Flow'!N71</f>
        <v>-41223.725937499999</v>
      </c>
      <c r="G8" s="264">
        <f ca="1">'Property Cash Flow'!O71</f>
        <v>-68413.105312500003</v>
      </c>
      <c r="H8" s="264">
        <f ca="1">'Property Cash Flow'!P71</f>
        <v>-65073.839804687508</v>
      </c>
      <c r="I8" s="264">
        <f ca="1">'Property Cash Flow'!Q71</f>
        <v>-97179.986295273411</v>
      </c>
      <c r="J8" s="264">
        <f ca="1">'Property Cash Flow'!R71</f>
        <v>-188645.60016759112</v>
      </c>
      <c r="K8" s="264">
        <f ca="1">'Property Cash Flow'!S71</f>
        <v>-119274.49298472656</v>
      </c>
      <c r="L8" s="264">
        <f ca="1">'Property Cash Flow'!T71</f>
        <v>-290714.75660981773</v>
      </c>
      <c r="M8" s="264">
        <f ca="1">'Property Cash Flow'!U71</f>
        <v>-264440.33641669271</v>
      </c>
      <c r="N8" s="264">
        <f ca="1">'Property Cash Flow'!V71</f>
        <v>-319509.70992429694</v>
      </c>
      <c r="O8" s="264">
        <f ca="1">'Property Cash Flow'!W71</f>
        <v>-398758.80610833317</v>
      </c>
      <c r="P8" s="264">
        <f ca="1">'Property Cash Flow'!X71</f>
        <v>-176949.35163083335</v>
      </c>
      <c r="Q8" s="264">
        <f ca="1">'Property Cash Flow'!Y71</f>
        <v>-162581.51348387374</v>
      </c>
      <c r="R8" s="264">
        <f ca="1">'Property Cash Flow'!Z71</f>
        <v>-33895.863397447916</v>
      </c>
      <c r="S8" s="264">
        <f ca="1">'Property Cash Flow'!AA71</f>
        <v>-33920.981453503482</v>
      </c>
      <c r="T8" s="264">
        <f ca="1">'Property Cash Flow'!AB71</f>
        <v>315516.07418598607</v>
      </c>
      <c r="U8" s="264">
        <f ca="1">'Property Cash Flow'!AC71</f>
        <v>409320.66848353203</v>
      </c>
      <c r="V8" s="264">
        <f ca="1">'Property Cash Flow'!AD71</f>
        <v>-57157.951833707892</v>
      </c>
      <c r="W8" s="264">
        <f ca="1">'Property Cash Flow'!AE71</f>
        <v>423189.60933183512</v>
      </c>
      <c r="X8" s="264">
        <f ca="1">'Property Cash Flow'!AF71</f>
        <v>458198.57641526632</v>
      </c>
      <c r="Y8" s="264">
        <f ca="1">'Property Cash Flow'!AG71</f>
        <v>458198.57641526632</v>
      </c>
      <c r="Z8" s="264">
        <f ca="1">'Property Cash Flow'!AH71</f>
        <v>458198.57641526632</v>
      </c>
      <c r="AA8" s="264">
        <f ca="1">'Property Cash Flow'!AI71</f>
        <v>123779.67173131322</v>
      </c>
      <c r="AB8" s="264">
        <f ca="1">'Property Cash Flow'!AJ71</f>
        <v>351343.51532712294</v>
      </c>
      <c r="AC8" s="264">
        <f ca="1">'Property Cash Flow'!AK71</f>
        <v>454306.66863371251</v>
      </c>
      <c r="AD8" s="264">
        <f ca="1">'Property Cash Flow'!AL71</f>
        <v>459461.99995747552</v>
      </c>
      <c r="AE8" s="264">
        <f ca="1">'Property Cash Flow'!AM71</f>
        <v>460582.59327730467</v>
      </c>
      <c r="AF8" s="264">
        <f ca="1">'Property Cash Flow'!AN71</f>
        <v>462914.90710318129</v>
      </c>
      <c r="AG8" s="264">
        <f ca="1">'Property Cash Flow'!AO71</f>
        <v>479724.35405696684</v>
      </c>
      <c r="AH8" s="264">
        <f ca="1">'Property Cash Flow'!AP71</f>
        <v>479724.35405696684</v>
      </c>
      <c r="AI8" s="264">
        <f ca="1">'Property Cash Flow'!AQ71</f>
        <v>347349.50992027612</v>
      </c>
      <c r="AJ8" s="264">
        <f ca="1">'Property Cash Flow'!AR71</f>
        <v>-12364.278560425955</v>
      </c>
      <c r="AK8" s="264">
        <f ca="1">'Property Cash Flow'!AS71</f>
        <v>406434.62775947101</v>
      </c>
      <c r="AL8" s="264">
        <f ca="1">'Property Cash Flow'!AT71</f>
        <v>33975.810445757001</v>
      </c>
      <c r="AM8" s="264">
        <f ca="1">'Property Cash Flow'!AU71</f>
        <v>156604.80750975659</v>
      </c>
      <c r="AN8" s="264">
        <f ca="1">'Property Cash Flow'!AV71</f>
        <v>1455061.8866692996</v>
      </c>
      <c r="AO8" s="264">
        <f ca="1">'Property Cash Flow'!AW71</f>
        <v>-257822.40558384411</v>
      </c>
      <c r="AP8" s="264">
        <f ca="1">'Property Cash Flow'!AX71</f>
        <v>82954.200628156657</v>
      </c>
      <c r="AQ8" s="264">
        <f ca="1">'Property Cash Flow'!AY71</f>
        <v>99767.373480435286</v>
      </c>
      <c r="AR8" s="264">
        <f ca="1">'Property Cash Flow'!AZ71</f>
        <v>100878.20132617938</v>
      </c>
      <c r="AS8" s="264">
        <f ca="1">'Property Cash Flow'!BA71</f>
        <v>-152851.96315226657</v>
      </c>
      <c r="AT8" s="264">
        <f ca="1">'Property Cash Flow'!BB71</f>
        <v>123144.14332421339</v>
      </c>
      <c r="AU8" s="264">
        <f ca="1">'Property Cash Flow'!BC71</f>
        <v>104080.7639511177</v>
      </c>
      <c r="AV8" s="264">
        <f ca="1">'Property Cash Flow'!BD71</f>
        <v>115501.86845374719</v>
      </c>
      <c r="AW8" s="264">
        <f ca="1">'Property Cash Flow'!BE71</f>
        <v>-9640.3940924413619</v>
      </c>
      <c r="AX8" s="264">
        <f ca="1">'Property Cash Flow'!BF71</f>
        <v>-88256.756756797957</v>
      </c>
      <c r="AY8" s="264">
        <f ca="1">'Property Cash Flow'!BG71</f>
        <v>109110.28343954921</v>
      </c>
      <c r="AZ8" s="264">
        <f ca="1">'Property Cash Flow'!BH71</f>
        <v>120200.75404427474</v>
      </c>
      <c r="BA8" s="264">
        <f ca="1">'Property Cash Flow'!BI71</f>
        <v>120494.80398218398</v>
      </c>
      <c r="BB8" s="264">
        <f ca="1">'Property Cash Flow'!BJ71</f>
        <v>120550.9147492621</v>
      </c>
      <c r="BC8" s="264">
        <f ca="1">'Property Cash Flow'!BK71</f>
        <v>-540072.04254794668</v>
      </c>
      <c r="BD8" s="264">
        <f ca="1">'Property Cash Flow'!BL71</f>
        <v>81785.645947504672</v>
      </c>
      <c r="BE8" s="264">
        <f ca="1">'Property Cash Flow'!BM71</f>
        <v>131975.72201460053</v>
      </c>
      <c r="BF8" s="264">
        <f ca="1">'Property Cash Flow'!BN71</f>
        <v>154547.6547176874</v>
      </c>
      <c r="BG8" s="264">
        <f ca="1">'Property Cash Flow'!BO71</f>
        <v>120846.47892978037</v>
      </c>
      <c r="BH8" s="264">
        <f ca="1">'Property Cash Flow'!BP71</f>
        <v>134183.17971951619</v>
      </c>
      <c r="BI8" s="264">
        <f ca="1">'Property Cash Flow'!BQ71</f>
        <v>134243.17620476475</v>
      </c>
      <c r="BJ8" s="264">
        <f ca="1">'Property Cash Flow'!BR71</f>
        <v>134303.74915121013</v>
      </c>
      <c r="BK8" s="264">
        <f ca="1">'Property Cash Flow'!BS71</f>
        <v>134364.90404178319</v>
      </c>
      <c r="BL8" s="264">
        <f ca="1">'Property Cash Flow'!BT71</f>
        <v>26199164.938990757</v>
      </c>
    </row>
    <row r="9" spans="1:64">
      <c r="A9" s="125" t="s">
        <v>625</v>
      </c>
      <c r="B9" s="125"/>
      <c r="C9" s="125"/>
      <c r="D9" s="199">
        <f ca="1">MAX(0,-D8)</f>
        <v>14025859.851871543</v>
      </c>
      <c r="E9" s="199">
        <f t="shared" ref="E9:BL9" ca="1" si="0">MAX(0,-E8)</f>
        <v>0</v>
      </c>
      <c r="F9" s="199">
        <f t="shared" ca="1" si="0"/>
        <v>41223.725937499999</v>
      </c>
      <c r="G9" s="199">
        <f t="shared" ca="1" si="0"/>
        <v>68413.105312500003</v>
      </c>
      <c r="H9" s="199">
        <f t="shared" ca="1" si="0"/>
        <v>65073.839804687508</v>
      </c>
      <c r="I9" s="199">
        <f t="shared" ca="1" si="0"/>
        <v>97179.986295273411</v>
      </c>
      <c r="J9" s="199">
        <f t="shared" ca="1" si="0"/>
        <v>188645.60016759112</v>
      </c>
      <c r="K9" s="199">
        <f t="shared" ca="1" si="0"/>
        <v>119274.49298472656</v>
      </c>
      <c r="L9" s="199">
        <f t="shared" ca="1" si="0"/>
        <v>290714.75660981773</v>
      </c>
      <c r="M9" s="199">
        <f t="shared" ca="1" si="0"/>
        <v>264440.33641669271</v>
      </c>
      <c r="N9" s="199">
        <f t="shared" ca="1" si="0"/>
        <v>319509.70992429694</v>
      </c>
      <c r="O9" s="199">
        <f t="shared" ca="1" si="0"/>
        <v>398758.80610833317</v>
      </c>
      <c r="P9" s="199">
        <f t="shared" ca="1" si="0"/>
        <v>176949.35163083335</v>
      </c>
      <c r="Q9" s="199">
        <f t="shared" ca="1" si="0"/>
        <v>162581.51348387374</v>
      </c>
      <c r="R9" s="199">
        <f t="shared" ca="1" si="0"/>
        <v>33895.863397447916</v>
      </c>
      <c r="S9" s="199">
        <f t="shared" ca="1" si="0"/>
        <v>33920.981453503482</v>
      </c>
      <c r="T9" s="199">
        <f t="shared" ca="1" si="0"/>
        <v>0</v>
      </c>
      <c r="U9" s="199">
        <f t="shared" ca="1" si="0"/>
        <v>0</v>
      </c>
      <c r="V9" s="199">
        <f t="shared" ca="1" si="0"/>
        <v>57157.951833707892</v>
      </c>
      <c r="W9" s="199">
        <f t="shared" ca="1" si="0"/>
        <v>0</v>
      </c>
      <c r="X9" s="199">
        <f t="shared" ca="1" si="0"/>
        <v>0</v>
      </c>
      <c r="Y9" s="199">
        <f t="shared" ca="1" si="0"/>
        <v>0</v>
      </c>
      <c r="Z9" s="199">
        <f t="shared" ca="1" si="0"/>
        <v>0</v>
      </c>
      <c r="AA9" s="199">
        <f t="shared" ca="1" si="0"/>
        <v>0</v>
      </c>
      <c r="AB9" s="199">
        <f t="shared" ca="1" si="0"/>
        <v>0</v>
      </c>
      <c r="AC9" s="199">
        <f t="shared" ca="1" si="0"/>
        <v>0</v>
      </c>
      <c r="AD9" s="199">
        <f t="shared" ca="1" si="0"/>
        <v>0</v>
      </c>
      <c r="AE9" s="199">
        <f t="shared" ca="1" si="0"/>
        <v>0</v>
      </c>
      <c r="AF9" s="199">
        <f t="shared" ca="1" si="0"/>
        <v>0</v>
      </c>
      <c r="AG9" s="199">
        <f t="shared" ca="1" si="0"/>
        <v>0</v>
      </c>
      <c r="AH9" s="199">
        <f t="shared" ca="1" si="0"/>
        <v>0</v>
      </c>
      <c r="AI9" s="199">
        <f t="shared" ca="1" si="0"/>
        <v>0</v>
      </c>
      <c r="AJ9" s="199">
        <f t="shared" ca="1" si="0"/>
        <v>12364.278560425955</v>
      </c>
      <c r="AK9" s="199">
        <f t="shared" ca="1" si="0"/>
        <v>0</v>
      </c>
      <c r="AL9" s="199">
        <f t="shared" ca="1" si="0"/>
        <v>0</v>
      </c>
      <c r="AM9" s="199">
        <f t="shared" ca="1" si="0"/>
        <v>0</v>
      </c>
      <c r="AN9" s="199">
        <f t="shared" ca="1" si="0"/>
        <v>0</v>
      </c>
      <c r="AO9" s="199">
        <f t="shared" ca="1" si="0"/>
        <v>257822.40558384411</v>
      </c>
      <c r="AP9" s="199">
        <f t="shared" ca="1" si="0"/>
        <v>0</v>
      </c>
      <c r="AQ9" s="199">
        <f t="shared" ca="1" si="0"/>
        <v>0</v>
      </c>
      <c r="AR9" s="199">
        <f t="shared" ca="1" si="0"/>
        <v>0</v>
      </c>
      <c r="AS9" s="199">
        <f t="shared" ca="1" si="0"/>
        <v>152851.96315226657</v>
      </c>
      <c r="AT9" s="199">
        <f t="shared" ca="1" si="0"/>
        <v>0</v>
      </c>
      <c r="AU9" s="199">
        <f t="shared" ca="1" si="0"/>
        <v>0</v>
      </c>
      <c r="AV9" s="199">
        <f t="shared" ca="1" si="0"/>
        <v>0</v>
      </c>
      <c r="AW9" s="199">
        <f t="shared" ca="1" si="0"/>
        <v>9640.3940924413619</v>
      </c>
      <c r="AX9" s="199">
        <f t="shared" ca="1" si="0"/>
        <v>88256.756756797957</v>
      </c>
      <c r="AY9" s="199">
        <f t="shared" ca="1" si="0"/>
        <v>0</v>
      </c>
      <c r="AZ9" s="199">
        <f t="shared" ca="1" si="0"/>
        <v>0</v>
      </c>
      <c r="BA9" s="199">
        <f t="shared" ca="1" si="0"/>
        <v>0</v>
      </c>
      <c r="BB9" s="199">
        <f t="shared" ca="1" si="0"/>
        <v>0</v>
      </c>
      <c r="BC9" s="199">
        <f t="shared" ca="1" si="0"/>
        <v>540072.04254794668</v>
      </c>
      <c r="BD9" s="199">
        <f t="shared" ca="1" si="0"/>
        <v>0</v>
      </c>
      <c r="BE9" s="199">
        <f t="shared" ca="1" si="0"/>
        <v>0</v>
      </c>
      <c r="BF9" s="199">
        <f t="shared" ca="1" si="0"/>
        <v>0</v>
      </c>
      <c r="BG9" s="199">
        <f t="shared" ca="1" si="0"/>
        <v>0</v>
      </c>
      <c r="BH9" s="199">
        <f t="shared" ca="1" si="0"/>
        <v>0</v>
      </c>
      <c r="BI9" s="199">
        <f t="shared" ca="1" si="0"/>
        <v>0</v>
      </c>
      <c r="BJ9" s="199">
        <f t="shared" ca="1" si="0"/>
        <v>0</v>
      </c>
      <c r="BK9" s="199">
        <f t="shared" ca="1" si="0"/>
        <v>0</v>
      </c>
      <c r="BL9" s="199">
        <f t="shared" ca="1" si="0"/>
        <v>0</v>
      </c>
    </row>
    <row r="10" spans="1:64">
      <c r="A10" s="125" t="s">
        <v>626</v>
      </c>
      <c r="B10" s="125"/>
      <c r="C10" s="125"/>
      <c r="D10" s="199">
        <f ca="1">MAX(0,D8)</f>
        <v>0</v>
      </c>
      <c r="E10" s="199">
        <f t="shared" ref="E10:BL10" ca="1" si="1">MAX(0,E8)</f>
        <v>226402.94625000001</v>
      </c>
      <c r="F10" s="199">
        <f t="shared" ca="1" si="1"/>
        <v>0</v>
      </c>
      <c r="G10" s="199">
        <f t="shared" ca="1" si="1"/>
        <v>0</v>
      </c>
      <c r="H10" s="199">
        <f t="shared" ca="1" si="1"/>
        <v>0</v>
      </c>
      <c r="I10" s="199">
        <f t="shared" ca="1" si="1"/>
        <v>0</v>
      </c>
      <c r="J10" s="199">
        <f t="shared" ca="1" si="1"/>
        <v>0</v>
      </c>
      <c r="K10" s="199">
        <f t="shared" ca="1" si="1"/>
        <v>0</v>
      </c>
      <c r="L10" s="199">
        <f t="shared" ca="1" si="1"/>
        <v>0</v>
      </c>
      <c r="M10" s="199">
        <f t="shared" ca="1" si="1"/>
        <v>0</v>
      </c>
      <c r="N10" s="199">
        <f t="shared" ca="1" si="1"/>
        <v>0</v>
      </c>
      <c r="O10" s="199">
        <f t="shared" ca="1" si="1"/>
        <v>0</v>
      </c>
      <c r="P10" s="199">
        <f t="shared" ca="1" si="1"/>
        <v>0</v>
      </c>
      <c r="Q10" s="199">
        <f t="shared" ca="1" si="1"/>
        <v>0</v>
      </c>
      <c r="R10" s="199">
        <f t="shared" ca="1" si="1"/>
        <v>0</v>
      </c>
      <c r="S10" s="199">
        <f t="shared" ca="1" si="1"/>
        <v>0</v>
      </c>
      <c r="T10" s="199">
        <f t="shared" ca="1" si="1"/>
        <v>315516.07418598607</v>
      </c>
      <c r="U10" s="199">
        <f t="shared" ca="1" si="1"/>
        <v>409320.66848353203</v>
      </c>
      <c r="V10" s="199">
        <f t="shared" ca="1" si="1"/>
        <v>0</v>
      </c>
      <c r="W10" s="199">
        <f t="shared" ca="1" si="1"/>
        <v>423189.60933183512</v>
      </c>
      <c r="X10" s="199">
        <f t="shared" ca="1" si="1"/>
        <v>458198.57641526632</v>
      </c>
      <c r="Y10" s="199">
        <f t="shared" ca="1" si="1"/>
        <v>458198.57641526632</v>
      </c>
      <c r="Z10" s="199">
        <f t="shared" ca="1" si="1"/>
        <v>458198.57641526632</v>
      </c>
      <c r="AA10" s="199">
        <f t="shared" ca="1" si="1"/>
        <v>123779.67173131322</v>
      </c>
      <c r="AB10" s="199">
        <f t="shared" ca="1" si="1"/>
        <v>351343.51532712294</v>
      </c>
      <c r="AC10" s="199">
        <f t="shared" ca="1" si="1"/>
        <v>454306.66863371251</v>
      </c>
      <c r="AD10" s="199">
        <f t="shared" ca="1" si="1"/>
        <v>459461.99995747552</v>
      </c>
      <c r="AE10" s="199">
        <f t="shared" ca="1" si="1"/>
        <v>460582.59327730467</v>
      </c>
      <c r="AF10" s="199">
        <f t="shared" ca="1" si="1"/>
        <v>462914.90710318129</v>
      </c>
      <c r="AG10" s="199">
        <f t="shared" ca="1" si="1"/>
        <v>479724.35405696684</v>
      </c>
      <c r="AH10" s="199">
        <f t="shared" ca="1" si="1"/>
        <v>479724.35405696684</v>
      </c>
      <c r="AI10" s="199">
        <f t="shared" ca="1" si="1"/>
        <v>347349.50992027612</v>
      </c>
      <c r="AJ10" s="199">
        <f t="shared" ca="1" si="1"/>
        <v>0</v>
      </c>
      <c r="AK10" s="199">
        <f t="shared" ca="1" si="1"/>
        <v>406434.62775947101</v>
      </c>
      <c r="AL10" s="199">
        <f t="shared" ca="1" si="1"/>
        <v>33975.810445757001</v>
      </c>
      <c r="AM10" s="199">
        <f t="shared" ca="1" si="1"/>
        <v>156604.80750975659</v>
      </c>
      <c r="AN10" s="199">
        <f t="shared" ca="1" si="1"/>
        <v>1455061.8866692996</v>
      </c>
      <c r="AO10" s="199">
        <f t="shared" ca="1" si="1"/>
        <v>0</v>
      </c>
      <c r="AP10" s="199">
        <f t="shared" ca="1" si="1"/>
        <v>82954.200628156657</v>
      </c>
      <c r="AQ10" s="199">
        <f t="shared" ca="1" si="1"/>
        <v>99767.373480435286</v>
      </c>
      <c r="AR10" s="199">
        <f t="shared" ca="1" si="1"/>
        <v>100878.20132617938</v>
      </c>
      <c r="AS10" s="199">
        <f t="shared" ca="1" si="1"/>
        <v>0</v>
      </c>
      <c r="AT10" s="199">
        <f t="shared" ca="1" si="1"/>
        <v>123144.14332421339</v>
      </c>
      <c r="AU10" s="199">
        <f t="shared" ca="1" si="1"/>
        <v>104080.7639511177</v>
      </c>
      <c r="AV10" s="199">
        <f t="shared" ca="1" si="1"/>
        <v>115501.86845374719</v>
      </c>
      <c r="AW10" s="199">
        <f t="shared" ca="1" si="1"/>
        <v>0</v>
      </c>
      <c r="AX10" s="199">
        <f t="shared" ca="1" si="1"/>
        <v>0</v>
      </c>
      <c r="AY10" s="199">
        <f t="shared" ca="1" si="1"/>
        <v>109110.28343954921</v>
      </c>
      <c r="AZ10" s="199">
        <f t="shared" ca="1" si="1"/>
        <v>120200.75404427474</v>
      </c>
      <c r="BA10" s="199">
        <f t="shared" ca="1" si="1"/>
        <v>120494.80398218398</v>
      </c>
      <c r="BB10" s="199">
        <f t="shared" ca="1" si="1"/>
        <v>120550.9147492621</v>
      </c>
      <c r="BC10" s="199">
        <f t="shared" ca="1" si="1"/>
        <v>0</v>
      </c>
      <c r="BD10" s="199">
        <f t="shared" ca="1" si="1"/>
        <v>81785.645947504672</v>
      </c>
      <c r="BE10" s="199">
        <f t="shared" ca="1" si="1"/>
        <v>131975.72201460053</v>
      </c>
      <c r="BF10" s="199">
        <f t="shared" ca="1" si="1"/>
        <v>154547.6547176874</v>
      </c>
      <c r="BG10" s="199">
        <f t="shared" ca="1" si="1"/>
        <v>120846.47892978037</v>
      </c>
      <c r="BH10" s="199">
        <f t="shared" ca="1" si="1"/>
        <v>134183.17971951619</v>
      </c>
      <c r="BI10" s="199">
        <f t="shared" ca="1" si="1"/>
        <v>134243.17620476475</v>
      </c>
      <c r="BJ10" s="199">
        <f t="shared" ca="1" si="1"/>
        <v>134303.74915121013</v>
      </c>
      <c r="BK10" s="199">
        <f t="shared" ca="1" si="1"/>
        <v>134364.90404178319</v>
      </c>
      <c r="BL10" s="199">
        <f t="shared" ca="1" si="1"/>
        <v>26199164.938990757</v>
      </c>
    </row>
    <row r="11" spans="1:64">
      <c r="A11" s="125"/>
      <c r="B11" s="125"/>
      <c r="C11" s="125"/>
      <c r="D11" s="125"/>
      <c r="E11" s="125"/>
      <c r="F11" s="125"/>
      <c r="G11" s="125"/>
      <c r="H11" s="125"/>
      <c r="I11" s="125"/>
      <c r="J11" s="125"/>
      <c r="K11" s="125"/>
      <c r="L11" s="125"/>
      <c r="M11" s="125"/>
      <c r="N11" s="125"/>
      <c r="O11" s="125"/>
      <c r="P11" s="125"/>
      <c r="Q11" s="125"/>
      <c r="R11" s="125"/>
      <c r="S11" s="125"/>
      <c r="T11" s="125"/>
      <c r="U11" s="125"/>
      <c r="V11" s="125"/>
      <c r="W11" s="125"/>
      <c r="X11" s="125"/>
      <c r="Y11" s="125"/>
      <c r="Z11" s="125"/>
      <c r="AA11" s="125"/>
      <c r="AB11" s="125"/>
      <c r="AC11" s="125"/>
      <c r="AD11" s="125"/>
      <c r="AE11" s="125"/>
      <c r="AF11" s="125"/>
      <c r="AG11" s="125"/>
      <c r="AH11" s="125"/>
      <c r="AI11" s="125"/>
      <c r="AJ11" s="125"/>
      <c r="AK11" s="125"/>
      <c r="AL11" s="125"/>
      <c r="AM11" s="125"/>
      <c r="AN11" s="125"/>
      <c r="AO11" s="125"/>
      <c r="AP11" s="125"/>
      <c r="AQ11" s="125"/>
      <c r="AR11" s="125"/>
      <c r="AS11" s="125"/>
      <c r="AT11" s="125"/>
      <c r="AU11" s="125"/>
      <c r="AV11" s="125"/>
      <c r="AW11" s="125"/>
      <c r="AX11" s="125"/>
      <c r="AY11" s="125"/>
      <c r="AZ11" s="125"/>
      <c r="BA11" s="125"/>
      <c r="BB11" s="125"/>
      <c r="BC11" s="125"/>
      <c r="BD11" s="125"/>
      <c r="BE11" s="125"/>
      <c r="BF11" s="125"/>
      <c r="BG11" s="125"/>
      <c r="BH11" s="125"/>
      <c r="BI11" s="125"/>
      <c r="BJ11" s="125"/>
      <c r="BK11" s="125"/>
      <c r="BL11" s="125"/>
    </row>
    <row r="12" spans="1:64">
      <c r="A12" s="198" t="s">
        <v>627</v>
      </c>
      <c r="B12" s="198"/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  <c r="AS12" s="198"/>
      <c r="AT12" s="198"/>
      <c r="AU12" s="198"/>
      <c r="AV12" s="198"/>
      <c r="AW12" s="198"/>
      <c r="AX12" s="198"/>
      <c r="AY12" s="198"/>
      <c r="AZ12" s="198"/>
      <c r="BA12" s="198"/>
      <c r="BB12" s="198"/>
      <c r="BC12" s="198"/>
      <c r="BD12" s="198"/>
      <c r="BE12" s="198"/>
      <c r="BF12" s="198"/>
      <c r="BG12" s="198"/>
      <c r="BH12" s="198"/>
      <c r="BI12" s="198"/>
      <c r="BJ12" s="198"/>
      <c r="BK12" s="198"/>
      <c r="BL12" s="198"/>
    </row>
    <row r="13" spans="1:64">
      <c r="A13" s="125" t="s">
        <v>628</v>
      </c>
      <c r="B13" s="125"/>
      <c r="C13" s="125"/>
      <c r="D13" s="199">
        <f t="shared" ref="D13:AI13" ca="1" si="2">D9*LPShare</f>
        <v>12623273.866684388</v>
      </c>
      <c r="E13" s="199">
        <f t="shared" ca="1" si="2"/>
        <v>0</v>
      </c>
      <c r="F13" s="199">
        <f t="shared" ca="1" si="2"/>
        <v>37101.353343750001</v>
      </c>
      <c r="G13" s="199">
        <f t="shared" ca="1" si="2"/>
        <v>61571.794781250006</v>
      </c>
      <c r="H13" s="199">
        <f t="shared" ca="1" si="2"/>
        <v>58566.455824218756</v>
      </c>
      <c r="I13" s="199">
        <f t="shared" ca="1" si="2"/>
        <v>87461.98766574607</v>
      </c>
      <c r="J13" s="199">
        <f t="shared" ca="1" si="2"/>
        <v>169781.04015083201</v>
      </c>
      <c r="K13" s="199">
        <f t="shared" ca="1" si="2"/>
        <v>107347.04368625391</v>
      </c>
      <c r="L13" s="199">
        <f t="shared" ca="1" si="2"/>
        <v>261643.28094883598</v>
      </c>
      <c r="M13" s="199">
        <f t="shared" ca="1" si="2"/>
        <v>237996.30277502345</v>
      </c>
      <c r="N13" s="199">
        <f t="shared" ca="1" si="2"/>
        <v>287558.73893186724</v>
      </c>
      <c r="O13" s="199">
        <f t="shared" ca="1" si="2"/>
        <v>358882.92549749988</v>
      </c>
      <c r="P13" s="199">
        <f t="shared" ca="1" si="2"/>
        <v>159254.41646775001</v>
      </c>
      <c r="Q13" s="199">
        <f t="shared" ca="1" si="2"/>
        <v>146323.36213548639</v>
      </c>
      <c r="R13" s="199">
        <f t="shared" ca="1" si="2"/>
        <v>30506.277057703126</v>
      </c>
      <c r="S13" s="199">
        <f t="shared" ca="1" si="2"/>
        <v>30528.883308153134</v>
      </c>
      <c r="T13" s="199">
        <f t="shared" ca="1" si="2"/>
        <v>0</v>
      </c>
      <c r="U13" s="199">
        <f t="shared" ca="1" si="2"/>
        <v>0</v>
      </c>
      <c r="V13" s="199">
        <f t="shared" ca="1" si="2"/>
        <v>51442.156650337107</v>
      </c>
      <c r="W13" s="199">
        <f t="shared" ca="1" si="2"/>
        <v>0</v>
      </c>
      <c r="X13" s="199">
        <f t="shared" ca="1" si="2"/>
        <v>0</v>
      </c>
      <c r="Y13" s="199">
        <f t="shared" ca="1" si="2"/>
        <v>0</v>
      </c>
      <c r="Z13" s="199">
        <f t="shared" ca="1" si="2"/>
        <v>0</v>
      </c>
      <c r="AA13" s="199">
        <f t="shared" ca="1" si="2"/>
        <v>0</v>
      </c>
      <c r="AB13" s="199">
        <f t="shared" ca="1" si="2"/>
        <v>0</v>
      </c>
      <c r="AC13" s="199">
        <f t="shared" ca="1" si="2"/>
        <v>0</v>
      </c>
      <c r="AD13" s="199">
        <f t="shared" ca="1" si="2"/>
        <v>0</v>
      </c>
      <c r="AE13" s="199">
        <f t="shared" ca="1" si="2"/>
        <v>0</v>
      </c>
      <c r="AF13" s="199">
        <f t="shared" ca="1" si="2"/>
        <v>0</v>
      </c>
      <c r="AG13" s="199">
        <f t="shared" ca="1" si="2"/>
        <v>0</v>
      </c>
      <c r="AH13" s="199">
        <f t="shared" ca="1" si="2"/>
        <v>0</v>
      </c>
      <c r="AI13" s="199">
        <f t="shared" ca="1" si="2"/>
        <v>0</v>
      </c>
      <c r="AJ13" s="199">
        <f t="shared" ref="AJ13:BL13" ca="1" si="3">AJ9*LPShare</f>
        <v>11127.85070438336</v>
      </c>
      <c r="AK13" s="199">
        <f t="shared" ca="1" si="3"/>
        <v>0</v>
      </c>
      <c r="AL13" s="199">
        <f t="shared" ca="1" si="3"/>
        <v>0</v>
      </c>
      <c r="AM13" s="199">
        <f t="shared" ca="1" si="3"/>
        <v>0</v>
      </c>
      <c r="AN13" s="199">
        <f t="shared" ca="1" si="3"/>
        <v>0</v>
      </c>
      <c r="AO13" s="199">
        <f t="shared" ca="1" si="3"/>
        <v>232040.16502545972</v>
      </c>
      <c r="AP13" s="199">
        <f t="shared" ca="1" si="3"/>
        <v>0</v>
      </c>
      <c r="AQ13" s="199">
        <f t="shared" ca="1" si="3"/>
        <v>0</v>
      </c>
      <c r="AR13" s="199">
        <f t="shared" ca="1" si="3"/>
        <v>0</v>
      </c>
      <c r="AS13" s="199">
        <f t="shared" ca="1" si="3"/>
        <v>137566.76683703993</v>
      </c>
      <c r="AT13" s="199">
        <f t="shared" ca="1" si="3"/>
        <v>0</v>
      </c>
      <c r="AU13" s="199">
        <f t="shared" ca="1" si="3"/>
        <v>0</v>
      </c>
      <c r="AV13" s="199">
        <f t="shared" ca="1" si="3"/>
        <v>0</v>
      </c>
      <c r="AW13" s="199">
        <f t="shared" ca="1" si="3"/>
        <v>8676.3546831972253</v>
      </c>
      <c r="AX13" s="199">
        <f t="shared" ca="1" si="3"/>
        <v>79431.081081118158</v>
      </c>
      <c r="AY13" s="199">
        <f t="shared" ca="1" si="3"/>
        <v>0</v>
      </c>
      <c r="AZ13" s="199">
        <f t="shared" ca="1" si="3"/>
        <v>0</v>
      </c>
      <c r="BA13" s="199">
        <f t="shared" ca="1" si="3"/>
        <v>0</v>
      </c>
      <c r="BB13" s="199">
        <f t="shared" ca="1" si="3"/>
        <v>0</v>
      </c>
      <c r="BC13" s="199">
        <f t="shared" ca="1" si="3"/>
        <v>486064.83829315205</v>
      </c>
      <c r="BD13" s="199">
        <f t="shared" ca="1" si="3"/>
        <v>0</v>
      </c>
      <c r="BE13" s="199">
        <f t="shared" ca="1" si="3"/>
        <v>0</v>
      </c>
      <c r="BF13" s="199">
        <f t="shared" ca="1" si="3"/>
        <v>0</v>
      </c>
      <c r="BG13" s="199">
        <f t="shared" ca="1" si="3"/>
        <v>0</v>
      </c>
      <c r="BH13" s="199">
        <f t="shared" ca="1" si="3"/>
        <v>0</v>
      </c>
      <c r="BI13" s="199">
        <f t="shared" ca="1" si="3"/>
        <v>0</v>
      </c>
      <c r="BJ13" s="199">
        <f t="shared" ca="1" si="3"/>
        <v>0</v>
      </c>
      <c r="BK13" s="199">
        <f t="shared" ca="1" si="3"/>
        <v>0</v>
      </c>
      <c r="BL13" s="199">
        <f t="shared" ca="1" si="3"/>
        <v>0</v>
      </c>
    </row>
    <row r="14" spans="1:64">
      <c r="A14" s="125" t="s">
        <v>629</v>
      </c>
      <c r="B14" s="125"/>
      <c r="C14" s="125"/>
      <c r="D14" s="199">
        <f t="shared" ref="D14:AI14" ca="1" si="4">D9*GPShare</f>
        <v>1402585.9851871543</v>
      </c>
      <c r="E14" s="199">
        <f t="shared" ca="1" si="4"/>
        <v>0</v>
      </c>
      <c r="F14" s="199">
        <f t="shared" ca="1" si="4"/>
        <v>4122.3725937500003</v>
      </c>
      <c r="G14" s="199">
        <f t="shared" ca="1" si="4"/>
        <v>6841.3105312500011</v>
      </c>
      <c r="H14" s="199">
        <f t="shared" ca="1" si="4"/>
        <v>6507.3839804687514</v>
      </c>
      <c r="I14" s="199">
        <f t="shared" ca="1" si="4"/>
        <v>9717.9986295273411</v>
      </c>
      <c r="J14" s="199">
        <f t="shared" ca="1" si="4"/>
        <v>18864.560016759115</v>
      </c>
      <c r="K14" s="199">
        <f t="shared" ca="1" si="4"/>
        <v>11927.449298472657</v>
      </c>
      <c r="L14" s="199">
        <f t="shared" ca="1" si="4"/>
        <v>29071.475660981774</v>
      </c>
      <c r="M14" s="199">
        <f t="shared" ca="1" si="4"/>
        <v>26444.033641669273</v>
      </c>
      <c r="N14" s="199">
        <f t="shared" ca="1" si="4"/>
        <v>31950.970992429695</v>
      </c>
      <c r="O14" s="199">
        <f t="shared" ca="1" si="4"/>
        <v>39875.880610833323</v>
      </c>
      <c r="P14" s="199">
        <f t="shared" ca="1" si="4"/>
        <v>17694.935163083337</v>
      </c>
      <c r="Q14" s="199">
        <f t="shared" ca="1" si="4"/>
        <v>16258.151348387375</v>
      </c>
      <c r="R14" s="199">
        <f t="shared" ca="1" si="4"/>
        <v>3389.586339744792</v>
      </c>
      <c r="S14" s="199">
        <f t="shared" ca="1" si="4"/>
        <v>3392.0981453503482</v>
      </c>
      <c r="T14" s="199">
        <f t="shared" ca="1" si="4"/>
        <v>0</v>
      </c>
      <c r="U14" s="199">
        <f t="shared" ca="1" si="4"/>
        <v>0</v>
      </c>
      <c r="V14" s="199">
        <f t="shared" ca="1" si="4"/>
        <v>5715.7951833707893</v>
      </c>
      <c r="W14" s="199">
        <f t="shared" ca="1" si="4"/>
        <v>0</v>
      </c>
      <c r="X14" s="199">
        <f t="shared" ca="1" si="4"/>
        <v>0</v>
      </c>
      <c r="Y14" s="199">
        <f t="shared" ca="1" si="4"/>
        <v>0</v>
      </c>
      <c r="Z14" s="199">
        <f t="shared" ca="1" si="4"/>
        <v>0</v>
      </c>
      <c r="AA14" s="199">
        <f t="shared" ca="1" si="4"/>
        <v>0</v>
      </c>
      <c r="AB14" s="199">
        <f t="shared" ca="1" si="4"/>
        <v>0</v>
      </c>
      <c r="AC14" s="199">
        <f t="shared" ca="1" si="4"/>
        <v>0</v>
      </c>
      <c r="AD14" s="199">
        <f t="shared" ca="1" si="4"/>
        <v>0</v>
      </c>
      <c r="AE14" s="199">
        <f t="shared" ca="1" si="4"/>
        <v>0</v>
      </c>
      <c r="AF14" s="199">
        <f t="shared" ca="1" si="4"/>
        <v>0</v>
      </c>
      <c r="AG14" s="199">
        <f t="shared" ca="1" si="4"/>
        <v>0</v>
      </c>
      <c r="AH14" s="199">
        <f t="shared" ca="1" si="4"/>
        <v>0</v>
      </c>
      <c r="AI14" s="199">
        <f t="shared" ca="1" si="4"/>
        <v>0</v>
      </c>
      <c r="AJ14" s="199">
        <f t="shared" ref="AJ14:BL14" ca="1" si="5">AJ9*GPShare</f>
        <v>1236.4278560425955</v>
      </c>
      <c r="AK14" s="199">
        <f t="shared" ca="1" si="5"/>
        <v>0</v>
      </c>
      <c r="AL14" s="199">
        <f t="shared" ca="1" si="5"/>
        <v>0</v>
      </c>
      <c r="AM14" s="199">
        <f t="shared" ca="1" si="5"/>
        <v>0</v>
      </c>
      <c r="AN14" s="199">
        <f t="shared" ca="1" si="5"/>
        <v>0</v>
      </c>
      <c r="AO14" s="199">
        <f t="shared" ca="1" si="5"/>
        <v>25782.240558384412</v>
      </c>
      <c r="AP14" s="199">
        <f t="shared" ca="1" si="5"/>
        <v>0</v>
      </c>
      <c r="AQ14" s="199">
        <f t="shared" ca="1" si="5"/>
        <v>0</v>
      </c>
      <c r="AR14" s="199">
        <f t="shared" ca="1" si="5"/>
        <v>0</v>
      </c>
      <c r="AS14" s="199">
        <f t="shared" ca="1" si="5"/>
        <v>15285.196315226658</v>
      </c>
      <c r="AT14" s="199">
        <f t="shared" ca="1" si="5"/>
        <v>0</v>
      </c>
      <c r="AU14" s="199">
        <f t="shared" ca="1" si="5"/>
        <v>0</v>
      </c>
      <c r="AV14" s="199">
        <f t="shared" ca="1" si="5"/>
        <v>0</v>
      </c>
      <c r="AW14" s="199">
        <f t="shared" ca="1" si="5"/>
        <v>964.03940924413621</v>
      </c>
      <c r="AX14" s="199">
        <f t="shared" ca="1" si="5"/>
        <v>8825.6756756797968</v>
      </c>
      <c r="AY14" s="199">
        <f t="shared" ca="1" si="5"/>
        <v>0</v>
      </c>
      <c r="AZ14" s="199">
        <f t="shared" ca="1" si="5"/>
        <v>0</v>
      </c>
      <c r="BA14" s="199">
        <f t="shared" ca="1" si="5"/>
        <v>0</v>
      </c>
      <c r="BB14" s="199">
        <f t="shared" ca="1" si="5"/>
        <v>0</v>
      </c>
      <c r="BC14" s="199">
        <f t="shared" ca="1" si="5"/>
        <v>54007.204254794669</v>
      </c>
      <c r="BD14" s="199">
        <f t="shared" ca="1" si="5"/>
        <v>0</v>
      </c>
      <c r="BE14" s="199">
        <f t="shared" ca="1" si="5"/>
        <v>0</v>
      </c>
      <c r="BF14" s="199">
        <f t="shared" ca="1" si="5"/>
        <v>0</v>
      </c>
      <c r="BG14" s="199">
        <f t="shared" ca="1" si="5"/>
        <v>0</v>
      </c>
      <c r="BH14" s="199">
        <f t="shared" ca="1" si="5"/>
        <v>0</v>
      </c>
      <c r="BI14" s="199">
        <f t="shared" ca="1" si="5"/>
        <v>0</v>
      </c>
      <c r="BJ14" s="199">
        <f t="shared" ca="1" si="5"/>
        <v>0</v>
      </c>
      <c r="BK14" s="199">
        <f t="shared" ca="1" si="5"/>
        <v>0</v>
      </c>
      <c r="BL14" s="199">
        <f t="shared" ca="1" si="5"/>
        <v>0</v>
      </c>
    </row>
    <row r="15" spans="1:64">
      <c r="A15" s="125" t="s">
        <v>630</v>
      </c>
      <c r="B15" s="125"/>
      <c r="C15" s="125"/>
      <c r="D15" s="199">
        <f ca="1">SUM($D$9:D9)</f>
        <v>14025859.851871543</v>
      </c>
      <c r="E15" s="199">
        <f ca="1">SUM($D$9:E9)</f>
        <v>14025859.851871543</v>
      </c>
      <c r="F15" s="199">
        <f ca="1">SUM($D$9:F9)</f>
        <v>14067083.577809043</v>
      </c>
      <c r="G15" s="199">
        <f ca="1">SUM($D$9:G9)</f>
        <v>14135496.683121543</v>
      </c>
      <c r="H15" s="199">
        <f ca="1">SUM($D$9:H9)</f>
        <v>14200570.52292623</v>
      </c>
      <c r="I15" s="199">
        <f ca="1">SUM($D$9:I9)</f>
        <v>14297750.509221504</v>
      </c>
      <c r="J15" s="199">
        <f ca="1">SUM($D$9:J9)</f>
        <v>14486396.109389095</v>
      </c>
      <c r="K15" s="199">
        <f ca="1">SUM($D$9:K9)</f>
        <v>14605670.602373822</v>
      </c>
      <c r="L15" s="199">
        <f ca="1">SUM($D$9:L9)</f>
        <v>14896385.35898364</v>
      </c>
      <c r="M15" s="199">
        <f ca="1">SUM($D$9:M9)</f>
        <v>15160825.695400333</v>
      </c>
      <c r="N15" s="199">
        <f ca="1">SUM($D$9:N9)</f>
        <v>15480335.40532463</v>
      </c>
      <c r="O15" s="199">
        <f ca="1">SUM($D$9:O9)</f>
        <v>15879094.211432964</v>
      </c>
      <c r="P15" s="199">
        <f ca="1">SUM($D$9:P9)</f>
        <v>16056043.563063797</v>
      </c>
      <c r="Q15" s="199">
        <f ca="1">SUM($D$9:Q9)</f>
        <v>16218625.076547671</v>
      </c>
      <c r="R15" s="199">
        <f ca="1">SUM($D$9:R9)</f>
        <v>16252520.939945119</v>
      </c>
      <c r="S15" s="199">
        <f ca="1">SUM($D$9:S9)</f>
        <v>16286441.921398621</v>
      </c>
      <c r="T15" s="199">
        <f ca="1">SUM($D$9:T9)</f>
        <v>16286441.921398621</v>
      </c>
      <c r="U15" s="199">
        <f ca="1">SUM($D$9:U9)</f>
        <v>16286441.921398621</v>
      </c>
      <c r="V15" s="199">
        <f ca="1">SUM($D$9:V9)</f>
        <v>16343599.873232329</v>
      </c>
      <c r="W15" s="199">
        <f ca="1">SUM($D$9:W9)</f>
        <v>16343599.873232329</v>
      </c>
      <c r="X15" s="199">
        <f ca="1">SUM($D$9:X9)</f>
        <v>16343599.873232329</v>
      </c>
      <c r="Y15" s="199">
        <f ca="1">SUM($D$9:Y9)</f>
        <v>16343599.873232329</v>
      </c>
      <c r="Z15" s="199">
        <f ca="1">SUM($D$9:Z9)</f>
        <v>16343599.873232329</v>
      </c>
      <c r="AA15" s="199">
        <f ca="1">SUM($D$9:AA9)</f>
        <v>16343599.873232329</v>
      </c>
      <c r="AB15" s="199">
        <f ca="1">SUM($D$9:AB9)</f>
        <v>16343599.873232329</v>
      </c>
      <c r="AC15" s="199">
        <f ca="1">SUM($D$9:AC9)</f>
        <v>16343599.873232329</v>
      </c>
      <c r="AD15" s="199">
        <f ca="1">SUM($D$9:AD9)</f>
        <v>16343599.873232329</v>
      </c>
      <c r="AE15" s="199">
        <f ca="1">SUM($D$9:AE9)</f>
        <v>16343599.873232329</v>
      </c>
      <c r="AF15" s="199">
        <f ca="1">SUM($D$9:AF9)</f>
        <v>16343599.873232329</v>
      </c>
      <c r="AG15" s="199">
        <f ca="1">SUM($D$9:AG9)</f>
        <v>16343599.873232329</v>
      </c>
      <c r="AH15" s="199">
        <f ca="1">SUM($D$9:AH9)</f>
        <v>16343599.873232329</v>
      </c>
      <c r="AI15" s="199">
        <f ca="1">SUM($D$9:AI9)</f>
        <v>16343599.873232329</v>
      </c>
      <c r="AJ15" s="199">
        <f ca="1">SUM($D$9:AJ9)</f>
        <v>16355964.151792755</v>
      </c>
      <c r="AK15" s="199">
        <f ca="1">SUM($D$9:AK9)</f>
        <v>16355964.151792755</v>
      </c>
      <c r="AL15" s="199">
        <f ca="1">SUM($D$9:AL9)</f>
        <v>16355964.151792755</v>
      </c>
      <c r="AM15" s="199">
        <f ca="1">SUM($D$9:AM9)</f>
        <v>16355964.151792755</v>
      </c>
      <c r="AN15" s="199">
        <f ca="1">SUM($D$9:AN9)</f>
        <v>16355964.151792755</v>
      </c>
      <c r="AO15" s="199">
        <f ca="1">SUM($D$9:AO9)</f>
        <v>16613786.557376599</v>
      </c>
      <c r="AP15" s="199">
        <f ca="1">SUM($D$9:AP9)</f>
        <v>16613786.557376599</v>
      </c>
      <c r="AQ15" s="199">
        <f ca="1">SUM($D$9:AQ9)</f>
        <v>16613786.557376599</v>
      </c>
      <c r="AR15" s="199">
        <f ca="1">SUM($D$9:AR9)</f>
        <v>16613786.557376599</v>
      </c>
      <c r="AS15" s="199">
        <f ca="1">SUM($D$9:AS9)</f>
        <v>16766638.520528866</v>
      </c>
      <c r="AT15" s="199">
        <f ca="1">SUM($D$9:AT9)</f>
        <v>16766638.520528866</v>
      </c>
      <c r="AU15" s="199">
        <f ca="1">SUM($D$9:AU9)</f>
        <v>16766638.520528866</v>
      </c>
      <c r="AV15" s="199">
        <f ca="1">SUM($D$9:AV9)</f>
        <v>16766638.520528866</v>
      </c>
      <c r="AW15" s="199">
        <f ca="1">SUM($D$9:AW9)</f>
        <v>16776278.914621307</v>
      </c>
      <c r="AX15" s="199">
        <f ca="1">SUM($D$9:AX9)</f>
        <v>16864535.671378106</v>
      </c>
      <c r="AY15" s="199">
        <f ca="1">SUM($D$9:AY9)</f>
        <v>16864535.671378106</v>
      </c>
      <c r="AZ15" s="199">
        <f ca="1">SUM($D$9:AZ9)</f>
        <v>16864535.671378106</v>
      </c>
      <c r="BA15" s="199">
        <f ca="1">SUM($D$9:BA9)</f>
        <v>16864535.671378106</v>
      </c>
      <c r="BB15" s="199">
        <f ca="1">SUM($D$9:BB9)</f>
        <v>16864535.671378106</v>
      </c>
      <c r="BC15" s="199">
        <f ca="1">SUM($D$9:BC9)</f>
        <v>17404607.713926051</v>
      </c>
      <c r="BD15" s="199">
        <f ca="1">SUM($D$9:BD9)</f>
        <v>17404607.713926051</v>
      </c>
      <c r="BE15" s="199">
        <f ca="1">SUM($D$9:BE9)</f>
        <v>17404607.713926051</v>
      </c>
      <c r="BF15" s="199">
        <f ca="1">SUM($D$9:BF9)</f>
        <v>17404607.713926051</v>
      </c>
      <c r="BG15" s="199">
        <f ca="1">SUM($D$9:BG9)</f>
        <v>17404607.713926051</v>
      </c>
      <c r="BH15" s="199">
        <f ca="1">SUM($D$9:BH9)</f>
        <v>17404607.713926051</v>
      </c>
      <c r="BI15" s="199">
        <f ca="1">SUM($D$9:BI9)</f>
        <v>17404607.713926051</v>
      </c>
      <c r="BJ15" s="199">
        <f ca="1">SUM($D$9:BJ9)</f>
        <v>17404607.713926051</v>
      </c>
      <c r="BK15" s="199">
        <f ca="1">SUM($D$9:BK9)</f>
        <v>17404607.713926051</v>
      </c>
      <c r="BL15" s="199">
        <f ca="1">SUM($D$9:BL9)</f>
        <v>17404607.713926051</v>
      </c>
    </row>
    <row r="16" spans="1:64">
      <c r="A16" s="125" t="s">
        <v>631</v>
      </c>
      <c r="B16" s="125"/>
      <c r="C16" s="125"/>
      <c r="D16" s="199">
        <f ca="1">SUM($D$13:D13)</f>
        <v>12623273.866684388</v>
      </c>
      <c r="E16" s="199">
        <f ca="1">SUM($D$13:E13)</f>
        <v>12623273.866684388</v>
      </c>
      <c r="F16" s="199">
        <f ca="1">SUM($D$13:F13)</f>
        <v>12660375.220028138</v>
      </c>
      <c r="G16" s="199">
        <f ca="1">SUM($D$13:G13)</f>
        <v>12721947.014809389</v>
      </c>
      <c r="H16" s="199">
        <f ca="1">SUM($D$13:H13)</f>
        <v>12780513.470633607</v>
      </c>
      <c r="I16" s="199">
        <f ca="1">SUM($D$13:I13)</f>
        <v>12867975.458299354</v>
      </c>
      <c r="J16" s="199">
        <f ca="1">SUM($D$13:J13)</f>
        <v>13037756.498450186</v>
      </c>
      <c r="K16" s="199">
        <f ca="1">SUM($D$13:K13)</f>
        <v>13145103.54213644</v>
      </c>
      <c r="L16" s="199">
        <f ca="1">SUM($D$13:L13)</f>
        <v>13406746.823085276</v>
      </c>
      <c r="M16" s="199">
        <f ca="1">SUM($D$13:M13)</f>
        <v>13644743.1258603</v>
      </c>
      <c r="N16" s="199">
        <f ca="1">SUM($D$13:N13)</f>
        <v>13932301.864792166</v>
      </c>
      <c r="O16" s="199">
        <f ca="1">SUM($D$13:O13)</f>
        <v>14291184.790289667</v>
      </c>
      <c r="P16" s="199">
        <f ca="1">SUM($D$13:P13)</f>
        <v>14450439.206757417</v>
      </c>
      <c r="Q16" s="199">
        <f ca="1">SUM($D$13:Q13)</f>
        <v>14596762.568892904</v>
      </c>
      <c r="R16" s="199">
        <f ca="1">SUM($D$13:R13)</f>
        <v>14627268.845950607</v>
      </c>
      <c r="S16" s="199">
        <f ca="1">SUM($D$13:S13)</f>
        <v>14657797.729258761</v>
      </c>
      <c r="T16" s="199">
        <f ca="1">SUM($D$13:T13)</f>
        <v>14657797.729258761</v>
      </c>
      <c r="U16" s="199">
        <f ca="1">SUM($D$13:U13)</f>
        <v>14657797.729258761</v>
      </c>
      <c r="V16" s="199">
        <f ca="1">SUM($D$13:V13)</f>
        <v>14709239.885909097</v>
      </c>
      <c r="W16" s="199">
        <f ca="1">SUM($D$13:W13)</f>
        <v>14709239.885909097</v>
      </c>
      <c r="X16" s="199">
        <f ca="1">SUM($D$13:X13)</f>
        <v>14709239.885909097</v>
      </c>
      <c r="Y16" s="199">
        <f ca="1">SUM($D$13:Y13)</f>
        <v>14709239.885909097</v>
      </c>
      <c r="Z16" s="199">
        <f ca="1">SUM($D$13:Z13)</f>
        <v>14709239.885909097</v>
      </c>
      <c r="AA16" s="199">
        <f ca="1">SUM($D$13:AA13)</f>
        <v>14709239.885909097</v>
      </c>
      <c r="AB16" s="199">
        <f ca="1">SUM($D$13:AB13)</f>
        <v>14709239.885909097</v>
      </c>
      <c r="AC16" s="199">
        <f ca="1">SUM($D$13:AC13)</f>
        <v>14709239.885909097</v>
      </c>
      <c r="AD16" s="199">
        <f ca="1">SUM($D$13:AD13)</f>
        <v>14709239.885909097</v>
      </c>
      <c r="AE16" s="199">
        <f ca="1">SUM($D$13:AE13)</f>
        <v>14709239.885909097</v>
      </c>
      <c r="AF16" s="199">
        <f ca="1">SUM($D$13:AF13)</f>
        <v>14709239.885909097</v>
      </c>
      <c r="AG16" s="199">
        <f ca="1">SUM($D$13:AG13)</f>
        <v>14709239.885909097</v>
      </c>
      <c r="AH16" s="199">
        <f ca="1">SUM($D$13:AH13)</f>
        <v>14709239.885909097</v>
      </c>
      <c r="AI16" s="199">
        <f ca="1">SUM($D$13:AI13)</f>
        <v>14709239.885909097</v>
      </c>
      <c r="AJ16" s="199">
        <f ca="1">SUM($D$13:AJ13)</f>
        <v>14720367.73661348</v>
      </c>
      <c r="AK16" s="199">
        <f ca="1">SUM($D$13:AK13)</f>
        <v>14720367.73661348</v>
      </c>
      <c r="AL16" s="199">
        <f ca="1">SUM($D$13:AL13)</f>
        <v>14720367.73661348</v>
      </c>
      <c r="AM16" s="199">
        <f ca="1">SUM($D$13:AM13)</f>
        <v>14720367.73661348</v>
      </c>
      <c r="AN16" s="199">
        <f ca="1">SUM($D$13:AN13)</f>
        <v>14720367.73661348</v>
      </c>
      <c r="AO16" s="199">
        <f ca="1">SUM($D$13:AO13)</f>
        <v>14952407.90163894</v>
      </c>
      <c r="AP16" s="199">
        <f ca="1">SUM($D$13:AP13)</f>
        <v>14952407.90163894</v>
      </c>
      <c r="AQ16" s="199">
        <f ca="1">SUM($D$13:AQ13)</f>
        <v>14952407.90163894</v>
      </c>
      <c r="AR16" s="199">
        <f ca="1">SUM($D$13:AR13)</f>
        <v>14952407.90163894</v>
      </c>
      <c r="AS16" s="199">
        <f ca="1">SUM($D$13:AS13)</f>
        <v>15089974.66847598</v>
      </c>
      <c r="AT16" s="199">
        <f ca="1">SUM($D$13:AT13)</f>
        <v>15089974.66847598</v>
      </c>
      <c r="AU16" s="199">
        <f ca="1">SUM($D$13:AU13)</f>
        <v>15089974.66847598</v>
      </c>
      <c r="AV16" s="199">
        <f ca="1">SUM($D$13:AV13)</f>
        <v>15089974.66847598</v>
      </c>
      <c r="AW16" s="199">
        <f ca="1">SUM($D$13:AW13)</f>
        <v>15098651.023159178</v>
      </c>
      <c r="AX16" s="199">
        <f ca="1">SUM($D$13:AX13)</f>
        <v>15178082.104240296</v>
      </c>
      <c r="AY16" s="199">
        <f ca="1">SUM($D$13:AY13)</f>
        <v>15178082.104240296</v>
      </c>
      <c r="AZ16" s="199">
        <f ca="1">SUM($D$13:AZ13)</f>
        <v>15178082.104240296</v>
      </c>
      <c r="BA16" s="199">
        <f ca="1">SUM($D$13:BA13)</f>
        <v>15178082.104240296</v>
      </c>
      <c r="BB16" s="199">
        <f ca="1">SUM($D$13:BB13)</f>
        <v>15178082.104240296</v>
      </c>
      <c r="BC16" s="199">
        <f ca="1">SUM($D$13:BC13)</f>
        <v>15664146.942533448</v>
      </c>
      <c r="BD16" s="199">
        <f ca="1">SUM($D$13:BD13)</f>
        <v>15664146.942533448</v>
      </c>
      <c r="BE16" s="199">
        <f ca="1">SUM($D$13:BE13)</f>
        <v>15664146.942533448</v>
      </c>
      <c r="BF16" s="199">
        <f ca="1">SUM($D$13:BF13)</f>
        <v>15664146.942533448</v>
      </c>
      <c r="BG16" s="199">
        <f ca="1">SUM($D$13:BG13)</f>
        <v>15664146.942533448</v>
      </c>
      <c r="BH16" s="199">
        <f ca="1">SUM($D$13:BH13)</f>
        <v>15664146.942533448</v>
      </c>
      <c r="BI16" s="199">
        <f ca="1">SUM($D$13:BI13)</f>
        <v>15664146.942533448</v>
      </c>
      <c r="BJ16" s="199">
        <f ca="1">SUM($D$13:BJ13)</f>
        <v>15664146.942533448</v>
      </c>
      <c r="BK16" s="199">
        <f ca="1">SUM($D$13:BK13)</f>
        <v>15664146.942533448</v>
      </c>
      <c r="BL16" s="199">
        <f ca="1">SUM($D$13:BL13)</f>
        <v>15664146.942533448</v>
      </c>
    </row>
    <row r="17" spans="1:64">
      <c r="A17" s="125" t="s">
        <v>632</v>
      </c>
      <c r="B17" s="125"/>
      <c r="C17" s="125"/>
      <c r="D17" s="199">
        <f ca="1">SUM($D$14:D14)</f>
        <v>1402585.9851871543</v>
      </c>
      <c r="E17" s="199">
        <f ca="1">SUM($D$14:E14)</f>
        <v>1402585.9851871543</v>
      </c>
      <c r="F17" s="199">
        <f ca="1">SUM($D$14:F14)</f>
        <v>1406708.3577809043</v>
      </c>
      <c r="G17" s="199">
        <f ca="1">SUM($D$14:G14)</f>
        <v>1413549.6683121542</v>
      </c>
      <c r="H17" s="199">
        <f ca="1">SUM($D$14:H14)</f>
        <v>1420057.0522926231</v>
      </c>
      <c r="I17" s="199">
        <f ca="1">SUM($D$14:I14)</f>
        <v>1429775.0509221505</v>
      </c>
      <c r="J17" s="199">
        <f ca="1">SUM($D$14:J14)</f>
        <v>1448639.6109389097</v>
      </c>
      <c r="K17" s="199">
        <f ca="1">SUM($D$14:K14)</f>
        <v>1460567.0602373823</v>
      </c>
      <c r="L17" s="199">
        <f ca="1">SUM($D$14:L14)</f>
        <v>1489638.5358983641</v>
      </c>
      <c r="M17" s="199">
        <f ca="1">SUM($D$14:M14)</f>
        <v>1516082.5695400333</v>
      </c>
      <c r="N17" s="199">
        <f ca="1">SUM($D$14:N14)</f>
        <v>1548033.540532463</v>
      </c>
      <c r="O17" s="199">
        <f ca="1">SUM($D$14:O14)</f>
        <v>1587909.4211432964</v>
      </c>
      <c r="P17" s="199">
        <f ca="1">SUM($D$14:P14)</f>
        <v>1605604.3563063797</v>
      </c>
      <c r="Q17" s="199">
        <f ca="1">SUM($D$14:Q14)</f>
        <v>1621862.507654767</v>
      </c>
      <c r="R17" s="199">
        <f ca="1">SUM($D$14:R14)</f>
        <v>1625252.0939945118</v>
      </c>
      <c r="S17" s="199">
        <f ca="1">SUM($D$14:S14)</f>
        <v>1628644.1921398621</v>
      </c>
      <c r="T17" s="199">
        <f ca="1">SUM($D$14:T14)</f>
        <v>1628644.1921398621</v>
      </c>
      <c r="U17" s="199">
        <f ca="1">SUM($D$14:U14)</f>
        <v>1628644.1921398621</v>
      </c>
      <c r="V17" s="199">
        <f ca="1">SUM($D$14:V14)</f>
        <v>1634359.9873232329</v>
      </c>
      <c r="W17" s="199">
        <f ca="1">SUM($D$14:W14)</f>
        <v>1634359.9873232329</v>
      </c>
      <c r="X17" s="199">
        <f ca="1">SUM($D$14:X14)</f>
        <v>1634359.9873232329</v>
      </c>
      <c r="Y17" s="199">
        <f ca="1">SUM($D$14:Y14)</f>
        <v>1634359.9873232329</v>
      </c>
      <c r="Z17" s="199">
        <f ca="1">SUM($D$14:Z14)</f>
        <v>1634359.9873232329</v>
      </c>
      <c r="AA17" s="199">
        <f ca="1">SUM($D$14:AA14)</f>
        <v>1634359.9873232329</v>
      </c>
      <c r="AB17" s="199">
        <f ca="1">SUM($D$14:AB14)</f>
        <v>1634359.9873232329</v>
      </c>
      <c r="AC17" s="199">
        <f ca="1">SUM($D$14:AC14)</f>
        <v>1634359.9873232329</v>
      </c>
      <c r="AD17" s="199">
        <f ca="1">SUM($D$14:AD14)</f>
        <v>1634359.9873232329</v>
      </c>
      <c r="AE17" s="199">
        <f ca="1">SUM($D$14:AE14)</f>
        <v>1634359.9873232329</v>
      </c>
      <c r="AF17" s="199">
        <f ca="1">SUM($D$14:AF14)</f>
        <v>1634359.9873232329</v>
      </c>
      <c r="AG17" s="199">
        <f ca="1">SUM($D$14:AG14)</f>
        <v>1634359.9873232329</v>
      </c>
      <c r="AH17" s="199">
        <f ca="1">SUM($D$14:AH14)</f>
        <v>1634359.9873232329</v>
      </c>
      <c r="AI17" s="199">
        <f ca="1">SUM($D$14:AI14)</f>
        <v>1634359.9873232329</v>
      </c>
      <c r="AJ17" s="199">
        <f ca="1">SUM($D$14:AJ14)</f>
        <v>1635596.4151792754</v>
      </c>
      <c r="AK17" s="199">
        <f ca="1">SUM($D$14:AK14)</f>
        <v>1635596.4151792754</v>
      </c>
      <c r="AL17" s="199">
        <f ca="1">SUM($D$14:AL14)</f>
        <v>1635596.4151792754</v>
      </c>
      <c r="AM17" s="199">
        <f ca="1">SUM($D$14:AM14)</f>
        <v>1635596.4151792754</v>
      </c>
      <c r="AN17" s="199">
        <f ca="1">SUM($D$14:AN14)</f>
        <v>1635596.4151792754</v>
      </c>
      <c r="AO17" s="199">
        <f ca="1">SUM($D$14:AO14)</f>
        <v>1661378.6557376599</v>
      </c>
      <c r="AP17" s="199">
        <f ca="1">SUM($D$14:AP14)</f>
        <v>1661378.6557376599</v>
      </c>
      <c r="AQ17" s="199">
        <f ca="1">SUM($D$14:AQ14)</f>
        <v>1661378.6557376599</v>
      </c>
      <c r="AR17" s="199">
        <f ca="1">SUM($D$14:AR14)</f>
        <v>1661378.6557376599</v>
      </c>
      <c r="AS17" s="199">
        <f ca="1">SUM($D$14:AS14)</f>
        <v>1676663.8520528865</v>
      </c>
      <c r="AT17" s="199">
        <f ca="1">SUM($D$14:AT14)</f>
        <v>1676663.8520528865</v>
      </c>
      <c r="AU17" s="199">
        <f ca="1">SUM($D$14:AU14)</f>
        <v>1676663.8520528865</v>
      </c>
      <c r="AV17" s="199">
        <f ca="1">SUM($D$14:AV14)</f>
        <v>1676663.8520528865</v>
      </c>
      <c r="AW17" s="199">
        <f ca="1">SUM($D$14:AW14)</f>
        <v>1677627.8914621307</v>
      </c>
      <c r="AX17" s="199">
        <f ca="1">SUM($D$14:AX14)</f>
        <v>1686453.5671378104</v>
      </c>
      <c r="AY17" s="199">
        <f ca="1">SUM($D$14:AY14)</f>
        <v>1686453.5671378104</v>
      </c>
      <c r="AZ17" s="199">
        <f ca="1">SUM($D$14:AZ14)</f>
        <v>1686453.5671378104</v>
      </c>
      <c r="BA17" s="199">
        <f ca="1">SUM($D$14:BA14)</f>
        <v>1686453.5671378104</v>
      </c>
      <c r="BB17" s="199">
        <f ca="1">SUM($D$14:BB14)</f>
        <v>1686453.5671378104</v>
      </c>
      <c r="BC17" s="199">
        <f ca="1">SUM($D$14:BC14)</f>
        <v>1740460.771392605</v>
      </c>
      <c r="BD17" s="199">
        <f ca="1">SUM($D$14:BD14)</f>
        <v>1740460.771392605</v>
      </c>
      <c r="BE17" s="199">
        <f ca="1">SUM($D$14:BE14)</f>
        <v>1740460.771392605</v>
      </c>
      <c r="BF17" s="199">
        <f ca="1">SUM($D$14:BF14)</f>
        <v>1740460.771392605</v>
      </c>
      <c r="BG17" s="199">
        <f ca="1">SUM($D$14:BG14)</f>
        <v>1740460.771392605</v>
      </c>
      <c r="BH17" s="199">
        <f ca="1">SUM($D$14:BH14)</f>
        <v>1740460.771392605</v>
      </c>
      <c r="BI17" s="199">
        <f ca="1">SUM($D$14:BI14)</f>
        <v>1740460.771392605</v>
      </c>
      <c r="BJ17" s="199">
        <f ca="1">SUM($D$14:BJ14)</f>
        <v>1740460.771392605</v>
      </c>
      <c r="BK17" s="199">
        <f ca="1">SUM($D$14:BK14)</f>
        <v>1740460.771392605</v>
      </c>
      <c r="BL17" s="199">
        <f ca="1">SUM($D$14:BL14)</f>
        <v>1740460.771392605</v>
      </c>
    </row>
    <row r="18" spans="1:64">
      <c r="A18" s="125"/>
      <c r="B18" s="125"/>
      <c r="C18" s="125"/>
      <c r="D18" s="125"/>
      <c r="E18" s="125"/>
      <c r="F18" s="125"/>
      <c r="G18" s="125"/>
      <c r="H18" s="125"/>
      <c r="I18" s="125"/>
      <c r="J18" s="125"/>
      <c r="K18" s="125"/>
      <c r="L18" s="125"/>
      <c r="M18" s="125"/>
      <c r="N18" s="125"/>
      <c r="O18" s="125"/>
      <c r="P18" s="125"/>
      <c r="Q18" s="125"/>
      <c r="R18" s="125"/>
      <c r="S18" s="125"/>
      <c r="T18" s="125"/>
      <c r="U18" s="125"/>
      <c r="V18" s="125"/>
      <c r="W18" s="125"/>
      <c r="X18" s="125"/>
      <c r="Y18" s="125"/>
      <c r="Z18" s="125"/>
      <c r="AA18" s="125"/>
      <c r="AB18" s="125"/>
      <c r="AC18" s="125"/>
      <c r="AD18" s="125"/>
      <c r="AE18" s="125"/>
      <c r="AF18" s="125"/>
      <c r="AG18" s="125"/>
      <c r="AH18" s="125"/>
      <c r="AI18" s="125"/>
      <c r="AJ18" s="125"/>
      <c r="AK18" s="125"/>
      <c r="AL18" s="125"/>
      <c r="AM18" s="125"/>
      <c r="AN18" s="125"/>
      <c r="AO18" s="125"/>
      <c r="AP18" s="125"/>
      <c r="AQ18" s="125"/>
      <c r="AR18" s="125"/>
      <c r="AS18" s="125"/>
      <c r="AT18" s="125"/>
      <c r="AU18" s="125"/>
      <c r="AV18" s="125"/>
      <c r="AW18" s="125"/>
      <c r="AX18" s="125"/>
      <c r="AY18" s="125"/>
      <c r="AZ18" s="125"/>
      <c r="BA18" s="125"/>
      <c r="BB18" s="125"/>
      <c r="BC18" s="125"/>
      <c r="BD18" s="125"/>
      <c r="BE18" s="125"/>
      <c r="BF18" s="125"/>
      <c r="BG18" s="125"/>
      <c r="BH18" s="125"/>
      <c r="BI18" s="125"/>
      <c r="BJ18" s="125"/>
      <c r="BK18" s="125"/>
      <c r="BL18" s="125"/>
    </row>
    <row r="19" spans="1:64">
      <c r="A19" s="198" t="s">
        <v>633</v>
      </c>
      <c r="B19" s="198"/>
      <c r="C19" s="198"/>
      <c r="D19" s="198"/>
      <c r="E19" s="198"/>
      <c r="F19" s="198"/>
      <c r="G19" s="198"/>
      <c r="H19" s="198"/>
      <c r="I19" s="198"/>
      <c r="J19" s="198"/>
      <c r="K19" s="198"/>
      <c r="L19" s="198"/>
      <c r="M19" s="198"/>
      <c r="N19" s="198"/>
      <c r="O19" s="198"/>
      <c r="P19" s="198"/>
      <c r="Q19" s="198"/>
      <c r="R19" s="198"/>
      <c r="S19" s="198"/>
      <c r="T19" s="198"/>
      <c r="U19" s="198"/>
      <c r="V19" s="198"/>
      <c r="W19" s="198"/>
      <c r="X19" s="198"/>
      <c r="Y19" s="198"/>
      <c r="Z19" s="198"/>
      <c r="AA19" s="198"/>
      <c r="AB19" s="198"/>
      <c r="AC19" s="198"/>
      <c r="AD19" s="198"/>
      <c r="AE19" s="198"/>
      <c r="AF19" s="198"/>
      <c r="AG19" s="198"/>
      <c r="AH19" s="198"/>
      <c r="AI19" s="198"/>
      <c r="AJ19" s="198"/>
      <c r="AK19" s="198"/>
      <c r="AL19" s="198"/>
      <c r="AM19" s="198"/>
      <c r="AN19" s="198"/>
      <c r="AO19" s="198"/>
      <c r="AP19" s="198"/>
      <c r="AQ19" s="198"/>
      <c r="AR19" s="198"/>
      <c r="AS19" s="198"/>
      <c r="AT19" s="198"/>
      <c r="AU19" s="198"/>
      <c r="AV19" s="198"/>
      <c r="AW19" s="198"/>
      <c r="AX19" s="198"/>
      <c r="AY19" s="198"/>
      <c r="AZ19" s="198"/>
      <c r="BA19" s="198"/>
      <c r="BB19" s="198"/>
      <c r="BC19" s="198"/>
      <c r="BD19" s="198"/>
      <c r="BE19" s="198"/>
      <c r="BF19" s="198"/>
      <c r="BG19" s="198"/>
      <c r="BH19" s="198"/>
      <c r="BI19" s="198"/>
      <c r="BJ19" s="198"/>
      <c r="BK19" s="198"/>
      <c r="BL19" s="198"/>
    </row>
    <row r="20" spans="1:64">
      <c r="A20" s="125" t="s">
        <v>634</v>
      </c>
      <c r="B20" s="125"/>
      <c r="C20" s="125"/>
      <c r="D20" s="199">
        <f>C23</f>
        <v>0</v>
      </c>
      <c r="E20" s="199">
        <f t="shared" ref="E20:BL20" ca="1" si="6">D23</f>
        <v>12623273.866684388</v>
      </c>
      <c r="F20" s="199">
        <f t="shared" ca="1" si="6"/>
        <v>12487113.725040019</v>
      </c>
      <c r="G20" s="199">
        <f t="shared" ca="1" si="6"/>
        <v>12524215.078383768</v>
      </c>
      <c r="H20" s="199">
        <f t="shared" ca="1" si="6"/>
        <v>12585786.873165019</v>
      </c>
      <c r="I20" s="199">
        <f t="shared" ca="1" si="6"/>
        <v>12644353.328989238</v>
      </c>
      <c r="J20" s="199">
        <f t="shared" ca="1" si="6"/>
        <v>12731815.316654984</v>
      </c>
      <c r="K20" s="199">
        <f t="shared" ca="1" si="6"/>
        <v>12901596.356805816</v>
      </c>
      <c r="L20" s="199">
        <f t="shared" ca="1" si="6"/>
        <v>13008943.40049207</v>
      </c>
      <c r="M20" s="199">
        <f t="shared" ca="1" si="6"/>
        <v>13270586.681440907</v>
      </c>
      <c r="N20" s="199">
        <f t="shared" ca="1" si="6"/>
        <v>13508582.98421593</v>
      </c>
      <c r="O20" s="199">
        <f t="shared" ca="1" si="6"/>
        <v>13796141.723147796</v>
      </c>
      <c r="P20" s="199">
        <f t="shared" ca="1" si="6"/>
        <v>14155024.648645297</v>
      </c>
      <c r="Q20" s="199">
        <f t="shared" ca="1" si="6"/>
        <v>14314279.065113047</v>
      </c>
      <c r="R20" s="199">
        <f t="shared" ca="1" si="6"/>
        <v>14460602.427248534</v>
      </c>
      <c r="S20" s="199">
        <f t="shared" ca="1" si="6"/>
        <v>14491108.704306237</v>
      </c>
      <c r="T20" s="199">
        <f t="shared" ca="1" si="6"/>
        <v>14521637.587614391</v>
      </c>
      <c r="U20" s="199">
        <f t="shared" ca="1" si="6"/>
        <v>14521637.587614391</v>
      </c>
      <c r="V20" s="199">
        <f t="shared" ca="1" si="6"/>
        <v>14521637.587614391</v>
      </c>
      <c r="W20" s="199">
        <f t="shared" ca="1" si="6"/>
        <v>14573079.744264727</v>
      </c>
      <c r="X20" s="199">
        <f t="shared" ca="1" si="6"/>
        <v>14573079.744264727</v>
      </c>
      <c r="Y20" s="199">
        <f t="shared" ca="1" si="6"/>
        <v>14573079.744264727</v>
      </c>
      <c r="Z20" s="199">
        <f t="shared" ca="1" si="6"/>
        <v>14561481.194120068</v>
      </c>
      <c r="AA20" s="199">
        <f t="shared" ca="1" si="6"/>
        <v>14207487.147523042</v>
      </c>
      <c r="AB20" s="199">
        <f t="shared" ca="1" si="6"/>
        <v>14185634.3972554</v>
      </c>
      <c r="AC20" s="199">
        <f t="shared" ca="1" si="6"/>
        <v>13936077.202138741</v>
      </c>
      <c r="AD20" s="199">
        <f t="shared" ca="1" si="6"/>
        <v>13581951.195207944</v>
      </c>
      <c r="AE20" s="199">
        <f t="shared" ca="1" si="6"/>
        <v>13220391.399562055</v>
      </c>
      <c r="AF20" s="199">
        <f t="shared" ca="1" si="6"/>
        <v>12855384.723984586</v>
      </c>
      <c r="AG20" s="199">
        <f t="shared" ca="1" si="6"/>
        <v>12485697.270640222</v>
      </c>
      <c r="AH20" s="199">
        <f t="shared" ca="1" si="6"/>
        <v>12096821.790135965</v>
      </c>
      <c r="AI20" s="199">
        <f t="shared" ca="1" si="6"/>
        <v>11705444.273081101</v>
      </c>
      <c r="AJ20" s="199">
        <f t="shared" ca="1" si="6"/>
        <v>11443923.465433819</v>
      </c>
      <c r="AK20" s="199">
        <f t="shared" ca="1" si="6"/>
        <v>11455051.316138202</v>
      </c>
      <c r="AL20" s="199">
        <f t="shared" ca="1" si="6"/>
        <v>11217529.777908619</v>
      </c>
      <c r="AM20" s="199">
        <f t="shared" ca="1" si="6"/>
        <v>11217529.777908619</v>
      </c>
      <c r="AN20" s="199">
        <f t="shared" ca="1" si="6"/>
        <v>11192657.438001318</v>
      </c>
      <c r="AO20" s="199">
        <f t="shared" ca="1" si="6"/>
        <v>9820132.922882149</v>
      </c>
      <c r="AP20" s="199">
        <f t="shared" ca="1" si="6"/>
        <v>10052173.087907609</v>
      </c>
      <c r="AQ20" s="199">
        <f t="shared" ca="1" si="6"/>
        <v>10052173.087907609</v>
      </c>
      <c r="AR20" s="199">
        <f t="shared" ca="1" si="6"/>
        <v>10052173.087907609</v>
      </c>
      <c r="AS20" s="199">
        <f t="shared" ca="1" si="6"/>
        <v>10052173.087907609</v>
      </c>
      <c r="AT20" s="199">
        <f t="shared" ca="1" si="6"/>
        <v>10189739.854744649</v>
      </c>
      <c r="AU20" s="199">
        <f t="shared" ca="1" si="6"/>
        <v>10189739.854744649</v>
      </c>
      <c r="AV20" s="199">
        <f t="shared" ca="1" si="6"/>
        <v>10189739.854744649</v>
      </c>
      <c r="AW20" s="199">
        <f t="shared" ca="1" si="6"/>
        <v>10169937.655182686</v>
      </c>
      <c r="AX20" s="199">
        <f t="shared" ca="1" si="6"/>
        <v>10178614.009865884</v>
      </c>
      <c r="AY20" s="199">
        <f t="shared" ca="1" si="6"/>
        <v>10258045.090947002</v>
      </c>
      <c r="AZ20" s="199">
        <f t="shared" ca="1" si="6"/>
        <v>10258045.090947002</v>
      </c>
      <c r="BA20" s="199">
        <f t="shared" ca="1" si="6"/>
        <v>10258045.090947002</v>
      </c>
      <c r="BB20" s="199">
        <f t="shared" ca="1" si="6"/>
        <v>10258045.090947002</v>
      </c>
      <c r="BC20" s="199">
        <f t="shared" ca="1" si="6"/>
        <v>10250597.173783861</v>
      </c>
      <c r="BD20" s="199">
        <f t="shared" ca="1" si="6"/>
        <v>10736662.012077013</v>
      </c>
      <c r="BE20" s="199">
        <f t="shared" ca="1" si="6"/>
        <v>10736662.012077013</v>
      </c>
      <c r="BF20" s="199">
        <f t="shared" ca="1" si="6"/>
        <v>10736662.012077013</v>
      </c>
      <c r="BG20" s="199">
        <f t="shared" ca="1" si="6"/>
        <v>10687130.824039314</v>
      </c>
      <c r="BH20" s="199">
        <f t="shared" ca="1" si="6"/>
        <v>10646243.843629368</v>
      </c>
      <c r="BI20" s="199">
        <f t="shared" ca="1" si="6"/>
        <v>10591757.094366621</v>
      </c>
      <c r="BJ20" s="199">
        <f t="shared" ca="1" si="6"/>
        <v>10536859.779233273</v>
      </c>
      <c r="BK20" s="199">
        <f t="shared" ca="1" si="6"/>
        <v>10481548.680174954</v>
      </c>
      <c r="BL20" s="199">
        <f t="shared" ca="1" si="6"/>
        <v>10425820.552949304</v>
      </c>
    </row>
    <row r="21" spans="1:64">
      <c r="A21" s="125" t="s">
        <v>635</v>
      </c>
      <c r="B21" s="125"/>
      <c r="C21" s="125"/>
      <c r="D21" s="199">
        <f ca="1">D13</f>
        <v>12623273.866684388</v>
      </c>
      <c r="E21" s="199">
        <f t="shared" ref="E21:BL21" ca="1" si="7">E13</f>
        <v>0</v>
      </c>
      <c r="F21" s="199">
        <f t="shared" ca="1" si="7"/>
        <v>37101.353343750001</v>
      </c>
      <c r="G21" s="199">
        <f t="shared" ca="1" si="7"/>
        <v>61571.794781250006</v>
      </c>
      <c r="H21" s="199">
        <f t="shared" ca="1" si="7"/>
        <v>58566.455824218756</v>
      </c>
      <c r="I21" s="199">
        <f t="shared" ca="1" si="7"/>
        <v>87461.98766574607</v>
      </c>
      <c r="J21" s="199">
        <f t="shared" ca="1" si="7"/>
        <v>169781.04015083201</v>
      </c>
      <c r="K21" s="199">
        <f t="shared" ca="1" si="7"/>
        <v>107347.04368625391</v>
      </c>
      <c r="L21" s="199">
        <f t="shared" ca="1" si="7"/>
        <v>261643.28094883598</v>
      </c>
      <c r="M21" s="199">
        <f t="shared" ca="1" si="7"/>
        <v>237996.30277502345</v>
      </c>
      <c r="N21" s="199">
        <f t="shared" ca="1" si="7"/>
        <v>287558.73893186724</v>
      </c>
      <c r="O21" s="199">
        <f t="shared" ca="1" si="7"/>
        <v>358882.92549749988</v>
      </c>
      <c r="P21" s="199">
        <f t="shared" ca="1" si="7"/>
        <v>159254.41646775001</v>
      </c>
      <c r="Q21" s="199">
        <f t="shared" ca="1" si="7"/>
        <v>146323.36213548639</v>
      </c>
      <c r="R21" s="199">
        <f t="shared" ca="1" si="7"/>
        <v>30506.277057703126</v>
      </c>
      <c r="S21" s="199">
        <f t="shared" ca="1" si="7"/>
        <v>30528.883308153134</v>
      </c>
      <c r="T21" s="199">
        <f t="shared" ca="1" si="7"/>
        <v>0</v>
      </c>
      <c r="U21" s="199">
        <f t="shared" ca="1" si="7"/>
        <v>0</v>
      </c>
      <c r="V21" s="199">
        <f t="shared" ca="1" si="7"/>
        <v>51442.156650337107</v>
      </c>
      <c r="W21" s="199">
        <f t="shared" ca="1" si="7"/>
        <v>0</v>
      </c>
      <c r="X21" s="199">
        <f t="shared" ca="1" si="7"/>
        <v>0</v>
      </c>
      <c r="Y21" s="199">
        <f t="shared" ca="1" si="7"/>
        <v>0</v>
      </c>
      <c r="Z21" s="199">
        <f t="shared" ca="1" si="7"/>
        <v>0</v>
      </c>
      <c r="AA21" s="199">
        <f t="shared" ca="1" si="7"/>
        <v>0</v>
      </c>
      <c r="AB21" s="199">
        <f t="shared" ca="1" si="7"/>
        <v>0</v>
      </c>
      <c r="AC21" s="199">
        <f t="shared" ca="1" si="7"/>
        <v>0</v>
      </c>
      <c r="AD21" s="199">
        <f t="shared" ca="1" si="7"/>
        <v>0</v>
      </c>
      <c r="AE21" s="199">
        <f t="shared" ca="1" si="7"/>
        <v>0</v>
      </c>
      <c r="AF21" s="199">
        <f t="shared" ca="1" si="7"/>
        <v>0</v>
      </c>
      <c r="AG21" s="199">
        <f t="shared" ca="1" si="7"/>
        <v>0</v>
      </c>
      <c r="AH21" s="199">
        <f t="shared" ca="1" si="7"/>
        <v>0</v>
      </c>
      <c r="AI21" s="199">
        <f t="shared" ca="1" si="7"/>
        <v>0</v>
      </c>
      <c r="AJ21" s="199">
        <f t="shared" ca="1" si="7"/>
        <v>11127.85070438336</v>
      </c>
      <c r="AK21" s="199">
        <f t="shared" ca="1" si="7"/>
        <v>0</v>
      </c>
      <c r="AL21" s="199">
        <f t="shared" ca="1" si="7"/>
        <v>0</v>
      </c>
      <c r="AM21" s="199">
        <f t="shared" ca="1" si="7"/>
        <v>0</v>
      </c>
      <c r="AN21" s="199">
        <f t="shared" ca="1" si="7"/>
        <v>0</v>
      </c>
      <c r="AO21" s="199">
        <f t="shared" ca="1" si="7"/>
        <v>232040.16502545972</v>
      </c>
      <c r="AP21" s="199">
        <f t="shared" ca="1" si="7"/>
        <v>0</v>
      </c>
      <c r="AQ21" s="199">
        <f t="shared" ca="1" si="7"/>
        <v>0</v>
      </c>
      <c r="AR21" s="199">
        <f t="shared" ca="1" si="7"/>
        <v>0</v>
      </c>
      <c r="AS21" s="199">
        <f t="shared" ca="1" si="7"/>
        <v>137566.76683703993</v>
      </c>
      <c r="AT21" s="199">
        <f t="shared" ca="1" si="7"/>
        <v>0</v>
      </c>
      <c r="AU21" s="199">
        <f t="shared" ca="1" si="7"/>
        <v>0</v>
      </c>
      <c r="AV21" s="199">
        <f t="shared" ca="1" si="7"/>
        <v>0</v>
      </c>
      <c r="AW21" s="199">
        <f t="shared" ca="1" si="7"/>
        <v>8676.3546831972253</v>
      </c>
      <c r="AX21" s="199">
        <f t="shared" ca="1" si="7"/>
        <v>79431.081081118158</v>
      </c>
      <c r="AY21" s="199">
        <f t="shared" ca="1" si="7"/>
        <v>0</v>
      </c>
      <c r="AZ21" s="199">
        <f t="shared" ca="1" si="7"/>
        <v>0</v>
      </c>
      <c r="BA21" s="199">
        <f t="shared" ca="1" si="7"/>
        <v>0</v>
      </c>
      <c r="BB21" s="199">
        <f t="shared" ca="1" si="7"/>
        <v>0</v>
      </c>
      <c r="BC21" s="199">
        <f t="shared" ca="1" si="7"/>
        <v>486064.83829315205</v>
      </c>
      <c r="BD21" s="199">
        <f t="shared" ca="1" si="7"/>
        <v>0</v>
      </c>
      <c r="BE21" s="199">
        <f t="shared" ca="1" si="7"/>
        <v>0</v>
      </c>
      <c r="BF21" s="199">
        <f t="shared" ca="1" si="7"/>
        <v>0</v>
      </c>
      <c r="BG21" s="199">
        <f t="shared" ca="1" si="7"/>
        <v>0</v>
      </c>
      <c r="BH21" s="199">
        <f t="shared" ca="1" si="7"/>
        <v>0</v>
      </c>
      <c r="BI21" s="199">
        <f t="shared" ca="1" si="7"/>
        <v>0</v>
      </c>
      <c r="BJ21" s="199">
        <f t="shared" ca="1" si="7"/>
        <v>0</v>
      </c>
      <c r="BK21" s="199">
        <f t="shared" ca="1" si="7"/>
        <v>0</v>
      </c>
      <c r="BL21" s="199">
        <f t="shared" ca="1" si="7"/>
        <v>0</v>
      </c>
    </row>
    <row r="22" spans="1:64">
      <c r="A22" s="125" t="s">
        <v>636</v>
      </c>
      <c r="B22" s="125"/>
      <c r="C22" s="125"/>
      <c r="D22" s="199">
        <f ca="1">-D44</f>
        <v>0</v>
      </c>
      <c r="E22" s="199">
        <f t="shared" ref="E22:BL22" ca="1" si="8">-E44</f>
        <v>-136160.14164437028</v>
      </c>
      <c r="F22" s="199">
        <f t="shared" ca="1" si="8"/>
        <v>0</v>
      </c>
      <c r="G22" s="199">
        <f t="shared" ca="1" si="8"/>
        <v>0</v>
      </c>
      <c r="H22" s="199">
        <f t="shared" ca="1" si="8"/>
        <v>0</v>
      </c>
      <c r="I22" s="199">
        <f t="shared" ca="1" si="8"/>
        <v>0</v>
      </c>
      <c r="J22" s="199">
        <f t="shared" ca="1" si="8"/>
        <v>0</v>
      </c>
      <c r="K22" s="199">
        <f t="shared" ca="1" si="8"/>
        <v>0</v>
      </c>
      <c r="L22" s="199">
        <f t="shared" ca="1" si="8"/>
        <v>0</v>
      </c>
      <c r="M22" s="199">
        <f t="shared" ca="1" si="8"/>
        <v>0</v>
      </c>
      <c r="N22" s="199">
        <f t="shared" ca="1" si="8"/>
        <v>0</v>
      </c>
      <c r="O22" s="199">
        <f t="shared" ca="1" si="8"/>
        <v>0</v>
      </c>
      <c r="P22" s="199">
        <f t="shared" ca="1" si="8"/>
        <v>0</v>
      </c>
      <c r="Q22" s="199">
        <f t="shared" ca="1" si="8"/>
        <v>0</v>
      </c>
      <c r="R22" s="199">
        <f t="shared" ca="1" si="8"/>
        <v>0</v>
      </c>
      <c r="S22" s="199">
        <f t="shared" ca="1" si="8"/>
        <v>0</v>
      </c>
      <c r="T22" s="199">
        <f t="shared" ca="1" si="8"/>
        <v>0</v>
      </c>
      <c r="U22" s="199">
        <f t="shared" ca="1" si="8"/>
        <v>0</v>
      </c>
      <c r="V22" s="199">
        <f t="shared" ca="1" si="8"/>
        <v>0</v>
      </c>
      <c r="W22" s="199">
        <f t="shared" ca="1" si="8"/>
        <v>0</v>
      </c>
      <c r="X22" s="199">
        <f t="shared" ca="1" si="8"/>
        <v>0</v>
      </c>
      <c r="Y22" s="199">
        <f t="shared" ca="1" si="8"/>
        <v>-11598.550144659472</v>
      </c>
      <c r="Z22" s="199">
        <f t="shared" ca="1" si="8"/>
        <v>-353994.04659702658</v>
      </c>
      <c r="AA22" s="199">
        <f t="shared" ca="1" si="8"/>
        <v>-21852.750267640717</v>
      </c>
      <c r="AB22" s="199">
        <f t="shared" ca="1" si="8"/>
        <v>-249557.19511665884</v>
      </c>
      <c r="AC22" s="199">
        <f t="shared" ca="1" si="8"/>
        <v>-354126.00693079701</v>
      </c>
      <c r="AD22" s="199">
        <f t="shared" ca="1" si="8"/>
        <v>-361559.79564588802</v>
      </c>
      <c r="AE22" s="199">
        <f t="shared" ca="1" si="8"/>
        <v>-365006.67557746952</v>
      </c>
      <c r="AF22" s="199">
        <f t="shared" ca="1" si="8"/>
        <v>-369687.45334436384</v>
      </c>
      <c r="AG22" s="199">
        <f t="shared" ca="1" si="8"/>
        <v>-388875.48050425749</v>
      </c>
      <c r="AH22" s="199">
        <f t="shared" ca="1" si="8"/>
        <v>-391377.51705486397</v>
      </c>
      <c r="AI22" s="199">
        <f t="shared" ca="1" si="8"/>
        <v>-261520.80764728261</v>
      </c>
      <c r="AJ22" s="199">
        <f t="shared" ca="1" si="8"/>
        <v>0</v>
      </c>
      <c r="AK22" s="199">
        <f t="shared" ca="1" si="8"/>
        <v>-237521.53822958353</v>
      </c>
      <c r="AL22" s="199">
        <f t="shared" ca="1" si="8"/>
        <v>0</v>
      </c>
      <c r="AM22" s="199">
        <f t="shared" ca="1" si="8"/>
        <v>-24872.339907302405</v>
      </c>
      <c r="AN22" s="199">
        <f t="shared" ca="1" si="8"/>
        <v>-1372524.5151191682</v>
      </c>
      <c r="AO22" s="199">
        <f t="shared" ca="1" si="8"/>
        <v>0</v>
      </c>
      <c r="AP22" s="199">
        <f t="shared" ca="1" si="8"/>
        <v>0</v>
      </c>
      <c r="AQ22" s="199">
        <f t="shared" ca="1" si="8"/>
        <v>0</v>
      </c>
      <c r="AR22" s="199">
        <f t="shared" ca="1" si="8"/>
        <v>0</v>
      </c>
      <c r="AS22" s="199">
        <f t="shared" ca="1" si="8"/>
        <v>0</v>
      </c>
      <c r="AT22" s="199">
        <f t="shared" ca="1" si="8"/>
        <v>0</v>
      </c>
      <c r="AU22" s="199">
        <f t="shared" ca="1" si="8"/>
        <v>0</v>
      </c>
      <c r="AV22" s="199">
        <f t="shared" ca="1" si="8"/>
        <v>-19802.199561963338</v>
      </c>
      <c r="AW22" s="199">
        <f t="shared" ca="1" si="8"/>
        <v>0</v>
      </c>
      <c r="AX22" s="199">
        <f t="shared" ca="1" si="8"/>
        <v>0</v>
      </c>
      <c r="AY22" s="199">
        <f t="shared" ca="1" si="8"/>
        <v>0</v>
      </c>
      <c r="AZ22" s="199">
        <f t="shared" ca="1" si="8"/>
        <v>0</v>
      </c>
      <c r="BA22" s="199">
        <f t="shared" ca="1" si="8"/>
        <v>0</v>
      </c>
      <c r="BB22" s="199">
        <f t="shared" ca="1" si="8"/>
        <v>-7447.9171631405479</v>
      </c>
      <c r="BC22" s="199">
        <f t="shared" ca="1" si="8"/>
        <v>0</v>
      </c>
      <c r="BD22" s="199">
        <f t="shared" ca="1" si="8"/>
        <v>0</v>
      </c>
      <c r="BE22" s="199">
        <f t="shared" ca="1" si="8"/>
        <v>0</v>
      </c>
      <c r="BF22" s="199">
        <f t="shared" ca="1" si="8"/>
        <v>-49531.188037698863</v>
      </c>
      <c r="BG22" s="199">
        <f t="shared" ca="1" si="8"/>
        <v>-40886.980409945827</v>
      </c>
      <c r="BH22" s="199">
        <f t="shared" ca="1" si="8"/>
        <v>-54486.749262746365</v>
      </c>
      <c r="BI22" s="199">
        <f t="shared" ca="1" si="8"/>
        <v>-54897.315133347642</v>
      </c>
      <c r="BJ22" s="199">
        <f t="shared" ca="1" si="8"/>
        <v>-55311.099058319334</v>
      </c>
      <c r="BK22" s="199">
        <f t="shared" ca="1" si="8"/>
        <v>-55728.127225650998</v>
      </c>
      <c r="BL22" s="199">
        <f t="shared" ca="1" si="8"/>
        <v>-10425820.552949304</v>
      </c>
    </row>
    <row r="23" spans="1:64">
      <c r="A23" s="126" t="s">
        <v>637</v>
      </c>
      <c r="B23" s="126"/>
      <c r="C23" s="126"/>
      <c r="D23" s="200">
        <f ca="1">SUM(D20:D22)</f>
        <v>12623273.866684388</v>
      </c>
      <c r="E23" s="200">
        <f t="shared" ref="E23:BL23" ca="1" si="9">SUM(E20:E22)</f>
        <v>12487113.725040019</v>
      </c>
      <c r="F23" s="200">
        <f t="shared" ca="1" si="9"/>
        <v>12524215.078383768</v>
      </c>
      <c r="G23" s="200">
        <f t="shared" ca="1" si="9"/>
        <v>12585786.873165019</v>
      </c>
      <c r="H23" s="200">
        <f t="shared" ca="1" si="9"/>
        <v>12644353.328989238</v>
      </c>
      <c r="I23" s="200">
        <f t="shared" ca="1" si="9"/>
        <v>12731815.316654984</v>
      </c>
      <c r="J23" s="200">
        <f t="shared" ca="1" si="9"/>
        <v>12901596.356805816</v>
      </c>
      <c r="K23" s="200">
        <f t="shared" ca="1" si="9"/>
        <v>13008943.40049207</v>
      </c>
      <c r="L23" s="200">
        <f t="shared" ca="1" si="9"/>
        <v>13270586.681440907</v>
      </c>
      <c r="M23" s="200">
        <f t="shared" ca="1" si="9"/>
        <v>13508582.98421593</v>
      </c>
      <c r="N23" s="200">
        <f t="shared" ca="1" si="9"/>
        <v>13796141.723147796</v>
      </c>
      <c r="O23" s="200">
        <f t="shared" ca="1" si="9"/>
        <v>14155024.648645297</v>
      </c>
      <c r="P23" s="200">
        <f t="shared" ca="1" si="9"/>
        <v>14314279.065113047</v>
      </c>
      <c r="Q23" s="200">
        <f t="shared" ca="1" si="9"/>
        <v>14460602.427248534</v>
      </c>
      <c r="R23" s="200">
        <f t="shared" ca="1" si="9"/>
        <v>14491108.704306237</v>
      </c>
      <c r="S23" s="200">
        <f t="shared" ca="1" si="9"/>
        <v>14521637.587614391</v>
      </c>
      <c r="T23" s="200">
        <f t="shared" ca="1" si="9"/>
        <v>14521637.587614391</v>
      </c>
      <c r="U23" s="200">
        <f t="shared" ca="1" si="9"/>
        <v>14521637.587614391</v>
      </c>
      <c r="V23" s="200">
        <f t="shared" ca="1" si="9"/>
        <v>14573079.744264727</v>
      </c>
      <c r="W23" s="200">
        <f t="shared" ca="1" si="9"/>
        <v>14573079.744264727</v>
      </c>
      <c r="X23" s="200">
        <f t="shared" ca="1" si="9"/>
        <v>14573079.744264727</v>
      </c>
      <c r="Y23" s="200">
        <f t="shared" ca="1" si="9"/>
        <v>14561481.194120068</v>
      </c>
      <c r="Z23" s="200">
        <f t="shared" ca="1" si="9"/>
        <v>14207487.147523042</v>
      </c>
      <c r="AA23" s="200">
        <f t="shared" ca="1" si="9"/>
        <v>14185634.3972554</v>
      </c>
      <c r="AB23" s="200">
        <f t="shared" ca="1" si="9"/>
        <v>13936077.202138741</v>
      </c>
      <c r="AC23" s="200">
        <f t="shared" ca="1" si="9"/>
        <v>13581951.195207944</v>
      </c>
      <c r="AD23" s="200">
        <f t="shared" ca="1" si="9"/>
        <v>13220391.399562055</v>
      </c>
      <c r="AE23" s="200">
        <f t="shared" ca="1" si="9"/>
        <v>12855384.723984586</v>
      </c>
      <c r="AF23" s="200">
        <f t="shared" ca="1" si="9"/>
        <v>12485697.270640222</v>
      </c>
      <c r="AG23" s="200">
        <f t="shared" ca="1" si="9"/>
        <v>12096821.790135965</v>
      </c>
      <c r="AH23" s="200">
        <f t="shared" ca="1" si="9"/>
        <v>11705444.273081101</v>
      </c>
      <c r="AI23" s="200">
        <f t="shared" ca="1" si="9"/>
        <v>11443923.465433819</v>
      </c>
      <c r="AJ23" s="200">
        <f t="shared" ca="1" si="9"/>
        <v>11455051.316138202</v>
      </c>
      <c r="AK23" s="200">
        <f t="shared" ca="1" si="9"/>
        <v>11217529.777908619</v>
      </c>
      <c r="AL23" s="200">
        <f t="shared" ca="1" si="9"/>
        <v>11217529.777908619</v>
      </c>
      <c r="AM23" s="200">
        <f t="shared" ca="1" si="9"/>
        <v>11192657.438001318</v>
      </c>
      <c r="AN23" s="200">
        <f t="shared" ca="1" si="9"/>
        <v>9820132.922882149</v>
      </c>
      <c r="AO23" s="200">
        <f t="shared" ca="1" si="9"/>
        <v>10052173.087907609</v>
      </c>
      <c r="AP23" s="200">
        <f t="shared" ca="1" si="9"/>
        <v>10052173.087907609</v>
      </c>
      <c r="AQ23" s="200">
        <f t="shared" ca="1" si="9"/>
        <v>10052173.087907609</v>
      </c>
      <c r="AR23" s="200">
        <f t="shared" ca="1" si="9"/>
        <v>10052173.087907609</v>
      </c>
      <c r="AS23" s="200">
        <f t="shared" ca="1" si="9"/>
        <v>10189739.854744649</v>
      </c>
      <c r="AT23" s="200">
        <f t="shared" ca="1" si="9"/>
        <v>10189739.854744649</v>
      </c>
      <c r="AU23" s="200">
        <f t="shared" ca="1" si="9"/>
        <v>10189739.854744649</v>
      </c>
      <c r="AV23" s="200">
        <f t="shared" ca="1" si="9"/>
        <v>10169937.655182686</v>
      </c>
      <c r="AW23" s="200">
        <f t="shared" ca="1" si="9"/>
        <v>10178614.009865884</v>
      </c>
      <c r="AX23" s="200">
        <f t="shared" ca="1" si="9"/>
        <v>10258045.090947002</v>
      </c>
      <c r="AY23" s="200">
        <f t="shared" ca="1" si="9"/>
        <v>10258045.090947002</v>
      </c>
      <c r="AZ23" s="200">
        <f t="shared" ca="1" si="9"/>
        <v>10258045.090947002</v>
      </c>
      <c r="BA23" s="200">
        <f t="shared" ca="1" si="9"/>
        <v>10258045.090947002</v>
      </c>
      <c r="BB23" s="200">
        <f t="shared" ca="1" si="9"/>
        <v>10250597.173783861</v>
      </c>
      <c r="BC23" s="200">
        <f t="shared" ca="1" si="9"/>
        <v>10736662.012077013</v>
      </c>
      <c r="BD23" s="200">
        <f t="shared" ca="1" si="9"/>
        <v>10736662.012077013</v>
      </c>
      <c r="BE23" s="200">
        <f t="shared" ca="1" si="9"/>
        <v>10736662.012077013</v>
      </c>
      <c r="BF23" s="200">
        <f t="shared" ca="1" si="9"/>
        <v>10687130.824039314</v>
      </c>
      <c r="BG23" s="200">
        <f t="shared" ca="1" si="9"/>
        <v>10646243.843629368</v>
      </c>
      <c r="BH23" s="200">
        <f t="shared" ca="1" si="9"/>
        <v>10591757.094366621</v>
      </c>
      <c r="BI23" s="200">
        <f t="shared" ca="1" si="9"/>
        <v>10536859.779233273</v>
      </c>
      <c r="BJ23" s="200">
        <f t="shared" ca="1" si="9"/>
        <v>10481548.680174954</v>
      </c>
      <c r="BK23" s="200">
        <f t="shared" ca="1" si="9"/>
        <v>10425820.552949304</v>
      </c>
      <c r="BL23" s="200">
        <f t="shared" ca="1" si="9"/>
        <v>0</v>
      </c>
    </row>
    <row r="24" spans="1:64">
      <c r="A24" s="125" t="s">
        <v>638</v>
      </c>
      <c r="B24" s="125"/>
      <c r="C24" s="125"/>
      <c r="D24" s="199">
        <f>C27</f>
        <v>0</v>
      </c>
      <c r="E24" s="199">
        <f t="shared" ref="E24:BL24" ca="1" si="10">D27</f>
        <v>0</v>
      </c>
      <c r="F24" s="199">
        <f t="shared" ca="1" si="10"/>
        <v>0</v>
      </c>
      <c r="G24" s="199">
        <f t="shared" ca="1" si="10"/>
        <v>80342.46569394457</v>
      </c>
      <c r="H24" s="199">
        <f t="shared" ca="1" si="10"/>
        <v>161440.56845581147</v>
      </c>
      <c r="I24" s="199">
        <f t="shared" ca="1" si="10"/>
        <v>243456.61363426188</v>
      </c>
      <c r="J24" s="199">
        <f t="shared" ca="1" si="10"/>
        <v>326377.17085710308</v>
      </c>
      <c r="K24" s="199">
        <f t="shared" ca="1" si="10"/>
        <v>410393.97450397641</v>
      </c>
      <c r="L24" s="199">
        <f t="shared" ca="1" si="10"/>
        <v>496043.72111969814</v>
      </c>
      <c r="M24" s="199">
        <f t="shared" ca="1" si="10"/>
        <v>582935.2148953568</v>
      </c>
      <c r="N24" s="199">
        <f t="shared" ca="1" si="10"/>
        <v>672069.19190597616</v>
      </c>
      <c r="O24" s="199">
        <f t="shared" ca="1" si="10"/>
        <v>763307.93498663022</v>
      </c>
      <c r="P24" s="199">
        <f t="shared" ca="1" si="10"/>
        <v>856983.87247214629</v>
      </c>
      <c r="Q24" s="199">
        <f t="shared" ca="1" si="10"/>
        <v>953571.58730864397</v>
      </c>
      <c r="R24" s="199">
        <f t="shared" ca="1" si="10"/>
        <v>1051805.3981213607</v>
      </c>
      <c r="S24" s="199">
        <f t="shared" ca="1" si="10"/>
        <v>1151612.6971484434</v>
      </c>
      <c r="T24" s="199">
        <f t="shared" ca="1" si="10"/>
        <v>1252258.4376477979</v>
      </c>
      <c r="U24" s="199">
        <f t="shared" ca="1" si="10"/>
        <v>1038232.0854404122</v>
      </c>
      <c r="V24" s="199">
        <f t="shared" ca="1" si="10"/>
        <v>729024.08694104385</v>
      </c>
      <c r="W24" s="199">
        <f t="shared" ca="1" si="10"/>
        <v>827147.30335260881</v>
      </c>
      <c r="X24" s="199">
        <f t="shared" ca="1" si="10"/>
        <v>503043.21854603285</v>
      </c>
      <c r="Y24" s="199">
        <f t="shared" ca="1" si="10"/>
        <v>141844.87121560512</v>
      </c>
      <c r="Z24" s="199">
        <f t="shared" ca="1" si="10"/>
        <v>0</v>
      </c>
      <c r="AA24" s="199">
        <f t="shared" ca="1" si="10"/>
        <v>0</v>
      </c>
      <c r="AB24" s="199">
        <f t="shared" ca="1" si="10"/>
        <v>0</v>
      </c>
      <c r="AC24" s="199">
        <f t="shared" ca="1" si="10"/>
        <v>0</v>
      </c>
      <c r="AD24" s="199">
        <f t="shared" ca="1" si="10"/>
        <v>0</v>
      </c>
      <c r="AE24" s="199">
        <f t="shared" ca="1" si="10"/>
        <v>0</v>
      </c>
      <c r="AF24" s="199">
        <f t="shared" ca="1" si="10"/>
        <v>0</v>
      </c>
      <c r="AG24" s="199">
        <f t="shared" ca="1" si="10"/>
        <v>0</v>
      </c>
      <c r="AH24" s="199">
        <f t="shared" ca="1" si="10"/>
        <v>0</v>
      </c>
      <c r="AI24" s="199">
        <f t="shared" ca="1" si="10"/>
        <v>0</v>
      </c>
      <c r="AJ24" s="199">
        <f t="shared" ca="1" si="10"/>
        <v>0</v>
      </c>
      <c r="AK24" s="199">
        <f t="shared" ca="1" si="10"/>
        <v>73630.548153175987</v>
      </c>
      <c r="AL24" s="199">
        <f t="shared" ca="1" si="10"/>
        <v>0</v>
      </c>
      <c r="AM24" s="199">
        <f t="shared" ca="1" si="10"/>
        <v>38198.113905167149</v>
      </c>
      <c r="AN24" s="199">
        <f t="shared" ca="1" si="10"/>
        <v>0</v>
      </c>
      <c r="AO24" s="199">
        <f t="shared" ca="1" si="10"/>
        <v>0</v>
      </c>
      <c r="AP24" s="199">
        <f t="shared" ca="1" si="10"/>
        <v>63183.030910059737</v>
      </c>
      <c r="AQ24" s="199">
        <f t="shared" ca="1" si="10"/>
        <v>45311.336123783403</v>
      </c>
      <c r="AR24" s="199">
        <f t="shared" ca="1" si="10"/>
        <v>10511.481462856726</v>
      </c>
      <c r="AS24" s="199">
        <f t="shared" ca="1" si="10"/>
        <v>0</v>
      </c>
      <c r="AT24" s="199">
        <f t="shared" ca="1" si="10"/>
        <v>64675.984318563715</v>
      </c>
      <c r="AU24" s="199">
        <f t="shared" ca="1" si="10"/>
        <v>7509.061263379117</v>
      </c>
      <c r="AV24" s="199">
        <f t="shared" ca="1" si="10"/>
        <v>0</v>
      </c>
      <c r="AW24" s="199">
        <f t="shared" ca="1" si="10"/>
        <v>0</v>
      </c>
      <c r="AX24" s="199">
        <f t="shared" ca="1" si="10"/>
        <v>65433.685090303086</v>
      </c>
      <c r="AY24" s="199">
        <f t="shared" ca="1" si="10"/>
        <v>131344.19640796242</v>
      </c>
      <c r="AZ24" s="199">
        <f t="shared" ca="1" si="10"/>
        <v>89079.556467802147</v>
      </c>
      <c r="BA24" s="199">
        <f t="shared" ca="1" si="10"/>
        <v>35452.513956952898</v>
      </c>
      <c r="BB24" s="199">
        <f t="shared" ca="1" si="10"/>
        <v>0</v>
      </c>
      <c r="BC24" s="199">
        <f t="shared" ca="1" si="10"/>
        <v>0</v>
      </c>
      <c r="BD24" s="199">
        <f t="shared" ca="1" si="10"/>
        <v>65952.650861641421</v>
      </c>
      <c r="BE24" s="199">
        <f t="shared" ca="1" si="10"/>
        <v>53671.352922248596</v>
      </c>
      <c r="BF24" s="199">
        <f t="shared" ca="1" si="10"/>
        <v>0</v>
      </c>
      <c r="BG24" s="199">
        <f t="shared" ca="1" si="10"/>
        <v>0</v>
      </c>
      <c r="BH24" s="199">
        <f t="shared" ca="1" si="10"/>
        <v>0</v>
      </c>
      <c r="BI24" s="199">
        <f t="shared" ca="1" si="10"/>
        <v>0</v>
      </c>
      <c r="BJ24" s="199">
        <f t="shared" ca="1" si="10"/>
        <v>0</v>
      </c>
      <c r="BK24" s="199">
        <f t="shared" ca="1" si="10"/>
        <v>0</v>
      </c>
      <c r="BL24" s="199">
        <f t="shared" ca="1" si="10"/>
        <v>0</v>
      </c>
    </row>
    <row r="25" spans="1:64">
      <c r="A25" s="125" t="s">
        <v>639</v>
      </c>
      <c r="B25" s="125"/>
      <c r="C25" s="125"/>
      <c r="D25" s="199">
        <f t="shared" ref="D25:AI25" si="11">(D20+D24)*PrefMo</f>
        <v>0</v>
      </c>
      <c r="E25" s="199">
        <f t="shared" ca="1" si="11"/>
        <v>81218.524145066782</v>
      </c>
      <c r="F25" s="199">
        <f t="shared" ca="1" si="11"/>
        <v>80342.46569394457</v>
      </c>
      <c r="G25" s="199">
        <f t="shared" ca="1" si="11"/>
        <v>81098.102761866889</v>
      </c>
      <c r="H25" s="199">
        <f t="shared" ca="1" si="11"/>
        <v>82016.045178450411</v>
      </c>
      <c r="I25" s="199">
        <f t="shared" ca="1" si="11"/>
        <v>82920.557222841177</v>
      </c>
      <c r="J25" s="199">
        <f t="shared" ca="1" si="11"/>
        <v>84016.803646873363</v>
      </c>
      <c r="K25" s="199">
        <f t="shared" ca="1" si="11"/>
        <v>85649.746615721757</v>
      </c>
      <c r="L25" s="199">
        <f t="shared" ca="1" si="11"/>
        <v>86891.493775658673</v>
      </c>
      <c r="M25" s="199">
        <f t="shared" ca="1" si="11"/>
        <v>89133.977010619332</v>
      </c>
      <c r="N25" s="199">
        <f t="shared" ca="1" si="11"/>
        <v>91238.743080654007</v>
      </c>
      <c r="O25" s="199">
        <f t="shared" ca="1" si="11"/>
        <v>93675.937485516057</v>
      </c>
      <c r="P25" s="199">
        <f t="shared" ca="1" si="11"/>
        <v>96587.714836497689</v>
      </c>
      <c r="Q25" s="199">
        <f t="shared" ca="1" si="11"/>
        <v>98233.810812716678</v>
      </c>
      <c r="R25" s="199">
        <f t="shared" ca="1" si="11"/>
        <v>99807.299027082729</v>
      </c>
      <c r="S25" s="199">
        <f t="shared" ca="1" si="11"/>
        <v>100645.74049935448</v>
      </c>
      <c r="T25" s="199">
        <f t="shared" ca="1" si="11"/>
        <v>101489.72197860036</v>
      </c>
      <c r="U25" s="199">
        <f t="shared" ca="1" si="11"/>
        <v>100112.66998416383</v>
      </c>
      <c r="V25" s="199">
        <f t="shared" ca="1" si="11"/>
        <v>98123.216411565008</v>
      </c>
      <c r="W25" s="199">
        <f t="shared" ca="1" si="11"/>
        <v>99085.52452525917</v>
      </c>
      <c r="X25" s="199">
        <f t="shared" ca="1" si="11"/>
        <v>97000.22908483856</v>
      </c>
      <c r="Y25" s="199">
        <f t="shared" ca="1" si="11"/>
        <v>94676.268042431097</v>
      </c>
      <c r="Z25" s="199">
        <f t="shared" ca="1" si="11"/>
        <v>93689.008449217217</v>
      </c>
      <c r="AA25" s="199">
        <f t="shared" ca="1" si="11"/>
        <v>91411.400094650002</v>
      </c>
      <c r="AB25" s="199">
        <f t="shared" ca="1" si="11"/>
        <v>91270.798841441603</v>
      </c>
      <c r="AC25" s="199">
        <f t="shared" ca="1" si="11"/>
        <v>89665.140333893025</v>
      </c>
      <c r="AD25" s="199">
        <f t="shared" ca="1" si="11"/>
        <v>87386.682942564992</v>
      </c>
      <c r="AE25" s="199">
        <f t="shared" ca="1" si="11"/>
        <v>85060.396330812655</v>
      </c>
      <c r="AF25" s="199">
        <f t="shared" ca="1" si="11"/>
        <v>82711.932389794965</v>
      </c>
      <c r="AG25" s="199">
        <f t="shared" ca="1" si="11"/>
        <v>80333.352183686846</v>
      </c>
      <c r="AH25" s="199">
        <f t="shared" ca="1" si="11"/>
        <v>77831.31563308039</v>
      </c>
      <c r="AI25" s="199">
        <f t="shared" ca="1" si="11"/>
        <v>75313.180903971021</v>
      </c>
      <c r="AJ25" s="199">
        <f t="shared" ref="AJ25:BL25" ca="1" si="12">(AJ20+AJ24)*PrefMo</f>
        <v>73630.548153175987</v>
      </c>
      <c r="AK25" s="199">
        <f t="shared" ca="1" si="12"/>
        <v>74175.886243501212</v>
      </c>
      <c r="AL25" s="199">
        <f t="shared" ca="1" si="12"/>
        <v>72173.92435092415</v>
      </c>
      <c r="AM25" s="199">
        <f t="shared" ca="1" si="12"/>
        <v>72419.692165935339</v>
      </c>
      <c r="AN25" s="199">
        <f t="shared" ca="1" si="12"/>
        <v>72013.894967054337</v>
      </c>
      <c r="AO25" s="199">
        <f t="shared" ca="1" si="12"/>
        <v>63183.030910059737</v>
      </c>
      <c r="AP25" s="199">
        <f t="shared" ca="1" si="12"/>
        <v>65082.505841880316</v>
      </c>
      <c r="AQ25" s="199">
        <f t="shared" ca="1" si="12"/>
        <v>64967.518819508616</v>
      </c>
      <c r="AR25" s="199">
        <f t="shared" ca="1" si="12"/>
        <v>64743.615506796479</v>
      </c>
      <c r="AS25" s="199">
        <f t="shared" ca="1" si="12"/>
        <v>64675.984318563715</v>
      </c>
      <c r="AT25" s="199">
        <f t="shared" ca="1" si="12"/>
        <v>65977.220269028796</v>
      </c>
      <c r="AU25" s="199">
        <f t="shared" ca="1" si="12"/>
        <v>65609.406564795485</v>
      </c>
      <c r="AV25" s="199">
        <f t="shared" ca="1" si="12"/>
        <v>65561.093038529056</v>
      </c>
      <c r="AW25" s="199">
        <f t="shared" ca="1" si="12"/>
        <v>65433.685090303086</v>
      </c>
      <c r="AX25" s="199">
        <f t="shared" ca="1" si="12"/>
        <v>65910.511317659344</v>
      </c>
      <c r="AY25" s="199">
        <f t="shared" ca="1" si="12"/>
        <v>66845.643499388927</v>
      </c>
      <c r="AZ25" s="199">
        <f t="shared" ca="1" si="12"/>
        <v>66573.711533425478</v>
      </c>
      <c r="BA25" s="199">
        <f t="shared" ca="1" si="12"/>
        <v>66228.673527200241</v>
      </c>
      <c r="BB25" s="199">
        <f t="shared" ca="1" si="12"/>
        <v>66000.570984925886</v>
      </c>
      <c r="BC25" s="199">
        <f t="shared" ca="1" si="12"/>
        <v>65952.650861641421</v>
      </c>
      <c r="BD25" s="199">
        <f t="shared" ca="1" si="12"/>
        <v>69504.348008111861</v>
      </c>
      <c r="BE25" s="199">
        <f t="shared" ca="1" si="12"/>
        <v>69425.329767379881</v>
      </c>
      <c r="BF25" s="199">
        <f t="shared" ca="1" si="12"/>
        <v>69080.006666633519</v>
      </c>
      <c r="BG25" s="199">
        <f t="shared" ca="1" si="12"/>
        <v>68761.321511414717</v>
      </c>
      <c r="BH25" s="199">
        <f t="shared" ca="1" si="12"/>
        <v>68498.253448350006</v>
      </c>
      <c r="BI25" s="199">
        <f t="shared" ca="1" si="12"/>
        <v>68147.684062997287</v>
      </c>
      <c r="BJ25" s="199">
        <f t="shared" ca="1" si="12"/>
        <v>67794.47308447097</v>
      </c>
      <c r="BK25" s="199">
        <f t="shared" ca="1" si="12"/>
        <v>67438.599807712366</v>
      </c>
      <c r="BL25" s="199">
        <f t="shared" ca="1" si="12"/>
        <v>67080.043359168427</v>
      </c>
    </row>
    <row r="26" spans="1:64">
      <c r="A26" s="125" t="s">
        <v>640</v>
      </c>
      <c r="B26" s="125"/>
      <c r="C26" s="125"/>
      <c r="D26" s="199">
        <f ca="1">-D40</f>
        <v>0</v>
      </c>
      <c r="E26" s="199">
        <f t="shared" ref="E26:BL26" ca="1" si="13">-E40</f>
        <v>-81218.524145066782</v>
      </c>
      <c r="F26" s="199">
        <f t="shared" ca="1" si="13"/>
        <v>0</v>
      </c>
      <c r="G26" s="199">
        <f t="shared" ca="1" si="13"/>
        <v>0</v>
      </c>
      <c r="H26" s="199">
        <f t="shared" ca="1" si="13"/>
        <v>0</v>
      </c>
      <c r="I26" s="199">
        <f t="shared" ca="1" si="13"/>
        <v>0</v>
      </c>
      <c r="J26" s="199">
        <f t="shared" ca="1" si="13"/>
        <v>0</v>
      </c>
      <c r="K26" s="199">
        <f t="shared" ca="1" si="13"/>
        <v>0</v>
      </c>
      <c r="L26" s="199">
        <f t="shared" ca="1" si="13"/>
        <v>0</v>
      </c>
      <c r="M26" s="199">
        <f t="shared" ca="1" si="13"/>
        <v>0</v>
      </c>
      <c r="N26" s="199">
        <f t="shared" ca="1" si="13"/>
        <v>0</v>
      </c>
      <c r="O26" s="199">
        <f t="shared" ca="1" si="13"/>
        <v>0</v>
      </c>
      <c r="P26" s="199">
        <f t="shared" ca="1" si="13"/>
        <v>0</v>
      </c>
      <c r="Q26" s="199">
        <f t="shared" ca="1" si="13"/>
        <v>0</v>
      </c>
      <c r="R26" s="199">
        <f t="shared" ca="1" si="13"/>
        <v>0</v>
      </c>
      <c r="S26" s="199">
        <f t="shared" ca="1" si="13"/>
        <v>0</v>
      </c>
      <c r="T26" s="199">
        <f t="shared" ca="1" si="13"/>
        <v>-315516.07418598607</v>
      </c>
      <c r="U26" s="199">
        <f t="shared" ca="1" si="13"/>
        <v>-409320.66848353203</v>
      </c>
      <c r="V26" s="199">
        <f t="shared" ca="1" si="13"/>
        <v>0</v>
      </c>
      <c r="W26" s="199">
        <f t="shared" ca="1" si="13"/>
        <v>-423189.60933183512</v>
      </c>
      <c r="X26" s="199">
        <f t="shared" ca="1" si="13"/>
        <v>-458198.57641526632</v>
      </c>
      <c r="Y26" s="199">
        <f t="shared" ca="1" si="13"/>
        <v>-236521.13925803622</v>
      </c>
      <c r="Z26" s="199">
        <f t="shared" ca="1" si="13"/>
        <v>-93689.008449217217</v>
      </c>
      <c r="AA26" s="199">
        <f t="shared" ca="1" si="13"/>
        <v>-91411.400094650002</v>
      </c>
      <c r="AB26" s="199">
        <f t="shared" ca="1" si="13"/>
        <v>-91270.798841441603</v>
      </c>
      <c r="AC26" s="199">
        <f t="shared" ca="1" si="13"/>
        <v>-89665.140333893025</v>
      </c>
      <c r="AD26" s="199">
        <f t="shared" ca="1" si="13"/>
        <v>-87386.682942564992</v>
      </c>
      <c r="AE26" s="199">
        <f t="shared" ca="1" si="13"/>
        <v>-85060.396330812655</v>
      </c>
      <c r="AF26" s="199">
        <f t="shared" ca="1" si="13"/>
        <v>-82711.932389794965</v>
      </c>
      <c r="AG26" s="199">
        <f t="shared" ca="1" si="13"/>
        <v>-80333.352183686846</v>
      </c>
      <c r="AH26" s="199">
        <f t="shared" ca="1" si="13"/>
        <v>-77831.31563308039</v>
      </c>
      <c r="AI26" s="199">
        <f t="shared" ca="1" si="13"/>
        <v>-75313.180903971021</v>
      </c>
      <c r="AJ26" s="199">
        <f t="shared" ca="1" si="13"/>
        <v>0</v>
      </c>
      <c r="AK26" s="199">
        <f t="shared" ca="1" si="13"/>
        <v>-147806.43439667718</v>
      </c>
      <c r="AL26" s="199">
        <f t="shared" ca="1" si="13"/>
        <v>-33975.810445757001</v>
      </c>
      <c r="AM26" s="199">
        <f t="shared" ca="1" si="13"/>
        <v>-110617.80607110249</v>
      </c>
      <c r="AN26" s="199">
        <f t="shared" ca="1" si="13"/>
        <v>-72013.894967054337</v>
      </c>
      <c r="AO26" s="199">
        <f t="shared" ca="1" si="13"/>
        <v>0</v>
      </c>
      <c r="AP26" s="199">
        <f t="shared" ca="1" si="13"/>
        <v>-82954.200628156657</v>
      </c>
      <c r="AQ26" s="199">
        <f t="shared" ca="1" si="13"/>
        <v>-99767.373480435286</v>
      </c>
      <c r="AR26" s="199">
        <f t="shared" ca="1" si="13"/>
        <v>-75255.096969653212</v>
      </c>
      <c r="AS26" s="199">
        <f t="shared" ca="1" si="13"/>
        <v>0</v>
      </c>
      <c r="AT26" s="199">
        <f t="shared" ca="1" si="13"/>
        <v>-123144.14332421339</v>
      </c>
      <c r="AU26" s="199">
        <f t="shared" ca="1" si="13"/>
        <v>-73118.467828174602</v>
      </c>
      <c r="AV26" s="199">
        <f t="shared" ca="1" si="13"/>
        <v>-65561.093038529056</v>
      </c>
      <c r="AW26" s="199">
        <f t="shared" ca="1" si="13"/>
        <v>0</v>
      </c>
      <c r="AX26" s="199">
        <f t="shared" ca="1" si="13"/>
        <v>0</v>
      </c>
      <c r="AY26" s="199">
        <f t="shared" ca="1" si="13"/>
        <v>-109110.28343954921</v>
      </c>
      <c r="AZ26" s="199">
        <f t="shared" ca="1" si="13"/>
        <v>-120200.75404427474</v>
      </c>
      <c r="BA26" s="199">
        <f t="shared" ca="1" si="13"/>
        <v>-101681.18748415314</v>
      </c>
      <c r="BB26" s="199">
        <f t="shared" ca="1" si="13"/>
        <v>-66000.570984925886</v>
      </c>
      <c r="BC26" s="199">
        <f t="shared" ca="1" si="13"/>
        <v>0</v>
      </c>
      <c r="BD26" s="199">
        <f t="shared" ca="1" si="13"/>
        <v>-81785.645947504672</v>
      </c>
      <c r="BE26" s="199">
        <f t="shared" ca="1" si="13"/>
        <v>-123096.68268962848</v>
      </c>
      <c r="BF26" s="199">
        <f t="shared" ca="1" si="13"/>
        <v>-69080.006666633519</v>
      </c>
      <c r="BG26" s="199">
        <f t="shared" ca="1" si="13"/>
        <v>-68761.321511414717</v>
      </c>
      <c r="BH26" s="199">
        <f t="shared" ca="1" si="13"/>
        <v>-68498.253448350006</v>
      </c>
      <c r="BI26" s="199">
        <f t="shared" ca="1" si="13"/>
        <v>-68147.684062997287</v>
      </c>
      <c r="BJ26" s="199">
        <f t="shared" ca="1" si="13"/>
        <v>-67794.47308447097</v>
      </c>
      <c r="BK26" s="199">
        <f t="shared" ca="1" si="13"/>
        <v>-67438.599807712366</v>
      </c>
      <c r="BL26" s="199">
        <f t="shared" ca="1" si="13"/>
        <v>-67080.043359168427</v>
      </c>
    </row>
    <row r="27" spans="1:64">
      <c r="A27" s="126" t="s">
        <v>641</v>
      </c>
      <c r="B27" s="126"/>
      <c r="C27" s="126"/>
      <c r="D27" s="200">
        <f ca="1">SUM(D24:D26)</f>
        <v>0</v>
      </c>
      <c r="E27" s="200">
        <f t="shared" ref="E27:BL27" ca="1" si="14">SUM(E24:E26)</f>
        <v>0</v>
      </c>
      <c r="F27" s="200">
        <f t="shared" ca="1" si="14"/>
        <v>80342.46569394457</v>
      </c>
      <c r="G27" s="200">
        <f t="shared" ca="1" si="14"/>
        <v>161440.56845581147</v>
      </c>
      <c r="H27" s="200">
        <f t="shared" ca="1" si="14"/>
        <v>243456.61363426188</v>
      </c>
      <c r="I27" s="200">
        <f t="shared" ca="1" si="14"/>
        <v>326377.17085710308</v>
      </c>
      <c r="J27" s="200">
        <f t="shared" ca="1" si="14"/>
        <v>410393.97450397641</v>
      </c>
      <c r="K27" s="200">
        <f t="shared" ca="1" si="14"/>
        <v>496043.72111969814</v>
      </c>
      <c r="L27" s="200">
        <f t="shared" ca="1" si="14"/>
        <v>582935.2148953568</v>
      </c>
      <c r="M27" s="200">
        <f t="shared" ca="1" si="14"/>
        <v>672069.19190597616</v>
      </c>
      <c r="N27" s="200">
        <f t="shared" ca="1" si="14"/>
        <v>763307.93498663022</v>
      </c>
      <c r="O27" s="200">
        <f t="shared" ca="1" si="14"/>
        <v>856983.87247214629</v>
      </c>
      <c r="P27" s="200">
        <f t="shared" ca="1" si="14"/>
        <v>953571.58730864397</v>
      </c>
      <c r="Q27" s="200">
        <f t="shared" ca="1" si="14"/>
        <v>1051805.3981213607</v>
      </c>
      <c r="R27" s="200">
        <f t="shared" ca="1" si="14"/>
        <v>1151612.6971484434</v>
      </c>
      <c r="S27" s="200">
        <f t="shared" ca="1" si="14"/>
        <v>1252258.4376477979</v>
      </c>
      <c r="T27" s="200">
        <f t="shared" ca="1" si="14"/>
        <v>1038232.0854404122</v>
      </c>
      <c r="U27" s="200">
        <f t="shared" ca="1" si="14"/>
        <v>729024.08694104385</v>
      </c>
      <c r="V27" s="200">
        <f t="shared" ca="1" si="14"/>
        <v>827147.30335260881</v>
      </c>
      <c r="W27" s="200">
        <f t="shared" ca="1" si="14"/>
        <v>503043.21854603285</v>
      </c>
      <c r="X27" s="200">
        <f t="shared" ca="1" si="14"/>
        <v>141844.87121560512</v>
      </c>
      <c r="Y27" s="200">
        <f t="shared" ca="1" si="14"/>
        <v>0</v>
      </c>
      <c r="Z27" s="200">
        <f t="shared" ca="1" si="14"/>
        <v>0</v>
      </c>
      <c r="AA27" s="200">
        <f t="shared" ca="1" si="14"/>
        <v>0</v>
      </c>
      <c r="AB27" s="200">
        <f t="shared" ca="1" si="14"/>
        <v>0</v>
      </c>
      <c r="AC27" s="200">
        <f t="shared" ca="1" si="14"/>
        <v>0</v>
      </c>
      <c r="AD27" s="200">
        <f t="shared" ca="1" si="14"/>
        <v>0</v>
      </c>
      <c r="AE27" s="200">
        <f t="shared" ca="1" si="14"/>
        <v>0</v>
      </c>
      <c r="AF27" s="200">
        <f t="shared" ca="1" si="14"/>
        <v>0</v>
      </c>
      <c r="AG27" s="200">
        <f t="shared" ca="1" si="14"/>
        <v>0</v>
      </c>
      <c r="AH27" s="200">
        <f t="shared" ca="1" si="14"/>
        <v>0</v>
      </c>
      <c r="AI27" s="200">
        <f t="shared" ca="1" si="14"/>
        <v>0</v>
      </c>
      <c r="AJ27" s="200">
        <f t="shared" ca="1" si="14"/>
        <v>73630.548153175987</v>
      </c>
      <c r="AK27" s="200">
        <f t="shared" ca="1" si="14"/>
        <v>0</v>
      </c>
      <c r="AL27" s="200">
        <f t="shared" ca="1" si="14"/>
        <v>38198.113905167149</v>
      </c>
      <c r="AM27" s="200">
        <f t="shared" ca="1" si="14"/>
        <v>0</v>
      </c>
      <c r="AN27" s="200">
        <f t="shared" ca="1" si="14"/>
        <v>0</v>
      </c>
      <c r="AO27" s="200">
        <f t="shared" ca="1" si="14"/>
        <v>63183.030910059737</v>
      </c>
      <c r="AP27" s="200">
        <f t="shared" ca="1" si="14"/>
        <v>45311.336123783403</v>
      </c>
      <c r="AQ27" s="200">
        <f t="shared" ca="1" si="14"/>
        <v>10511.481462856726</v>
      </c>
      <c r="AR27" s="200">
        <f t="shared" ca="1" si="14"/>
        <v>0</v>
      </c>
      <c r="AS27" s="200">
        <f t="shared" ca="1" si="14"/>
        <v>64675.984318563715</v>
      </c>
      <c r="AT27" s="200">
        <f t="shared" ca="1" si="14"/>
        <v>7509.061263379117</v>
      </c>
      <c r="AU27" s="200">
        <f t="shared" ca="1" si="14"/>
        <v>0</v>
      </c>
      <c r="AV27" s="200">
        <f t="shared" ca="1" si="14"/>
        <v>0</v>
      </c>
      <c r="AW27" s="200">
        <f t="shared" ca="1" si="14"/>
        <v>65433.685090303086</v>
      </c>
      <c r="AX27" s="200">
        <f t="shared" ca="1" si="14"/>
        <v>131344.19640796242</v>
      </c>
      <c r="AY27" s="200">
        <f t="shared" ca="1" si="14"/>
        <v>89079.556467802147</v>
      </c>
      <c r="AZ27" s="200">
        <f t="shared" ca="1" si="14"/>
        <v>35452.513956952898</v>
      </c>
      <c r="BA27" s="200">
        <f t="shared" ca="1" si="14"/>
        <v>0</v>
      </c>
      <c r="BB27" s="200">
        <f t="shared" ca="1" si="14"/>
        <v>0</v>
      </c>
      <c r="BC27" s="200">
        <f t="shared" ca="1" si="14"/>
        <v>65952.650861641421</v>
      </c>
      <c r="BD27" s="200">
        <f t="shared" ca="1" si="14"/>
        <v>53671.352922248596</v>
      </c>
      <c r="BE27" s="200">
        <f t="shared" ca="1" si="14"/>
        <v>0</v>
      </c>
      <c r="BF27" s="200">
        <f t="shared" ca="1" si="14"/>
        <v>0</v>
      </c>
      <c r="BG27" s="200">
        <f t="shared" ca="1" si="14"/>
        <v>0</v>
      </c>
      <c r="BH27" s="200">
        <f t="shared" ca="1" si="14"/>
        <v>0</v>
      </c>
      <c r="BI27" s="200">
        <f t="shared" ca="1" si="14"/>
        <v>0</v>
      </c>
      <c r="BJ27" s="200">
        <f t="shared" ca="1" si="14"/>
        <v>0</v>
      </c>
      <c r="BK27" s="200">
        <f t="shared" ca="1" si="14"/>
        <v>0</v>
      </c>
      <c r="BL27" s="200">
        <f t="shared" ca="1" si="14"/>
        <v>0</v>
      </c>
    </row>
    <row r="28" spans="1:64">
      <c r="A28" s="125"/>
      <c r="B28" s="125"/>
      <c r="C28" s="125"/>
      <c r="D28" s="125"/>
      <c r="E28" s="125"/>
      <c r="F28" s="125"/>
      <c r="G28" s="125"/>
      <c r="H28" s="125"/>
      <c r="I28" s="125"/>
      <c r="J28" s="125"/>
      <c r="K28" s="125"/>
      <c r="L28" s="125"/>
      <c r="M28" s="125"/>
      <c r="N28" s="125"/>
      <c r="O28" s="125"/>
      <c r="P28" s="125"/>
      <c r="Q28" s="125"/>
      <c r="R28" s="125"/>
      <c r="S28" s="125"/>
      <c r="T28" s="125"/>
      <c r="U28" s="125"/>
      <c r="V28" s="125"/>
      <c r="W28" s="125"/>
      <c r="X28" s="125"/>
      <c r="Y28" s="125"/>
      <c r="Z28" s="125"/>
      <c r="AA28" s="125"/>
      <c r="AB28" s="125"/>
      <c r="AC28" s="125"/>
      <c r="AD28" s="125"/>
      <c r="AE28" s="125"/>
      <c r="AF28" s="125"/>
      <c r="AG28" s="125"/>
      <c r="AH28" s="125"/>
      <c r="AI28" s="125"/>
      <c r="AJ28" s="125"/>
      <c r="AK28" s="125"/>
      <c r="AL28" s="125"/>
      <c r="AM28" s="125"/>
      <c r="AN28" s="125"/>
      <c r="AO28" s="125"/>
      <c r="AP28" s="125"/>
      <c r="AQ28" s="125"/>
      <c r="AR28" s="125"/>
      <c r="AS28" s="125"/>
      <c r="AT28" s="125"/>
      <c r="AU28" s="125"/>
      <c r="AV28" s="125"/>
      <c r="AW28" s="125"/>
      <c r="AX28" s="125"/>
      <c r="AY28" s="125"/>
      <c r="AZ28" s="125"/>
      <c r="BA28" s="125"/>
      <c r="BB28" s="125"/>
      <c r="BC28" s="125"/>
      <c r="BD28" s="125"/>
      <c r="BE28" s="125"/>
      <c r="BF28" s="125"/>
      <c r="BG28" s="125"/>
      <c r="BH28" s="125"/>
      <c r="BI28" s="125"/>
      <c r="BJ28" s="125"/>
      <c r="BK28" s="125"/>
      <c r="BL28" s="125"/>
    </row>
    <row r="29" spans="1:64">
      <c r="A29" s="198" t="s">
        <v>642</v>
      </c>
      <c r="B29" s="198"/>
      <c r="C29" s="198"/>
      <c r="D29" s="198"/>
      <c r="E29" s="198"/>
      <c r="F29" s="198"/>
      <c r="G29" s="198"/>
      <c r="H29" s="198"/>
      <c r="I29" s="198"/>
      <c r="J29" s="198"/>
      <c r="K29" s="198"/>
      <c r="L29" s="198"/>
      <c r="M29" s="198"/>
      <c r="N29" s="198"/>
      <c r="O29" s="198"/>
      <c r="P29" s="198"/>
      <c r="Q29" s="198"/>
      <c r="R29" s="198"/>
      <c r="S29" s="198"/>
      <c r="T29" s="198"/>
      <c r="U29" s="198"/>
      <c r="V29" s="198"/>
      <c r="W29" s="198"/>
      <c r="X29" s="198"/>
      <c r="Y29" s="198"/>
      <c r="Z29" s="198"/>
      <c r="AA29" s="198"/>
      <c r="AB29" s="198"/>
      <c r="AC29" s="198"/>
      <c r="AD29" s="198"/>
      <c r="AE29" s="198"/>
      <c r="AF29" s="198"/>
      <c r="AG29" s="198"/>
      <c r="AH29" s="198"/>
      <c r="AI29" s="198"/>
      <c r="AJ29" s="198"/>
      <c r="AK29" s="198"/>
      <c r="AL29" s="198"/>
      <c r="AM29" s="198"/>
      <c r="AN29" s="198"/>
      <c r="AO29" s="198"/>
      <c r="AP29" s="198"/>
      <c r="AQ29" s="198"/>
      <c r="AR29" s="198"/>
      <c r="AS29" s="198"/>
      <c r="AT29" s="198"/>
      <c r="AU29" s="198"/>
      <c r="AV29" s="198"/>
      <c r="AW29" s="198"/>
      <c r="AX29" s="198"/>
      <c r="AY29" s="198"/>
      <c r="AZ29" s="198"/>
      <c r="BA29" s="198"/>
      <c r="BB29" s="198"/>
      <c r="BC29" s="198"/>
      <c r="BD29" s="198"/>
      <c r="BE29" s="198"/>
      <c r="BF29" s="198"/>
      <c r="BG29" s="198"/>
      <c r="BH29" s="198"/>
      <c r="BI29" s="198"/>
      <c r="BJ29" s="198"/>
      <c r="BK29" s="198"/>
      <c r="BL29" s="198"/>
    </row>
    <row r="30" spans="1:64">
      <c r="A30" s="125" t="s">
        <v>634</v>
      </c>
      <c r="B30" s="125"/>
      <c r="C30" s="125"/>
      <c r="D30" s="199">
        <f>C33</f>
        <v>0</v>
      </c>
      <c r="E30" s="199">
        <f t="shared" ref="E30:BL30" ca="1" si="15">D33</f>
        <v>1402585.9851871543</v>
      </c>
      <c r="F30" s="199">
        <f t="shared" ca="1" si="15"/>
        <v>1402585.9851871543</v>
      </c>
      <c r="G30" s="199">
        <f t="shared" ca="1" si="15"/>
        <v>1406708.3577809043</v>
      </c>
      <c r="H30" s="199">
        <f t="shared" ca="1" si="15"/>
        <v>1413549.6683121542</v>
      </c>
      <c r="I30" s="199">
        <f t="shared" ca="1" si="15"/>
        <v>1420057.0522926231</v>
      </c>
      <c r="J30" s="199">
        <f t="shared" ca="1" si="15"/>
        <v>1429775.0509221505</v>
      </c>
      <c r="K30" s="199">
        <f t="shared" ca="1" si="15"/>
        <v>1448639.6109389097</v>
      </c>
      <c r="L30" s="199">
        <f t="shared" ca="1" si="15"/>
        <v>1460567.0602373823</v>
      </c>
      <c r="M30" s="199">
        <f t="shared" ca="1" si="15"/>
        <v>1489638.5358983641</v>
      </c>
      <c r="N30" s="199">
        <f t="shared" ca="1" si="15"/>
        <v>1516082.5695400333</v>
      </c>
      <c r="O30" s="199">
        <f t="shared" ca="1" si="15"/>
        <v>1548033.540532463</v>
      </c>
      <c r="P30" s="199">
        <f t="shared" ca="1" si="15"/>
        <v>1587909.4211432964</v>
      </c>
      <c r="Q30" s="199">
        <f t="shared" ca="1" si="15"/>
        <v>1605604.3563063797</v>
      </c>
      <c r="R30" s="199">
        <f t="shared" ca="1" si="15"/>
        <v>1621862.507654767</v>
      </c>
      <c r="S30" s="199">
        <f t="shared" ca="1" si="15"/>
        <v>1625252.0939945118</v>
      </c>
      <c r="T30" s="199">
        <f t="shared" ca="1" si="15"/>
        <v>1628644.1921398621</v>
      </c>
      <c r="U30" s="199">
        <f t="shared" ca="1" si="15"/>
        <v>1628644.1921398621</v>
      </c>
      <c r="V30" s="199">
        <f t="shared" ca="1" si="15"/>
        <v>1628644.1921398621</v>
      </c>
      <c r="W30" s="199">
        <f t="shared" ca="1" si="15"/>
        <v>1634359.9873232329</v>
      </c>
      <c r="X30" s="199">
        <f t="shared" ca="1" si="15"/>
        <v>1634359.9873232329</v>
      </c>
      <c r="Y30" s="199">
        <f t="shared" ca="1" si="15"/>
        <v>1634359.9873232329</v>
      </c>
      <c r="Z30" s="199">
        <f t="shared" ca="1" si="15"/>
        <v>1634359.9873232329</v>
      </c>
      <c r="AA30" s="199">
        <f t="shared" ca="1" si="15"/>
        <v>1634359.9873232329</v>
      </c>
      <c r="AB30" s="199">
        <f t="shared" ca="1" si="15"/>
        <v>1634359.9873232329</v>
      </c>
      <c r="AC30" s="199">
        <f t="shared" ca="1" si="15"/>
        <v>1634359.9873232329</v>
      </c>
      <c r="AD30" s="199">
        <f t="shared" ca="1" si="15"/>
        <v>1634359.9873232329</v>
      </c>
      <c r="AE30" s="199">
        <f t="shared" ca="1" si="15"/>
        <v>1634359.9873232329</v>
      </c>
      <c r="AF30" s="199">
        <f t="shared" ca="1" si="15"/>
        <v>1634359.9873232329</v>
      </c>
      <c r="AG30" s="199">
        <f t="shared" ca="1" si="15"/>
        <v>1634359.9873232329</v>
      </c>
      <c r="AH30" s="199">
        <f t="shared" ca="1" si="15"/>
        <v>1634359.9873232329</v>
      </c>
      <c r="AI30" s="199">
        <f t="shared" ca="1" si="15"/>
        <v>1634359.9873232329</v>
      </c>
      <c r="AJ30" s="199">
        <f t="shared" ca="1" si="15"/>
        <v>1634359.9873232329</v>
      </c>
      <c r="AK30" s="199">
        <f t="shared" ca="1" si="15"/>
        <v>1635596.4151792754</v>
      </c>
      <c r="AL30" s="199">
        <f t="shared" ca="1" si="15"/>
        <v>1635596.4151792754</v>
      </c>
      <c r="AM30" s="199">
        <f t="shared" ca="1" si="15"/>
        <v>1635596.4151792754</v>
      </c>
      <c r="AN30" s="199">
        <f t="shared" ca="1" si="15"/>
        <v>1635596.4151792754</v>
      </c>
      <c r="AO30" s="199">
        <f t="shared" ca="1" si="15"/>
        <v>1635596.4151792754</v>
      </c>
      <c r="AP30" s="199">
        <f t="shared" ca="1" si="15"/>
        <v>1661378.6557376599</v>
      </c>
      <c r="AQ30" s="199">
        <f t="shared" ca="1" si="15"/>
        <v>1661378.6557376599</v>
      </c>
      <c r="AR30" s="199">
        <f t="shared" ca="1" si="15"/>
        <v>1661378.6557376599</v>
      </c>
      <c r="AS30" s="199">
        <f t="shared" ca="1" si="15"/>
        <v>1661378.6557376599</v>
      </c>
      <c r="AT30" s="199">
        <f t="shared" ca="1" si="15"/>
        <v>1676663.8520528865</v>
      </c>
      <c r="AU30" s="199">
        <f t="shared" ca="1" si="15"/>
        <v>1676663.8520528865</v>
      </c>
      <c r="AV30" s="199">
        <f t="shared" ca="1" si="15"/>
        <v>1676663.8520528865</v>
      </c>
      <c r="AW30" s="199">
        <f t="shared" ca="1" si="15"/>
        <v>1676663.8520528865</v>
      </c>
      <c r="AX30" s="199">
        <f t="shared" ca="1" si="15"/>
        <v>1677627.8914621307</v>
      </c>
      <c r="AY30" s="199">
        <f t="shared" ca="1" si="15"/>
        <v>1686453.5671378104</v>
      </c>
      <c r="AZ30" s="199">
        <f t="shared" ca="1" si="15"/>
        <v>1686453.5671378104</v>
      </c>
      <c r="BA30" s="199">
        <f t="shared" ca="1" si="15"/>
        <v>1686453.5671378104</v>
      </c>
      <c r="BB30" s="199">
        <f t="shared" ca="1" si="15"/>
        <v>1686453.5671378104</v>
      </c>
      <c r="BC30" s="199">
        <f t="shared" ca="1" si="15"/>
        <v>1686453.5671378104</v>
      </c>
      <c r="BD30" s="199">
        <f t="shared" ca="1" si="15"/>
        <v>1740460.771392605</v>
      </c>
      <c r="BE30" s="199">
        <f t="shared" ca="1" si="15"/>
        <v>1740460.771392605</v>
      </c>
      <c r="BF30" s="199">
        <f t="shared" ca="1" si="15"/>
        <v>1740460.771392605</v>
      </c>
      <c r="BG30" s="199">
        <f t="shared" ca="1" si="15"/>
        <v>1740460.771392605</v>
      </c>
      <c r="BH30" s="199">
        <f t="shared" ca="1" si="15"/>
        <v>1740460.771392605</v>
      </c>
      <c r="BI30" s="199">
        <f t="shared" ca="1" si="15"/>
        <v>1740460.771392605</v>
      </c>
      <c r="BJ30" s="199">
        <f t="shared" ca="1" si="15"/>
        <v>1740460.771392605</v>
      </c>
      <c r="BK30" s="199">
        <f t="shared" ca="1" si="15"/>
        <v>1740460.771392605</v>
      </c>
      <c r="BL30" s="199">
        <f t="shared" ca="1" si="15"/>
        <v>1740460.771392605</v>
      </c>
    </row>
    <row r="31" spans="1:64">
      <c r="A31" s="125" t="s">
        <v>635</v>
      </c>
      <c r="B31" s="125"/>
      <c r="C31" s="125"/>
      <c r="D31" s="199">
        <f ca="1">D14</f>
        <v>1402585.9851871543</v>
      </c>
      <c r="E31" s="199">
        <f t="shared" ref="E31:BL31" ca="1" si="16">E14</f>
        <v>0</v>
      </c>
      <c r="F31" s="199">
        <f t="shared" ca="1" si="16"/>
        <v>4122.3725937500003</v>
      </c>
      <c r="G31" s="199">
        <f t="shared" ca="1" si="16"/>
        <v>6841.3105312500011</v>
      </c>
      <c r="H31" s="199">
        <f t="shared" ca="1" si="16"/>
        <v>6507.3839804687514</v>
      </c>
      <c r="I31" s="199">
        <f t="shared" ca="1" si="16"/>
        <v>9717.9986295273411</v>
      </c>
      <c r="J31" s="199">
        <f t="shared" ca="1" si="16"/>
        <v>18864.560016759115</v>
      </c>
      <c r="K31" s="199">
        <f t="shared" ca="1" si="16"/>
        <v>11927.449298472657</v>
      </c>
      <c r="L31" s="199">
        <f t="shared" ca="1" si="16"/>
        <v>29071.475660981774</v>
      </c>
      <c r="M31" s="199">
        <f t="shared" ca="1" si="16"/>
        <v>26444.033641669273</v>
      </c>
      <c r="N31" s="199">
        <f t="shared" ca="1" si="16"/>
        <v>31950.970992429695</v>
      </c>
      <c r="O31" s="199">
        <f t="shared" ca="1" si="16"/>
        <v>39875.880610833323</v>
      </c>
      <c r="P31" s="199">
        <f t="shared" ca="1" si="16"/>
        <v>17694.935163083337</v>
      </c>
      <c r="Q31" s="199">
        <f t="shared" ca="1" si="16"/>
        <v>16258.151348387375</v>
      </c>
      <c r="R31" s="199">
        <f t="shared" ca="1" si="16"/>
        <v>3389.586339744792</v>
      </c>
      <c r="S31" s="199">
        <f t="shared" ca="1" si="16"/>
        <v>3392.0981453503482</v>
      </c>
      <c r="T31" s="199">
        <f t="shared" ca="1" si="16"/>
        <v>0</v>
      </c>
      <c r="U31" s="199">
        <f t="shared" ca="1" si="16"/>
        <v>0</v>
      </c>
      <c r="V31" s="199">
        <f t="shared" ca="1" si="16"/>
        <v>5715.7951833707893</v>
      </c>
      <c r="W31" s="199">
        <f t="shared" ca="1" si="16"/>
        <v>0</v>
      </c>
      <c r="X31" s="199">
        <f t="shared" ca="1" si="16"/>
        <v>0</v>
      </c>
      <c r="Y31" s="199">
        <f t="shared" ca="1" si="16"/>
        <v>0</v>
      </c>
      <c r="Z31" s="199">
        <f t="shared" ca="1" si="16"/>
        <v>0</v>
      </c>
      <c r="AA31" s="199">
        <f t="shared" ca="1" si="16"/>
        <v>0</v>
      </c>
      <c r="AB31" s="199">
        <f t="shared" ca="1" si="16"/>
        <v>0</v>
      </c>
      <c r="AC31" s="199">
        <f t="shared" ca="1" si="16"/>
        <v>0</v>
      </c>
      <c r="AD31" s="199">
        <f t="shared" ca="1" si="16"/>
        <v>0</v>
      </c>
      <c r="AE31" s="199">
        <f t="shared" ca="1" si="16"/>
        <v>0</v>
      </c>
      <c r="AF31" s="199">
        <f t="shared" ca="1" si="16"/>
        <v>0</v>
      </c>
      <c r="AG31" s="199">
        <f t="shared" ca="1" si="16"/>
        <v>0</v>
      </c>
      <c r="AH31" s="199">
        <f t="shared" ca="1" si="16"/>
        <v>0</v>
      </c>
      <c r="AI31" s="199">
        <f t="shared" ca="1" si="16"/>
        <v>0</v>
      </c>
      <c r="AJ31" s="199">
        <f t="shared" ca="1" si="16"/>
        <v>1236.4278560425955</v>
      </c>
      <c r="AK31" s="199">
        <f t="shared" ca="1" si="16"/>
        <v>0</v>
      </c>
      <c r="AL31" s="199">
        <f t="shared" ca="1" si="16"/>
        <v>0</v>
      </c>
      <c r="AM31" s="199">
        <f t="shared" ca="1" si="16"/>
        <v>0</v>
      </c>
      <c r="AN31" s="199">
        <f t="shared" ca="1" si="16"/>
        <v>0</v>
      </c>
      <c r="AO31" s="199">
        <f t="shared" ca="1" si="16"/>
        <v>25782.240558384412</v>
      </c>
      <c r="AP31" s="199">
        <f t="shared" ca="1" si="16"/>
        <v>0</v>
      </c>
      <c r="AQ31" s="199">
        <f t="shared" ca="1" si="16"/>
        <v>0</v>
      </c>
      <c r="AR31" s="199">
        <f t="shared" ca="1" si="16"/>
        <v>0</v>
      </c>
      <c r="AS31" s="199">
        <f t="shared" ca="1" si="16"/>
        <v>15285.196315226658</v>
      </c>
      <c r="AT31" s="199">
        <f t="shared" ca="1" si="16"/>
        <v>0</v>
      </c>
      <c r="AU31" s="199">
        <f t="shared" ca="1" si="16"/>
        <v>0</v>
      </c>
      <c r="AV31" s="199">
        <f t="shared" ca="1" si="16"/>
        <v>0</v>
      </c>
      <c r="AW31" s="199">
        <f t="shared" ca="1" si="16"/>
        <v>964.03940924413621</v>
      </c>
      <c r="AX31" s="199">
        <f t="shared" ca="1" si="16"/>
        <v>8825.6756756797968</v>
      </c>
      <c r="AY31" s="199">
        <f t="shared" ca="1" si="16"/>
        <v>0</v>
      </c>
      <c r="AZ31" s="199">
        <f t="shared" ca="1" si="16"/>
        <v>0</v>
      </c>
      <c r="BA31" s="199">
        <f t="shared" ca="1" si="16"/>
        <v>0</v>
      </c>
      <c r="BB31" s="199">
        <f t="shared" ca="1" si="16"/>
        <v>0</v>
      </c>
      <c r="BC31" s="199">
        <f t="shared" ca="1" si="16"/>
        <v>54007.204254794669</v>
      </c>
      <c r="BD31" s="199">
        <f t="shared" ca="1" si="16"/>
        <v>0</v>
      </c>
      <c r="BE31" s="199">
        <f t="shared" ca="1" si="16"/>
        <v>0</v>
      </c>
      <c r="BF31" s="199">
        <f t="shared" ca="1" si="16"/>
        <v>0</v>
      </c>
      <c r="BG31" s="199">
        <f t="shared" ca="1" si="16"/>
        <v>0</v>
      </c>
      <c r="BH31" s="199">
        <f t="shared" ca="1" si="16"/>
        <v>0</v>
      </c>
      <c r="BI31" s="199">
        <f t="shared" ca="1" si="16"/>
        <v>0</v>
      </c>
      <c r="BJ31" s="199">
        <f t="shared" ca="1" si="16"/>
        <v>0</v>
      </c>
      <c r="BK31" s="199">
        <f t="shared" ca="1" si="16"/>
        <v>0</v>
      </c>
      <c r="BL31" s="199">
        <f t="shared" ca="1" si="16"/>
        <v>0</v>
      </c>
    </row>
    <row r="32" spans="1:64">
      <c r="A32" s="125" t="s">
        <v>636</v>
      </c>
      <c r="B32" s="125"/>
      <c r="C32" s="125"/>
      <c r="D32" s="199">
        <f ca="1">-D46</f>
        <v>0</v>
      </c>
      <c r="E32" s="199">
        <f t="shared" ref="E32:BL32" ca="1" si="17">-E46</f>
        <v>0</v>
      </c>
      <c r="F32" s="199">
        <f t="shared" ca="1" si="17"/>
        <v>0</v>
      </c>
      <c r="G32" s="199">
        <f t="shared" ca="1" si="17"/>
        <v>0</v>
      </c>
      <c r="H32" s="199">
        <f t="shared" ca="1" si="17"/>
        <v>0</v>
      </c>
      <c r="I32" s="199">
        <f t="shared" ca="1" si="17"/>
        <v>0</v>
      </c>
      <c r="J32" s="199">
        <f t="shared" ca="1" si="17"/>
        <v>0</v>
      </c>
      <c r="K32" s="199">
        <f t="shared" ca="1" si="17"/>
        <v>0</v>
      </c>
      <c r="L32" s="199">
        <f t="shared" ca="1" si="17"/>
        <v>0</v>
      </c>
      <c r="M32" s="199">
        <f t="shared" ca="1" si="17"/>
        <v>0</v>
      </c>
      <c r="N32" s="199">
        <f t="shared" ca="1" si="17"/>
        <v>0</v>
      </c>
      <c r="O32" s="199">
        <f t="shared" ca="1" si="17"/>
        <v>0</v>
      </c>
      <c r="P32" s="199">
        <f t="shared" ca="1" si="17"/>
        <v>0</v>
      </c>
      <c r="Q32" s="199">
        <f t="shared" ca="1" si="17"/>
        <v>0</v>
      </c>
      <c r="R32" s="199">
        <f t="shared" ca="1" si="17"/>
        <v>0</v>
      </c>
      <c r="S32" s="199">
        <f t="shared" ca="1" si="17"/>
        <v>0</v>
      </c>
      <c r="T32" s="199">
        <f t="shared" ca="1" si="17"/>
        <v>0</v>
      </c>
      <c r="U32" s="199">
        <f t="shared" ca="1" si="17"/>
        <v>0</v>
      </c>
      <c r="V32" s="199">
        <f t="shared" ca="1" si="17"/>
        <v>0</v>
      </c>
      <c r="W32" s="199">
        <f t="shared" ca="1" si="17"/>
        <v>0</v>
      </c>
      <c r="X32" s="199">
        <f t="shared" ca="1" si="17"/>
        <v>0</v>
      </c>
      <c r="Y32" s="199">
        <f t="shared" ca="1" si="17"/>
        <v>0</v>
      </c>
      <c r="Z32" s="199">
        <f t="shared" ca="1" si="17"/>
        <v>0</v>
      </c>
      <c r="AA32" s="199">
        <f t="shared" ca="1" si="17"/>
        <v>0</v>
      </c>
      <c r="AB32" s="199">
        <f t="shared" ca="1" si="17"/>
        <v>0</v>
      </c>
      <c r="AC32" s="199">
        <f t="shared" ca="1" si="17"/>
        <v>0</v>
      </c>
      <c r="AD32" s="199">
        <f t="shared" ca="1" si="17"/>
        <v>0</v>
      </c>
      <c r="AE32" s="199">
        <f t="shared" ca="1" si="17"/>
        <v>0</v>
      </c>
      <c r="AF32" s="199">
        <f t="shared" ca="1" si="17"/>
        <v>0</v>
      </c>
      <c r="AG32" s="199">
        <f t="shared" ca="1" si="17"/>
        <v>0</v>
      </c>
      <c r="AH32" s="199">
        <f t="shared" ca="1" si="17"/>
        <v>0</v>
      </c>
      <c r="AI32" s="199">
        <f t="shared" ca="1" si="17"/>
        <v>0</v>
      </c>
      <c r="AJ32" s="199">
        <f t="shared" ca="1" si="17"/>
        <v>0</v>
      </c>
      <c r="AK32" s="199">
        <f t="shared" ca="1" si="17"/>
        <v>0</v>
      </c>
      <c r="AL32" s="199">
        <f t="shared" ca="1" si="17"/>
        <v>0</v>
      </c>
      <c r="AM32" s="199">
        <f t="shared" ca="1" si="17"/>
        <v>0</v>
      </c>
      <c r="AN32" s="199">
        <f t="shared" ca="1" si="17"/>
        <v>0</v>
      </c>
      <c r="AO32" s="199">
        <f t="shared" ca="1" si="17"/>
        <v>0</v>
      </c>
      <c r="AP32" s="199">
        <f t="shared" ca="1" si="17"/>
        <v>0</v>
      </c>
      <c r="AQ32" s="199">
        <f t="shared" ca="1" si="17"/>
        <v>0</v>
      </c>
      <c r="AR32" s="199">
        <f t="shared" ca="1" si="17"/>
        <v>0</v>
      </c>
      <c r="AS32" s="199">
        <f t="shared" ca="1" si="17"/>
        <v>0</v>
      </c>
      <c r="AT32" s="199">
        <f t="shared" ca="1" si="17"/>
        <v>0</v>
      </c>
      <c r="AU32" s="199">
        <f t="shared" ca="1" si="17"/>
        <v>0</v>
      </c>
      <c r="AV32" s="199">
        <f t="shared" ca="1" si="17"/>
        <v>0</v>
      </c>
      <c r="AW32" s="199">
        <f t="shared" ca="1" si="17"/>
        <v>0</v>
      </c>
      <c r="AX32" s="199">
        <f t="shared" ca="1" si="17"/>
        <v>0</v>
      </c>
      <c r="AY32" s="199">
        <f t="shared" ca="1" si="17"/>
        <v>0</v>
      </c>
      <c r="AZ32" s="199">
        <f t="shared" ca="1" si="17"/>
        <v>0</v>
      </c>
      <c r="BA32" s="199">
        <f t="shared" ca="1" si="17"/>
        <v>0</v>
      </c>
      <c r="BB32" s="199">
        <f t="shared" ca="1" si="17"/>
        <v>0</v>
      </c>
      <c r="BC32" s="199">
        <f t="shared" ca="1" si="17"/>
        <v>0</v>
      </c>
      <c r="BD32" s="199">
        <f t="shared" ca="1" si="17"/>
        <v>0</v>
      </c>
      <c r="BE32" s="199">
        <f t="shared" ca="1" si="17"/>
        <v>0</v>
      </c>
      <c r="BF32" s="199">
        <f t="shared" ca="1" si="17"/>
        <v>0</v>
      </c>
      <c r="BG32" s="199">
        <f t="shared" ca="1" si="17"/>
        <v>0</v>
      </c>
      <c r="BH32" s="199">
        <f t="shared" ca="1" si="17"/>
        <v>0</v>
      </c>
      <c r="BI32" s="199">
        <f t="shared" ca="1" si="17"/>
        <v>0</v>
      </c>
      <c r="BJ32" s="199">
        <f t="shared" ca="1" si="17"/>
        <v>0</v>
      </c>
      <c r="BK32" s="199">
        <f t="shared" ca="1" si="17"/>
        <v>0</v>
      </c>
      <c r="BL32" s="199">
        <f t="shared" ca="1" si="17"/>
        <v>-1740460.771392605</v>
      </c>
    </row>
    <row r="33" spans="1:64">
      <c r="A33" s="126" t="s">
        <v>637</v>
      </c>
      <c r="B33" s="126"/>
      <c r="C33" s="126"/>
      <c r="D33" s="200">
        <f ca="1">SUM(D30:D32)</f>
        <v>1402585.9851871543</v>
      </c>
      <c r="E33" s="200">
        <f t="shared" ref="E33:BL33" ca="1" si="18">SUM(E30:E32)</f>
        <v>1402585.9851871543</v>
      </c>
      <c r="F33" s="200">
        <f t="shared" ca="1" si="18"/>
        <v>1406708.3577809043</v>
      </c>
      <c r="G33" s="200">
        <f t="shared" ca="1" si="18"/>
        <v>1413549.6683121542</v>
      </c>
      <c r="H33" s="200">
        <f t="shared" ca="1" si="18"/>
        <v>1420057.0522926231</v>
      </c>
      <c r="I33" s="200">
        <f t="shared" ca="1" si="18"/>
        <v>1429775.0509221505</v>
      </c>
      <c r="J33" s="200">
        <f t="shared" ca="1" si="18"/>
        <v>1448639.6109389097</v>
      </c>
      <c r="K33" s="200">
        <f t="shared" ca="1" si="18"/>
        <v>1460567.0602373823</v>
      </c>
      <c r="L33" s="200">
        <f t="shared" ca="1" si="18"/>
        <v>1489638.5358983641</v>
      </c>
      <c r="M33" s="200">
        <f t="shared" ca="1" si="18"/>
        <v>1516082.5695400333</v>
      </c>
      <c r="N33" s="200">
        <f t="shared" ca="1" si="18"/>
        <v>1548033.540532463</v>
      </c>
      <c r="O33" s="200">
        <f t="shared" ca="1" si="18"/>
        <v>1587909.4211432964</v>
      </c>
      <c r="P33" s="200">
        <f t="shared" ca="1" si="18"/>
        <v>1605604.3563063797</v>
      </c>
      <c r="Q33" s="200">
        <f t="shared" ca="1" si="18"/>
        <v>1621862.507654767</v>
      </c>
      <c r="R33" s="200">
        <f t="shared" ca="1" si="18"/>
        <v>1625252.0939945118</v>
      </c>
      <c r="S33" s="200">
        <f t="shared" ca="1" si="18"/>
        <v>1628644.1921398621</v>
      </c>
      <c r="T33" s="200">
        <f t="shared" ca="1" si="18"/>
        <v>1628644.1921398621</v>
      </c>
      <c r="U33" s="200">
        <f t="shared" ca="1" si="18"/>
        <v>1628644.1921398621</v>
      </c>
      <c r="V33" s="200">
        <f t="shared" ca="1" si="18"/>
        <v>1634359.9873232329</v>
      </c>
      <c r="W33" s="200">
        <f t="shared" ca="1" si="18"/>
        <v>1634359.9873232329</v>
      </c>
      <c r="X33" s="200">
        <f t="shared" ca="1" si="18"/>
        <v>1634359.9873232329</v>
      </c>
      <c r="Y33" s="200">
        <f t="shared" ca="1" si="18"/>
        <v>1634359.9873232329</v>
      </c>
      <c r="Z33" s="200">
        <f t="shared" ca="1" si="18"/>
        <v>1634359.9873232329</v>
      </c>
      <c r="AA33" s="200">
        <f t="shared" ca="1" si="18"/>
        <v>1634359.9873232329</v>
      </c>
      <c r="AB33" s="200">
        <f t="shared" ca="1" si="18"/>
        <v>1634359.9873232329</v>
      </c>
      <c r="AC33" s="200">
        <f t="shared" ca="1" si="18"/>
        <v>1634359.9873232329</v>
      </c>
      <c r="AD33" s="200">
        <f t="shared" ca="1" si="18"/>
        <v>1634359.9873232329</v>
      </c>
      <c r="AE33" s="200">
        <f t="shared" ca="1" si="18"/>
        <v>1634359.9873232329</v>
      </c>
      <c r="AF33" s="200">
        <f t="shared" ca="1" si="18"/>
        <v>1634359.9873232329</v>
      </c>
      <c r="AG33" s="200">
        <f t="shared" ca="1" si="18"/>
        <v>1634359.9873232329</v>
      </c>
      <c r="AH33" s="200">
        <f t="shared" ca="1" si="18"/>
        <v>1634359.9873232329</v>
      </c>
      <c r="AI33" s="200">
        <f t="shared" ca="1" si="18"/>
        <v>1634359.9873232329</v>
      </c>
      <c r="AJ33" s="200">
        <f t="shared" ca="1" si="18"/>
        <v>1635596.4151792754</v>
      </c>
      <c r="AK33" s="200">
        <f t="shared" ca="1" si="18"/>
        <v>1635596.4151792754</v>
      </c>
      <c r="AL33" s="200">
        <f t="shared" ca="1" si="18"/>
        <v>1635596.4151792754</v>
      </c>
      <c r="AM33" s="200">
        <f t="shared" ca="1" si="18"/>
        <v>1635596.4151792754</v>
      </c>
      <c r="AN33" s="200">
        <f t="shared" ca="1" si="18"/>
        <v>1635596.4151792754</v>
      </c>
      <c r="AO33" s="200">
        <f t="shared" ca="1" si="18"/>
        <v>1661378.6557376599</v>
      </c>
      <c r="AP33" s="200">
        <f t="shared" ca="1" si="18"/>
        <v>1661378.6557376599</v>
      </c>
      <c r="AQ33" s="200">
        <f t="shared" ca="1" si="18"/>
        <v>1661378.6557376599</v>
      </c>
      <c r="AR33" s="200">
        <f t="shared" ca="1" si="18"/>
        <v>1661378.6557376599</v>
      </c>
      <c r="AS33" s="200">
        <f t="shared" ca="1" si="18"/>
        <v>1676663.8520528865</v>
      </c>
      <c r="AT33" s="200">
        <f t="shared" ca="1" si="18"/>
        <v>1676663.8520528865</v>
      </c>
      <c r="AU33" s="200">
        <f t="shared" ca="1" si="18"/>
        <v>1676663.8520528865</v>
      </c>
      <c r="AV33" s="200">
        <f t="shared" ca="1" si="18"/>
        <v>1676663.8520528865</v>
      </c>
      <c r="AW33" s="200">
        <f t="shared" ca="1" si="18"/>
        <v>1677627.8914621307</v>
      </c>
      <c r="AX33" s="200">
        <f t="shared" ca="1" si="18"/>
        <v>1686453.5671378104</v>
      </c>
      <c r="AY33" s="200">
        <f t="shared" ca="1" si="18"/>
        <v>1686453.5671378104</v>
      </c>
      <c r="AZ33" s="200">
        <f t="shared" ca="1" si="18"/>
        <v>1686453.5671378104</v>
      </c>
      <c r="BA33" s="200">
        <f t="shared" ca="1" si="18"/>
        <v>1686453.5671378104</v>
      </c>
      <c r="BB33" s="200">
        <f t="shared" ca="1" si="18"/>
        <v>1686453.5671378104</v>
      </c>
      <c r="BC33" s="200">
        <f t="shared" ca="1" si="18"/>
        <v>1740460.771392605</v>
      </c>
      <c r="BD33" s="200">
        <f t="shared" ca="1" si="18"/>
        <v>1740460.771392605</v>
      </c>
      <c r="BE33" s="200">
        <f t="shared" ca="1" si="18"/>
        <v>1740460.771392605</v>
      </c>
      <c r="BF33" s="200">
        <f t="shared" ca="1" si="18"/>
        <v>1740460.771392605</v>
      </c>
      <c r="BG33" s="200">
        <f t="shared" ca="1" si="18"/>
        <v>1740460.771392605</v>
      </c>
      <c r="BH33" s="200">
        <f t="shared" ca="1" si="18"/>
        <v>1740460.771392605</v>
      </c>
      <c r="BI33" s="200">
        <f t="shared" ca="1" si="18"/>
        <v>1740460.771392605</v>
      </c>
      <c r="BJ33" s="200">
        <f t="shared" ca="1" si="18"/>
        <v>1740460.771392605</v>
      </c>
      <c r="BK33" s="200">
        <f t="shared" ca="1" si="18"/>
        <v>1740460.771392605</v>
      </c>
      <c r="BL33" s="200">
        <f t="shared" ca="1" si="18"/>
        <v>0</v>
      </c>
    </row>
    <row r="34" spans="1:64">
      <c r="A34" s="125" t="s">
        <v>638</v>
      </c>
      <c r="B34" s="125"/>
      <c r="C34" s="125"/>
      <c r="D34" s="199">
        <f>C37</f>
        <v>0</v>
      </c>
      <c r="E34" s="199">
        <f t="shared" ref="E34:BL34" ca="1" si="19">D37</f>
        <v>0</v>
      </c>
      <c r="F34" s="199">
        <f t="shared" ca="1" si="19"/>
        <v>0</v>
      </c>
      <c r="G34" s="199">
        <f t="shared" ca="1" si="19"/>
        <v>9024.2804605629753</v>
      </c>
      <c r="H34" s="199">
        <f t="shared" ca="1" si="19"/>
        <v>18133.146882723169</v>
      </c>
      <c r="I34" s="199">
        <f t="shared" ca="1" si="19"/>
        <v>27344.637223661484</v>
      </c>
      <c r="J34" s="199">
        <f t="shared" ca="1" si="19"/>
        <v>36657.263275279096</v>
      </c>
      <c r="K34" s="199">
        <f t="shared" ca="1" si="19"/>
        <v>46092.332939107371</v>
      </c>
      <c r="L34" s="199">
        <f t="shared" ca="1" si="19"/>
        <v>55709.483272402489</v>
      </c>
      <c r="M34" s="199">
        <f t="shared" ca="1" si="19"/>
        <v>65465.252208436374</v>
      </c>
      <c r="N34" s="199">
        <f t="shared" ca="1" si="19"/>
        <v>75470.836805295927</v>
      </c>
      <c r="O34" s="199">
        <f t="shared" ca="1" si="19"/>
        <v>85710.9393434003</v>
      </c>
      <c r="P34" s="199">
        <f t="shared" ca="1" si="19"/>
        <v>96222.500518973495</v>
      </c>
      <c r="Q34" s="199">
        <f t="shared" ca="1" si="19"/>
        <v>107058.25601216647</v>
      </c>
      <c r="R34" s="199">
        <f t="shared" ca="1" si="19"/>
        <v>118077.57882810113</v>
      </c>
      <c r="S34" s="199">
        <f t="shared" ca="1" si="19"/>
        <v>129272.40573413388</v>
      </c>
      <c r="T34" s="199">
        <f t="shared" ca="1" si="19"/>
        <v>140561.0691941267</v>
      </c>
      <c r="U34" s="199">
        <f t="shared" ca="1" si="19"/>
        <v>151944.18911632607</v>
      </c>
      <c r="V34" s="199">
        <f t="shared" ca="1" si="19"/>
        <v>163400.54837485065</v>
      </c>
      <c r="W34" s="199">
        <f t="shared" ca="1" si="19"/>
        <v>174930.61819379561</v>
      </c>
      <c r="X34" s="199">
        <f t="shared" ca="1" si="19"/>
        <v>186571.64842743851</v>
      </c>
      <c r="Y34" s="199">
        <f t="shared" ca="1" si="19"/>
        <v>198287.57740011613</v>
      </c>
      <c r="Z34" s="199">
        <f t="shared" ca="1" si="19"/>
        <v>0</v>
      </c>
      <c r="AA34" s="199">
        <f t="shared" ca="1" si="19"/>
        <v>0</v>
      </c>
      <c r="AB34" s="199">
        <f t="shared" ca="1" si="19"/>
        <v>0</v>
      </c>
      <c r="AC34" s="199">
        <f t="shared" ca="1" si="19"/>
        <v>0</v>
      </c>
      <c r="AD34" s="199">
        <f t="shared" ca="1" si="19"/>
        <v>0</v>
      </c>
      <c r="AE34" s="199">
        <f t="shared" ca="1" si="19"/>
        <v>0</v>
      </c>
      <c r="AF34" s="199">
        <f t="shared" ca="1" si="19"/>
        <v>0</v>
      </c>
      <c r="AG34" s="199">
        <f t="shared" ca="1" si="19"/>
        <v>0</v>
      </c>
      <c r="AH34" s="199">
        <f t="shared" ca="1" si="19"/>
        <v>0</v>
      </c>
      <c r="AI34" s="199">
        <f t="shared" ca="1" si="19"/>
        <v>0</v>
      </c>
      <c r="AJ34" s="199">
        <f t="shared" ca="1" si="19"/>
        <v>0</v>
      </c>
      <c r="AK34" s="199">
        <f t="shared" ca="1" si="19"/>
        <v>10515.521369022505</v>
      </c>
      <c r="AL34" s="199">
        <f t="shared" ca="1" si="19"/>
        <v>0</v>
      </c>
      <c r="AM34" s="199">
        <f t="shared" ca="1" si="19"/>
        <v>10523.47658307713</v>
      </c>
      <c r="AN34" s="199">
        <f t="shared" ca="1" si="19"/>
        <v>0</v>
      </c>
      <c r="AO34" s="199">
        <f t="shared" ca="1" si="19"/>
        <v>0</v>
      </c>
      <c r="AP34" s="199">
        <f t="shared" ca="1" si="19"/>
        <v>10523.47658307713</v>
      </c>
      <c r="AQ34" s="199">
        <f t="shared" ca="1" si="19"/>
        <v>21280.545243407691</v>
      </c>
      <c r="AR34" s="199">
        <f t="shared" ca="1" si="19"/>
        <v>32106.825207394191</v>
      </c>
      <c r="AS34" s="199">
        <f t="shared" ca="1" si="19"/>
        <v>17379.657426122147</v>
      </c>
      <c r="AT34" s="199">
        <f t="shared" ca="1" si="19"/>
        <v>28180.838960436486</v>
      </c>
      <c r="AU34" s="199">
        <f t="shared" ca="1" si="19"/>
        <v>39149.861035295704</v>
      </c>
      <c r="AV34" s="199">
        <f t="shared" ca="1" si="19"/>
        <v>19227.16200551876</v>
      </c>
      <c r="AW34" s="199">
        <f t="shared" ca="1" si="19"/>
        <v>0</v>
      </c>
      <c r="AX34" s="199">
        <f t="shared" ca="1" si="19"/>
        <v>10787.705708462609</v>
      </c>
      <c r="AY34" s="199">
        <f t="shared" ca="1" si="19"/>
        <v>21651.02249885763</v>
      </c>
      <c r="AZ34" s="199">
        <f t="shared" ca="1" si="19"/>
        <v>32641.018859615004</v>
      </c>
      <c r="BA34" s="199">
        <f t="shared" ca="1" si="19"/>
        <v>43701.725187866323</v>
      </c>
      <c r="BB34" s="199">
        <f t="shared" ca="1" si="19"/>
        <v>36019.979935640673</v>
      </c>
      <c r="BC34" s="199">
        <f t="shared" ca="1" si="19"/>
        <v>0</v>
      </c>
      <c r="BD34" s="199">
        <f t="shared" ca="1" si="19"/>
        <v>10850.693030087363</v>
      </c>
      <c r="BE34" s="199">
        <f t="shared" ca="1" si="19"/>
        <v>22118.683724177165</v>
      </c>
      <c r="BF34" s="199">
        <f t="shared" ca="1" si="19"/>
        <v>24580.133684699933</v>
      </c>
      <c r="BG34" s="199">
        <f t="shared" ca="1" si="19"/>
        <v>0</v>
      </c>
      <c r="BH34" s="199">
        <f t="shared" ca="1" si="19"/>
        <v>0</v>
      </c>
      <c r="BI34" s="199">
        <f t="shared" ca="1" si="19"/>
        <v>0</v>
      </c>
      <c r="BJ34" s="199">
        <f t="shared" ca="1" si="19"/>
        <v>0</v>
      </c>
      <c r="BK34" s="199">
        <f t="shared" ca="1" si="19"/>
        <v>0</v>
      </c>
      <c r="BL34" s="199">
        <f t="shared" ca="1" si="19"/>
        <v>0</v>
      </c>
    </row>
    <row r="35" spans="1:64">
      <c r="A35" s="125" t="s">
        <v>639</v>
      </c>
      <c r="B35" s="125"/>
      <c r="C35" s="125"/>
      <c r="D35" s="199">
        <f t="shared" ref="D35:AI35" si="20">(D30+D34)*PrefMo</f>
        <v>0</v>
      </c>
      <c r="E35" s="199">
        <f t="shared" ca="1" si="20"/>
        <v>9024.2804605629753</v>
      </c>
      <c r="F35" s="199">
        <f t="shared" ca="1" si="20"/>
        <v>9024.2804605629753</v>
      </c>
      <c r="G35" s="199">
        <f t="shared" ca="1" si="20"/>
        <v>9108.8664221601939</v>
      </c>
      <c r="H35" s="199">
        <f t="shared" ca="1" si="20"/>
        <v>9211.4903409383169</v>
      </c>
      <c r="I35" s="199">
        <f t="shared" ca="1" si="20"/>
        <v>9312.6260516176117</v>
      </c>
      <c r="J35" s="199">
        <f t="shared" ca="1" si="20"/>
        <v>9435.0696638282734</v>
      </c>
      <c r="K35" s="199">
        <f t="shared" ca="1" si="20"/>
        <v>9617.1503332951197</v>
      </c>
      <c r="L35" s="199">
        <f t="shared" ca="1" si="20"/>
        <v>9755.7689360338827</v>
      </c>
      <c r="M35" s="199">
        <f t="shared" ca="1" si="20"/>
        <v>10005.584596859549</v>
      </c>
      <c r="N35" s="199">
        <f t="shared" ca="1" si="20"/>
        <v>10240.102538104373</v>
      </c>
      <c r="O35" s="199">
        <f t="shared" ca="1" si="20"/>
        <v>10511.561175573197</v>
      </c>
      <c r="P35" s="199">
        <f t="shared" ca="1" si="20"/>
        <v>10835.755493192983</v>
      </c>
      <c r="Q35" s="199">
        <f t="shared" ca="1" si="20"/>
        <v>11019.322815934656</v>
      </c>
      <c r="R35" s="199">
        <f t="shared" ca="1" si="20"/>
        <v>11194.826906032746</v>
      </c>
      <c r="S35" s="199">
        <f t="shared" ca="1" si="20"/>
        <v>11288.663459992811</v>
      </c>
      <c r="T35" s="199">
        <f t="shared" ca="1" si="20"/>
        <v>11383.119922199372</v>
      </c>
      <c r="U35" s="199">
        <f t="shared" ca="1" si="20"/>
        <v>11456.359258524582</v>
      </c>
      <c r="V35" s="199">
        <f t="shared" ca="1" si="20"/>
        <v>11530.069818944947</v>
      </c>
      <c r="W35" s="199">
        <f t="shared" ca="1" si="20"/>
        <v>11641.030233642901</v>
      </c>
      <c r="X35" s="199">
        <f t="shared" ca="1" si="20"/>
        <v>11715.928972677619</v>
      </c>
      <c r="Y35" s="199">
        <f t="shared" ca="1" si="20"/>
        <v>11791.309612454488</v>
      </c>
      <c r="Z35" s="199">
        <f t="shared" ca="1" si="20"/>
        <v>10515.521369022505</v>
      </c>
      <c r="AA35" s="199">
        <f t="shared" ca="1" si="20"/>
        <v>10515.521369022505</v>
      </c>
      <c r="AB35" s="199">
        <f t="shared" ca="1" si="20"/>
        <v>10515.521369022505</v>
      </c>
      <c r="AC35" s="199">
        <f t="shared" ca="1" si="20"/>
        <v>10515.521369022505</v>
      </c>
      <c r="AD35" s="199">
        <f t="shared" ca="1" si="20"/>
        <v>10515.521369022505</v>
      </c>
      <c r="AE35" s="199">
        <f t="shared" ca="1" si="20"/>
        <v>10515.521369022505</v>
      </c>
      <c r="AF35" s="199">
        <f t="shared" ca="1" si="20"/>
        <v>10515.521369022505</v>
      </c>
      <c r="AG35" s="199">
        <f t="shared" ca="1" si="20"/>
        <v>10515.521369022505</v>
      </c>
      <c r="AH35" s="199">
        <f t="shared" ca="1" si="20"/>
        <v>10515.521369022505</v>
      </c>
      <c r="AI35" s="199">
        <f t="shared" ca="1" si="20"/>
        <v>10515.521369022505</v>
      </c>
      <c r="AJ35" s="199">
        <f t="shared" ref="AJ35:BL35" ca="1" si="21">(AJ30+AJ34)*PrefMo</f>
        <v>10515.521369022505</v>
      </c>
      <c r="AK35" s="199">
        <f t="shared" ca="1" si="21"/>
        <v>10591.133764187805</v>
      </c>
      <c r="AL35" s="199">
        <f t="shared" ca="1" si="21"/>
        <v>10523.47658307713</v>
      </c>
      <c r="AM35" s="199">
        <f t="shared" ca="1" si="21"/>
        <v>10591.184948274564</v>
      </c>
      <c r="AN35" s="199">
        <f t="shared" ca="1" si="21"/>
        <v>10523.47658307713</v>
      </c>
      <c r="AO35" s="199">
        <f t="shared" ca="1" si="21"/>
        <v>10523.47658307713</v>
      </c>
      <c r="AP35" s="199">
        <f t="shared" ca="1" si="21"/>
        <v>10757.06866033056</v>
      </c>
      <c r="AQ35" s="199">
        <f t="shared" ca="1" si="21"/>
        <v>10826.279963986502</v>
      </c>
      <c r="AR35" s="199">
        <f t="shared" ca="1" si="21"/>
        <v>10895.936575254118</v>
      </c>
      <c r="AS35" s="199">
        <f t="shared" ca="1" si="21"/>
        <v>10801.181534314341</v>
      </c>
      <c r="AT35" s="199">
        <f t="shared" ca="1" si="21"/>
        <v>10969.022074859215</v>
      </c>
      <c r="AU35" s="199">
        <f t="shared" ca="1" si="21"/>
        <v>11039.597093166152</v>
      </c>
      <c r="AV35" s="199">
        <f t="shared" ca="1" si="21"/>
        <v>10911.41384773603</v>
      </c>
      <c r="AW35" s="199">
        <f t="shared" ca="1" si="21"/>
        <v>10787.705708462609</v>
      </c>
      <c r="AX35" s="199">
        <f t="shared" ca="1" si="21"/>
        <v>10863.31679039502</v>
      </c>
      <c r="AY35" s="199">
        <f t="shared" ca="1" si="21"/>
        <v>10989.996360757375</v>
      </c>
      <c r="AZ35" s="199">
        <f t="shared" ca="1" si="21"/>
        <v>11060.706328251317</v>
      </c>
      <c r="BA35" s="199">
        <f t="shared" ca="1" si="21"/>
        <v>11131.87124580519</v>
      </c>
      <c r="BB35" s="199">
        <f t="shared" ca="1" si="21"/>
        <v>11082.446665554995</v>
      </c>
      <c r="BC35" s="199">
        <f t="shared" ca="1" si="21"/>
        <v>10850.693030087363</v>
      </c>
      <c r="BD35" s="199">
        <f t="shared" ca="1" si="21"/>
        <v>11267.990694089804</v>
      </c>
      <c r="BE35" s="199">
        <f t="shared" ca="1" si="21"/>
        <v>11340.489285494816</v>
      </c>
      <c r="BF35" s="199">
        <f t="shared" ca="1" si="21"/>
        <v>11356.326328655086</v>
      </c>
      <c r="BG35" s="199">
        <f t="shared" ca="1" si="21"/>
        <v>11198.177008419818</v>
      </c>
      <c r="BH35" s="199">
        <f t="shared" ca="1" si="21"/>
        <v>11198.177008419818</v>
      </c>
      <c r="BI35" s="199">
        <f t="shared" ca="1" si="21"/>
        <v>11198.177008419818</v>
      </c>
      <c r="BJ35" s="199">
        <f t="shared" ca="1" si="21"/>
        <v>11198.177008419818</v>
      </c>
      <c r="BK35" s="199">
        <f t="shared" ca="1" si="21"/>
        <v>11198.177008419818</v>
      </c>
      <c r="BL35" s="199">
        <f t="shared" ca="1" si="21"/>
        <v>11198.177008419818</v>
      </c>
    </row>
    <row r="36" spans="1:64">
      <c r="A36" s="125" t="s">
        <v>640</v>
      </c>
      <c r="B36" s="125"/>
      <c r="C36" s="125"/>
      <c r="D36" s="199">
        <f ca="1">-D42</f>
        <v>0</v>
      </c>
      <c r="E36" s="199">
        <f t="shared" ref="E36:BL36" ca="1" si="22">-E42</f>
        <v>-9024.2804605629753</v>
      </c>
      <c r="F36" s="199">
        <f t="shared" ca="1" si="22"/>
        <v>0</v>
      </c>
      <c r="G36" s="199">
        <f t="shared" ca="1" si="22"/>
        <v>0</v>
      </c>
      <c r="H36" s="199">
        <f t="shared" ca="1" si="22"/>
        <v>0</v>
      </c>
      <c r="I36" s="199">
        <f t="shared" ca="1" si="22"/>
        <v>0</v>
      </c>
      <c r="J36" s="199">
        <f t="shared" ca="1" si="22"/>
        <v>0</v>
      </c>
      <c r="K36" s="199">
        <f t="shared" ca="1" si="22"/>
        <v>0</v>
      </c>
      <c r="L36" s="199">
        <f t="shared" ca="1" si="22"/>
        <v>0</v>
      </c>
      <c r="M36" s="199">
        <f t="shared" ca="1" si="22"/>
        <v>0</v>
      </c>
      <c r="N36" s="199">
        <f t="shared" ca="1" si="22"/>
        <v>0</v>
      </c>
      <c r="O36" s="199">
        <f t="shared" ca="1" si="22"/>
        <v>0</v>
      </c>
      <c r="P36" s="199">
        <f t="shared" ca="1" si="22"/>
        <v>0</v>
      </c>
      <c r="Q36" s="199">
        <f t="shared" ca="1" si="22"/>
        <v>0</v>
      </c>
      <c r="R36" s="199">
        <f t="shared" ca="1" si="22"/>
        <v>0</v>
      </c>
      <c r="S36" s="199">
        <f t="shared" ca="1" si="22"/>
        <v>0</v>
      </c>
      <c r="T36" s="199">
        <f t="shared" ca="1" si="22"/>
        <v>0</v>
      </c>
      <c r="U36" s="199">
        <f t="shared" ca="1" si="22"/>
        <v>0</v>
      </c>
      <c r="V36" s="199">
        <f t="shared" ca="1" si="22"/>
        <v>0</v>
      </c>
      <c r="W36" s="199">
        <f t="shared" ca="1" si="22"/>
        <v>0</v>
      </c>
      <c r="X36" s="199">
        <f t="shared" ca="1" si="22"/>
        <v>0</v>
      </c>
      <c r="Y36" s="199">
        <f t="shared" ca="1" si="22"/>
        <v>-210078.88701257063</v>
      </c>
      <c r="Z36" s="199">
        <f t="shared" ca="1" si="22"/>
        <v>-10515.521369022505</v>
      </c>
      <c r="AA36" s="199">
        <f t="shared" ca="1" si="22"/>
        <v>-10515.521369022505</v>
      </c>
      <c r="AB36" s="199">
        <f t="shared" ca="1" si="22"/>
        <v>-10515.521369022505</v>
      </c>
      <c r="AC36" s="199">
        <f t="shared" ca="1" si="22"/>
        <v>-10515.521369022505</v>
      </c>
      <c r="AD36" s="199">
        <f t="shared" ca="1" si="22"/>
        <v>-10515.521369022505</v>
      </c>
      <c r="AE36" s="199">
        <f t="shared" ca="1" si="22"/>
        <v>-10515.521369022505</v>
      </c>
      <c r="AF36" s="199">
        <f t="shared" ca="1" si="22"/>
        <v>-10515.521369022505</v>
      </c>
      <c r="AG36" s="199">
        <f t="shared" ca="1" si="22"/>
        <v>-10515.521369022505</v>
      </c>
      <c r="AH36" s="199">
        <f t="shared" ca="1" si="22"/>
        <v>-10515.521369022505</v>
      </c>
      <c r="AI36" s="199">
        <f t="shared" ca="1" si="22"/>
        <v>-10515.521369022505</v>
      </c>
      <c r="AJ36" s="199">
        <f t="shared" ca="1" si="22"/>
        <v>0</v>
      </c>
      <c r="AK36" s="199">
        <f t="shared" ca="1" si="22"/>
        <v>-21106.655133210312</v>
      </c>
      <c r="AL36" s="199">
        <f t="shared" ca="1" si="22"/>
        <v>0</v>
      </c>
      <c r="AM36" s="199">
        <f t="shared" ca="1" si="22"/>
        <v>-21114.661531351696</v>
      </c>
      <c r="AN36" s="199">
        <f t="shared" ca="1" si="22"/>
        <v>-10523.47658307713</v>
      </c>
      <c r="AO36" s="199">
        <f t="shared" ca="1" si="22"/>
        <v>0</v>
      </c>
      <c r="AP36" s="199">
        <f t="shared" ca="1" si="22"/>
        <v>0</v>
      </c>
      <c r="AQ36" s="199">
        <f t="shared" ca="1" si="22"/>
        <v>0</v>
      </c>
      <c r="AR36" s="199">
        <f t="shared" ca="1" si="22"/>
        <v>-25623.104356526164</v>
      </c>
      <c r="AS36" s="199">
        <f t="shared" ca="1" si="22"/>
        <v>0</v>
      </c>
      <c r="AT36" s="199">
        <f t="shared" ca="1" si="22"/>
        <v>0</v>
      </c>
      <c r="AU36" s="199">
        <f t="shared" ca="1" si="22"/>
        <v>-30962.296122943095</v>
      </c>
      <c r="AV36" s="199">
        <f t="shared" ca="1" si="22"/>
        <v>-30138.575853254792</v>
      </c>
      <c r="AW36" s="199">
        <f t="shared" ca="1" si="22"/>
        <v>0</v>
      </c>
      <c r="AX36" s="199">
        <f t="shared" ca="1" si="22"/>
        <v>0</v>
      </c>
      <c r="AY36" s="199">
        <f t="shared" ca="1" si="22"/>
        <v>0</v>
      </c>
      <c r="AZ36" s="199">
        <f t="shared" ca="1" si="22"/>
        <v>0</v>
      </c>
      <c r="BA36" s="199">
        <f t="shared" ca="1" si="22"/>
        <v>-18813.616498030839</v>
      </c>
      <c r="BB36" s="199">
        <f t="shared" ca="1" si="22"/>
        <v>-47102.426601195664</v>
      </c>
      <c r="BC36" s="199">
        <f t="shared" ca="1" si="22"/>
        <v>0</v>
      </c>
      <c r="BD36" s="199">
        <f t="shared" ca="1" si="22"/>
        <v>0</v>
      </c>
      <c r="BE36" s="199">
        <f t="shared" ca="1" si="22"/>
        <v>-8879.039324972051</v>
      </c>
      <c r="BF36" s="199">
        <f t="shared" ca="1" si="22"/>
        <v>-35936.460013355019</v>
      </c>
      <c r="BG36" s="199">
        <f t="shared" ca="1" si="22"/>
        <v>-11198.177008419818</v>
      </c>
      <c r="BH36" s="199">
        <f t="shared" ca="1" si="22"/>
        <v>-11198.177008419818</v>
      </c>
      <c r="BI36" s="199">
        <f t="shared" ca="1" si="22"/>
        <v>-11198.177008419818</v>
      </c>
      <c r="BJ36" s="199">
        <f t="shared" ca="1" si="22"/>
        <v>-11198.177008419818</v>
      </c>
      <c r="BK36" s="199">
        <f t="shared" ca="1" si="22"/>
        <v>-11198.177008419818</v>
      </c>
      <c r="BL36" s="199">
        <f t="shared" ca="1" si="22"/>
        <v>-11198.177008419818</v>
      </c>
    </row>
    <row r="37" spans="1:64">
      <c r="A37" s="126" t="s">
        <v>641</v>
      </c>
      <c r="B37" s="126"/>
      <c r="C37" s="126"/>
      <c r="D37" s="200">
        <f ca="1">SUM(D34:D36)</f>
        <v>0</v>
      </c>
      <c r="E37" s="200">
        <f t="shared" ref="E37:BL37" ca="1" si="23">SUM(E34:E36)</f>
        <v>0</v>
      </c>
      <c r="F37" s="200">
        <f t="shared" ca="1" si="23"/>
        <v>9024.2804605629753</v>
      </c>
      <c r="G37" s="200">
        <f t="shared" ca="1" si="23"/>
        <v>18133.146882723169</v>
      </c>
      <c r="H37" s="200">
        <f t="shared" ca="1" si="23"/>
        <v>27344.637223661484</v>
      </c>
      <c r="I37" s="200">
        <f t="shared" ca="1" si="23"/>
        <v>36657.263275279096</v>
      </c>
      <c r="J37" s="200">
        <f t="shared" ca="1" si="23"/>
        <v>46092.332939107371</v>
      </c>
      <c r="K37" s="200">
        <f t="shared" ca="1" si="23"/>
        <v>55709.483272402489</v>
      </c>
      <c r="L37" s="200">
        <f t="shared" ca="1" si="23"/>
        <v>65465.252208436374</v>
      </c>
      <c r="M37" s="200">
        <f t="shared" ca="1" si="23"/>
        <v>75470.836805295927</v>
      </c>
      <c r="N37" s="200">
        <f t="shared" ca="1" si="23"/>
        <v>85710.9393434003</v>
      </c>
      <c r="O37" s="200">
        <f t="shared" ca="1" si="23"/>
        <v>96222.500518973495</v>
      </c>
      <c r="P37" s="200">
        <f t="shared" ca="1" si="23"/>
        <v>107058.25601216647</v>
      </c>
      <c r="Q37" s="200">
        <f t="shared" ca="1" si="23"/>
        <v>118077.57882810113</v>
      </c>
      <c r="R37" s="200">
        <f t="shared" ca="1" si="23"/>
        <v>129272.40573413388</v>
      </c>
      <c r="S37" s="200">
        <f t="shared" ca="1" si="23"/>
        <v>140561.0691941267</v>
      </c>
      <c r="T37" s="200">
        <f t="shared" ca="1" si="23"/>
        <v>151944.18911632607</v>
      </c>
      <c r="U37" s="200">
        <f t="shared" ca="1" si="23"/>
        <v>163400.54837485065</v>
      </c>
      <c r="V37" s="200">
        <f t="shared" ca="1" si="23"/>
        <v>174930.61819379561</v>
      </c>
      <c r="W37" s="200">
        <f t="shared" ca="1" si="23"/>
        <v>186571.64842743851</v>
      </c>
      <c r="X37" s="200">
        <f t="shared" ca="1" si="23"/>
        <v>198287.57740011613</v>
      </c>
      <c r="Y37" s="200">
        <f t="shared" ca="1" si="23"/>
        <v>0</v>
      </c>
      <c r="Z37" s="200">
        <f t="shared" ca="1" si="23"/>
        <v>0</v>
      </c>
      <c r="AA37" s="200">
        <f t="shared" ca="1" si="23"/>
        <v>0</v>
      </c>
      <c r="AB37" s="200">
        <f t="shared" ca="1" si="23"/>
        <v>0</v>
      </c>
      <c r="AC37" s="200">
        <f t="shared" ca="1" si="23"/>
        <v>0</v>
      </c>
      <c r="AD37" s="200">
        <f t="shared" ca="1" si="23"/>
        <v>0</v>
      </c>
      <c r="AE37" s="200">
        <f t="shared" ca="1" si="23"/>
        <v>0</v>
      </c>
      <c r="AF37" s="200">
        <f t="shared" ca="1" si="23"/>
        <v>0</v>
      </c>
      <c r="AG37" s="200">
        <f t="shared" ca="1" si="23"/>
        <v>0</v>
      </c>
      <c r="AH37" s="200">
        <f t="shared" ca="1" si="23"/>
        <v>0</v>
      </c>
      <c r="AI37" s="200">
        <f t="shared" ca="1" si="23"/>
        <v>0</v>
      </c>
      <c r="AJ37" s="200">
        <f t="shared" ca="1" si="23"/>
        <v>10515.521369022505</v>
      </c>
      <c r="AK37" s="200">
        <f t="shared" ca="1" si="23"/>
        <v>0</v>
      </c>
      <c r="AL37" s="200">
        <f t="shared" ca="1" si="23"/>
        <v>10523.47658307713</v>
      </c>
      <c r="AM37" s="200">
        <f t="shared" ca="1" si="23"/>
        <v>0</v>
      </c>
      <c r="AN37" s="200">
        <f t="shared" ca="1" si="23"/>
        <v>0</v>
      </c>
      <c r="AO37" s="200">
        <f t="shared" ca="1" si="23"/>
        <v>10523.47658307713</v>
      </c>
      <c r="AP37" s="200">
        <f t="shared" ca="1" si="23"/>
        <v>21280.545243407691</v>
      </c>
      <c r="AQ37" s="200">
        <f t="shared" ca="1" si="23"/>
        <v>32106.825207394191</v>
      </c>
      <c r="AR37" s="200">
        <f t="shared" ca="1" si="23"/>
        <v>17379.657426122147</v>
      </c>
      <c r="AS37" s="200">
        <f t="shared" ca="1" si="23"/>
        <v>28180.838960436486</v>
      </c>
      <c r="AT37" s="200">
        <f t="shared" ca="1" si="23"/>
        <v>39149.861035295704</v>
      </c>
      <c r="AU37" s="200">
        <f t="shared" ca="1" si="23"/>
        <v>19227.16200551876</v>
      </c>
      <c r="AV37" s="200">
        <f t="shared" ca="1" si="23"/>
        <v>0</v>
      </c>
      <c r="AW37" s="200">
        <f t="shared" ca="1" si="23"/>
        <v>10787.705708462609</v>
      </c>
      <c r="AX37" s="200">
        <f t="shared" ca="1" si="23"/>
        <v>21651.02249885763</v>
      </c>
      <c r="AY37" s="200">
        <f t="shared" ca="1" si="23"/>
        <v>32641.018859615004</v>
      </c>
      <c r="AZ37" s="200">
        <f t="shared" ca="1" si="23"/>
        <v>43701.725187866323</v>
      </c>
      <c r="BA37" s="200">
        <f t="shared" ca="1" si="23"/>
        <v>36019.979935640673</v>
      </c>
      <c r="BB37" s="200">
        <f t="shared" ca="1" si="23"/>
        <v>0</v>
      </c>
      <c r="BC37" s="200">
        <f t="shared" ca="1" si="23"/>
        <v>10850.693030087363</v>
      </c>
      <c r="BD37" s="200">
        <f t="shared" ca="1" si="23"/>
        <v>22118.683724177165</v>
      </c>
      <c r="BE37" s="200">
        <f t="shared" ca="1" si="23"/>
        <v>24580.133684699933</v>
      </c>
      <c r="BF37" s="200">
        <f t="shared" ca="1" si="23"/>
        <v>0</v>
      </c>
      <c r="BG37" s="200">
        <f t="shared" ca="1" si="23"/>
        <v>0</v>
      </c>
      <c r="BH37" s="200">
        <f t="shared" ca="1" si="23"/>
        <v>0</v>
      </c>
      <c r="BI37" s="200">
        <f t="shared" ca="1" si="23"/>
        <v>0</v>
      </c>
      <c r="BJ37" s="200">
        <f t="shared" ca="1" si="23"/>
        <v>0</v>
      </c>
      <c r="BK37" s="200">
        <f t="shared" ca="1" si="23"/>
        <v>0</v>
      </c>
      <c r="BL37" s="200">
        <f t="shared" ca="1" si="23"/>
        <v>0</v>
      </c>
    </row>
    <row r="38" spans="1:64">
      <c r="A38" s="125"/>
      <c r="B38" s="125"/>
      <c r="C38" s="125"/>
      <c r="D38" s="125"/>
      <c r="E38" s="125"/>
      <c r="F38" s="125"/>
      <c r="G38" s="125"/>
      <c r="H38" s="125"/>
      <c r="I38" s="125"/>
      <c r="J38" s="125"/>
      <c r="K38" s="125"/>
      <c r="L38" s="125"/>
      <c r="M38" s="125"/>
      <c r="N38" s="125"/>
      <c r="O38" s="125"/>
      <c r="P38" s="125"/>
      <c r="Q38" s="125"/>
      <c r="R38" s="125"/>
      <c r="S38" s="125"/>
      <c r="T38" s="125"/>
      <c r="U38" s="125"/>
      <c r="V38" s="125"/>
      <c r="W38" s="125"/>
      <c r="X38" s="125"/>
      <c r="Y38" s="125"/>
      <c r="Z38" s="125"/>
      <c r="AA38" s="125"/>
      <c r="AB38" s="125"/>
      <c r="AC38" s="125"/>
      <c r="AD38" s="125"/>
      <c r="AE38" s="125"/>
      <c r="AF38" s="125"/>
      <c r="AG38" s="125"/>
      <c r="AH38" s="125"/>
      <c r="AI38" s="125"/>
      <c r="AJ38" s="125"/>
      <c r="AK38" s="125"/>
      <c r="AL38" s="125"/>
      <c r="AM38" s="125"/>
      <c r="AN38" s="125"/>
      <c r="AO38" s="125"/>
      <c r="AP38" s="125"/>
      <c r="AQ38" s="125"/>
      <c r="AR38" s="125"/>
      <c r="AS38" s="125"/>
      <c r="AT38" s="125"/>
      <c r="AU38" s="125"/>
      <c r="AV38" s="125"/>
      <c r="AW38" s="125"/>
      <c r="AX38" s="125"/>
      <c r="AY38" s="125"/>
      <c r="AZ38" s="125"/>
      <c r="BA38" s="125"/>
      <c r="BB38" s="125"/>
      <c r="BC38" s="125"/>
      <c r="BD38" s="125"/>
      <c r="BE38" s="125"/>
      <c r="BF38" s="125"/>
      <c r="BG38" s="125"/>
      <c r="BH38" s="125"/>
      <c r="BI38" s="125"/>
      <c r="BJ38" s="125"/>
      <c r="BK38" s="125"/>
      <c r="BL38" s="125"/>
    </row>
    <row r="39" spans="1:64">
      <c r="A39" s="198" t="s">
        <v>643</v>
      </c>
      <c r="B39" s="198"/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198"/>
      <c r="V39" s="198"/>
      <c r="W39" s="198"/>
      <c r="X39" s="198"/>
      <c r="Y39" s="198"/>
      <c r="Z39" s="198"/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  <c r="AS39" s="198"/>
      <c r="AT39" s="198"/>
      <c r="AU39" s="198"/>
      <c r="AV39" s="198"/>
      <c r="AW39" s="198"/>
      <c r="AX39" s="198"/>
      <c r="AY39" s="198"/>
      <c r="AZ39" s="198"/>
      <c r="BA39" s="198"/>
      <c r="BB39" s="198"/>
      <c r="BC39" s="198"/>
      <c r="BD39" s="198"/>
      <c r="BE39" s="198"/>
      <c r="BF39" s="198"/>
      <c r="BG39" s="198"/>
      <c r="BH39" s="198"/>
      <c r="BI39" s="198"/>
      <c r="BJ39" s="198"/>
      <c r="BK39" s="198"/>
      <c r="BL39" s="198"/>
    </row>
    <row r="40" spans="1:64">
      <c r="A40" s="125" t="s">
        <v>644</v>
      </c>
      <c r="B40" s="125"/>
      <c r="C40" s="125"/>
      <c r="D40" s="199">
        <f ca="1">MIN(D10,D24+D25)</f>
        <v>0</v>
      </c>
      <c r="E40" s="199">
        <f t="shared" ref="E40:BL40" ca="1" si="24">MIN(E10,E24+E25)</f>
        <v>81218.524145066782</v>
      </c>
      <c r="F40" s="199">
        <f t="shared" ca="1" si="24"/>
        <v>0</v>
      </c>
      <c r="G40" s="199">
        <f t="shared" ca="1" si="24"/>
        <v>0</v>
      </c>
      <c r="H40" s="199">
        <f t="shared" ca="1" si="24"/>
        <v>0</v>
      </c>
      <c r="I40" s="199">
        <f t="shared" ca="1" si="24"/>
        <v>0</v>
      </c>
      <c r="J40" s="199">
        <f t="shared" ca="1" si="24"/>
        <v>0</v>
      </c>
      <c r="K40" s="199">
        <f t="shared" ca="1" si="24"/>
        <v>0</v>
      </c>
      <c r="L40" s="199">
        <f t="shared" ca="1" si="24"/>
        <v>0</v>
      </c>
      <c r="M40" s="199">
        <f t="shared" ca="1" si="24"/>
        <v>0</v>
      </c>
      <c r="N40" s="199">
        <f t="shared" ca="1" si="24"/>
        <v>0</v>
      </c>
      <c r="O40" s="199">
        <f t="shared" ca="1" si="24"/>
        <v>0</v>
      </c>
      <c r="P40" s="199">
        <f t="shared" ca="1" si="24"/>
        <v>0</v>
      </c>
      <c r="Q40" s="199">
        <f t="shared" ca="1" si="24"/>
        <v>0</v>
      </c>
      <c r="R40" s="199">
        <f t="shared" ca="1" si="24"/>
        <v>0</v>
      </c>
      <c r="S40" s="199">
        <f t="shared" ca="1" si="24"/>
        <v>0</v>
      </c>
      <c r="T40" s="199">
        <f t="shared" ca="1" si="24"/>
        <v>315516.07418598607</v>
      </c>
      <c r="U40" s="199">
        <f t="shared" ca="1" si="24"/>
        <v>409320.66848353203</v>
      </c>
      <c r="V40" s="199">
        <f t="shared" ca="1" si="24"/>
        <v>0</v>
      </c>
      <c r="W40" s="199">
        <f t="shared" ca="1" si="24"/>
        <v>423189.60933183512</v>
      </c>
      <c r="X40" s="199">
        <f t="shared" ca="1" si="24"/>
        <v>458198.57641526632</v>
      </c>
      <c r="Y40" s="199">
        <f t="shared" ca="1" si="24"/>
        <v>236521.13925803622</v>
      </c>
      <c r="Z40" s="199">
        <f t="shared" ca="1" si="24"/>
        <v>93689.008449217217</v>
      </c>
      <c r="AA40" s="199">
        <f t="shared" ca="1" si="24"/>
        <v>91411.400094650002</v>
      </c>
      <c r="AB40" s="199">
        <f t="shared" ca="1" si="24"/>
        <v>91270.798841441603</v>
      </c>
      <c r="AC40" s="199">
        <f t="shared" ca="1" si="24"/>
        <v>89665.140333893025</v>
      </c>
      <c r="AD40" s="199">
        <f t="shared" ca="1" si="24"/>
        <v>87386.682942564992</v>
      </c>
      <c r="AE40" s="199">
        <f t="shared" ca="1" si="24"/>
        <v>85060.396330812655</v>
      </c>
      <c r="AF40" s="199">
        <f t="shared" ca="1" si="24"/>
        <v>82711.932389794965</v>
      </c>
      <c r="AG40" s="199">
        <f t="shared" ca="1" si="24"/>
        <v>80333.352183686846</v>
      </c>
      <c r="AH40" s="199">
        <f t="shared" ca="1" si="24"/>
        <v>77831.31563308039</v>
      </c>
      <c r="AI40" s="199">
        <f t="shared" ca="1" si="24"/>
        <v>75313.180903971021</v>
      </c>
      <c r="AJ40" s="199">
        <f t="shared" ca="1" si="24"/>
        <v>0</v>
      </c>
      <c r="AK40" s="199">
        <f t="shared" ca="1" si="24"/>
        <v>147806.43439667718</v>
      </c>
      <c r="AL40" s="199">
        <f t="shared" ca="1" si="24"/>
        <v>33975.810445757001</v>
      </c>
      <c r="AM40" s="199">
        <f t="shared" ca="1" si="24"/>
        <v>110617.80607110249</v>
      </c>
      <c r="AN40" s="199">
        <f t="shared" ca="1" si="24"/>
        <v>72013.894967054337</v>
      </c>
      <c r="AO40" s="199">
        <f t="shared" ca="1" si="24"/>
        <v>0</v>
      </c>
      <c r="AP40" s="199">
        <f t="shared" ca="1" si="24"/>
        <v>82954.200628156657</v>
      </c>
      <c r="AQ40" s="199">
        <f t="shared" ca="1" si="24"/>
        <v>99767.373480435286</v>
      </c>
      <c r="AR40" s="199">
        <f t="shared" ca="1" si="24"/>
        <v>75255.096969653212</v>
      </c>
      <c r="AS40" s="199">
        <f t="shared" ca="1" si="24"/>
        <v>0</v>
      </c>
      <c r="AT40" s="199">
        <f t="shared" ca="1" si="24"/>
        <v>123144.14332421339</v>
      </c>
      <c r="AU40" s="199">
        <f t="shared" ca="1" si="24"/>
        <v>73118.467828174602</v>
      </c>
      <c r="AV40" s="199">
        <f t="shared" ca="1" si="24"/>
        <v>65561.093038529056</v>
      </c>
      <c r="AW40" s="199">
        <f t="shared" ca="1" si="24"/>
        <v>0</v>
      </c>
      <c r="AX40" s="199">
        <f t="shared" ca="1" si="24"/>
        <v>0</v>
      </c>
      <c r="AY40" s="199">
        <f t="shared" ca="1" si="24"/>
        <v>109110.28343954921</v>
      </c>
      <c r="AZ40" s="199">
        <f t="shared" ca="1" si="24"/>
        <v>120200.75404427474</v>
      </c>
      <c r="BA40" s="199">
        <f t="shared" ca="1" si="24"/>
        <v>101681.18748415314</v>
      </c>
      <c r="BB40" s="199">
        <f t="shared" ca="1" si="24"/>
        <v>66000.570984925886</v>
      </c>
      <c r="BC40" s="199">
        <f t="shared" ca="1" si="24"/>
        <v>0</v>
      </c>
      <c r="BD40" s="199">
        <f t="shared" ca="1" si="24"/>
        <v>81785.645947504672</v>
      </c>
      <c r="BE40" s="199">
        <f t="shared" ca="1" si="24"/>
        <v>123096.68268962848</v>
      </c>
      <c r="BF40" s="199">
        <f t="shared" ca="1" si="24"/>
        <v>69080.006666633519</v>
      </c>
      <c r="BG40" s="199">
        <f t="shared" ca="1" si="24"/>
        <v>68761.321511414717</v>
      </c>
      <c r="BH40" s="199">
        <f t="shared" ca="1" si="24"/>
        <v>68498.253448350006</v>
      </c>
      <c r="BI40" s="199">
        <f t="shared" ca="1" si="24"/>
        <v>68147.684062997287</v>
      </c>
      <c r="BJ40" s="199">
        <f t="shared" ca="1" si="24"/>
        <v>67794.47308447097</v>
      </c>
      <c r="BK40" s="199">
        <f t="shared" ca="1" si="24"/>
        <v>67438.599807712366</v>
      </c>
      <c r="BL40" s="199">
        <f t="shared" ca="1" si="24"/>
        <v>67080.043359168427</v>
      </c>
    </row>
    <row r="41" spans="1:64">
      <c r="A41" s="193" t="s">
        <v>645</v>
      </c>
      <c r="B41" s="193"/>
      <c r="C41" s="193"/>
      <c r="D41" s="201">
        <f ca="1">D10-D40</f>
        <v>0</v>
      </c>
      <c r="E41" s="201">
        <f t="shared" ref="E41:BL41" ca="1" si="25">E10-E40</f>
        <v>145184.42210493324</v>
      </c>
      <c r="F41" s="201">
        <f t="shared" ca="1" si="25"/>
        <v>0</v>
      </c>
      <c r="G41" s="201">
        <f t="shared" ca="1" si="25"/>
        <v>0</v>
      </c>
      <c r="H41" s="201">
        <f t="shared" ca="1" si="25"/>
        <v>0</v>
      </c>
      <c r="I41" s="201">
        <f t="shared" ca="1" si="25"/>
        <v>0</v>
      </c>
      <c r="J41" s="201">
        <f t="shared" ca="1" si="25"/>
        <v>0</v>
      </c>
      <c r="K41" s="201">
        <f t="shared" ca="1" si="25"/>
        <v>0</v>
      </c>
      <c r="L41" s="201">
        <f t="shared" ca="1" si="25"/>
        <v>0</v>
      </c>
      <c r="M41" s="201">
        <f t="shared" ca="1" si="25"/>
        <v>0</v>
      </c>
      <c r="N41" s="201">
        <f t="shared" ca="1" si="25"/>
        <v>0</v>
      </c>
      <c r="O41" s="201">
        <f t="shared" ca="1" si="25"/>
        <v>0</v>
      </c>
      <c r="P41" s="201">
        <f t="shared" ca="1" si="25"/>
        <v>0</v>
      </c>
      <c r="Q41" s="201">
        <f t="shared" ca="1" si="25"/>
        <v>0</v>
      </c>
      <c r="R41" s="201">
        <f t="shared" ca="1" si="25"/>
        <v>0</v>
      </c>
      <c r="S41" s="201">
        <f t="shared" ca="1" si="25"/>
        <v>0</v>
      </c>
      <c r="T41" s="201">
        <f t="shared" ca="1" si="25"/>
        <v>0</v>
      </c>
      <c r="U41" s="201">
        <f t="shared" ca="1" si="25"/>
        <v>0</v>
      </c>
      <c r="V41" s="201">
        <f t="shared" ca="1" si="25"/>
        <v>0</v>
      </c>
      <c r="W41" s="201">
        <f t="shared" ca="1" si="25"/>
        <v>0</v>
      </c>
      <c r="X41" s="201">
        <f t="shared" ca="1" si="25"/>
        <v>0</v>
      </c>
      <c r="Y41" s="201">
        <f t="shared" ca="1" si="25"/>
        <v>221677.4371572301</v>
      </c>
      <c r="Z41" s="201">
        <f t="shared" ca="1" si="25"/>
        <v>364509.56796604907</v>
      </c>
      <c r="AA41" s="201">
        <f t="shared" ca="1" si="25"/>
        <v>32368.271636663223</v>
      </c>
      <c r="AB41" s="201">
        <f t="shared" ca="1" si="25"/>
        <v>260072.71648568133</v>
      </c>
      <c r="AC41" s="201">
        <f t="shared" ca="1" si="25"/>
        <v>364641.5282998195</v>
      </c>
      <c r="AD41" s="201">
        <f t="shared" ca="1" si="25"/>
        <v>372075.31701491051</v>
      </c>
      <c r="AE41" s="201">
        <f t="shared" ca="1" si="25"/>
        <v>375522.19694649201</v>
      </c>
      <c r="AF41" s="201">
        <f t="shared" ca="1" si="25"/>
        <v>380202.97471338633</v>
      </c>
      <c r="AG41" s="201">
        <f t="shared" ca="1" si="25"/>
        <v>399391.00187327998</v>
      </c>
      <c r="AH41" s="201">
        <f t="shared" ca="1" si="25"/>
        <v>401893.03842388646</v>
      </c>
      <c r="AI41" s="201">
        <f t="shared" ca="1" si="25"/>
        <v>272036.3290163051</v>
      </c>
      <c r="AJ41" s="201">
        <f t="shared" ca="1" si="25"/>
        <v>0</v>
      </c>
      <c r="AK41" s="201">
        <f t="shared" ca="1" si="25"/>
        <v>258628.19336279383</v>
      </c>
      <c r="AL41" s="201">
        <f t="shared" ca="1" si="25"/>
        <v>0</v>
      </c>
      <c r="AM41" s="201">
        <f t="shared" ca="1" si="25"/>
        <v>45987.001438654101</v>
      </c>
      <c r="AN41" s="201">
        <f t="shared" ca="1" si="25"/>
        <v>1383047.9917022453</v>
      </c>
      <c r="AO41" s="201">
        <f t="shared" ca="1" si="25"/>
        <v>0</v>
      </c>
      <c r="AP41" s="201">
        <f t="shared" ca="1" si="25"/>
        <v>0</v>
      </c>
      <c r="AQ41" s="201">
        <f t="shared" ca="1" si="25"/>
        <v>0</v>
      </c>
      <c r="AR41" s="201">
        <f t="shared" ca="1" si="25"/>
        <v>25623.104356526164</v>
      </c>
      <c r="AS41" s="201">
        <f t="shared" ca="1" si="25"/>
        <v>0</v>
      </c>
      <c r="AT41" s="201">
        <f t="shared" ca="1" si="25"/>
        <v>0</v>
      </c>
      <c r="AU41" s="201">
        <f t="shared" ca="1" si="25"/>
        <v>30962.296122943095</v>
      </c>
      <c r="AV41" s="201">
        <f t="shared" ca="1" si="25"/>
        <v>49940.77541521813</v>
      </c>
      <c r="AW41" s="201">
        <f t="shared" ca="1" si="25"/>
        <v>0</v>
      </c>
      <c r="AX41" s="201">
        <f t="shared" ca="1" si="25"/>
        <v>0</v>
      </c>
      <c r="AY41" s="201">
        <f t="shared" ca="1" si="25"/>
        <v>0</v>
      </c>
      <c r="AZ41" s="201">
        <f t="shared" ca="1" si="25"/>
        <v>0</v>
      </c>
      <c r="BA41" s="201">
        <f t="shared" ca="1" si="25"/>
        <v>18813.616498030839</v>
      </c>
      <c r="BB41" s="201">
        <f t="shared" ca="1" si="25"/>
        <v>54550.343764336212</v>
      </c>
      <c r="BC41" s="201">
        <f t="shared" ca="1" si="25"/>
        <v>0</v>
      </c>
      <c r="BD41" s="201">
        <f t="shared" ca="1" si="25"/>
        <v>0</v>
      </c>
      <c r="BE41" s="201">
        <f t="shared" ca="1" si="25"/>
        <v>8879.039324972051</v>
      </c>
      <c r="BF41" s="201">
        <f t="shared" ca="1" si="25"/>
        <v>85467.648051053882</v>
      </c>
      <c r="BG41" s="201">
        <f t="shared" ca="1" si="25"/>
        <v>52085.157418365648</v>
      </c>
      <c r="BH41" s="201">
        <f t="shared" ca="1" si="25"/>
        <v>65684.926271166187</v>
      </c>
      <c r="BI41" s="201">
        <f t="shared" ca="1" si="25"/>
        <v>66095.492141767463</v>
      </c>
      <c r="BJ41" s="201">
        <f t="shared" ca="1" si="25"/>
        <v>66509.276066739156</v>
      </c>
      <c r="BK41" s="201">
        <f t="shared" ca="1" si="25"/>
        <v>66926.30423407082</v>
      </c>
      <c r="BL41" s="201">
        <f t="shared" ca="1" si="25"/>
        <v>26132084.895631589</v>
      </c>
    </row>
    <row r="42" spans="1:64">
      <c r="A42" s="125" t="s">
        <v>646</v>
      </c>
      <c r="B42" s="125"/>
      <c r="C42" s="125"/>
      <c r="D42" s="199">
        <f ca="1">MIN(D41,D34+D35)</f>
        <v>0</v>
      </c>
      <c r="E42" s="199">
        <f t="shared" ref="E42:BL42" ca="1" si="26">MIN(E41,E34+E35)</f>
        <v>9024.2804605629753</v>
      </c>
      <c r="F42" s="199">
        <f t="shared" ca="1" si="26"/>
        <v>0</v>
      </c>
      <c r="G42" s="199">
        <f t="shared" ca="1" si="26"/>
        <v>0</v>
      </c>
      <c r="H42" s="199">
        <f t="shared" ca="1" si="26"/>
        <v>0</v>
      </c>
      <c r="I42" s="199">
        <f t="shared" ca="1" si="26"/>
        <v>0</v>
      </c>
      <c r="J42" s="199">
        <f t="shared" ca="1" si="26"/>
        <v>0</v>
      </c>
      <c r="K42" s="199">
        <f t="shared" ca="1" si="26"/>
        <v>0</v>
      </c>
      <c r="L42" s="199">
        <f t="shared" ca="1" si="26"/>
        <v>0</v>
      </c>
      <c r="M42" s="199">
        <f t="shared" ca="1" si="26"/>
        <v>0</v>
      </c>
      <c r="N42" s="199">
        <f t="shared" ca="1" si="26"/>
        <v>0</v>
      </c>
      <c r="O42" s="199">
        <f t="shared" ca="1" si="26"/>
        <v>0</v>
      </c>
      <c r="P42" s="199">
        <f t="shared" ca="1" si="26"/>
        <v>0</v>
      </c>
      <c r="Q42" s="199">
        <f t="shared" ca="1" si="26"/>
        <v>0</v>
      </c>
      <c r="R42" s="199">
        <f t="shared" ca="1" si="26"/>
        <v>0</v>
      </c>
      <c r="S42" s="199">
        <f t="shared" ca="1" si="26"/>
        <v>0</v>
      </c>
      <c r="T42" s="199">
        <f t="shared" ca="1" si="26"/>
        <v>0</v>
      </c>
      <c r="U42" s="199">
        <f t="shared" ca="1" si="26"/>
        <v>0</v>
      </c>
      <c r="V42" s="199">
        <f t="shared" ca="1" si="26"/>
        <v>0</v>
      </c>
      <c r="W42" s="199">
        <f t="shared" ca="1" si="26"/>
        <v>0</v>
      </c>
      <c r="X42" s="199">
        <f t="shared" ca="1" si="26"/>
        <v>0</v>
      </c>
      <c r="Y42" s="199">
        <f t="shared" ca="1" si="26"/>
        <v>210078.88701257063</v>
      </c>
      <c r="Z42" s="199">
        <f t="shared" ca="1" si="26"/>
        <v>10515.521369022505</v>
      </c>
      <c r="AA42" s="199">
        <f t="shared" ca="1" si="26"/>
        <v>10515.521369022505</v>
      </c>
      <c r="AB42" s="199">
        <f t="shared" ca="1" si="26"/>
        <v>10515.521369022505</v>
      </c>
      <c r="AC42" s="199">
        <f t="shared" ca="1" si="26"/>
        <v>10515.521369022505</v>
      </c>
      <c r="AD42" s="199">
        <f t="shared" ca="1" si="26"/>
        <v>10515.521369022505</v>
      </c>
      <c r="AE42" s="199">
        <f t="shared" ca="1" si="26"/>
        <v>10515.521369022505</v>
      </c>
      <c r="AF42" s="199">
        <f t="shared" ca="1" si="26"/>
        <v>10515.521369022505</v>
      </c>
      <c r="AG42" s="199">
        <f t="shared" ca="1" si="26"/>
        <v>10515.521369022505</v>
      </c>
      <c r="AH42" s="199">
        <f t="shared" ca="1" si="26"/>
        <v>10515.521369022505</v>
      </c>
      <c r="AI42" s="199">
        <f t="shared" ca="1" si="26"/>
        <v>10515.521369022505</v>
      </c>
      <c r="AJ42" s="199">
        <f t="shared" ca="1" si="26"/>
        <v>0</v>
      </c>
      <c r="AK42" s="199">
        <f t="shared" ca="1" si="26"/>
        <v>21106.655133210312</v>
      </c>
      <c r="AL42" s="199">
        <f t="shared" ca="1" si="26"/>
        <v>0</v>
      </c>
      <c r="AM42" s="199">
        <f t="shared" ca="1" si="26"/>
        <v>21114.661531351696</v>
      </c>
      <c r="AN42" s="199">
        <f t="shared" ca="1" si="26"/>
        <v>10523.47658307713</v>
      </c>
      <c r="AO42" s="199">
        <f t="shared" ca="1" si="26"/>
        <v>0</v>
      </c>
      <c r="AP42" s="199">
        <f t="shared" ca="1" si="26"/>
        <v>0</v>
      </c>
      <c r="AQ42" s="199">
        <f t="shared" ca="1" si="26"/>
        <v>0</v>
      </c>
      <c r="AR42" s="199">
        <f t="shared" ca="1" si="26"/>
        <v>25623.104356526164</v>
      </c>
      <c r="AS42" s="199">
        <f t="shared" ca="1" si="26"/>
        <v>0</v>
      </c>
      <c r="AT42" s="199">
        <f t="shared" ca="1" si="26"/>
        <v>0</v>
      </c>
      <c r="AU42" s="199">
        <f t="shared" ca="1" si="26"/>
        <v>30962.296122943095</v>
      </c>
      <c r="AV42" s="199">
        <f t="shared" ca="1" si="26"/>
        <v>30138.575853254792</v>
      </c>
      <c r="AW42" s="199">
        <f t="shared" ca="1" si="26"/>
        <v>0</v>
      </c>
      <c r="AX42" s="199">
        <f t="shared" ca="1" si="26"/>
        <v>0</v>
      </c>
      <c r="AY42" s="199">
        <f t="shared" ca="1" si="26"/>
        <v>0</v>
      </c>
      <c r="AZ42" s="199">
        <f t="shared" ca="1" si="26"/>
        <v>0</v>
      </c>
      <c r="BA42" s="199">
        <f t="shared" ca="1" si="26"/>
        <v>18813.616498030839</v>
      </c>
      <c r="BB42" s="199">
        <f t="shared" ca="1" si="26"/>
        <v>47102.426601195664</v>
      </c>
      <c r="BC42" s="199">
        <f t="shared" ca="1" si="26"/>
        <v>0</v>
      </c>
      <c r="BD42" s="199">
        <f t="shared" ca="1" si="26"/>
        <v>0</v>
      </c>
      <c r="BE42" s="199">
        <f t="shared" ca="1" si="26"/>
        <v>8879.039324972051</v>
      </c>
      <c r="BF42" s="199">
        <f t="shared" ca="1" si="26"/>
        <v>35936.460013355019</v>
      </c>
      <c r="BG42" s="199">
        <f t="shared" ca="1" si="26"/>
        <v>11198.177008419818</v>
      </c>
      <c r="BH42" s="199">
        <f t="shared" ca="1" si="26"/>
        <v>11198.177008419818</v>
      </c>
      <c r="BI42" s="199">
        <f t="shared" ca="1" si="26"/>
        <v>11198.177008419818</v>
      </c>
      <c r="BJ42" s="199">
        <f t="shared" ca="1" si="26"/>
        <v>11198.177008419818</v>
      </c>
      <c r="BK42" s="199">
        <f t="shared" ca="1" si="26"/>
        <v>11198.177008419818</v>
      </c>
      <c r="BL42" s="199">
        <f t="shared" ca="1" si="26"/>
        <v>11198.177008419818</v>
      </c>
    </row>
    <row r="43" spans="1:64">
      <c r="A43" s="193" t="s">
        <v>647</v>
      </c>
      <c r="B43" s="193"/>
      <c r="C43" s="193"/>
      <c r="D43" s="201">
        <f ca="1">D41-D42</f>
        <v>0</v>
      </c>
      <c r="E43" s="201">
        <f t="shared" ref="E43:BL43" ca="1" si="27">E41-E42</f>
        <v>136160.14164437028</v>
      </c>
      <c r="F43" s="201">
        <f t="shared" ca="1" si="27"/>
        <v>0</v>
      </c>
      <c r="G43" s="201">
        <f t="shared" ca="1" si="27"/>
        <v>0</v>
      </c>
      <c r="H43" s="201">
        <f t="shared" ca="1" si="27"/>
        <v>0</v>
      </c>
      <c r="I43" s="201">
        <f t="shared" ca="1" si="27"/>
        <v>0</v>
      </c>
      <c r="J43" s="201">
        <f t="shared" ca="1" si="27"/>
        <v>0</v>
      </c>
      <c r="K43" s="201">
        <f t="shared" ca="1" si="27"/>
        <v>0</v>
      </c>
      <c r="L43" s="201">
        <f t="shared" ca="1" si="27"/>
        <v>0</v>
      </c>
      <c r="M43" s="201">
        <f t="shared" ca="1" si="27"/>
        <v>0</v>
      </c>
      <c r="N43" s="201">
        <f t="shared" ca="1" si="27"/>
        <v>0</v>
      </c>
      <c r="O43" s="201">
        <f t="shared" ca="1" si="27"/>
        <v>0</v>
      </c>
      <c r="P43" s="201">
        <f t="shared" ca="1" si="27"/>
        <v>0</v>
      </c>
      <c r="Q43" s="201">
        <f t="shared" ca="1" si="27"/>
        <v>0</v>
      </c>
      <c r="R43" s="201">
        <f t="shared" ca="1" si="27"/>
        <v>0</v>
      </c>
      <c r="S43" s="201">
        <f t="shared" ca="1" si="27"/>
        <v>0</v>
      </c>
      <c r="T43" s="201">
        <f t="shared" ca="1" si="27"/>
        <v>0</v>
      </c>
      <c r="U43" s="201">
        <f t="shared" ca="1" si="27"/>
        <v>0</v>
      </c>
      <c r="V43" s="201">
        <f t="shared" ca="1" si="27"/>
        <v>0</v>
      </c>
      <c r="W43" s="201">
        <f t="shared" ca="1" si="27"/>
        <v>0</v>
      </c>
      <c r="X43" s="201">
        <f t="shared" ca="1" si="27"/>
        <v>0</v>
      </c>
      <c r="Y43" s="201">
        <f t="shared" ca="1" si="27"/>
        <v>11598.550144659472</v>
      </c>
      <c r="Z43" s="201">
        <f t="shared" ca="1" si="27"/>
        <v>353994.04659702658</v>
      </c>
      <c r="AA43" s="201">
        <f t="shared" ca="1" si="27"/>
        <v>21852.750267640717</v>
      </c>
      <c r="AB43" s="201">
        <f t="shared" ca="1" si="27"/>
        <v>249557.19511665884</v>
      </c>
      <c r="AC43" s="201">
        <f t="shared" ca="1" si="27"/>
        <v>354126.00693079701</v>
      </c>
      <c r="AD43" s="201">
        <f t="shared" ca="1" si="27"/>
        <v>361559.79564588802</v>
      </c>
      <c r="AE43" s="201">
        <f t="shared" ca="1" si="27"/>
        <v>365006.67557746952</v>
      </c>
      <c r="AF43" s="201">
        <f t="shared" ca="1" si="27"/>
        <v>369687.45334436384</v>
      </c>
      <c r="AG43" s="201">
        <f t="shared" ca="1" si="27"/>
        <v>388875.48050425749</v>
      </c>
      <c r="AH43" s="201">
        <f t="shared" ca="1" si="27"/>
        <v>391377.51705486397</v>
      </c>
      <c r="AI43" s="201">
        <f t="shared" ca="1" si="27"/>
        <v>261520.80764728261</v>
      </c>
      <c r="AJ43" s="201">
        <f t="shared" ca="1" si="27"/>
        <v>0</v>
      </c>
      <c r="AK43" s="201">
        <f t="shared" ca="1" si="27"/>
        <v>237521.53822958353</v>
      </c>
      <c r="AL43" s="201">
        <f t="shared" ca="1" si="27"/>
        <v>0</v>
      </c>
      <c r="AM43" s="201">
        <f t="shared" ca="1" si="27"/>
        <v>24872.339907302405</v>
      </c>
      <c r="AN43" s="201">
        <f t="shared" ca="1" si="27"/>
        <v>1372524.5151191682</v>
      </c>
      <c r="AO43" s="201">
        <f t="shared" ca="1" si="27"/>
        <v>0</v>
      </c>
      <c r="AP43" s="201">
        <f t="shared" ca="1" si="27"/>
        <v>0</v>
      </c>
      <c r="AQ43" s="201">
        <f t="shared" ca="1" si="27"/>
        <v>0</v>
      </c>
      <c r="AR43" s="201">
        <f t="shared" ca="1" si="27"/>
        <v>0</v>
      </c>
      <c r="AS43" s="201">
        <f t="shared" ca="1" si="27"/>
        <v>0</v>
      </c>
      <c r="AT43" s="201">
        <f t="shared" ca="1" si="27"/>
        <v>0</v>
      </c>
      <c r="AU43" s="201">
        <f t="shared" ca="1" si="27"/>
        <v>0</v>
      </c>
      <c r="AV43" s="201">
        <f t="shared" ca="1" si="27"/>
        <v>19802.199561963338</v>
      </c>
      <c r="AW43" s="201">
        <f t="shared" ca="1" si="27"/>
        <v>0</v>
      </c>
      <c r="AX43" s="201">
        <f t="shared" ca="1" si="27"/>
        <v>0</v>
      </c>
      <c r="AY43" s="201">
        <f t="shared" ca="1" si="27"/>
        <v>0</v>
      </c>
      <c r="AZ43" s="201">
        <f t="shared" ca="1" si="27"/>
        <v>0</v>
      </c>
      <c r="BA43" s="201">
        <f t="shared" ca="1" si="27"/>
        <v>0</v>
      </c>
      <c r="BB43" s="201">
        <f t="shared" ca="1" si="27"/>
        <v>7447.9171631405479</v>
      </c>
      <c r="BC43" s="201">
        <f t="shared" ca="1" si="27"/>
        <v>0</v>
      </c>
      <c r="BD43" s="201">
        <f t="shared" ca="1" si="27"/>
        <v>0</v>
      </c>
      <c r="BE43" s="201">
        <f t="shared" ca="1" si="27"/>
        <v>0</v>
      </c>
      <c r="BF43" s="201">
        <f t="shared" ca="1" si="27"/>
        <v>49531.188037698863</v>
      </c>
      <c r="BG43" s="201">
        <f t="shared" ca="1" si="27"/>
        <v>40886.980409945827</v>
      </c>
      <c r="BH43" s="201">
        <f t="shared" ca="1" si="27"/>
        <v>54486.749262746365</v>
      </c>
      <c r="BI43" s="201">
        <f t="shared" ca="1" si="27"/>
        <v>54897.315133347642</v>
      </c>
      <c r="BJ43" s="201">
        <f t="shared" ca="1" si="27"/>
        <v>55311.099058319334</v>
      </c>
      <c r="BK43" s="201">
        <f t="shared" ca="1" si="27"/>
        <v>55728.127225650998</v>
      </c>
      <c r="BL43" s="201">
        <f t="shared" ca="1" si="27"/>
        <v>26120886.718623169</v>
      </c>
    </row>
    <row r="44" spans="1:64">
      <c r="A44" s="125" t="s">
        <v>648</v>
      </c>
      <c r="B44" s="125"/>
      <c r="C44" s="125"/>
      <c r="D44" s="199">
        <f ca="1">MIN(D43,D20+D21)</f>
        <v>0</v>
      </c>
      <c r="E44" s="199">
        <f t="shared" ref="E44:BL44" ca="1" si="28">MIN(E43,E20+E21)</f>
        <v>136160.14164437028</v>
      </c>
      <c r="F44" s="199">
        <f t="shared" ca="1" si="28"/>
        <v>0</v>
      </c>
      <c r="G44" s="199">
        <f t="shared" ca="1" si="28"/>
        <v>0</v>
      </c>
      <c r="H44" s="199">
        <f t="shared" ca="1" si="28"/>
        <v>0</v>
      </c>
      <c r="I44" s="199">
        <f t="shared" ca="1" si="28"/>
        <v>0</v>
      </c>
      <c r="J44" s="199">
        <f t="shared" ca="1" si="28"/>
        <v>0</v>
      </c>
      <c r="K44" s="199">
        <f t="shared" ca="1" si="28"/>
        <v>0</v>
      </c>
      <c r="L44" s="199">
        <f t="shared" ca="1" si="28"/>
        <v>0</v>
      </c>
      <c r="M44" s="199">
        <f t="shared" ca="1" si="28"/>
        <v>0</v>
      </c>
      <c r="N44" s="199">
        <f t="shared" ca="1" si="28"/>
        <v>0</v>
      </c>
      <c r="O44" s="199">
        <f t="shared" ca="1" si="28"/>
        <v>0</v>
      </c>
      <c r="P44" s="199">
        <f t="shared" ca="1" si="28"/>
        <v>0</v>
      </c>
      <c r="Q44" s="199">
        <f t="shared" ca="1" si="28"/>
        <v>0</v>
      </c>
      <c r="R44" s="199">
        <f t="shared" ca="1" si="28"/>
        <v>0</v>
      </c>
      <c r="S44" s="199">
        <f t="shared" ca="1" si="28"/>
        <v>0</v>
      </c>
      <c r="T44" s="199">
        <f t="shared" ca="1" si="28"/>
        <v>0</v>
      </c>
      <c r="U44" s="199">
        <f t="shared" ca="1" si="28"/>
        <v>0</v>
      </c>
      <c r="V44" s="199">
        <f t="shared" ca="1" si="28"/>
        <v>0</v>
      </c>
      <c r="W44" s="199">
        <f t="shared" ca="1" si="28"/>
        <v>0</v>
      </c>
      <c r="X44" s="199">
        <f t="shared" ca="1" si="28"/>
        <v>0</v>
      </c>
      <c r="Y44" s="199">
        <f t="shared" ca="1" si="28"/>
        <v>11598.550144659472</v>
      </c>
      <c r="Z44" s="199">
        <f t="shared" ca="1" si="28"/>
        <v>353994.04659702658</v>
      </c>
      <c r="AA44" s="199">
        <f t="shared" ca="1" si="28"/>
        <v>21852.750267640717</v>
      </c>
      <c r="AB44" s="199">
        <f t="shared" ca="1" si="28"/>
        <v>249557.19511665884</v>
      </c>
      <c r="AC44" s="199">
        <f t="shared" ca="1" si="28"/>
        <v>354126.00693079701</v>
      </c>
      <c r="AD44" s="199">
        <f t="shared" ca="1" si="28"/>
        <v>361559.79564588802</v>
      </c>
      <c r="AE44" s="199">
        <f t="shared" ca="1" si="28"/>
        <v>365006.67557746952</v>
      </c>
      <c r="AF44" s="199">
        <f t="shared" ca="1" si="28"/>
        <v>369687.45334436384</v>
      </c>
      <c r="AG44" s="199">
        <f t="shared" ca="1" si="28"/>
        <v>388875.48050425749</v>
      </c>
      <c r="AH44" s="199">
        <f t="shared" ca="1" si="28"/>
        <v>391377.51705486397</v>
      </c>
      <c r="AI44" s="199">
        <f t="shared" ca="1" si="28"/>
        <v>261520.80764728261</v>
      </c>
      <c r="AJ44" s="199">
        <f t="shared" ca="1" si="28"/>
        <v>0</v>
      </c>
      <c r="AK44" s="199">
        <f t="shared" ca="1" si="28"/>
        <v>237521.53822958353</v>
      </c>
      <c r="AL44" s="199">
        <f t="shared" ca="1" si="28"/>
        <v>0</v>
      </c>
      <c r="AM44" s="199">
        <f t="shared" ca="1" si="28"/>
        <v>24872.339907302405</v>
      </c>
      <c r="AN44" s="199">
        <f t="shared" ca="1" si="28"/>
        <v>1372524.5151191682</v>
      </c>
      <c r="AO44" s="199">
        <f t="shared" ca="1" si="28"/>
        <v>0</v>
      </c>
      <c r="AP44" s="199">
        <f t="shared" ca="1" si="28"/>
        <v>0</v>
      </c>
      <c r="AQ44" s="199">
        <f t="shared" ca="1" si="28"/>
        <v>0</v>
      </c>
      <c r="AR44" s="199">
        <f t="shared" ca="1" si="28"/>
        <v>0</v>
      </c>
      <c r="AS44" s="199">
        <f t="shared" ca="1" si="28"/>
        <v>0</v>
      </c>
      <c r="AT44" s="199">
        <f t="shared" ca="1" si="28"/>
        <v>0</v>
      </c>
      <c r="AU44" s="199">
        <f t="shared" ca="1" si="28"/>
        <v>0</v>
      </c>
      <c r="AV44" s="199">
        <f t="shared" ca="1" si="28"/>
        <v>19802.199561963338</v>
      </c>
      <c r="AW44" s="199">
        <f t="shared" ca="1" si="28"/>
        <v>0</v>
      </c>
      <c r="AX44" s="199">
        <f t="shared" ca="1" si="28"/>
        <v>0</v>
      </c>
      <c r="AY44" s="199">
        <f t="shared" ca="1" si="28"/>
        <v>0</v>
      </c>
      <c r="AZ44" s="199">
        <f t="shared" ca="1" si="28"/>
        <v>0</v>
      </c>
      <c r="BA44" s="199">
        <f t="shared" ca="1" si="28"/>
        <v>0</v>
      </c>
      <c r="BB44" s="199">
        <f t="shared" ca="1" si="28"/>
        <v>7447.9171631405479</v>
      </c>
      <c r="BC44" s="199">
        <f t="shared" ca="1" si="28"/>
        <v>0</v>
      </c>
      <c r="BD44" s="199">
        <f t="shared" ca="1" si="28"/>
        <v>0</v>
      </c>
      <c r="BE44" s="199">
        <f t="shared" ca="1" si="28"/>
        <v>0</v>
      </c>
      <c r="BF44" s="199">
        <f t="shared" ca="1" si="28"/>
        <v>49531.188037698863</v>
      </c>
      <c r="BG44" s="199">
        <f t="shared" ca="1" si="28"/>
        <v>40886.980409945827</v>
      </c>
      <c r="BH44" s="199">
        <f t="shared" ca="1" si="28"/>
        <v>54486.749262746365</v>
      </c>
      <c r="BI44" s="199">
        <f t="shared" ca="1" si="28"/>
        <v>54897.315133347642</v>
      </c>
      <c r="BJ44" s="199">
        <f t="shared" ca="1" si="28"/>
        <v>55311.099058319334</v>
      </c>
      <c r="BK44" s="199">
        <f t="shared" ca="1" si="28"/>
        <v>55728.127225650998</v>
      </c>
      <c r="BL44" s="199">
        <f t="shared" ca="1" si="28"/>
        <v>10425820.552949304</v>
      </c>
    </row>
    <row r="45" spans="1:64">
      <c r="A45" s="193" t="s">
        <v>649</v>
      </c>
      <c r="B45" s="193"/>
      <c r="C45" s="193"/>
      <c r="D45" s="201">
        <f ca="1">D43-D44</f>
        <v>0</v>
      </c>
      <c r="E45" s="201">
        <f t="shared" ref="E45:BL45" ca="1" si="29">E43-E44</f>
        <v>0</v>
      </c>
      <c r="F45" s="201">
        <f t="shared" ca="1" si="29"/>
        <v>0</v>
      </c>
      <c r="G45" s="201">
        <f t="shared" ca="1" si="29"/>
        <v>0</v>
      </c>
      <c r="H45" s="201">
        <f t="shared" ca="1" si="29"/>
        <v>0</v>
      </c>
      <c r="I45" s="201">
        <f t="shared" ca="1" si="29"/>
        <v>0</v>
      </c>
      <c r="J45" s="201">
        <f t="shared" ca="1" si="29"/>
        <v>0</v>
      </c>
      <c r="K45" s="201">
        <f t="shared" ca="1" si="29"/>
        <v>0</v>
      </c>
      <c r="L45" s="201">
        <f t="shared" ca="1" si="29"/>
        <v>0</v>
      </c>
      <c r="M45" s="201">
        <f t="shared" ca="1" si="29"/>
        <v>0</v>
      </c>
      <c r="N45" s="201">
        <f t="shared" ca="1" si="29"/>
        <v>0</v>
      </c>
      <c r="O45" s="201">
        <f t="shared" ca="1" si="29"/>
        <v>0</v>
      </c>
      <c r="P45" s="201">
        <f t="shared" ca="1" si="29"/>
        <v>0</v>
      </c>
      <c r="Q45" s="201">
        <f t="shared" ca="1" si="29"/>
        <v>0</v>
      </c>
      <c r="R45" s="201">
        <f t="shared" ca="1" si="29"/>
        <v>0</v>
      </c>
      <c r="S45" s="201">
        <f t="shared" ca="1" si="29"/>
        <v>0</v>
      </c>
      <c r="T45" s="201">
        <f t="shared" ca="1" si="29"/>
        <v>0</v>
      </c>
      <c r="U45" s="201">
        <f t="shared" ca="1" si="29"/>
        <v>0</v>
      </c>
      <c r="V45" s="201">
        <f t="shared" ca="1" si="29"/>
        <v>0</v>
      </c>
      <c r="W45" s="201">
        <f t="shared" ca="1" si="29"/>
        <v>0</v>
      </c>
      <c r="X45" s="201">
        <f t="shared" ca="1" si="29"/>
        <v>0</v>
      </c>
      <c r="Y45" s="201">
        <f t="shared" ca="1" si="29"/>
        <v>0</v>
      </c>
      <c r="Z45" s="201">
        <f t="shared" ca="1" si="29"/>
        <v>0</v>
      </c>
      <c r="AA45" s="201">
        <f t="shared" ca="1" si="29"/>
        <v>0</v>
      </c>
      <c r="AB45" s="201">
        <f t="shared" ca="1" si="29"/>
        <v>0</v>
      </c>
      <c r="AC45" s="201">
        <f t="shared" ca="1" si="29"/>
        <v>0</v>
      </c>
      <c r="AD45" s="201">
        <f t="shared" ca="1" si="29"/>
        <v>0</v>
      </c>
      <c r="AE45" s="201">
        <f t="shared" ca="1" si="29"/>
        <v>0</v>
      </c>
      <c r="AF45" s="201">
        <f t="shared" ca="1" si="29"/>
        <v>0</v>
      </c>
      <c r="AG45" s="201">
        <f t="shared" ca="1" si="29"/>
        <v>0</v>
      </c>
      <c r="AH45" s="201">
        <f t="shared" ca="1" si="29"/>
        <v>0</v>
      </c>
      <c r="AI45" s="201">
        <f t="shared" ca="1" si="29"/>
        <v>0</v>
      </c>
      <c r="AJ45" s="201">
        <f t="shared" ca="1" si="29"/>
        <v>0</v>
      </c>
      <c r="AK45" s="201">
        <f t="shared" ca="1" si="29"/>
        <v>0</v>
      </c>
      <c r="AL45" s="201">
        <f t="shared" ca="1" si="29"/>
        <v>0</v>
      </c>
      <c r="AM45" s="201">
        <f t="shared" ca="1" si="29"/>
        <v>0</v>
      </c>
      <c r="AN45" s="201">
        <f t="shared" ca="1" si="29"/>
        <v>0</v>
      </c>
      <c r="AO45" s="201">
        <f t="shared" ca="1" si="29"/>
        <v>0</v>
      </c>
      <c r="AP45" s="201">
        <f t="shared" ca="1" si="29"/>
        <v>0</v>
      </c>
      <c r="AQ45" s="201">
        <f t="shared" ca="1" si="29"/>
        <v>0</v>
      </c>
      <c r="AR45" s="201">
        <f t="shared" ca="1" si="29"/>
        <v>0</v>
      </c>
      <c r="AS45" s="201">
        <f t="shared" ca="1" si="29"/>
        <v>0</v>
      </c>
      <c r="AT45" s="201">
        <f t="shared" ca="1" si="29"/>
        <v>0</v>
      </c>
      <c r="AU45" s="201">
        <f t="shared" ca="1" si="29"/>
        <v>0</v>
      </c>
      <c r="AV45" s="201">
        <f t="shared" ca="1" si="29"/>
        <v>0</v>
      </c>
      <c r="AW45" s="201">
        <f t="shared" ca="1" si="29"/>
        <v>0</v>
      </c>
      <c r="AX45" s="201">
        <f t="shared" ca="1" si="29"/>
        <v>0</v>
      </c>
      <c r="AY45" s="201">
        <f t="shared" ca="1" si="29"/>
        <v>0</v>
      </c>
      <c r="AZ45" s="201">
        <f t="shared" ca="1" si="29"/>
        <v>0</v>
      </c>
      <c r="BA45" s="201">
        <f t="shared" ca="1" si="29"/>
        <v>0</v>
      </c>
      <c r="BB45" s="201">
        <f t="shared" ca="1" si="29"/>
        <v>0</v>
      </c>
      <c r="BC45" s="201">
        <f t="shared" ca="1" si="29"/>
        <v>0</v>
      </c>
      <c r="BD45" s="201">
        <f t="shared" ca="1" si="29"/>
        <v>0</v>
      </c>
      <c r="BE45" s="201">
        <f t="shared" ca="1" si="29"/>
        <v>0</v>
      </c>
      <c r="BF45" s="201">
        <f t="shared" ca="1" si="29"/>
        <v>0</v>
      </c>
      <c r="BG45" s="201">
        <f t="shared" ca="1" si="29"/>
        <v>0</v>
      </c>
      <c r="BH45" s="201">
        <f t="shared" ca="1" si="29"/>
        <v>0</v>
      </c>
      <c r="BI45" s="201">
        <f t="shared" ca="1" si="29"/>
        <v>0</v>
      </c>
      <c r="BJ45" s="201">
        <f t="shared" ca="1" si="29"/>
        <v>0</v>
      </c>
      <c r="BK45" s="201">
        <f t="shared" ca="1" si="29"/>
        <v>0</v>
      </c>
      <c r="BL45" s="201">
        <f t="shared" ca="1" si="29"/>
        <v>15695066.165673865</v>
      </c>
    </row>
    <row r="46" spans="1:64">
      <c r="A46" s="125" t="s">
        <v>650</v>
      </c>
      <c r="B46" s="125"/>
      <c r="C46" s="125"/>
      <c r="D46" s="199">
        <f ca="1">MIN(D45,D30+D31)</f>
        <v>0</v>
      </c>
      <c r="E46" s="199">
        <f t="shared" ref="E46:BL46" ca="1" si="30">MIN(E45,E30+E31)</f>
        <v>0</v>
      </c>
      <c r="F46" s="199">
        <f t="shared" ca="1" si="30"/>
        <v>0</v>
      </c>
      <c r="G46" s="199">
        <f t="shared" ca="1" si="30"/>
        <v>0</v>
      </c>
      <c r="H46" s="199">
        <f t="shared" ca="1" si="30"/>
        <v>0</v>
      </c>
      <c r="I46" s="199">
        <f t="shared" ca="1" si="30"/>
        <v>0</v>
      </c>
      <c r="J46" s="199">
        <f t="shared" ca="1" si="30"/>
        <v>0</v>
      </c>
      <c r="K46" s="199">
        <f t="shared" ca="1" si="30"/>
        <v>0</v>
      </c>
      <c r="L46" s="199">
        <f t="shared" ca="1" si="30"/>
        <v>0</v>
      </c>
      <c r="M46" s="199">
        <f t="shared" ca="1" si="30"/>
        <v>0</v>
      </c>
      <c r="N46" s="199">
        <f t="shared" ca="1" si="30"/>
        <v>0</v>
      </c>
      <c r="O46" s="199">
        <f t="shared" ca="1" si="30"/>
        <v>0</v>
      </c>
      <c r="P46" s="199">
        <f t="shared" ca="1" si="30"/>
        <v>0</v>
      </c>
      <c r="Q46" s="199">
        <f t="shared" ca="1" si="30"/>
        <v>0</v>
      </c>
      <c r="R46" s="199">
        <f t="shared" ca="1" si="30"/>
        <v>0</v>
      </c>
      <c r="S46" s="199">
        <f t="shared" ca="1" si="30"/>
        <v>0</v>
      </c>
      <c r="T46" s="199">
        <f t="shared" ca="1" si="30"/>
        <v>0</v>
      </c>
      <c r="U46" s="199">
        <f t="shared" ca="1" si="30"/>
        <v>0</v>
      </c>
      <c r="V46" s="199">
        <f t="shared" ca="1" si="30"/>
        <v>0</v>
      </c>
      <c r="W46" s="199">
        <f t="shared" ca="1" si="30"/>
        <v>0</v>
      </c>
      <c r="X46" s="199">
        <f t="shared" ca="1" si="30"/>
        <v>0</v>
      </c>
      <c r="Y46" s="199">
        <f t="shared" ca="1" si="30"/>
        <v>0</v>
      </c>
      <c r="Z46" s="199">
        <f t="shared" ca="1" si="30"/>
        <v>0</v>
      </c>
      <c r="AA46" s="199">
        <f t="shared" ca="1" si="30"/>
        <v>0</v>
      </c>
      <c r="AB46" s="199">
        <f t="shared" ca="1" si="30"/>
        <v>0</v>
      </c>
      <c r="AC46" s="199">
        <f t="shared" ca="1" si="30"/>
        <v>0</v>
      </c>
      <c r="AD46" s="199">
        <f t="shared" ca="1" si="30"/>
        <v>0</v>
      </c>
      <c r="AE46" s="199">
        <f t="shared" ca="1" si="30"/>
        <v>0</v>
      </c>
      <c r="AF46" s="199">
        <f t="shared" ca="1" si="30"/>
        <v>0</v>
      </c>
      <c r="AG46" s="199">
        <f t="shared" ca="1" si="30"/>
        <v>0</v>
      </c>
      <c r="AH46" s="199">
        <f t="shared" ca="1" si="30"/>
        <v>0</v>
      </c>
      <c r="AI46" s="199">
        <f t="shared" ca="1" si="30"/>
        <v>0</v>
      </c>
      <c r="AJ46" s="199">
        <f t="shared" ca="1" si="30"/>
        <v>0</v>
      </c>
      <c r="AK46" s="199">
        <f t="shared" ca="1" si="30"/>
        <v>0</v>
      </c>
      <c r="AL46" s="199">
        <f t="shared" ca="1" si="30"/>
        <v>0</v>
      </c>
      <c r="AM46" s="199">
        <f t="shared" ca="1" si="30"/>
        <v>0</v>
      </c>
      <c r="AN46" s="199">
        <f t="shared" ca="1" si="30"/>
        <v>0</v>
      </c>
      <c r="AO46" s="199">
        <f t="shared" ca="1" si="30"/>
        <v>0</v>
      </c>
      <c r="AP46" s="199">
        <f t="shared" ca="1" si="30"/>
        <v>0</v>
      </c>
      <c r="AQ46" s="199">
        <f t="shared" ca="1" si="30"/>
        <v>0</v>
      </c>
      <c r="AR46" s="199">
        <f t="shared" ca="1" si="30"/>
        <v>0</v>
      </c>
      <c r="AS46" s="199">
        <f t="shared" ca="1" si="30"/>
        <v>0</v>
      </c>
      <c r="AT46" s="199">
        <f t="shared" ca="1" si="30"/>
        <v>0</v>
      </c>
      <c r="AU46" s="199">
        <f t="shared" ca="1" si="30"/>
        <v>0</v>
      </c>
      <c r="AV46" s="199">
        <f t="shared" ca="1" si="30"/>
        <v>0</v>
      </c>
      <c r="AW46" s="199">
        <f t="shared" ca="1" si="30"/>
        <v>0</v>
      </c>
      <c r="AX46" s="199">
        <f t="shared" ca="1" si="30"/>
        <v>0</v>
      </c>
      <c r="AY46" s="199">
        <f t="shared" ca="1" si="30"/>
        <v>0</v>
      </c>
      <c r="AZ46" s="199">
        <f t="shared" ca="1" si="30"/>
        <v>0</v>
      </c>
      <c r="BA46" s="199">
        <f t="shared" ca="1" si="30"/>
        <v>0</v>
      </c>
      <c r="BB46" s="199">
        <f t="shared" ca="1" si="30"/>
        <v>0</v>
      </c>
      <c r="BC46" s="199">
        <f t="shared" ca="1" si="30"/>
        <v>0</v>
      </c>
      <c r="BD46" s="199">
        <f t="shared" ca="1" si="30"/>
        <v>0</v>
      </c>
      <c r="BE46" s="199">
        <f t="shared" ca="1" si="30"/>
        <v>0</v>
      </c>
      <c r="BF46" s="199">
        <f t="shared" ca="1" si="30"/>
        <v>0</v>
      </c>
      <c r="BG46" s="199">
        <f t="shared" ca="1" si="30"/>
        <v>0</v>
      </c>
      <c r="BH46" s="199">
        <f t="shared" ca="1" si="30"/>
        <v>0</v>
      </c>
      <c r="BI46" s="199">
        <f t="shared" ca="1" si="30"/>
        <v>0</v>
      </c>
      <c r="BJ46" s="199">
        <f t="shared" ca="1" si="30"/>
        <v>0</v>
      </c>
      <c r="BK46" s="199">
        <f t="shared" ca="1" si="30"/>
        <v>0</v>
      </c>
      <c r="BL46" s="199">
        <f t="shared" ca="1" si="30"/>
        <v>1740460.771392605</v>
      </c>
    </row>
    <row r="47" spans="1:64">
      <c r="A47" s="193" t="s">
        <v>651</v>
      </c>
      <c r="B47" s="193"/>
      <c r="C47" s="193"/>
      <c r="D47" s="201">
        <f ca="1">D45-D46</f>
        <v>0</v>
      </c>
      <c r="E47" s="201">
        <f t="shared" ref="E47:BL47" ca="1" si="31">E45-E46</f>
        <v>0</v>
      </c>
      <c r="F47" s="201">
        <f t="shared" ca="1" si="31"/>
        <v>0</v>
      </c>
      <c r="G47" s="201">
        <f t="shared" ca="1" si="31"/>
        <v>0</v>
      </c>
      <c r="H47" s="201">
        <f t="shared" ca="1" si="31"/>
        <v>0</v>
      </c>
      <c r="I47" s="201">
        <f t="shared" ca="1" si="31"/>
        <v>0</v>
      </c>
      <c r="J47" s="201">
        <f t="shared" ca="1" si="31"/>
        <v>0</v>
      </c>
      <c r="K47" s="201">
        <f t="shared" ca="1" si="31"/>
        <v>0</v>
      </c>
      <c r="L47" s="201">
        <f t="shared" ca="1" si="31"/>
        <v>0</v>
      </c>
      <c r="M47" s="201">
        <f t="shared" ca="1" si="31"/>
        <v>0</v>
      </c>
      <c r="N47" s="201">
        <f t="shared" ca="1" si="31"/>
        <v>0</v>
      </c>
      <c r="O47" s="201">
        <f t="shared" ca="1" si="31"/>
        <v>0</v>
      </c>
      <c r="P47" s="201">
        <f t="shared" ca="1" si="31"/>
        <v>0</v>
      </c>
      <c r="Q47" s="201">
        <f t="shared" ca="1" si="31"/>
        <v>0</v>
      </c>
      <c r="R47" s="201">
        <f t="shared" ca="1" si="31"/>
        <v>0</v>
      </c>
      <c r="S47" s="201">
        <f t="shared" ca="1" si="31"/>
        <v>0</v>
      </c>
      <c r="T47" s="201">
        <f t="shared" ca="1" si="31"/>
        <v>0</v>
      </c>
      <c r="U47" s="201">
        <f t="shared" ca="1" si="31"/>
        <v>0</v>
      </c>
      <c r="V47" s="201">
        <f t="shared" ca="1" si="31"/>
        <v>0</v>
      </c>
      <c r="W47" s="201">
        <f t="shared" ca="1" si="31"/>
        <v>0</v>
      </c>
      <c r="X47" s="201">
        <f t="shared" ca="1" si="31"/>
        <v>0</v>
      </c>
      <c r="Y47" s="201">
        <f t="shared" ca="1" si="31"/>
        <v>0</v>
      </c>
      <c r="Z47" s="201">
        <f t="shared" ca="1" si="31"/>
        <v>0</v>
      </c>
      <c r="AA47" s="201">
        <f t="shared" ca="1" si="31"/>
        <v>0</v>
      </c>
      <c r="AB47" s="201">
        <f t="shared" ca="1" si="31"/>
        <v>0</v>
      </c>
      <c r="AC47" s="201">
        <f t="shared" ca="1" si="31"/>
        <v>0</v>
      </c>
      <c r="AD47" s="201">
        <f t="shared" ca="1" si="31"/>
        <v>0</v>
      </c>
      <c r="AE47" s="201">
        <f t="shared" ca="1" si="31"/>
        <v>0</v>
      </c>
      <c r="AF47" s="201">
        <f t="shared" ca="1" si="31"/>
        <v>0</v>
      </c>
      <c r="AG47" s="201">
        <f t="shared" ca="1" si="31"/>
        <v>0</v>
      </c>
      <c r="AH47" s="201">
        <f t="shared" ca="1" si="31"/>
        <v>0</v>
      </c>
      <c r="AI47" s="201">
        <f t="shared" ca="1" si="31"/>
        <v>0</v>
      </c>
      <c r="AJ47" s="201">
        <f t="shared" ca="1" si="31"/>
        <v>0</v>
      </c>
      <c r="AK47" s="201">
        <f t="shared" ca="1" si="31"/>
        <v>0</v>
      </c>
      <c r="AL47" s="201">
        <f t="shared" ca="1" si="31"/>
        <v>0</v>
      </c>
      <c r="AM47" s="201">
        <f t="shared" ca="1" si="31"/>
        <v>0</v>
      </c>
      <c r="AN47" s="201">
        <f t="shared" ca="1" si="31"/>
        <v>0</v>
      </c>
      <c r="AO47" s="201">
        <f t="shared" ca="1" si="31"/>
        <v>0</v>
      </c>
      <c r="AP47" s="201">
        <f t="shared" ca="1" si="31"/>
        <v>0</v>
      </c>
      <c r="AQ47" s="201">
        <f t="shared" ca="1" si="31"/>
        <v>0</v>
      </c>
      <c r="AR47" s="201">
        <f t="shared" ca="1" si="31"/>
        <v>0</v>
      </c>
      <c r="AS47" s="201">
        <f t="shared" ca="1" si="31"/>
        <v>0</v>
      </c>
      <c r="AT47" s="201">
        <f t="shared" ca="1" si="31"/>
        <v>0</v>
      </c>
      <c r="AU47" s="201">
        <f t="shared" ca="1" si="31"/>
        <v>0</v>
      </c>
      <c r="AV47" s="201">
        <f t="shared" ca="1" si="31"/>
        <v>0</v>
      </c>
      <c r="AW47" s="201">
        <f t="shared" ca="1" si="31"/>
        <v>0</v>
      </c>
      <c r="AX47" s="201">
        <f t="shared" ca="1" si="31"/>
        <v>0</v>
      </c>
      <c r="AY47" s="201">
        <f t="shared" ca="1" si="31"/>
        <v>0</v>
      </c>
      <c r="AZ47" s="201">
        <f t="shared" ca="1" si="31"/>
        <v>0</v>
      </c>
      <c r="BA47" s="201">
        <f t="shared" ca="1" si="31"/>
        <v>0</v>
      </c>
      <c r="BB47" s="201">
        <f t="shared" ca="1" si="31"/>
        <v>0</v>
      </c>
      <c r="BC47" s="201">
        <f t="shared" ca="1" si="31"/>
        <v>0</v>
      </c>
      <c r="BD47" s="201">
        <f t="shared" ca="1" si="31"/>
        <v>0</v>
      </c>
      <c r="BE47" s="201">
        <f t="shared" ca="1" si="31"/>
        <v>0</v>
      </c>
      <c r="BF47" s="201">
        <f t="shared" ca="1" si="31"/>
        <v>0</v>
      </c>
      <c r="BG47" s="201">
        <f t="shared" ca="1" si="31"/>
        <v>0</v>
      </c>
      <c r="BH47" s="201">
        <f t="shared" ca="1" si="31"/>
        <v>0</v>
      </c>
      <c r="BI47" s="201">
        <f t="shared" ca="1" si="31"/>
        <v>0</v>
      </c>
      <c r="BJ47" s="201">
        <f t="shared" ca="1" si="31"/>
        <v>0</v>
      </c>
      <c r="BK47" s="201">
        <f t="shared" ca="1" si="31"/>
        <v>0</v>
      </c>
      <c r="BL47" s="201">
        <f t="shared" ca="1" si="31"/>
        <v>13954605.394281261</v>
      </c>
    </row>
    <row r="48" spans="1:64">
      <c r="A48" s="193" t="s">
        <v>652</v>
      </c>
      <c r="B48" s="193"/>
      <c r="C48" s="193"/>
      <c r="D48" s="201">
        <f ca="1">C59+D40</f>
        <v>0</v>
      </c>
      <c r="E48" s="201">
        <f t="shared" ref="E48:BL48" ca="1" si="32">D59+E40</f>
        <v>81218.524145066782</v>
      </c>
      <c r="F48" s="201">
        <f t="shared" ca="1" si="32"/>
        <v>81218.524145066782</v>
      </c>
      <c r="G48" s="201">
        <f t="shared" ca="1" si="32"/>
        <v>81218.524145066782</v>
      </c>
      <c r="H48" s="201">
        <f t="shared" ca="1" si="32"/>
        <v>81218.524145066782</v>
      </c>
      <c r="I48" s="201">
        <f t="shared" ca="1" si="32"/>
        <v>81218.524145066782</v>
      </c>
      <c r="J48" s="201">
        <f t="shared" ca="1" si="32"/>
        <v>81218.524145066782</v>
      </c>
      <c r="K48" s="201">
        <f t="shared" ca="1" si="32"/>
        <v>81218.524145066782</v>
      </c>
      <c r="L48" s="201">
        <f t="shared" ca="1" si="32"/>
        <v>81218.524145066782</v>
      </c>
      <c r="M48" s="201">
        <f t="shared" ca="1" si="32"/>
        <v>81218.524145066782</v>
      </c>
      <c r="N48" s="201">
        <f t="shared" ca="1" si="32"/>
        <v>81218.524145066782</v>
      </c>
      <c r="O48" s="201">
        <f t="shared" ca="1" si="32"/>
        <v>81218.524145066782</v>
      </c>
      <c r="P48" s="201">
        <f t="shared" ca="1" si="32"/>
        <v>81218.524145066782</v>
      </c>
      <c r="Q48" s="201">
        <f t="shared" ca="1" si="32"/>
        <v>81218.524145066782</v>
      </c>
      <c r="R48" s="201">
        <f t="shared" ca="1" si="32"/>
        <v>81218.524145066782</v>
      </c>
      <c r="S48" s="201">
        <f t="shared" ca="1" si="32"/>
        <v>81218.524145066782</v>
      </c>
      <c r="T48" s="201">
        <f t="shared" ca="1" si="32"/>
        <v>396734.59833105287</v>
      </c>
      <c r="U48" s="201">
        <f t="shared" ca="1" si="32"/>
        <v>806055.26681458484</v>
      </c>
      <c r="V48" s="201">
        <f t="shared" ca="1" si="32"/>
        <v>806055.26681458484</v>
      </c>
      <c r="W48" s="201">
        <f t="shared" ca="1" si="32"/>
        <v>1229244.8761464199</v>
      </c>
      <c r="X48" s="201">
        <f t="shared" ca="1" si="32"/>
        <v>1687443.4525616863</v>
      </c>
      <c r="Y48" s="201">
        <f t="shared" ca="1" si="32"/>
        <v>1923964.5918197224</v>
      </c>
      <c r="Z48" s="201">
        <f t="shared" ca="1" si="32"/>
        <v>2017653.6002689397</v>
      </c>
      <c r="AA48" s="201">
        <f t="shared" ca="1" si="32"/>
        <v>2109065.0003635897</v>
      </c>
      <c r="AB48" s="201">
        <f t="shared" ca="1" si="32"/>
        <v>2200335.7992050312</v>
      </c>
      <c r="AC48" s="201">
        <f t="shared" ca="1" si="32"/>
        <v>2290000.9395389245</v>
      </c>
      <c r="AD48" s="201">
        <f t="shared" ca="1" si="32"/>
        <v>2377387.6224814896</v>
      </c>
      <c r="AE48" s="201">
        <f t="shared" ca="1" si="32"/>
        <v>2462448.018812302</v>
      </c>
      <c r="AF48" s="201">
        <f t="shared" ca="1" si="32"/>
        <v>2545159.9512020969</v>
      </c>
      <c r="AG48" s="201">
        <f t="shared" ca="1" si="32"/>
        <v>2625493.3033857839</v>
      </c>
      <c r="AH48" s="201">
        <f t="shared" ca="1" si="32"/>
        <v>2703324.6190188644</v>
      </c>
      <c r="AI48" s="201">
        <f t="shared" ca="1" si="32"/>
        <v>2778637.7999228355</v>
      </c>
      <c r="AJ48" s="201">
        <f t="shared" ca="1" si="32"/>
        <v>2778637.7999228355</v>
      </c>
      <c r="AK48" s="201">
        <f t="shared" ca="1" si="32"/>
        <v>2926444.2343195127</v>
      </c>
      <c r="AL48" s="201">
        <f t="shared" ca="1" si="32"/>
        <v>2960420.0447652698</v>
      </c>
      <c r="AM48" s="201">
        <f t="shared" ca="1" si="32"/>
        <v>3071037.8508363725</v>
      </c>
      <c r="AN48" s="201">
        <f t="shared" ca="1" si="32"/>
        <v>3143051.745803427</v>
      </c>
      <c r="AO48" s="201">
        <f t="shared" ca="1" si="32"/>
        <v>3143051.745803427</v>
      </c>
      <c r="AP48" s="201">
        <f t="shared" ca="1" si="32"/>
        <v>3226005.9464315837</v>
      </c>
      <c r="AQ48" s="201">
        <f t="shared" ca="1" si="32"/>
        <v>3325773.3199120192</v>
      </c>
      <c r="AR48" s="201">
        <f t="shared" ca="1" si="32"/>
        <v>3401028.4168816726</v>
      </c>
      <c r="AS48" s="201">
        <f t="shared" ca="1" si="32"/>
        <v>3401028.4168816726</v>
      </c>
      <c r="AT48" s="201">
        <f t="shared" ca="1" si="32"/>
        <v>3524172.5602058861</v>
      </c>
      <c r="AU48" s="201">
        <f t="shared" ca="1" si="32"/>
        <v>3597291.0280340607</v>
      </c>
      <c r="AV48" s="201">
        <f t="shared" ca="1" si="32"/>
        <v>3662852.1210725899</v>
      </c>
      <c r="AW48" s="201">
        <f t="shared" ca="1" si="32"/>
        <v>3662852.1210725899</v>
      </c>
      <c r="AX48" s="201">
        <f t="shared" ca="1" si="32"/>
        <v>3662852.1210725899</v>
      </c>
      <c r="AY48" s="201">
        <f t="shared" ca="1" si="32"/>
        <v>3771962.404512139</v>
      </c>
      <c r="AZ48" s="201">
        <f t="shared" ca="1" si="32"/>
        <v>3892163.1585564138</v>
      </c>
      <c r="BA48" s="201">
        <f t="shared" ca="1" si="32"/>
        <v>3993844.3460405669</v>
      </c>
      <c r="BB48" s="201">
        <f t="shared" ca="1" si="32"/>
        <v>4059844.917025493</v>
      </c>
      <c r="BC48" s="201">
        <f t="shared" ca="1" si="32"/>
        <v>4059844.917025493</v>
      </c>
      <c r="BD48" s="201">
        <f t="shared" ca="1" si="32"/>
        <v>4141630.5629729978</v>
      </c>
      <c r="BE48" s="201">
        <f t="shared" ca="1" si="32"/>
        <v>4264727.2456626259</v>
      </c>
      <c r="BF48" s="201">
        <f t="shared" ca="1" si="32"/>
        <v>4333807.2523292592</v>
      </c>
      <c r="BG48" s="201">
        <f t="shared" ca="1" si="32"/>
        <v>4402568.573840674</v>
      </c>
      <c r="BH48" s="201">
        <f t="shared" ca="1" si="32"/>
        <v>4471066.8272890244</v>
      </c>
      <c r="BI48" s="201">
        <f t="shared" ca="1" si="32"/>
        <v>4539214.5113520212</v>
      </c>
      <c r="BJ48" s="201">
        <f t="shared" ca="1" si="32"/>
        <v>4607008.9844364924</v>
      </c>
      <c r="BK48" s="201">
        <f t="shared" ca="1" si="32"/>
        <v>4674447.5842442047</v>
      </c>
      <c r="BL48" s="201">
        <f t="shared" ca="1" si="32"/>
        <v>4741527.6276033735</v>
      </c>
    </row>
    <row r="49" spans="1:65">
      <c r="A49" s="193" t="s">
        <v>653</v>
      </c>
      <c r="B49" s="193"/>
      <c r="C49" s="193"/>
      <c r="D49" s="201">
        <f ca="1">C60+D42</f>
        <v>0</v>
      </c>
      <c r="E49" s="201">
        <f t="shared" ref="E49:BL49" ca="1" si="33">D60+E42</f>
        <v>9024.2804605629753</v>
      </c>
      <c r="F49" s="201">
        <f t="shared" ca="1" si="33"/>
        <v>9024.2804605629753</v>
      </c>
      <c r="G49" s="201">
        <f t="shared" ca="1" si="33"/>
        <v>9024.2804605629753</v>
      </c>
      <c r="H49" s="201">
        <f t="shared" ca="1" si="33"/>
        <v>9024.2804605629753</v>
      </c>
      <c r="I49" s="201">
        <f t="shared" ca="1" si="33"/>
        <v>9024.2804605629753</v>
      </c>
      <c r="J49" s="201">
        <f t="shared" ca="1" si="33"/>
        <v>9024.2804605629753</v>
      </c>
      <c r="K49" s="201">
        <f t="shared" ca="1" si="33"/>
        <v>9024.2804605629753</v>
      </c>
      <c r="L49" s="201">
        <f t="shared" ca="1" si="33"/>
        <v>9024.2804605629753</v>
      </c>
      <c r="M49" s="201">
        <f t="shared" ca="1" si="33"/>
        <v>9024.2804605629753</v>
      </c>
      <c r="N49" s="201">
        <f t="shared" ca="1" si="33"/>
        <v>9024.2804605629753</v>
      </c>
      <c r="O49" s="201">
        <f t="shared" ca="1" si="33"/>
        <v>9024.2804605629753</v>
      </c>
      <c r="P49" s="201">
        <f t="shared" ca="1" si="33"/>
        <v>9024.2804605629753</v>
      </c>
      <c r="Q49" s="201">
        <f t="shared" ca="1" si="33"/>
        <v>9024.2804605629753</v>
      </c>
      <c r="R49" s="201">
        <f t="shared" ca="1" si="33"/>
        <v>9024.2804605629753</v>
      </c>
      <c r="S49" s="201">
        <f t="shared" ca="1" si="33"/>
        <v>9024.2804605629753</v>
      </c>
      <c r="T49" s="201">
        <f t="shared" ca="1" si="33"/>
        <v>9024.2804605629753</v>
      </c>
      <c r="U49" s="201">
        <f t="shared" ca="1" si="33"/>
        <v>9024.2804605629753</v>
      </c>
      <c r="V49" s="201">
        <f t="shared" ca="1" si="33"/>
        <v>9024.2804605629753</v>
      </c>
      <c r="W49" s="201">
        <f t="shared" ca="1" si="33"/>
        <v>9024.2804605629753</v>
      </c>
      <c r="X49" s="201">
        <f t="shared" ca="1" si="33"/>
        <v>9024.2804605629753</v>
      </c>
      <c r="Y49" s="201">
        <f t="shared" ca="1" si="33"/>
        <v>219103.1674731336</v>
      </c>
      <c r="Z49" s="201">
        <f t="shared" ca="1" si="33"/>
        <v>229618.68884215609</v>
      </c>
      <c r="AA49" s="201">
        <f t="shared" ca="1" si="33"/>
        <v>240134.21021117858</v>
      </c>
      <c r="AB49" s="201">
        <f t="shared" ca="1" si="33"/>
        <v>250649.73158020107</v>
      </c>
      <c r="AC49" s="201">
        <f t="shared" ca="1" si="33"/>
        <v>261165.25294922356</v>
      </c>
      <c r="AD49" s="201">
        <f t="shared" ca="1" si="33"/>
        <v>271680.77431824605</v>
      </c>
      <c r="AE49" s="201">
        <f t="shared" ca="1" si="33"/>
        <v>282196.29568726855</v>
      </c>
      <c r="AF49" s="201">
        <f t="shared" ca="1" si="33"/>
        <v>292711.81705629104</v>
      </c>
      <c r="AG49" s="201">
        <f t="shared" ca="1" si="33"/>
        <v>303227.33842531353</v>
      </c>
      <c r="AH49" s="201">
        <f t="shared" ca="1" si="33"/>
        <v>313742.85979433602</v>
      </c>
      <c r="AI49" s="201">
        <f t="shared" ca="1" si="33"/>
        <v>324258.38116335851</v>
      </c>
      <c r="AJ49" s="201">
        <f t="shared" ca="1" si="33"/>
        <v>324258.38116335851</v>
      </c>
      <c r="AK49" s="201">
        <f t="shared" ca="1" si="33"/>
        <v>345365.03629656881</v>
      </c>
      <c r="AL49" s="201">
        <f t="shared" ca="1" si="33"/>
        <v>345365.03629656881</v>
      </c>
      <c r="AM49" s="201">
        <f t="shared" ca="1" si="33"/>
        <v>366479.69782792049</v>
      </c>
      <c r="AN49" s="201">
        <f t="shared" ca="1" si="33"/>
        <v>377003.1744109976</v>
      </c>
      <c r="AO49" s="201">
        <f t="shared" ca="1" si="33"/>
        <v>377003.1744109976</v>
      </c>
      <c r="AP49" s="201">
        <f t="shared" ca="1" si="33"/>
        <v>377003.1744109976</v>
      </c>
      <c r="AQ49" s="201">
        <f t="shared" ca="1" si="33"/>
        <v>377003.1744109976</v>
      </c>
      <c r="AR49" s="201">
        <f t="shared" ca="1" si="33"/>
        <v>402626.27876752376</v>
      </c>
      <c r="AS49" s="201">
        <f t="shared" ca="1" si="33"/>
        <v>402626.27876752376</v>
      </c>
      <c r="AT49" s="201">
        <f t="shared" ca="1" si="33"/>
        <v>402626.27876752376</v>
      </c>
      <c r="AU49" s="201">
        <f t="shared" ca="1" si="33"/>
        <v>433588.57489046687</v>
      </c>
      <c r="AV49" s="201">
        <f t="shared" ca="1" si="33"/>
        <v>463727.15074372164</v>
      </c>
      <c r="AW49" s="201">
        <f t="shared" ca="1" si="33"/>
        <v>463727.15074372164</v>
      </c>
      <c r="AX49" s="201">
        <f t="shared" ca="1" si="33"/>
        <v>463727.15074372164</v>
      </c>
      <c r="AY49" s="201">
        <f t="shared" ca="1" si="33"/>
        <v>463727.15074372164</v>
      </c>
      <c r="AZ49" s="201">
        <f t="shared" ca="1" si="33"/>
        <v>463727.15074372164</v>
      </c>
      <c r="BA49" s="201">
        <f t="shared" ca="1" si="33"/>
        <v>482540.76724175247</v>
      </c>
      <c r="BB49" s="201">
        <f t="shared" ca="1" si="33"/>
        <v>529643.19384294818</v>
      </c>
      <c r="BC49" s="201">
        <f t="shared" ca="1" si="33"/>
        <v>529643.19384294818</v>
      </c>
      <c r="BD49" s="201">
        <f t="shared" ca="1" si="33"/>
        <v>529643.19384294818</v>
      </c>
      <c r="BE49" s="201">
        <f t="shared" ca="1" si="33"/>
        <v>538522.23316792026</v>
      </c>
      <c r="BF49" s="201">
        <f t="shared" ca="1" si="33"/>
        <v>574458.69318127527</v>
      </c>
      <c r="BG49" s="201">
        <f t="shared" ca="1" si="33"/>
        <v>585656.87018969504</v>
      </c>
      <c r="BH49" s="201">
        <f t="shared" ca="1" si="33"/>
        <v>596855.0471981148</v>
      </c>
      <c r="BI49" s="201">
        <f t="shared" ca="1" si="33"/>
        <v>608053.22420653456</v>
      </c>
      <c r="BJ49" s="201">
        <f t="shared" ca="1" si="33"/>
        <v>619251.40121495433</v>
      </c>
      <c r="BK49" s="201">
        <f t="shared" ca="1" si="33"/>
        <v>630449.57822337409</v>
      </c>
      <c r="BL49" s="201">
        <f t="shared" ca="1" si="33"/>
        <v>641647.75523179385</v>
      </c>
    </row>
    <row r="50" spans="1:65">
      <c r="A50" s="125" t="s">
        <v>654</v>
      </c>
      <c r="B50" s="125"/>
      <c r="C50" s="125"/>
      <c r="D50" s="199">
        <f t="shared" ref="D50:AI50" ca="1" si="34">MAX(0,(GPTarget*D48-(1-GPTarget)*D49)/(CatchupGP-GPTarget))</f>
        <v>0</v>
      </c>
      <c r="E50" s="199">
        <f t="shared" ca="1" si="34"/>
        <v>30080.934868543252</v>
      </c>
      <c r="F50" s="199">
        <f t="shared" ca="1" si="34"/>
        <v>30080.934868543252</v>
      </c>
      <c r="G50" s="199">
        <f t="shared" ca="1" si="34"/>
        <v>30080.934868543252</v>
      </c>
      <c r="H50" s="199">
        <f t="shared" ca="1" si="34"/>
        <v>30080.934868543252</v>
      </c>
      <c r="I50" s="199">
        <f t="shared" ca="1" si="34"/>
        <v>30080.934868543252</v>
      </c>
      <c r="J50" s="199">
        <f t="shared" ca="1" si="34"/>
        <v>30080.934868543252</v>
      </c>
      <c r="K50" s="199">
        <f t="shared" ca="1" si="34"/>
        <v>30080.934868543252</v>
      </c>
      <c r="L50" s="199">
        <f t="shared" ca="1" si="34"/>
        <v>30080.934868543252</v>
      </c>
      <c r="M50" s="199">
        <f t="shared" ca="1" si="34"/>
        <v>30080.934868543252</v>
      </c>
      <c r="N50" s="199">
        <f t="shared" ca="1" si="34"/>
        <v>30080.934868543252</v>
      </c>
      <c r="O50" s="199">
        <f t="shared" ca="1" si="34"/>
        <v>30080.934868543252</v>
      </c>
      <c r="P50" s="199">
        <f t="shared" ca="1" si="34"/>
        <v>30080.934868543252</v>
      </c>
      <c r="Q50" s="199">
        <f t="shared" ca="1" si="34"/>
        <v>30080.934868543252</v>
      </c>
      <c r="R50" s="199">
        <f t="shared" ca="1" si="34"/>
        <v>30080.934868543252</v>
      </c>
      <c r="S50" s="199">
        <f t="shared" ca="1" si="34"/>
        <v>30080.934868543252</v>
      </c>
      <c r="T50" s="199">
        <f t="shared" ca="1" si="34"/>
        <v>240424.98432586738</v>
      </c>
      <c r="U50" s="199">
        <f t="shared" ca="1" si="34"/>
        <v>513305.42998155532</v>
      </c>
      <c r="V50" s="199">
        <f t="shared" ca="1" si="34"/>
        <v>513305.42998155532</v>
      </c>
      <c r="W50" s="199">
        <f t="shared" ca="1" si="34"/>
        <v>795431.83620277874</v>
      </c>
      <c r="X50" s="199">
        <f t="shared" ca="1" si="34"/>
        <v>1100897.5538129564</v>
      </c>
      <c r="Y50" s="199">
        <f t="shared" ca="1" si="34"/>
        <v>698367.94795145874</v>
      </c>
      <c r="Z50" s="199">
        <f t="shared" ca="1" si="34"/>
        <v>732785.89660021034</v>
      </c>
      <c r="AA50" s="199">
        <f t="shared" ca="1" si="34"/>
        <v>765685.43967925035</v>
      </c>
      <c r="AB50" s="199">
        <f t="shared" ca="1" si="34"/>
        <v>798491.24858948472</v>
      </c>
      <c r="AC50" s="199">
        <f t="shared" ca="1" si="34"/>
        <v>830226.61849468702</v>
      </c>
      <c r="AD50" s="199">
        <f t="shared" ca="1" si="34"/>
        <v>860443.01680567022</v>
      </c>
      <c r="AE50" s="199">
        <f t="shared" ca="1" si="34"/>
        <v>889108.55737548519</v>
      </c>
      <c r="AF50" s="199">
        <f t="shared" ca="1" si="34"/>
        <v>916208.45531795523</v>
      </c>
      <c r="AG50" s="199">
        <f t="shared" ca="1" si="34"/>
        <v>941722.63312301994</v>
      </c>
      <c r="AH50" s="199">
        <f t="shared" ca="1" si="34"/>
        <v>965568.78656101355</v>
      </c>
      <c r="AI50" s="199">
        <f t="shared" ca="1" si="34"/>
        <v>987736.18351293425</v>
      </c>
      <c r="AJ50" s="199">
        <f t="shared" ref="AJ50:BL50" ca="1" si="35">MAX(0,(GPTarget*AJ48-(1-GPTarget)*AJ49)/(CatchupGP-GPTarget))</f>
        <v>987736.18351293425</v>
      </c>
      <c r="AK50" s="199">
        <f t="shared" ca="1" si="35"/>
        <v>1029989.3927554917</v>
      </c>
      <c r="AL50" s="199">
        <f t="shared" ca="1" si="35"/>
        <v>1052639.9330526632</v>
      </c>
      <c r="AM50" s="199">
        <f t="shared" ca="1" si="35"/>
        <v>1070079.3730164606</v>
      </c>
      <c r="AN50" s="199">
        <f t="shared" ca="1" si="35"/>
        <v>1090026.0321062913</v>
      </c>
      <c r="AO50" s="199">
        <f t="shared" ca="1" si="35"/>
        <v>1090026.0321062913</v>
      </c>
      <c r="AP50" s="199">
        <f t="shared" ca="1" si="35"/>
        <v>1145328.8325250624</v>
      </c>
      <c r="AQ50" s="199">
        <f t="shared" ca="1" si="35"/>
        <v>1211840.414845353</v>
      </c>
      <c r="AR50" s="199">
        <f t="shared" ca="1" si="35"/>
        <v>1193682.2012077188</v>
      </c>
      <c r="AS50" s="199">
        <f t="shared" ca="1" si="35"/>
        <v>1193682.2012077188</v>
      </c>
      <c r="AT50" s="199">
        <f t="shared" ca="1" si="35"/>
        <v>1275778.2967571942</v>
      </c>
      <c r="AU50" s="199">
        <f t="shared" ca="1" si="35"/>
        <v>1241957.8189814622</v>
      </c>
      <c r="AV50" s="199">
        <f t="shared" ca="1" si="35"/>
        <v>1205295.6787318024</v>
      </c>
      <c r="AW50" s="199">
        <f t="shared" ca="1" si="35"/>
        <v>1205295.6787318024</v>
      </c>
      <c r="AX50" s="199">
        <f t="shared" ca="1" si="35"/>
        <v>1205295.6787318024</v>
      </c>
      <c r="AY50" s="199">
        <f t="shared" ca="1" si="35"/>
        <v>1278035.8676915017</v>
      </c>
      <c r="AZ50" s="199">
        <f t="shared" ca="1" si="35"/>
        <v>1358169.7037210183</v>
      </c>
      <c r="BA50" s="199">
        <f t="shared" ca="1" si="35"/>
        <v>1375787.5180490382</v>
      </c>
      <c r="BB50" s="199">
        <f t="shared" ca="1" si="35"/>
        <v>1294181.4277691336</v>
      </c>
      <c r="BC50" s="199">
        <f t="shared" ca="1" si="35"/>
        <v>1294181.4277691336</v>
      </c>
      <c r="BD50" s="199">
        <f t="shared" ca="1" si="35"/>
        <v>1348705.1917341368</v>
      </c>
      <c r="BE50" s="199">
        <f t="shared" ca="1" si="35"/>
        <v>1407092.20866063</v>
      </c>
      <c r="BF50" s="199">
        <f t="shared" ca="1" si="35"/>
        <v>1357314.9864027724</v>
      </c>
      <c r="BG50" s="199">
        <f t="shared" ca="1" si="35"/>
        <v>1373294.0620545961</v>
      </c>
      <c r="BH50" s="199">
        <f t="shared" ca="1" si="35"/>
        <v>1389097.75899771</v>
      </c>
      <c r="BI50" s="199">
        <f t="shared" ca="1" si="35"/>
        <v>1404667.7430172553</v>
      </c>
      <c r="BJ50" s="199">
        <f t="shared" ca="1" si="35"/>
        <v>1420002.2530511171</v>
      </c>
      <c r="BK50" s="199">
        <f t="shared" ca="1" si="35"/>
        <v>1435099.5142338057</v>
      </c>
      <c r="BL50" s="199">
        <f t="shared" ca="1" si="35"/>
        <v>1449957.7377841324</v>
      </c>
    </row>
    <row r="51" spans="1:65">
      <c r="A51" s="125" t="s">
        <v>655</v>
      </c>
      <c r="B51" s="125"/>
      <c r="C51" s="125"/>
      <c r="D51" s="199">
        <f ca="1">MIN(D47,D50)</f>
        <v>0</v>
      </c>
      <c r="E51" s="199">
        <f t="shared" ref="E51:BL51" ca="1" si="36">MIN(E47,E50)</f>
        <v>0</v>
      </c>
      <c r="F51" s="199">
        <f t="shared" ca="1" si="36"/>
        <v>0</v>
      </c>
      <c r="G51" s="199">
        <f t="shared" ca="1" si="36"/>
        <v>0</v>
      </c>
      <c r="H51" s="199">
        <f t="shared" ca="1" si="36"/>
        <v>0</v>
      </c>
      <c r="I51" s="199">
        <f t="shared" ca="1" si="36"/>
        <v>0</v>
      </c>
      <c r="J51" s="199">
        <f t="shared" ca="1" si="36"/>
        <v>0</v>
      </c>
      <c r="K51" s="199">
        <f t="shared" ca="1" si="36"/>
        <v>0</v>
      </c>
      <c r="L51" s="199">
        <f t="shared" ca="1" si="36"/>
        <v>0</v>
      </c>
      <c r="M51" s="199">
        <f t="shared" ca="1" si="36"/>
        <v>0</v>
      </c>
      <c r="N51" s="199">
        <f t="shared" ca="1" si="36"/>
        <v>0</v>
      </c>
      <c r="O51" s="199">
        <f t="shared" ca="1" si="36"/>
        <v>0</v>
      </c>
      <c r="P51" s="199">
        <f t="shared" ca="1" si="36"/>
        <v>0</v>
      </c>
      <c r="Q51" s="199">
        <f t="shared" ca="1" si="36"/>
        <v>0</v>
      </c>
      <c r="R51" s="199">
        <f t="shared" ca="1" si="36"/>
        <v>0</v>
      </c>
      <c r="S51" s="199">
        <f t="shared" ca="1" si="36"/>
        <v>0</v>
      </c>
      <c r="T51" s="199">
        <f t="shared" ca="1" si="36"/>
        <v>0</v>
      </c>
      <c r="U51" s="199">
        <f t="shared" ca="1" si="36"/>
        <v>0</v>
      </c>
      <c r="V51" s="199">
        <f t="shared" ca="1" si="36"/>
        <v>0</v>
      </c>
      <c r="W51" s="199">
        <f t="shared" ca="1" si="36"/>
        <v>0</v>
      </c>
      <c r="X51" s="199">
        <f t="shared" ca="1" si="36"/>
        <v>0</v>
      </c>
      <c r="Y51" s="199">
        <f t="shared" ca="1" si="36"/>
        <v>0</v>
      </c>
      <c r="Z51" s="199">
        <f t="shared" ca="1" si="36"/>
        <v>0</v>
      </c>
      <c r="AA51" s="199">
        <f t="shared" ca="1" si="36"/>
        <v>0</v>
      </c>
      <c r="AB51" s="199">
        <f t="shared" ca="1" si="36"/>
        <v>0</v>
      </c>
      <c r="AC51" s="199">
        <f t="shared" ca="1" si="36"/>
        <v>0</v>
      </c>
      <c r="AD51" s="199">
        <f t="shared" ca="1" si="36"/>
        <v>0</v>
      </c>
      <c r="AE51" s="199">
        <f t="shared" ca="1" si="36"/>
        <v>0</v>
      </c>
      <c r="AF51" s="199">
        <f t="shared" ca="1" si="36"/>
        <v>0</v>
      </c>
      <c r="AG51" s="199">
        <f t="shared" ca="1" si="36"/>
        <v>0</v>
      </c>
      <c r="AH51" s="199">
        <f t="shared" ca="1" si="36"/>
        <v>0</v>
      </c>
      <c r="AI51" s="199">
        <f t="shared" ca="1" si="36"/>
        <v>0</v>
      </c>
      <c r="AJ51" s="199">
        <f t="shared" ca="1" si="36"/>
        <v>0</v>
      </c>
      <c r="AK51" s="199">
        <f t="shared" ca="1" si="36"/>
        <v>0</v>
      </c>
      <c r="AL51" s="199">
        <f t="shared" ca="1" si="36"/>
        <v>0</v>
      </c>
      <c r="AM51" s="199">
        <f t="shared" ca="1" si="36"/>
        <v>0</v>
      </c>
      <c r="AN51" s="199">
        <f t="shared" ca="1" si="36"/>
        <v>0</v>
      </c>
      <c r="AO51" s="199">
        <f t="shared" ca="1" si="36"/>
        <v>0</v>
      </c>
      <c r="AP51" s="199">
        <f t="shared" ca="1" si="36"/>
        <v>0</v>
      </c>
      <c r="AQ51" s="199">
        <f t="shared" ca="1" si="36"/>
        <v>0</v>
      </c>
      <c r="AR51" s="199">
        <f t="shared" ca="1" si="36"/>
        <v>0</v>
      </c>
      <c r="AS51" s="199">
        <f t="shared" ca="1" si="36"/>
        <v>0</v>
      </c>
      <c r="AT51" s="199">
        <f t="shared" ca="1" si="36"/>
        <v>0</v>
      </c>
      <c r="AU51" s="199">
        <f t="shared" ca="1" si="36"/>
        <v>0</v>
      </c>
      <c r="AV51" s="199">
        <f t="shared" ca="1" si="36"/>
        <v>0</v>
      </c>
      <c r="AW51" s="199">
        <f t="shared" ca="1" si="36"/>
        <v>0</v>
      </c>
      <c r="AX51" s="199">
        <f t="shared" ca="1" si="36"/>
        <v>0</v>
      </c>
      <c r="AY51" s="199">
        <f t="shared" ca="1" si="36"/>
        <v>0</v>
      </c>
      <c r="AZ51" s="199">
        <f t="shared" ca="1" si="36"/>
        <v>0</v>
      </c>
      <c r="BA51" s="199">
        <f t="shared" ca="1" si="36"/>
        <v>0</v>
      </c>
      <c r="BB51" s="199">
        <f t="shared" ca="1" si="36"/>
        <v>0</v>
      </c>
      <c r="BC51" s="199">
        <f t="shared" ca="1" si="36"/>
        <v>0</v>
      </c>
      <c r="BD51" s="199">
        <f t="shared" ca="1" si="36"/>
        <v>0</v>
      </c>
      <c r="BE51" s="199">
        <f t="shared" ca="1" si="36"/>
        <v>0</v>
      </c>
      <c r="BF51" s="199">
        <f t="shared" ca="1" si="36"/>
        <v>0</v>
      </c>
      <c r="BG51" s="199">
        <f t="shared" ca="1" si="36"/>
        <v>0</v>
      </c>
      <c r="BH51" s="199">
        <f t="shared" ca="1" si="36"/>
        <v>0</v>
      </c>
      <c r="BI51" s="199">
        <f t="shared" ca="1" si="36"/>
        <v>0</v>
      </c>
      <c r="BJ51" s="199">
        <f t="shared" ca="1" si="36"/>
        <v>0</v>
      </c>
      <c r="BK51" s="199">
        <f t="shared" ca="1" si="36"/>
        <v>0</v>
      </c>
      <c r="BL51" s="199">
        <f t="shared" ca="1" si="36"/>
        <v>1449957.7377841324</v>
      </c>
    </row>
    <row r="52" spans="1:65">
      <c r="A52" s="125" t="s">
        <v>656</v>
      </c>
      <c r="B52" s="125"/>
      <c r="C52" s="125"/>
      <c r="D52" s="199">
        <f t="shared" ref="D52:AI52" ca="1" si="37">D51*CatchupGP</f>
        <v>0</v>
      </c>
      <c r="E52" s="199">
        <f t="shared" ca="1" si="37"/>
        <v>0</v>
      </c>
      <c r="F52" s="199">
        <f t="shared" ca="1" si="37"/>
        <v>0</v>
      </c>
      <c r="G52" s="199">
        <f t="shared" ca="1" si="37"/>
        <v>0</v>
      </c>
      <c r="H52" s="199">
        <f t="shared" ca="1" si="37"/>
        <v>0</v>
      </c>
      <c r="I52" s="199">
        <f t="shared" ca="1" si="37"/>
        <v>0</v>
      </c>
      <c r="J52" s="199">
        <f t="shared" ca="1" si="37"/>
        <v>0</v>
      </c>
      <c r="K52" s="199">
        <f t="shared" ca="1" si="37"/>
        <v>0</v>
      </c>
      <c r="L52" s="199">
        <f t="shared" ca="1" si="37"/>
        <v>0</v>
      </c>
      <c r="M52" s="199">
        <f t="shared" ca="1" si="37"/>
        <v>0</v>
      </c>
      <c r="N52" s="199">
        <f t="shared" ca="1" si="37"/>
        <v>0</v>
      </c>
      <c r="O52" s="199">
        <f t="shared" ca="1" si="37"/>
        <v>0</v>
      </c>
      <c r="P52" s="199">
        <f t="shared" ca="1" si="37"/>
        <v>0</v>
      </c>
      <c r="Q52" s="199">
        <f t="shared" ca="1" si="37"/>
        <v>0</v>
      </c>
      <c r="R52" s="199">
        <f t="shared" ca="1" si="37"/>
        <v>0</v>
      </c>
      <c r="S52" s="199">
        <f t="shared" ca="1" si="37"/>
        <v>0</v>
      </c>
      <c r="T52" s="199">
        <f t="shared" ca="1" si="37"/>
        <v>0</v>
      </c>
      <c r="U52" s="199">
        <f t="shared" ca="1" si="37"/>
        <v>0</v>
      </c>
      <c r="V52" s="199">
        <f t="shared" ca="1" si="37"/>
        <v>0</v>
      </c>
      <c r="W52" s="199">
        <f t="shared" ca="1" si="37"/>
        <v>0</v>
      </c>
      <c r="X52" s="199">
        <f t="shared" ca="1" si="37"/>
        <v>0</v>
      </c>
      <c r="Y52" s="199">
        <f t="shared" ca="1" si="37"/>
        <v>0</v>
      </c>
      <c r="Z52" s="199">
        <f t="shared" ca="1" si="37"/>
        <v>0</v>
      </c>
      <c r="AA52" s="199">
        <f t="shared" ca="1" si="37"/>
        <v>0</v>
      </c>
      <c r="AB52" s="199">
        <f t="shared" ca="1" si="37"/>
        <v>0</v>
      </c>
      <c r="AC52" s="199">
        <f t="shared" ca="1" si="37"/>
        <v>0</v>
      </c>
      <c r="AD52" s="199">
        <f t="shared" ca="1" si="37"/>
        <v>0</v>
      </c>
      <c r="AE52" s="199">
        <f t="shared" ca="1" si="37"/>
        <v>0</v>
      </c>
      <c r="AF52" s="199">
        <f t="shared" ca="1" si="37"/>
        <v>0</v>
      </c>
      <c r="AG52" s="199">
        <f t="shared" ca="1" si="37"/>
        <v>0</v>
      </c>
      <c r="AH52" s="199">
        <f t="shared" ca="1" si="37"/>
        <v>0</v>
      </c>
      <c r="AI52" s="199">
        <f t="shared" ca="1" si="37"/>
        <v>0</v>
      </c>
      <c r="AJ52" s="199">
        <f t="shared" ref="AJ52:BL52" ca="1" si="38">AJ51*CatchupGP</f>
        <v>0</v>
      </c>
      <c r="AK52" s="199">
        <f t="shared" ca="1" si="38"/>
        <v>0</v>
      </c>
      <c r="AL52" s="199">
        <f t="shared" ca="1" si="38"/>
        <v>0</v>
      </c>
      <c r="AM52" s="199">
        <f t="shared" ca="1" si="38"/>
        <v>0</v>
      </c>
      <c r="AN52" s="199">
        <f t="shared" ca="1" si="38"/>
        <v>0</v>
      </c>
      <c r="AO52" s="199">
        <f t="shared" ca="1" si="38"/>
        <v>0</v>
      </c>
      <c r="AP52" s="199">
        <f t="shared" ca="1" si="38"/>
        <v>0</v>
      </c>
      <c r="AQ52" s="199">
        <f t="shared" ca="1" si="38"/>
        <v>0</v>
      </c>
      <c r="AR52" s="199">
        <f t="shared" ca="1" si="38"/>
        <v>0</v>
      </c>
      <c r="AS52" s="199">
        <f t="shared" ca="1" si="38"/>
        <v>0</v>
      </c>
      <c r="AT52" s="199">
        <f t="shared" ca="1" si="38"/>
        <v>0</v>
      </c>
      <c r="AU52" s="199">
        <f t="shared" ca="1" si="38"/>
        <v>0</v>
      </c>
      <c r="AV52" s="199">
        <f t="shared" ca="1" si="38"/>
        <v>0</v>
      </c>
      <c r="AW52" s="199">
        <f t="shared" ca="1" si="38"/>
        <v>0</v>
      </c>
      <c r="AX52" s="199">
        <f t="shared" ca="1" si="38"/>
        <v>0</v>
      </c>
      <c r="AY52" s="199">
        <f t="shared" ca="1" si="38"/>
        <v>0</v>
      </c>
      <c r="AZ52" s="199">
        <f t="shared" ca="1" si="38"/>
        <v>0</v>
      </c>
      <c r="BA52" s="199">
        <f t="shared" ca="1" si="38"/>
        <v>0</v>
      </c>
      <c r="BB52" s="199">
        <f t="shared" ca="1" si="38"/>
        <v>0</v>
      </c>
      <c r="BC52" s="199">
        <f t="shared" ca="1" si="38"/>
        <v>0</v>
      </c>
      <c r="BD52" s="199">
        <f t="shared" ca="1" si="38"/>
        <v>0</v>
      </c>
      <c r="BE52" s="199">
        <f t="shared" ca="1" si="38"/>
        <v>0</v>
      </c>
      <c r="BF52" s="199">
        <f t="shared" ca="1" si="38"/>
        <v>0</v>
      </c>
      <c r="BG52" s="199">
        <f t="shared" ca="1" si="38"/>
        <v>0</v>
      </c>
      <c r="BH52" s="199">
        <f t="shared" ca="1" si="38"/>
        <v>0</v>
      </c>
      <c r="BI52" s="199">
        <f t="shared" ca="1" si="38"/>
        <v>0</v>
      </c>
      <c r="BJ52" s="199">
        <f t="shared" ca="1" si="38"/>
        <v>0</v>
      </c>
      <c r="BK52" s="199">
        <f t="shared" ca="1" si="38"/>
        <v>0</v>
      </c>
      <c r="BL52" s="199">
        <f t="shared" ca="1" si="38"/>
        <v>724978.86889206618</v>
      </c>
    </row>
    <row r="53" spans="1:65">
      <c r="A53" s="125" t="s">
        <v>657</v>
      </c>
      <c r="B53" s="125"/>
      <c r="C53" s="125"/>
      <c r="D53" s="199">
        <f ca="1">D51-D52</f>
        <v>0</v>
      </c>
      <c r="E53" s="199">
        <f t="shared" ref="E53:BL53" ca="1" si="39">E51-E52</f>
        <v>0</v>
      </c>
      <c r="F53" s="199">
        <f t="shared" ca="1" si="39"/>
        <v>0</v>
      </c>
      <c r="G53" s="199">
        <f t="shared" ca="1" si="39"/>
        <v>0</v>
      </c>
      <c r="H53" s="199">
        <f t="shared" ca="1" si="39"/>
        <v>0</v>
      </c>
      <c r="I53" s="199">
        <f t="shared" ca="1" si="39"/>
        <v>0</v>
      </c>
      <c r="J53" s="199">
        <f t="shared" ca="1" si="39"/>
        <v>0</v>
      </c>
      <c r="K53" s="199">
        <f t="shared" ca="1" si="39"/>
        <v>0</v>
      </c>
      <c r="L53" s="199">
        <f t="shared" ca="1" si="39"/>
        <v>0</v>
      </c>
      <c r="M53" s="199">
        <f t="shared" ca="1" si="39"/>
        <v>0</v>
      </c>
      <c r="N53" s="199">
        <f t="shared" ca="1" si="39"/>
        <v>0</v>
      </c>
      <c r="O53" s="199">
        <f t="shared" ca="1" si="39"/>
        <v>0</v>
      </c>
      <c r="P53" s="199">
        <f t="shared" ca="1" si="39"/>
        <v>0</v>
      </c>
      <c r="Q53" s="199">
        <f t="shared" ca="1" si="39"/>
        <v>0</v>
      </c>
      <c r="R53" s="199">
        <f t="shared" ca="1" si="39"/>
        <v>0</v>
      </c>
      <c r="S53" s="199">
        <f t="shared" ca="1" si="39"/>
        <v>0</v>
      </c>
      <c r="T53" s="199">
        <f t="shared" ca="1" si="39"/>
        <v>0</v>
      </c>
      <c r="U53" s="199">
        <f t="shared" ca="1" si="39"/>
        <v>0</v>
      </c>
      <c r="V53" s="199">
        <f t="shared" ca="1" si="39"/>
        <v>0</v>
      </c>
      <c r="W53" s="199">
        <f t="shared" ca="1" si="39"/>
        <v>0</v>
      </c>
      <c r="X53" s="199">
        <f t="shared" ca="1" si="39"/>
        <v>0</v>
      </c>
      <c r="Y53" s="199">
        <f t="shared" ca="1" si="39"/>
        <v>0</v>
      </c>
      <c r="Z53" s="199">
        <f t="shared" ca="1" si="39"/>
        <v>0</v>
      </c>
      <c r="AA53" s="199">
        <f t="shared" ca="1" si="39"/>
        <v>0</v>
      </c>
      <c r="AB53" s="199">
        <f t="shared" ca="1" si="39"/>
        <v>0</v>
      </c>
      <c r="AC53" s="199">
        <f t="shared" ca="1" si="39"/>
        <v>0</v>
      </c>
      <c r="AD53" s="199">
        <f t="shared" ca="1" si="39"/>
        <v>0</v>
      </c>
      <c r="AE53" s="199">
        <f t="shared" ca="1" si="39"/>
        <v>0</v>
      </c>
      <c r="AF53" s="199">
        <f t="shared" ca="1" si="39"/>
        <v>0</v>
      </c>
      <c r="AG53" s="199">
        <f t="shared" ca="1" si="39"/>
        <v>0</v>
      </c>
      <c r="AH53" s="199">
        <f t="shared" ca="1" si="39"/>
        <v>0</v>
      </c>
      <c r="AI53" s="199">
        <f t="shared" ca="1" si="39"/>
        <v>0</v>
      </c>
      <c r="AJ53" s="199">
        <f t="shared" ca="1" si="39"/>
        <v>0</v>
      </c>
      <c r="AK53" s="199">
        <f t="shared" ca="1" si="39"/>
        <v>0</v>
      </c>
      <c r="AL53" s="199">
        <f t="shared" ca="1" si="39"/>
        <v>0</v>
      </c>
      <c r="AM53" s="199">
        <f t="shared" ca="1" si="39"/>
        <v>0</v>
      </c>
      <c r="AN53" s="199">
        <f t="shared" ca="1" si="39"/>
        <v>0</v>
      </c>
      <c r="AO53" s="199">
        <f t="shared" ca="1" si="39"/>
        <v>0</v>
      </c>
      <c r="AP53" s="199">
        <f t="shared" ca="1" si="39"/>
        <v>0</v>
      </c>
      <c r="AQ53" s="199">
        <f t="shared" ca="1" si="39"/>
        <v>0</v>
      </c>
      <c r="AR53" s="199">
        <f t="shared" ca="1" si="39"/>
        <v>0</v>
      </c>
      <c r="AS53" s="199">
        <f t="shared" ca="1" si="39"/>
        <v>0</v>
      </c>
      <c r="AT53" s="199">
        <f t="shared" ca="1" si="39"/>
        <v>0</v>
      </c>
      <c r="AU53" s="199">
        <f t="shared" ca="1" si="39"/>
        <v>0</v>
      </c>
      <c r="AV53" s="199">
        <f t="shared" ca="1" si="39"/>
        <v>0</v>
      </c>
      <c r="AW53" s="199">
        <f t="shared" ca="1" si="39"/>
        <v>0</v>
      </c>
      <c r="AX53" s="199">
        <f t="shared" ca="1" si="39"/>
        <v>0</v>
      </c>
      <c r="AY53" s="199">
        <f t="shared" ca="1" si="39"/>
        <v>0</v>
      </c>
      <c r="AZ53" s="199">
        <f t="shared" ca="1" si="39"/>
        <v>0</v>
      </c>
      <c r="BA53" s="199">
        <f t="shared" ca="1" si="39"/>
        <v>0</v>
      </c>
      <c r="BB53" s="199">
        <f t="shared" ca="1" si="39"/>
        <v>0</v>
      </c>
      <c r="BC53" s="199">
        <f t="shared" ca="1" si="39"/>
        <v>0</v>
      </c>
      <c r="BD53" s="199">
        <f t="shared" ca="1" si="39"/>
        <v>0</v>
      </c>
      <c r="BE53" s="199">
        <f t="shared" ca="1" si="39"/>
        <v>0</v>
      </c>
      <c r="BF53" s="199">
        <f t="shared" ca="1" si="39"/>
        <v>0</v>
      </c>
      <c r="BG53" s="199">
        <f t="shared" ca="1" si="39"/>
        <v>0</v>
      </c>
      <c r="BH53" s="199">
        <f t="shared" ca="1" si="39"/>
        <v>0</v>
      </c>
      <c r="BI53" s="199">
        <f t="shared" ca="1" si="39"/>
        <v>0</v>
      </c>
      <c r="BJ53" s="199">
        <f t="shared" ca="1" si="39"/>
        <v>0</v>
      </c>
      <c r="BK53" s="199">
        <f t="shared" ca="1" si="39"/>
        <v>0</v>
      </c>
      <c r="BL53" s="199">
        <f t="shared" ca="1" si="39"/>
        <v>724978.86889206618</v>
      </c>
    </row>
    <row r="54" spans="1:65">
      <c r="A54" s="193" t="s">
        <v>658</v>
      </c>
      <c r="B54" s="193"/>
      <c r="C54" s="193"/>
      <c r="D54" s="201">
        <f ca="1">D47-D51</f>
        <v>0</v>
      </c>
      <c r="E54" s="201">
        <f t="shared" ref="E54:BL54" ca="1" si="40">E47-E51</f>
        <v>0</v>
      </c>
      <c r="F54" s="201">
        <f t="shared" ca="1" si="40"/>
        <v>0</v>
      </c>
      <c r="G54" s="201">
        <f t="shared" ca="1" si="40"/>
        <v>0</v>
      </c>
      <c r="H54" s="201">
        <f t="shared" ca="1" si="40"/>
        <v>0</v>
      </c>
      <c r="I54" s="201">
        <f t="shared" ca="1" si="40"/>
        <v>0</v>
      </c>
      <c r="J54" s="201">
        <f t="shared" ca="1" si="40"/>
        <v>0</v>
      </c>
      <c r="K54" s="201">
        <f t="shared" ca="1" si="40"/>
        <v>0</v>
      </c>
      <c r="L54" s="201">
        <f t="shared" ca="1" si="40"/>
        <v>0</v>
      </c>
      <c r="M54" s="201">
        <f t="shared" ca="1" si="40"/>
        <v>0</v>
      </c>
      <c r="N54" s="201">
        <f t="shared" ca="1" si="40"/>
        <v>0</v>
      </c>
      <c r="O54" s="201">
        <f t="shared" ca="1" si="40"/>
        <v>0</v>
      </c>
      <c r="P54" s="201">
        <f t="shared" ca="1" si="40"/>
        <v>0</v>
      </c>
      <c r="Q54" s="201">
        <f t="shared" ca="1" si="40"/>
        <v>0</v>
      </c>
      <c r="R54" s="201">
        <f t="shared" ca="1" si="40"/>
        <v>0</v>
      </c>
      <c r="S54" s="201">
        <f t="shared" ca="1" si="40"/>
        <v>0</v>
      </c>
      <c r="T54" s="201">
        <f t="shared" ca="1" si="40"/>
        <v>0</v>
      </c>
      <c r="U54" s="201">
        <f t="shared" ca="1" si="40"/>
        <v>0</v>
      </c>
      <c r="V54" s="201">
        <f t="shared" ca="1" si="40"/>
        <v>0</v>
      </c>
      <c r="W54" s="201">
        <f t="shared" ca="1" si="40"/>
        <v>0</v>
      </c>
      <c r="X54" s="201">
        <f t="shared" ca="1" si="40"/>
        <v>0</v>
      </c>
      <c r="Y54" s="201">
        <f t="shared" ca="1" si="40"/>
        <v>0</v>
      </c>
      <c r="Z54" s="201">
        <f t="shared" ca="1" si="40"/>
        <v>0</v>
      </c>
      <c r="AA54" s="201">
        <f t="shared" ca="1" si="40"/>
        <v>0</v>
      </c>
      <c r="AB54" s="201">
        <f t="shared" ca="1" si="40"/>
        <v>0</v>
      </c>
      <c r="AC54" s="201">
        <f t="shared" ca="1" si="40"/>
        <v>0</v>
      </c>
      <c r="AD54" s="201">
        <f t="shared" ca="1" si="40"/>
        <v>0</v>
      </c>
      <c r="AE54" s="201">
        <f t="shared" ca="1" si="40"/>
        <v>0</v>
      </c>
      <c r="AF54" s="201">
        <f t="shared" ca="1" si="40"/>
        <v>0</v>
      </c>
      <c r="AG54" s="201">
        <f t="shared" ca="1" si="40"/>
        <v>0</v>
      </c>
      <c r="AH54" s="201">
        <f t="shared" ca="1" si="40"/>
        <v>0</v>
      </c>
      <c r="AI54" s="201">
        <f t="shared" ca="1" si="40"/>
        <v>0</v>
      </c>
      <c r="AJ54" s="201">
        <f t="shared" ca="1" si="40"/>
        <v>0</v>
      </c>
      <c r="AK54" s="201">
        <f t="shared" ca="1" si="40"/>
        <v>0</v>
      </c>
      <c r="AL54" s="201">
        <f t="shared" ca="1" si="40"/>
        <v>0</v>
      </c>
      <c r="AM54" s="201">
        <f t="shared" ca="1" si="40"/>
        <v>0</v>
      </c>
      <c r="AN54" s="201">
        <f t="shared" ca="1" si="40"/>
        <v>0</v>
      </c>
      <c r="AO54" s="201">
        <f t="shared" ca="1" si="40"/>
        <v>0</v>
      </c>
      <c r="AP54" s="201">
        <f t="shared" ca="1" si="40"/>
        <v>0</v>
      </c>
      <c r="AQ54" s="201">
        <f t="shared" ca="1" si="40"/>
        <v>0</v>
      </c>
      <c r="AR54" s="201">
        <f t="shared" ca="1" si="40"/>
        <v>0</v>
      </c>
      <c r="AS54" s="201">
        <f t="shared" ca="1" si="40"/>
        <v>0</v>
      </c>
      <c r="AT54" s="201">
        <f t="shared" ca="1" si="40"/>
        <v>0</v>
      </c>
      <c r="AU54" s="201">
        <f t="shared" ca="1" si="40"/>
        <v>0</v>
      </c>
      <c r="AV54" s="201">
        <f t="shared" ca="1" si="40"/>
        <v>0</v>
      </c>
      <c r="AW54" s="201">
        <f t="shared" ca="1" si="40"/>
        <v>0</v>
      </c>
      <c r="AX54" s="201">
        <f t="shared" ca="1" si="40"/>
        <v>0</v>
      </c>
      <c r="AY54" s="201">
        <f t="shared" ca="1" si="40"/>
        <v>0</v>
      </c>
      <c r="AZ54" s="201">
        <f t="shared" ca="1" si="40"/>
        <v>0</v>
      </c>
      <c r="BA54" s="201">
        <f t="shared" ca="1" si="40"/>
        <v>0</v>
      </c>
      <c r="BB54" s="201">
        <f t="shared" ca="1" si="40"/>
        <v>0</v>
      </c>
      <c r="BC54" s="201">
        <f t="shared" ca="1" si="40"/>
        <v>0</v>
      </c>
      <c r="BD54" s="201">
        <f t="shared" ca="1" si="40"/>
        <v>0</v>
      </c>
      <c r="BE54" s="201">
        <f t="shared" ca="1" si="40"/>
        <v>0</v>
      </c>
      <c r="BF54" s="201">
        <f t="shared" ca="1" si="40"/>
        <v>0</v>
      </c>
      <c r="BG54" s="201">
        <f t="shared" ca="1" si="40"/>
        <v>0</v>
      </c>
      <c r="BH54" s="201">
        <f t="shared" ca="1" si="40"/>
        <v>0</v>
      </c>
      <c r="BI54" s="201">
        <f t="shared" ca="1" si="40"/>
        <v>0</v>
      </c>
      <c r="BJ54" s="201">
        <f t="shared" ca="1" si="40"/>
        <v>0</v>
      </c>
      <c r="BK54" s="201">
        <f t="shared" ca="1" si="40"/>
        <v>0</v>
      </c>
      <c r="BL54" s="201">
        <f t="shared" ca="1" si="40"/>
        <v>12504647.656497128</v>
      </c>
    </row>
    <row r="55" spans="1:65">
      <c r="A55" s="125" t="s">
        <v>659</v>
      </c>
      <c r="B55" s="125"/>
      <c r="C55" s="125"/>
      <c r="D55" s="199">
        <f t="shared" ref="D55:AI55" ca="1" si="41">D54*ResidLP</f>
        <v>0</v>
      </c>
      <c r="E55" s="199">
        <f t="shared" ca="1" si="41"/>
        <v>0</v>
      </c>
      <c r="F55" s="199">
        <f t="shared" ca="1" si="41"/>
        <v>0</v>
      </c>
      <c r="G55" s="199">
        <f t="shared" ca="1" si="41"/>
        <v>0</v>
      </c>
      <c r="H55" s="199">
        <f t="shared" ca="1" si="41"/>
        <v>0</v>
      </c>
      <c r="I55" s="199">
        <f t="shared" ca="1" si="41"/>
        <v>0</v>
      </c>
      <c r="J55" s="199">
        <f t="shared" ca="1" si="41"/>
        <v>0</v>
      </c>
      <c r="K55" s="199">
        <f t="shared" ca="1" si="41"/>
        <v>0</v>
      </c>
      <c r="L55" s="199">
        <f t="shared" ca="1" si="41"/>
        <v>0</v>
      </c>
      <c r="M55" s="199">
        <f t="shared" ca="1" si="41"/>
        <v>0</v>
      </c>
      <c r="N55" s="199">
        <f t="shared" ca="1" si="41"/>
        <v>0</v>
      </c>
      <c r="O55" s="199">
        <f t="shared" ca="1" si="41"/>
        <v>0</v>
      </c>
      <c r="P55" s="199">
        <f t="shared" ca="1" si="41"/>
        <v>0</v>
      </c>
      <c r="Q55" s="199">
        <f t="shared" ca="1" si="41"/>
        <v>0</v>
      </c>
      <c r="R55" s="199">
        <f t="shared" ca="1" si="41"/>
        <v>0</v>
      </c>
      <c r="S55" s="199">
        <f t="shared" ca="1" si="41"/>
        <v>0</v>
      </c>
      <c r="T55" s="199">
        <f t="shared" ca="1" si="41"/>
        <v>0</v>
      </c>
      <c r="U55" s="199">
        <f t="shared" ca="1" si="41"/>
        <v>0</v>
      </c>
      <c r="V55" s="199">
        <f t="shared" ca="1" si="41"/>
        <v>0</v>
      </c>
      <c r="W55" s="199">
        <f t="shared" ca="1" si="41"/>
        <v>0</v>
      </c>
      <c r="X55" s="199">
        <f t="shared" ca="1" si="41"/>
        <v>0</v>
      </c>
      <c r="Y55" s="199">
        <f t="shared" ca="1" si="41"/>
        <v>0</v>
      </c>
      <c r="Z55" s="199">
        <f t="shared" ca="1" si="41"/>
        <v>0</v>
      </c>
      <c r="AA55" s="199">
        <f t="shared" ca="1" si="41"/>
        <v>0</v>
      </c>
      <c r="AB55" s="199">
        <f t="shared" ca="1" si="41"/>
        <v>0</v>
      </c>
      <c r="AC55" s="199">
        <f t="shared" ca="1" si="41"/>
        <v>0</v>
      </c>
      <c r="AD55" s="199">
        <f t="shared" ca="1" si="41"/>
        <v>0</v>
      </c>
      <c r="AE55" s="199">
        <f t="shared" ca="1" si="41"/>
        <v>0</v>
      </c>
      <c r="AF55" s="199">
        <f t="shared" ca="1" si="41"/>
        <v>0</v>
      </c>
      <c r="AG55" s="199">
        <f t="shared" ca="1" si="41"/>
        <v>0</v>
      </c>
      <c r="AH55" s="199">
        <f t="shared" ca="1" si="41"/>
        <v>0</v>
      </c>
      <c r="AI55" s="199">
        <f t="shared" ca="1" si="41"/>
        <v>0</v>
      </c>
      <c r="AJ55" s="199">
        <f t="shared" ref="AJ55:BL55" ca="1" si="42">AJ54*ResidLP</f>
        <v>0</v>
      </c>
      <c r="AK55" s="199">
        <f t="shared" ca="1" si="42"/>
        <v>0</v>
      </c>
      <c r="AL55" s="199">
        <f t="shared" ca="1" si="42"/>
        <v>0</v>
      </c>
      <c r="AM55" s="199">
        <f t="shared" ca="1" si="42"/>
        <v>0</v>
      </c>
      <c r="AN55" s="199">
        <f t="shared" ca="1" si="42"/>
        <v>0</v>
      </c>
      <c r="AO55" s="199">
        <f t="shared" ca="1" si="42"/>
        <v>0</v>
      </c>
      <c r="AP55" s="199">
        <f t="shared" ca="1" si="42"/>
        <v>0</v>
      </c>
      <c r="AQ55" s="199">
        <f t="shared" ca="1" si="42"/>
        <v>0</v>
      </c>
      <c r="AR55" s="199">
        <f t="shared" ca="1" si="42"/>
        <v>0</v>
      </c>
      <c r="AS55" s="199">
        <f t="shared" ca="1" si="42"/>
        <v>0</v>
      </c>
      <c r="AT55" s="199">
        <f t="shared" ca="1" si="42"/>
        <v>0</v>
      </c>
      <c r="AU55" s="199">
        <f t="shared" ca="1" si="42"/>
        <v>0</v>
      </c>
      <c r="AV55" s="199">
        <f t="shared" ca="1" si="42"/>
        <v>0</v>
      </c>
      <c r="AW55" s="199">
        <f t="shared" ca="1" si="42"/>
        <v>0</v>
      </c>
      <c r="AX55" s="199">
        <f t="shared" ca="1" si="42"/>
        <v>0</v>
      </c>
      <c r="AY55" s="199">
        <f t="shared" ca="1" si="42"/>
        <v>0</v>
      </c>
      <c r="AZ55" s="199">
        <f t="shared" ca="1" si="42"/>
        <v>0</v>
      </c>
      <c r="BA55" s="199">
        <f t="shared" ca="1" si="42"/>
        <v>0</v>
      </c>
      <c r="BB55" s="199">
        <f t="shared" ca="1" si="42"/>
        <v>0</v>
      </c>
      <c r="BC55" s="199">
        <f t="shared" ca="1" si="42"/>
        <v>0</v>
      </c>
      <c r="BD55" s="199">
        <f t="shared" ca="1" si="42"/>
        <v>0</v>
      </c>
      <c r="BE55" s="199">
        <f t="shared" ca="1" si="42"/>
        <v>0</v>
      </c>
      <c r="BF55" s="199">
        <f t="shared" ca="1" si="42"/>
        <v>0</v>
      </c>
      <c r="BG55" s="199">
        <f t="shared" ca="1" si="42"/>
        <v>0</v>
      </c>
      <c r="BH55" s="199">
        <f t="shared" ca="1" si="42"/>
        <v>0</v>
      </c>
      <c r="BI55" s="199">
        <f t="shared" ca="1" si="42"/>
        <v>0</v>
      </c>
      <c r="BJ55" s="199">
        <f t="shared" ca="1" si="42"/>
        <v>0</v>
      </c>
      <c r="BK55" s="199">
        <f t="shared" ca="1" si="42"/>
        <v>0</v>
      </c>
      <c r="BL55" s="199">
        <f t="shared" ca="1" si="42"/>
        <v>10003718.125197703</v>
      </c>
    </row>
    <row r="56" spans="1:65">
      <c r="A56" s="125" t="s">
        <v>660</v>
      </c>
      <c r="B56" s="125"/>
      <c r="C56" s="125"/>
      <c r="D56" s="199">
        <f ca="1">D54-D55</f>
        <v>0</v>
      </c>
      <c r="E56" s="199">
        <f t="shared" ref="E56:BL56" ca="1" si="43">E54-E55</f>
        <v>0</v>
      </c>
      <c r="F56" s="199">
        <f t="shared" ca="1" si="43"/>
        <v>0</v>
      </c>
      <c r="G56" s="199">
        <f t="shared" ca="1" si="43"/>
        <v>0</v>
      </c>
      <c r="H56" s="199">
        <f t="shared" ca="1" si="43"/>
        <v>0</v>
      </c>
      <c r="I56" s="199">
        <f t="shared" ca="1" si="43"/>
        <v>0</v>
      </c>
      <c r="J56" s="199">
        <f t="shared" ca="1" si="43"/>
        <v>0</v>
      </c>
      <c r="K56" s="199">
        <f t="shared" ca="1" si="43"/>
        <v>0</v>
      </c>
      <c r="L56" s="199">
        <f t="shared" ca="1" si="43"/>
        <v>0</v>
      </c>
      <c r="M56" s="199">
        <f t="shared" ca="1" si="43"/>
        <v>0</v>
      </c>
      <c r="N56" s="199">
        <f t="shared" ca="1" si="43"/>
        <v>0</v>
      </c>
      <c r="O56" s="199">
        <f t="shared" ca="1" si="43"/>
        <v>0</v>
      </c>
      <c r="P56" s="199">
        <f t="shared" ca="1" si="43"/>
        <v>0</v>
      </c>
      <c r="Q56" s="199">
        <f t="shared" ca="1" si="43"/>
        <v>0</v>
      </c>
      <c r="R56" s="199">
        <f t="shared" ca="1" si="43"/>
        <v>0</v>
      </c>
      <c r="S56" s="199">
        <f t="shared" ca="1" si="43"/>
        <v>0</v>
      </c>
      <c r="T56" s="199">
        <f t="shared" ca="1" si="43"/>
        <v>0</v>
      </c>
      <c r="U56" s="199">
        <f t="shared" ca="1" si="43"/>
        <v>0</v>
      </c>
      <c r="V56" s="199">
        <f t="shared" ca="1" si="43"/>
        <v>0</v>
      </c>
      <c r="W56" s="199">
        <f t="shared" ca="1" si="43"/>
        <v>0</v>
      </c>
      <c r="X56" s="199">
        <f t="shared" ca="1" si="43"/>
        <v>0</v>
      </c>
      <c r="Y56" s="199">
        <f t="shared" ca="1" si="43"/>
        <v>0</v>
      </c>
      <c r="Z56" s="199">
        <f t="shared" ca="1" si="43"/>
        <v>0</v>
      </c>
      <c r="AA56" s="199">
        <f t="shared" ca="1" si="43"/>
        <v>0</v>
      </c>
      <c r="AB56" s="199">
        <f t="shared" ca="1" si="43"/>
        <v>0</v>
      </c>
      <c r="AC56" s="199">
        <f t="shared" ca="1" si="43"/>
        <v>0</v>
      </c>
      <c r="AD56" s="199">
        <f t="shared" ca="1" si="43"/>
        <v>0</v>
      </c>
      <c r="AE56" s="199">
        <f t="shared" ca="1" si="43"/>
        <v>0</v>
      </c>
      <c r="AF56" s="199">
        <f t="shared" ca="1" si="43"/>
        <v>0</v>
      </c>
      <c r="AG56" s="199">
        <f t="shared" ca="1" si="43"/>
        <v>0</v>
      </c>
      <c r="AH56" s="199">
        <f t="shared" ca="1" si="43"/>
        <v>0</v>
      </c>
      <c r="AI56" s="199">
        <f t="shared" ca="1" si="43"/>
        <v>0</v>
      </c>
      <c r="AJ56" s="199">
        <f t="shared" ca="1" si="43"/>
        <v>0</v>
      </c>
      <c r="AK56" s="199">
        <f t="shared" ca="1" si="43"/>
        <v>0</v>
      </c>
      <c r="AL56" s="199">
        <f t="shared" ca="1" si="43"/>
        <v>0</v>
      </c>
      <c r="AM56" s="199">
        <f t="shared" ca="1" si="43"/>
        <v>0</v>
      </c>
      <c r="AN56" s="199">
        <f t="shared" ca="1" si="43"/>
        <v>0</v>
      </c>
      <c r="AO56" s="199">
        <f t="shared" ca="1" si="43"/>
        <v>0</v>
      </c>
      <c r="AP56" s="199">
        <f t="shared" ca="1" si="43"/>
        <v>0</v>
      </c>
      <c r="AQ56" s="199">
        <f t="shared" ca="1" si="43"/>
        <v>0</v>
      </c>
      <c r="AR56" s="199">
        <f t="shared" ca="1" si="43"/>
        <v>0</v>
      </c>
      <c r="AS56" s="199">
        <f t="shared" ca="1" si="43"/>
        <v>0</v>
      </c>
      <c r="AT56" s="199">
        <f t="shared" ca="1" si="43"/>
        <v>0</v>
      </c>
      <c r="AU56" s="199">
        <f t="shared" ca="1" si="43"/>
        <v>0</v>
      </c>
      <c r="AV56" s="199">
        <f t="shared" ca="1" si="43"/>
        <v>0</v>
      </c>
      <c r="AW56" s="199">
        <f t="shared" ca="1" si="43"/>
        <v>0</v>
      </c>
      <c r="AX56" s="199">
        <f t="shared" ca="1" si="43"/>
        <v>0</v>
      </c>
      <c r="AY56" s="199">
        <f t="shared" ca="1" si="43"/>
        <v>0</v>
      </c>
      <c r="AZ56" s="199">
        <f t="shared" ca="1" si="43"/>
        <v>0</v>
      </c>
      <c r="BA56" s="199">
        <f t="shared" ca="1" si="43"/>
        <v>0</v>
      </c>
      <c r="BB56" s="199">
        <f t="shared" ca="1" si="43"/>
        <v>0</v>
      </c>
      <c r="BC56" s="199">
        <f t="shared" ca="1" si="43"/>
        <v>0</v>
      </c>
      <c r="BD56" s="199">
        <f t="shared" ca="1" si="43"/>
        <v>0</v>
      </c>
      <c r="BE56" s="199">
        <f t="shared" ca="1" si="43"/>
        <v>0</v>
      </c>
      <c r="BF56" s="199">
        <f t="shared" ca="1" si="43"/>
        <v>0</v>
      </c>
      <c r="BG56" s="199">
        <f t="shared" ca="1" si="43"/>
        <v>0</v>
      </c>
      <c r="BH56" s="199">
        <f t="shared" ca="1" si="43"/>
        <v>0</v>
      </c>
      <c r="BI56" s="199">
        <f t="shared" ca="1" si="43"/>
        <v>0</v>
      </c>
      <c r="BJ56" s="199">
        <f t="shared" ca="1" si="43"/>
        <v>0</v>
      </c>
      <c r="BK56" s="199">
        <f t="shared" ca="1" si="43"/>
        <v>0</v>
      </c>
      <c r="BL56" s="199">
        <f t="shared" ca="1" si="43"/>
        <v>2500929.5312994253</v>
      </c>
    </row>
    <row r="57" spans="1:65">
      <c r="A57" s="125" t="s">
        <v>661</v>
      </c>
      <c r="B57" s="125"/>
      <c r="C57" s="125"/>
      <c r="D57" s="199">
        <f ca="1">D40+D53+D55</f>
        <v>0</v>
      </c>
      <c r="E57" s="199">
        <f t="shared" ref="E57:BL57" ca="1" si="44">E40+E53+E55</f>
        <v>81218.524145066782</v>
      </c>
      <c r="F57" s="199">
        <f t="shared" ca="1" si="44"/>
        <v>0</v>
      </c>
      <c r="G57" s="199">
        <f t="shared" ca="1" si="44"/>
        <v>0</v>
      </c>
      <c r="H57" s="199">
        <f t="shared" ca="1" si="44"/>
        <v>0</v>
      </c>
      <c r="I57" s="199">
        <f t="shared" ca="1" si="44"/>
        <v>0</v>
      </c>
      <c r="J57" s="199">
        <f t="shared" ca="1" si="44"/>
        <v>0</v>
      </c>
      <c r="K57" s="199">
        <f t="shared" ca="1" si="44"/>
        <v>0</v>
      </c>
      <c r="L57" s="199">
        <f t="shared" ca="1" si="44"/>
        <v>0</v>
      </c>
      <c r="M57" s="199">
        <f t="shared" ca="1" si="44"/>
        <v>0</v>
      </c>
      <c r="N57" s="199">
        <f t="shared" ca="1" si="44"/>
        <v>0</v>
      </c>
      <c r="O57" s="199">
        <f t="shared" ca="1" si="44"/>
        <v>0</v>
      </c>
      <c r="P57" s="199">
        <f t="shared" ca="1" si="44"/>
        <v>0</v>
      </c>
      <c r="Q57" s="199">
        <f t="shared" ca="1" si="44"/>
        <v>0</v>
      </c>
      <c r="R57" s="199">
        <f t="shared" ca="1" si="44"/>
        <v>0</v>
      </c>
      <c r="S57" s="199">
        <f t="shared" ca="1" si="44"/>
        <v>0</v>
      </c>
      <c r="T57" s="199">
        <f t="shared" ca="1" si="44"/>
        <v>315516.07418598607</v>
      </c>
      <c r="U57" s="199">
        <f t="shared" ca="1" si="44"/>
        <v>409320.66848353203</v>
      </c>
      <c r="V57" s="199">
        <f t="shared" ca="1" si="44"/>
        <v>0</v>
      </c>
      <c r="W57" s="199">
        <f t="shared" ca="1" si="44"/>
        <v>423189.60933183512</v>
      </c>
      <c r="X57" s="199">
        <f t="shared" ca="1" si="44"/>
        <v>458198.57641526632</v>
      </c>
      <c r="Y57" s="199">
        <f t="shared" ca="1" si="44"/>
        <v>236521.13925803622</v>
      </c>
      <c r="Z57" s="199">
        <f t="shared" ca="1" si="44"/>
        <v>93689.008449217217</v>
      </c>
      <c r="AA57" s="199">
        <f t="shared" ca="1" si="44"/>
        <v>91411.400094650002</v>
      </c>
      <c r="AB57" s="199">
        <f t="shared" ca="1" si="44"/>
        <v>91270.798841441603</v>
      </c>
      <c r="AC57" s="199">
        <f t="shared" ca="1" si="44"/>
        <v>89665.140333893025</v>
      </c>
      <c r="AD57" s="199">
        <f t="shared" ca="1" si="44"/>
        <v>87386.682942564992</v>
      </c>
      <c r="AE57" s="199">
        <f t="shared" ca="1" si="44"/>
        <v>85060.396330812655</v>
      </c>
      <c r="AF57" s="199">
        <f t="shared" ca="1" si="44"/>
        <v>82711.932389794965</v>
      </c>
      <c r="AG57" s="199">
        <f t="shared" ca="1" si="44"/>
        <v>80333.352183686846</v>
      </c>
      <c r="AH57" s="199">
        <f t="shared" ca="1" si="44"/>
        <v>77831.31563308039</v>
      </c>
      <c r="AI57" s="199">
        <f t="shared" ca="1" si="44"/>
        <v>75313.180903971021</v>
      </c>
      <c r="AJ57" s="199">
        <f t="shared" ca="1" si="44"/>
        <v>0</v>
      </c>
      <c r="AK57" s="199">
        <f t="shared" ca="1" si="44"/>
        <v>147806.43439667718</v>
      </c>
      <c r="AL57" s="199">
        <f t="shared" ca="1" si="44"/>
        <v>33975.810445757001</v>
      </c>
      <c r="AM57" s="199">
        <f t="shared" ca="1" si="44"/>
        <v>110617.80607110249</v>
      </c>
      <c r="AN57" s="199">
        <f t="shared" ca="1" si="44"/>
        <v>72013.894967054337</v>
      </c>
      <c r="AO57" s="199">
        <f t="shared" ca="1" si="44"/>
        <v>0</v>
      </c>
      <c r="AP57" s="199">
        <f t="shared" ca="1" si="44"/>
        <v>82954.200628156657</v>
      </c>
      <c r="AQ57" s="199">
        <f t="shared" ca="1" si="44"/>
        <v>99767.373480435286</v>
      </c>
      <c r="AR57" s="199">
        <f t="shared" ca="1" si="44"/>
        <v>75255.096969653212</v>
      </c>
      <c r="AS57" s="199">
        <f t="shared" ca="1" si="44"/>
        <v>0</v>
      </c>
      <c r="AT57" s="199">
        <f t="shared" ca="1" si="44"/>
        <v>123144.14332421339</v>
      </c>
      <c r="AU57" s="199">
        <f t="shared" ca="1" si="44"/>
        <v>73118.467828174602</v>
      </c>
      <c r="AV57" s="199">
        <f t="shared" ca="1" si="44"/>
        <v>65561.093038529056</v>
      </c>
      <c r="AW57" s="199">
        <f t="shared" ca="1" si="44"/>
        <v>0</v>
      </c>
      <c r="AX57" s="199">
        <f t="shared" ca="1" si="44"/>
        <v>0</v>
      </c>
      <c r="AY57" s="199">
        <f t="shared" ca="1" si="44"/>
        <v>109110.28343954921</v>
      </c>
      <c r="AZ57" s="199">
        <f t="shared" ca="1" si="44"/>
        <v>120200.75404427474</v>
      </c>
      <c r="BA57" s="199">
        <f t="shared" ca="1" si="44"/>
        <v>101681.18748415314</v>
      </c>
      <c r="BB57" s="199">
        <f t="shared" ca="1" si="44"/>
        <v>66000.570984925886</v>
      </c>
      <c r="BC57" s="199">
        <f t="shared" ca="1" si="44"/>
        <v>0</v>
      </c>
      <c r="BD57" s="199">
        <f t="shared" ca="1" si="44"/>
        <v>81785.645947504672</v>
      </c>
      <c r="BE57" s="199">
        <f t="shared" ca="1" si="44"/>
        <v>123096.68268962848</v>
      </c>
      <c r="BF57" s="199">
        <f t="shared" ca="1" si="44"/>
        <v>69080.006666633519</v>
      </c>
      <c r="BG57" s="199">
        <f t="shared" ca="1" si="44"/>
        <v>68761.321511414717</v>
      </c>
      <c r="BH57" s="199">
        <f t="shared" ca="1" si="44"/>
        <v>68498.253448350006</v>
      </c>
      <c r="BI57" s="199">
        <f t="shared" ca="1" si="44"/>
        <v>68147.684062997287</v>
      </c>
      <c r="BJ57" s="199">
        <f t="shared" ca="1" si="44"/>
        <v>67794.47308447097</v>
      </c>
      <c r="BK57" s="199">
        <f t="shared" ca="1" si="44"/>
        <v>67438.599807712366</v>
      </c>
      <c r="BL57" s="199">
        <f t="shared" ca="1" si="44"/>
        <v>10795777.037448937</v>
      </c>
    </row>
    <row r="58" spans="1:65">
      <c r="A58" s="125" t="s">
        <v>662</v>
      </c>
      <c r="B58" s="125"/>
      <c r="C58" s="125"/>
      <c r="D58" s="199">
        <f ca="1">D42+D52+D56</f>
        <v>0</v>
      </c>
      <c r="E58" s="199">
        <f t="shared" ref="E58:BL58" ca="1" si="45">E42+E52+E56</f>
        <v>9024.2804605629753</v>
      </c>
      <c r="F58" s="199">
        <f t="shared" ca="1" si="45"/>
        <v>0</v>
      </c>
      <c r="G58" s="199">
        <f t="shared" ca="1" si="45"/>
        <v>0</v>
      </c>
      <c r="H58" s="199">
        <f t="shared" ca="1" si="45"/>
        <v>0</v>
      </c>
      <c r="I58" s="199">
        <f t="shared" ca="1" si="45"/>
        <v>0</v>
      </c>
      <c r="J58" s="199">
        <f t="shared" ca="1" si="45"/>
        <v>0</v>
      </c>
      <c r="K58" s="199">
        <f t="shared" ca="1" si="45"/>
        <v>0</v>
      </c>
      <c r="L58" s="199">
        <f t="shared" ca="1" si="45"/>
        <v>0</v>
      </c>
      <c r="M58" s="199">
        <f t="shared" ca="1" si="45"/>
        <v>0</v>
      </c>
      <c r="N58" s="199">
        <f t="shared" ca="1" si="45"/>
        <v>0</v>
      </c>
      <c r="O58" s="199">
        <f t="shared" ca="1" si="45"/>
        <v>0</v>
      </c>
      <c r="P58" s="199">
        <f t="shared" ca="1" si="45"/>
        <v>0</v>
      </c>
      <c r="Q58" s="199">
        <f t="shared" ca="1" si="45"/>
        <v>0</v>
      </c>
      <c r="R58" s="199">
        <f t="shared" ca="1" si="45"/>
        <v>0</v>
      </c>
      <c r="S58" s="199">
        <f t="shared" ca="1" si="45"/>
        <v>0</v>
      </c>
      <c r="T58" s="199">
        <f t="shared" ca="1" si="45"/>
        <v>0</v>
      </c>
      <c r="U58" s="199">
        <f t="shared" ca="1" si="45"/>
        <v>0</v>
      </c>
      <c r="V58" s="199">
        <f t="shared" ca="1" si="45"/>
        <v>0</v>
      </c>
      <c r="W58" s="199">
        <f t="shared" ca="1" si="45"/>
        <v>0</v>
      </c>
      <c r="X58" s="199">
        <f t="shared" ca="1" si="45"/>
        <v>0</v>
      </c>
      <c r="Y58" s="199">
        <f t="shared" ca="1" si="45"/>
        <v>210078.88701257063</v>
      </c>
      <c r="Z58" s="199">
        <f t="shared" ca="1" si="45"/>
        <v>10515.521369022505</v>
      </c>
      <c r="AA58" s="199">
        <f t="shared" ca="1" si="45"/>
        <v>10515.521369022505</v>
      </c>
      <c r="AB58" s="199">
        <f t="shared" ca="1" si="45"/>
        <v>10515.521369022505</v>
      </c>
      <c r="AC58" s="199">
        <f t="shared" ca="1" si="45"/>
        <v>10515.521369022505</v>
      </c>
      <c r="AD58" s="199">
        <f t="shared" ca="1" si="45"/>
        <v>10515.521369022505</v>
      </c>
      <c r="AE58" s="199">
        <f t="shared" ca="1" si="45"/>
        <v>10515.521369022505</v>
      </c>
      <c r="AF58" s="199">
        <f t="shared" ca="1" si="45"/>
        <v>10515.521369022505</v>
      </c>
      <c r="AG58" s="199">
        <f t="shared" ca="1" si="45"/>
        <v>10515.521369022505</v>
      </c>
      <c r="AH58" s="199">
        <f t="shared" ca="1" si="45"/>
        <v>10515.521369022505</v>
      </c>
      <c r="AI58" s="199">
        <f t="shared" ca="1" si="45"/>
        <v>10515.521369022505</v>
      </c>
      <c r="AJ58" s="199">
        <f t="shared" ca="1" si="45"/>
        <v>0</v>
      </c>
      <c r="AK58" s="199">
        <f t="shared" ca="1" si="45"/>
        <v>21106.655133210312</v>
      </c>
      <c r="AL58" s="199">
        <f t="shared" ca="1" si="45"/>
        <v>0</v>
      </c>
      <c r="AM58" s="199">
        <f t="shared" ca="1" si="45"/>
        <v>21114.661531351696</v>
      </c>
      <c r="AN58" s="199">
        <f t="shared" ca="1" si="45"/>
        <v>10523.47658307713</v>
      </c>
      <c r="AO58" s="199">
        <f t="shared" ca="1" si="45"/>
        <v>0</v>
      </c>
      <c r="AP58" s="199">
        <f t="shared" ca="1" si="45"/>
        <v>0</v>
      </c>
      <c r="AQ58" s="199">
        <f t="shared" ca="1" si="45"/>
        <v>0</v>
      </c>
      <c r="AR58" s="199">
        <f t="shared" ca="1" si="45"/>
        <v>25623.104356526164</v>
      </c>
      <c r="AS58" s="199">
        <f t="shared" ca="1" si="45"/>
        <v>0</v>
      </c>
      <c r="AT58" s="199">
        <f t="shared" ca="1" si="45"/>
        <v>0</v>
      </c>
      <c r="AU58" s="199">
        <f t="shared" ca="1" si="45"/>
        <v>30962.296122943095</v>
      </c>
      <c r="AV58" s="199">
        <f t="shared" ca="1" si="45"/>
        <v>30138.575853254792</v>
      </c>
      <c r="AW58" s="199">
        <f t="shared" ca="1" si="45"/>
        <v>0</v>
      </c>
      <c r="AX58" s="199">
        <f t="shared" ca="1" si="45"/>
        <v>0</v>
      </c>
      <c r="AY58" s="199">
        <f t="shared" ca="1" si="45"/>
        <v>0</v>
      </c>
      <c r="AZ58" s="199">
        <f t="shared" ca="1" si="45"/>
        <v>0</v>
      </c>
      <c r="BA58" s="199">
        <f t="shared" ca="1" si="45"/>
        <v>18813.616498030839</v>
      </c>
      <c r="BB58" s="199">
        <f t="shared" ca="1" si="45"/>
        <v>47102.426601195664</v>
      </c>
      <c r="BC58" s="199">
        <f t="shared" ca="1" si="45"/>
        <v>0</v>
      </c>
      <c r="BD58" s="199">
        <f t="shared" ca="1" si="45"/>
        <v>0</v>
      </c>
      <c r="BE58" s="199">
        <f t="shared" ca="1" si="45"/>
        <v>8879.039324972051</v>
      </c>
      <c r="BF58" s="199">
        <f t="shared" ca="1" si="45"/>
        <v>35936.460013355019</v>
      </c>
      <c r="BG58" s="199">
        <f t="shared" ca="1" si="45"/>
        <v>11198.177008419818</v>
      </c>
      <c r="BH58" s="199">
        <f t="shared" ca="1" si="45"/>
        <v>11198.177008419818</v>
      </c>
      <c r="BI58" s="199">
        <f t="shared" ca="1" si="45"/>
        <v>11198.177008419818</v>
      </c>
      <c r="BJ58" s="199">
        <f t="shared" ca="1" si="45"/>
        <v>11198.177008419818</v>
      </c>
      <c r="BK58" s="199">
        <f t="shared" ca="1" si="45"/>
        <v>11198.177008419818</v>
      </c>
      <c r="BL58" s="199">
        <f t="shared" ca="1" si="45"/>
        <v>3237106.5771999112</v>
      </c>
    </row>
    <row r="59" spans="1:65">
      <c r="A59" s="193" t="s">
        <v>663</v>
      </c>
      <c r="B59" s="193"/>
      <c r="C59" s="193"/>
      <c r="D59" s="201">
        <f ca="1">C59+D57</f>
        <v>0</v>
      </c>
      <c r="E59" s="201">
        <f t="shared" ref="E59:BL59" ca="1" si="46">D59+E57</f>
        <v>81218.524145066782</v>
      </c>
      <c r="F59" s="201">
        <f t="shared" ca="1" si="46"/>
        <v>81218.524145066782</v>
      </c>
      <c r="G59" s="201">
        <f t="shared" ca="1" si="46"/>
        <v>81218.524145066782</v>
      </c>
      <c r="H59" s="201">
        <f t="shared" ca="1" si="46"/>
        <v>81218.524145066782</v>
      </c>
      <c r="I59" s="201">
        <f t="shared" ca="1" si="46"/>
        <v>81218.524145066782</v>
      </c>
      <c r="J59" s="201">
        <f t="shared" ca="1" si="46"/>
        <v>81218.524145066782</v>
      </c>
      <c r="K59" s="201">
        <f t="shared" ca="1" si="46"/>
        <v>81218.524145066782</v>
      </c>
      <c r="L59" s="201">
        <f t="shared" ca="1" si="46"/>
        <v>81218.524145066782</v>
      </c>
      <c r="M59" s="201">
        <f t="shared" ca="1" si="46"/>
        <v>81218.524145066782</v>
      </c>
      <c r="N59" s="201">
        <f t="shared" ca="1" si="46"/>
        <v>81218.524145066782</v>
      </c>
      <c r="O59" s="201">
        <f t="shared" ca="1" si="46"/>
        <v>81218.524145066782</v>
      </c>
      <c r="P59" s="201">
        <f t="shared" ca="1" si="46"/>
        <v>81218.524145066782</v>
      </c>
      <c r="Q59" s="201">
        <f t="shared" ca="1" si="46"/>
        <v>81218.524145066782</v>
      </c>
      <c r="R59" s="201">
        <f t="shared" ca="1" si="46"/>
        <v>81218.524145066782</v>
      </c>
      <c r="S59" s="201">
        <f t="shared" ca="1" si="46"/>
        <v>81218.524145066782</v>
      </c>
      <c r="T59" s="201">
        <f t="shared" ca="1" si="46"/>
        <v>396734.59833105287</v>
      </c>
      <c r="U59" s="201">
        <f t="shared" ca="1" si="46"/>
        <v>806055.26681458484</v>
      </c>
      <c r="V59" s="201">
        <f t="shared" ca="1" si="46"/>
        <v>806055.26681458484</v>
      </c>
      <c r="W59" s="201">
        <f t="shared" ca="1" si="46"/>
        <v>1229244.8761464199</v>
      </c>
      <c r="X59" s="201">
        <f t="shared" ca="1" si="46"/>
        <v>1687443.4525616863</v>
      </c>
      <c r="Y59" s="201">
        <f t="shared" ca="1" si="46"/>
        <v>1923964.5918197224</v>
      </c>
      <c r="Z59" s="201">
        <f t="shared" ca="1" si="46"/>
        <v>2017653.6002689397</v>
      </c>
      <c r="AA59" s="201">
        <f t="shared" ca="1" si="46"/>
        <v>2109065.0003635897</v>
      </c>
      <c r="AB59" s="201">
        <f t="shared" ca="1" si="46"/>
        <v>2200335.7992050312</v>
      </c>
      <c r="AC59" s="201">
        <f t="shared" ca="1" si="46"/>
        <v>2290000.9395389245</v>
      </c>
      <c r="AD59" s="201">
        <f t="shared" ca="1" si="46"/>
        <v>2377387.6224814896</v>
      </c>
      <c r="AE59" s="201">
        <f t="shared" ca="1" si="46"/>
        <v>2462448.018812302</v>
      </c>
      <c r="AF59" s="201">
        <f t="shared" ca="1" si="46"/>
        <v>2545159.9512020969</v>
      </c>
      <c r="AG59" s="201">
        <f t="shared" ca="1" si="46"/>
        <v>2625493.3033857839</v>
      </c>
      <c r="AH59" s="201">
        <f t="shared" ca="1" si="46"/>
        <v>2703324.6190188644</v>
      </c>
      <c r="AI59" s="201">
        <f t="shared" ca="1" si="46"/>
        <v>2778637.7999228355</v>
      </c>
      <c r="AJ59" s="201">
        <f t="shared" ca="1" si="46"/>
        <v>2778637.7999228355</v>
      </c>
      <c r="AK59" s="201">
        <f t="shared" ca="1" si="46"/>
        <v>2926444.2343195127</v>
      </c>
      <c r="AL59" s="201">
        <f t="shared" ca="1" si="46"/>
        <v>2960420.0447652698</v>
      </c>
      <c r="AM59" s="201">
        <f t="shared" ca="1" si="46"/>
        <v>3071037.8508363725</v>
      </c>
      <c r="AN59" s="201">
        <f t="shared" ca="1" si="46"/>
        <v>3143051.745803427</v>
      </c>
      <c r="AO59" s="201">
        <f t="shared" ca="1" si="46"/>
        <v>3143051.745803427</v>
      </c>
      <c r="AP59" s="201">
        <f t="shared" ca="1" si="46"/>
        <v>3226005.9464315837</v>
      </c>
      <c r="AQ59" s="201">
        <f t="shared" ca="1" si="46"/>
        <v>3325773.3199120192</v>
      </c>
      <c r="AR59" s="201">
        <f t="shared" ca="1" si="46"/>
        <v>3401028.4168816726</v>
      </c>
      <c r="AS59" s="201">
        <f t="shared" ca="1" si="46"/>
        <v>3401028.4168816726</v>
      </c>
      <c r="AT59" s="201">
        <f t="shared" ca="1" si="46"/>
        <v>3524172.5602058861</v>
      </c>
      <c r="AU59" s="201">
        <f t="shared" ca="1" si="46"/>
        <v>3597291.0280340607</v>
      </c>
      <c r="AV59" s="201">
        <f t="shared" ca="1" si="46"/>
        <v>3662852.1210725899</v>
      </c>
      <c r="AW59" s="201">
        <f t="shared" ca="1" si="46"/>
        <v>3662852.1210725899</v>
      </c>
      <c r="AX59" s="201">
        <f t="shared" ca="1" si="46"/>
        <v>3662852.1210725899</v>
      </c>
      <c r="AY59" s="201">
        <f t="shared" ca="1" si="46"/>
        <v>3771962.404512139</v>
      </c>
      <c r="AZ59" s="201">
        <f t="shared" ca="1" si="46"/>
        <v>3892163.1585564138</v>
      </c>
      <c r="BA59" s="201">
        <f t="shared" ca="1" si="46"/>
        <v>3993844.3460405669</v>
      </c>
      <c r="BB59" s="201">
        <f t="shared" ca="1" si="46"/>
        <v>4059844.917025493</v>
      </c>
      <c r="BC59" s="201">
        <f t="shared" ca="1" si="46"/>
        <v>4059844.917025493</v>
      </c>
      <c r="BD59" s="201">
        <f t="shared" ca="1" si="46"/>
        <v>4141630.5629729978</v>
      </c>
      <c r="BE59" s="201">
        <f t="shared" ca="1" si="46"/>
        <v>4264727.2456626259</v>
      </c>
      <c r="BF59" s="201">
        <f t="shared" ca="1" si="46"/>
        <v>4333807.2523292592</v>
      </c>
      <c r="BG59" s="201">
        <f t="shared" ca="1" si="46"/>
        <v>4402568.573840674</v>
      </c>
      <c r="BH59" s="201">
        <f t="shared" ca="1" si="46"/>
        <v>4471066.8272890244</v>
      </c>
      <c r="BI59" s="201">
        <f t="shared" ca="1" si="46"/>
        <v>4539214.5113520212</v>
      </c>
      <c r="BJ59" s="201">
        <f t="shared" ca="1" si="46"/>
        <v>4607008.9844364924</v>
      </c>
      <c r="BK59" s="201">
        <f t="shared" ca="1" si="46"/>
        <v>4674447.5842442047</v>
      </c>
      <c r="BL59" s="201">
        <f t="shared" ca="1" si="46"/>
        <v>15470224.621693142</v>
      </c>
    </row>
    <row r="60" spans="1:65">
      <c r="A60" s="193" t="s">
        <v>664</v>
      </c>
      <c r="B60" s="193"/>
      <c r="C60" s="193"/>
      <c r="D60" s="201">
        <f ca="1">C60+D58</f>
        <v>0</v>
      </c>
      <c r="E60" s="201">
        <f t="shared" ref="E60:BL60" ca="1" si="47">D60+E58</f>
        <v>9024.2804605629753</v>
      </c>
      <c r="F60" s="201">
        <f t="shared" ca="1" si="47"/>
        <v>9024.2804605629753</v>
      </c>
      <c r="G60" s="201">
        <f t="shared" ca="1" si="47"/>
        <v>9024.2804605629753</v>
      </c>
      <c r="H60" s="201">
        <f t="shared" ca="1" si="47"/>
        <v>9024.2804605629753</v>
      </c>
      <c r="I60" s="201">
        <f t="shared" ca="1" si="47"/>
        <v>9024.2804605629753</v>
      </c>
      <c r="J60" s="201">
        <f t="shared" ca="1" si="47"/>
        <v>9024.2804605629753</v>
      </c>
      <c r="K60" s="201">
        <f t="shared" ca="1" si="47"/>
        <v>9024.2804605629753</v>
      </c>
      <c r="L60" s="201">
        <f t="shared" ca="1" si="47"/>
        <v>9024.2804605629753</v>
      </c>
      <c r="M60" s="201">
        <f t="shared" ca="1" si="47"/>
        <v>9024.2804605629753</v>
      </c>
      <c r="N60" s="201">
        <f t="shared" ca="1" si="47"/>
        <v>9024.2804605629753</v>
      </c>
      <c r="O60" s="201">
        <f t="shared" ca="1" si="47"/>
        <v>9024.2804605629753</v>
      </c>
      <c r="P60" s="201">
        <f t="shared" ca="1" si="47"/>
        <v>9024.2804605629753</v>
      </c>
      <c r="Q60" s="201">
        <f t="shared" ca="1" si="47"/>
        <v>9024.2804605629753</v>
      </c>
      <c r="R60" s="201">
        <f t="shared" ca="1" si="47"/>
        <v>9024.2804605629753</v>
      </c>
      <c r="S60" s="201">
        <f t="shared" ca="1" si="47"/>
        <v>9024.2804605629753</v>
      </c>
      <c r="T60" s="201">
        <f t="shared" ca="1" si="47"/>
        <v>9024.2804605629753</v>
      </c>
      <c r="U60" s="201">
        <f t="shared" ca="1" si="47"/>
        <v>9024.2804605629753</v>
      </c>
      <c r="V60" s="201">
        <f t="shared" ca="1" si="47"/>
        <v>9024.2804605629753</v>
      </c>
      <c r="W60" s="201">
        <f t="shared" ca="1" si="47"/>
        <v>9024.2804605629753</v>
      </c>
      <c r="X60" s="201">
        <f t="shared" ca="1" si="47"/>
        <v>9024.2804605629753</v>
      </c>
      <c r="Y60" s="201">
        <f t="shared" ca="1" si="47"/>
        <v>219103.1674731336</v>
      </c>
      <c r="Z60" s="201">
        <f t="shared" ca="1" si="47"/>
        <v>229618.68884215609</v>
      </c>
      <c r="AA60" s="201">
        <f t="shared" ca="1" si="47"/>
        <v>240134.21021117858</v>
      </c>
      <c r="AB60" s="201">
        <f t="shared" ca="1" si="47"/>
        <v>250649.73158020107</v>
      </c>
      <c r="AC60" s="201">
        <f t="shared" ca="1" si="47"/>
        <v>261165.25294922356</v>
      </c>
      <c r="AD60" s="201">
        <f t="shared" ca="1" si="47"/>
        <v>271680.77431824605</v>
      </c>
      <c r="AE60" s="201">
        <f t="shared" ca="1" si="47"/>
        <v>282196.29568726855</v>
      </c>
      <c r="AF60" s="201">
        <f t="shared" ca="1" si="47"/>
        <v>292711.81705629104</v>
      </c>
      <c r="AG60" s="201">
        <f t="shared" ca="1" si="47"/>
        <v>303227.33842531353</v>
      </c>
      <c r="AH60" s="201">
        <f t="shared" ca="1" si="47"/>
        <v>313742.85979433602</v>
      </c>
      <c r="AI60" s="201">
        <f t="shared" ca="1" si="47"/>
        <v>324258.38116335851</v>
      </c>
      <c r="AJ60" s="201">
        <f t="shared" ca="1" si="47"/>
        <v>324258.38116335851</v>
      </c>
      <c r="AK60" s="201">
        <f t="shared" ca="1" si="47"/>
        <v>345365.03629656881</v>
      </c>
      <c r="AL60" s="201">
        <f t="shared" ca="1" si="47"/>
        <v>345365.03629656881</v>
      </c>
      <c r="AM60" s="201">
        <f t="shared" ca="1" si="47"/>
        <v>366479.69782792049</v>
      </c>
      <c r="AN60" s="201">
        <f t="shared" ca="1" si="47"/>
        <v>377003.1744109976</v>
      </c>
      <c r="AO60" s="201">
        <f t="shared" ca="1" si="47"/>
        <v>377003.1744109976</v>
      </c>
      <c r="AP60" s="201">
        <f t="shared" ca="1" si="47"/>
        <v>377003.1744109976</v>
      </c>
      <c r="AQ60" s="201">
        <f t="shared" ca="1" si="47"/>
        <v>377003.1744109976</v>
      </c>
      <c r="AR60" s="201">
        <f t="shared" ca="1" si="47"/>
        <v>402626.27876752376</v>
      </c>
      <c r="AS60" s="201">
        <f t="shared" ca="1" si="47"/>
        <v>402626.27876752376</v>
      </c>
      <c r="AT60" s="201">
        <f t="shared" ca="1" si="47"/>
        <v>402626.27876752376</v>
      </c>
      <c r="AU60" s="201">
        <f t="shared" ca="1" si="47"/>
        <v>433588.57489046687</v>
      </c>
      <c r="AV60" s="201">
        <f t="shared" ca="1" si="47"/>
        <v>463727.15074372164</v>
      </c>
      <c r="AW60" s="201">
        <f t="shared" ca="1" si="47"/>
        <v>463727.15074372164</v>
      </c>
      <c r="AX60" s="201">
        <f t="shared" ca="1" si="47"/>
        <v>463727.15074372164</v>
      </c>
      <c r="AY60" s="201">
        <f t="shared" ca="1" si="47"/>
        <v>463727.15074372164</v>
      </c>
      <c r="AZ60" s="201">
        <f t="shared" ca="1" si="47"/>
        <v>463727.15074372164</v>
      </c>
      <c r="BA60" s="201">
        <f t="shared" ca="1" si="47"/>
        <v>482540.76724175247</v>
      </c>
      <c r="BB60" s="201">
        <f t="shared" ca="1" si="47"/>
        <v>529643.19384294818</v>
      </c>
      <c r="BC60" s="201">
        <f t="shared" ca="1" si="47"/>
        <v>529643.19384294818</v>
      </c>
      <c r="BD60" s="201">
        <f t="shared" ca="1" si="47"/>
        <v>529643.19384294818</v>
      </c>
      <c r="BE60" s="201">
        <f t="shared" ca="1" si="47"/>
        <v>538522.23316792026</v>
      </c>
      <c r="BF60" s="201">
        <f t="shared" ca="1" si="47"/>
        <v>574458.69318127527</v>
      </c>
      <c r="BG60" s="201">
        <f t="shared" ca="1" si="47"/>
        <v>585656.87018969504</v>
      </c>
      <c r="BH60" s="201">
        <f t="shared" ca="1" si="47"/>
        <v>596855.0471981148</v>
      </c>
      <c r="BI60" s="201">
        <f t="shared" ca="1" si="47"/>
        <v>608053.22420653456</v>
      </c>
      <c r="BJ60" s="201">
        <f t="shared" ca="1" si="47"/>
        <v>619251.40121495433</v>
      </c>
      <c r="BK60" s="201">
        <f t="shared" ca="1" si="47"/>
        <v>630449.57822337409</v>
      </c>
      <c r="BL60" s="201">
        <f t="shared" ca="1" si="47"/>
        <v>3867556.1554232854</v>
      </c>
      <c r="BM60" s="207"/>
    </row>
    <row r="61" spans="1:65">
      <c r="A61" s="125"/>
      <c r="B61" s="125"/>
      <c r="C61" s="125"/>
      <c r="D61" s="125"/>
      <c r="E61" s="125"/>
      <c r="F61" s="125"/>
      <c r="G61" s="125"/>
      <c r="H61" s="125"/>
      <c r="I61" s="125"/>
      <c r="J61" s="125"/>
      <c r="K61" s="125"/>
      <c r="L61" s="125"/>
      <c r="M61" s="125"/>
      <c r="N61" s="125"/>
      <c r="O61" s="125"/>
      <c r="P61" s="125"/>
      <c r="Q61" s="125"/>
      <c r="R61" s="125"/>
      <c r="S61" s="125"/>
      <c r="T61" s="125"/>
      <c r="U61" s="125"/>
      <c r="V61" s="125"/>
      <c r="W61" s="125"/>
      <c r="X61" s="125"/>
      <c r="Y61" s="125"/>
      <c r="Z61" s="125"/>
      <c r="AA61" s="125"/>
      <c r="AB61" s="125"/>
      <c r="AC61" s="125"/>
      <c r="AD61" s="125"/>
      <c r="AE61" s="125"/>
      <c r="AF61" s="125"/>
      <c r="AG61" s="125"/>
      <c r="AH61" s="125"/>
      <c r="AI61" s="125"/>
      <c r="AJ61" s="125"/>
      <c r="AK61" s="125"/>
      <c r="AL61" s="125"/>
      <c r="AM61" s="125"/>
      <c r="AN61" s="125"/>
      <c r="AO61" s="125"/>
      <c r="AP61" s="125"/>
      <c r="AQ61" s="125"/>
      <c r="AR61" s="125"/>
      <c r="AS61" s="125"/>
      <c r="AT61" s="125"/>
      <c r="AU61" s="125"/>
      <c r="AV61" s="125"/>
      <c r="AW61" s="125"/>
      <c r="AX61" s="125"/>
      <c r="AY61" s="125"/>
      <c r="AZ61" s="125"/>
      <c r="BA61" s="125"/>
      <c r="BB61" s="125"/>
      <c r="BC61" s="125"/>
      <c r="BD61" s="125"/>
      <c r="BE61" s="125"/>
      <c r="BF61" s="125"/>
      <c r="BG61" s="125"/>
      <c r="BH61" s="125"/>
      <c r="BI61" s="125"/>
      <c r="BJ61" s="125"/>
      <c r="BK61" s="125"/>
      <c r="BL61" s="125"/>
    </row>
    <row r="62" spans="1:65">
      <c r="A62" s="198" t="s">
        <v>665</v>
      </c>
      <c r="B62" s="198"/>
      <c r="C62" s="198"/>
      <c r="D62" s="198"/>
      <c r="E62" s="198"/>
      <c r="F62" s="198"/>
      <c r="G62" s="198"/>
      <c r="H62" s="198"/>
      <c r="I62" s="198"/>
      <c r="J62" s="198"/>
      <c r="K62" s="198"/>
      <c r="L62" s="198"/>
      <c r="M62" s="198"/>
      <c r="N62" s="198"/>
      <c r="O62" s="198"/>
      <c r="P62" s="198"/>
      <c r="Q62" s="198"/>
      <c r="R62" s="198"/>
      <c r="S62" s="198"/>
      <c r="T62" s="198"/>
      <c r="U62" s="198"/>
      <c r="V62" s="198"/>
      <c r="W62" s="198"/>
      <c r="X62" s="198"/>
      <c r="Y62" s="198"/>
      <c r="Z62" s="198"/>
      <c r="AA62" s="198"/>
      <c r="AB62" s="198"/>
      <c r="AC62" s="198"/>
      <c r="AD62" s="198"/>
      <c r="AE62" s="198"/>
      <c r="AF62" s="198"/>
      <c r="AG62" s="198"/>
      <c r="AH62" s="198"/>
      <c r="AI62" s="198"/>
      <c r="AJ62" s="198"/>
      <c r="AK62" s="198"/>
      <c r="AL62" s="198"/>
      <c r="AM62" s="198"/>
      <c r="AN62" s="198"/>
      <c r="AO62" s="198"/>
      <c r="AP62" s="198"/>
      <c r="AQ62" s="198"/>
      <c r="AR62" s="198"/>
      <c r="AS62" s="198"/>
      <c r="AT62" s="198"/>
      <c r="AU62" s="198"/>
      <c r="AV62" s="198"/>
      <c r="AW62" s="198"/>
      <c r="AX62" s="198"/>
      <c r="AY62" s="198"/>
      <c r="AZ62" s="198"/>
      <c r="BA62" s="198"/>
      <c r="BB62" s="198"/>
      <c r="BC62" s="198"/>
      <c r="BD62" s="198"/>
      <c r="BE62" s="198"/>
      <c r="BF62" s="198"/>
      <c r="BG62" s="198"/>
      <c r="BH62" s="198"/>
      <c r="BI62" s="198"/>
      <c r="BJ62" s="198"/>
      <c r="BK62" s="198"/>
      <c r="BL62" s="198"/>
    </row>
    <row r="63" spans="1:65">
      <c r="A63" s="126" t="s">
        <v>666</v>
      </c>
      <c r="B63" s="126"/>
      <c r="C63" s="126"/>
      <c r="D63" s="200">
        <f ca="1">D40+D44+D53+D55</f>
        <v>0</v>
      </c>
      <c r="E63" s="200">
        <f t="shared" ref="E63:BL63" ca="1" si="48">E40+E44+E53+E55</f>
        <v>217378.66578943707</v>
      </c>
      <c r="F63" s="200">
        <f t="shared" ca="1" si="48"/>
        <v>0</v>
      </c>
      <c r="G63" s="200">
        <f t="shared" ca="1" si="48"/>
        <v>0</v>
      </c>
      <c r="H63" s="200">
        <f t="shared" ca="1" si="48"/>
        <v>0</v>
      </c>
      <c r="I63" s="200">
        <f t="shared" ca="1" si="48"/>
        <v>0</v>
      </c>
      <c r="J63" s="200">
        <f t="shared" ca="1" si="48"/>
        <v>0</v>
      </c>
      <c r="K63" s="200">
        <f t="shared" ca="1" si="48"/>
        <v>0</v>
      </c>
      <c r="L63" s="200">
        <f t="shared" ca="1" si="48"/>
        <v>0</v>
      </c>
      <c r="M63" s="200">
        <f t="shared" ca="1" si="48"/>
        <v>0</v>
      </c>
      <c r="N63" s="200">
        <f t="shared" ca="1" si="48"/>
        <v>0</v>
      </c>
      <c r="O63" s="200">
        <f t="shared" ca="1" si="48"/>
        <v>0</v>
      </c>
      <c r="P63" s="200">
        <f t="shared" ca="1" si="48"/>
        <v>0</v>
      </c>
      <c r="Q63" s="200">
        <f t="shared" ca="1" si="48"/>
        <v>0</v>
      </c>
      <c r="R63" s="200">
        <f t="shared" ca="1" si="48"/>
        <v>0</v>
      </c>
      <c r="S63" s="200">
        <f t="shared" ca="1" si="48"/>
        <v>0</v>
      </c>
      <c r="T63" s="200">
        <f t="shared" ca="1" si="48"/>
        <v>315516.07418598607</v>
      </c>
      <c r="U63" s="200">
        <f t="shared" ca="1" si="48"/>
        <v>409320.66848353203</v>
      </c>
      <c r="V63" s="200">
        <f t="shared" ca="1" si="48"/>
        <v>0</v>
      </c>
      <c r="W63" s="200">
        <f t="shared" ca="1" si="48"/>
        <v>423189.60933183512</v>
      </c>
      <c r="X63" s="200">
        <f t="shared" ca="1" si="48"/>
        <v>458198.57641526632</v>
      </c>
      <c r="Y63" s="200">
        <f t="shared" ca="1" si="48"/>
        <v>248119.68940269569</v>
      </c>
      <c r="Z63" s="200">
        <f t="shared" ca="1" si="48"/>
        <v>447683.05504624383</v>
      </c>
      <c r="AA63" s="200">
        <f t="shared" ca="1" si="48"/>
        <v>113264.15036229072</v>
      </c>
      <c r="AB63" s="200">
        <f t="shared" ca="1" si="48"/>
        <v>340827.99395810044</v>
      </c>
      <c r="AC63" s="200">
        <f t="shared" ca="1" si="48"/>
        <v>443791.14726469002</v>
      </c>
      <c r="AD63" s="200">
        <f t="shared" ca="1" si="48"/>
        <v>448946.47858845303</v>
      </c>
      <c r="AE63" s="200">
        <f t="shared" ca="1" si="48"/>
        <v>450067.07190828217</v>
      </c>
      <c r="AF63" s="200">
        <f t="shared" ca="1" si="48"/>
        <v>452399.3857341588</v>
      </c>
      <c r="AG63" s="200">
        <f t="shared" ca="1" si="48"/>
        <v>469208.83268794435</v>
      </c>
      <c r="AH63" s="200">
        <f t="shared" ca="1" si="48"/>
        <v>469208.83268794435</v>
      </c>
      <c r="AI63" s="200">
        <f t="shared" ca="1" si="48"/>
        <v>336833.98855125363</v>
      </c>
      <c r="AJ63" s="200">
        <f t="shared" ca="1" si="48"/>
        <v>0</v>
      </c>
      <c r="AK63" s="200">
        <f t="shared" ca="1" si="48"/>
        <v>385327.97262626071</v>
      </c>
      <c r="AL63" s="200">
        <f t="shared" ca="1" si="48"/>
        <v>33975.810445757001</v>
      </c>
      <c r="AM63" s="200">
        <f t="shared" ca="1" si="48"/>
        <v>135490.14597840491</v>
      </c>
      <c r="AN63" s="200">
        <f t="shared" ca="1" si="48"/>
        <v>1444538.4100862225</v>
      </c>
      <c r="AO63" s="200">
        <f t="shared" ca="1" si="48"/>
        <v>0</v>
      </c>
      <c r="AP63" s="200">
        <f t="shared" ca="1" si="48"/>
        <v>82954.200628156657</v>
      </c>
      <c r="AQ63" s="200">
        <f t="shared" ca="1" si="48"/>
        <v>99767.373480435286</v>
      </c>
      <c r="AR63" s="200">
        <f t="shared" ca="1" si="48"/>
        <v>75255.096969653212</v>
      </c>
      <c r="AS63" s="200">
        <f t="shared" ca="1" si="48"/>
        <v>0</v>
      </c>
      <c r="AT63" s="200">
        <f t="shared" ca="1" si="48"/>
        <v>123144.14332421339</v>
      </c>
      <c r="AU63" s="200">
        <f t="shared" ca="1" si="48"/>
        <v>73118.467828174602</v>
      </c>
      <c r="AV63" s="200">
        <f t="shared" ca="1" si="48"/>
        <v>85363.292600492394</v>
      </c>
      <c r="AW63" s="200">
        <f t="shared" ca="1" si="48"/>
        <v>0</v>
      </c>
      <c r="AX63" s="200">
        <f t="shared" ca="1" si="48"/>
        <v>0</v>
      </c>
      <c r="AY63" s="200">
        <f t="shared" ca="1" si="48"/>
        <v>109110.28343954921</v>
      </c>
      <c r="AZ63" s="200">
        <f t="shared" ca="1" si="48"/>
        <v>120200.75404427474</v>
      </c>
      <c r="BA63" s="200">
        <f t="shared" ca="1" si="48"/>
        <v>101681.18748415314</v>
      </c>
      <c r="BB63" s="200">
        <f t="shared" ca="1" si="48"/>
        <v>73448.488148066433</v>
      </c>
      <c r="BC63" s="200">
        <f t="shared" ca="1" si="48"/>
        <v>0</v>
      </c>
      <c r="BD63" s="200">
        <f t="shared" ca="1" si="48"/>
        <v>81785.645947504672</v>
      </c>
      <c r="BE63" s="200">
        <f t="shared" ca="1" si="48"/>
        <v>123096.68268962848</v>
      </c>
      <c r="BF63" s="200">
        <f t="shared" ca="1" si="48"/>
        <v>118611.19470433239</v>
      </c>
      <c r="BG63" s="200">
        <f t="shared" ca="1" si="48"/>
        <v>109648.30192136054</v>
      </c>
      <c r="BH63" s="200">
        <f t="shared" ca="1" si="48"/>
        <v>122985.00271109637</v>
      </c>
      <c r="BI63" s="200">
        <f t="shared" ca="1" si="48"/>
        <v>123044.99919634493</v>
      </c>
      <c r="BJ63" s="200">
        <f t="shared" ca="1" si="48"/>
        <v>123105.5721427903</v>
      </c>
      <c r="BK63" s="200">
        <f t="shared" ca="1" si="48"/>
        <v>123166.72703336336</v>
      </c>
      <c r="BL63" s="200">
        <f t="shared" ca="1" si="48"/>
        <v>21221597.590398241</v>
      </c>
    </row>
    <row r="64" spans="1:65">
      <c r="A64" s="126" t="s">
        <v>667</v>
      </c>
      <c r="B64" s="126"/>
      <c r="C64" s="126"/>
      <c r="D64" s="200">
        <f ca="1">D42+D46+D52+D56</f>
        <v>0</v>
      </c>
      <c r="E64" s="200">
        <f t="shared" ref="E64:BL64" ca="1" si="49">E42+E46+E52+E56</f>
        <v>9024.2804605629753</v>
      </c>
      <c r="F64" s="200">
        <f t="shared" ca="1" si="49"/>
        <v>0</v>
      </c>
      <c r="G64" s="200">
        <f t="shared" ca="1" si="49"/>
        <v>0</v>
      </c>
      <c r="H64" s="200">
        <f t="shared" ca="1" si="49"/>
        <v>0</v>
      </c>
      <c r="I64" s="200">
        <f t="shared" ca="1" si="49"/>
        <v>0</v>
      </c>
      <c r="J64" s="200">
        <f t="shared" ca="1" si="49"/>
        <v>0</v>
      </c>
      <c r="K64" s="200">
        <f t="shared" ca="1" si="49"/>
        <v>0</v>
      </c>
      <c r="L64" s="200">
        <f t="shared" ca="1" si="49"/>
        <v>0</v>
      </c>
      <c r="M64" s="200">
        <f t="shared" ca="1" si="49"/>
        <v>0</v>
      </c>
      <c r="N64" s="200">
        <f t="shared" ca="1" si="49"/>
        <v>0</v>
      </c>
      <c r="O64" s="200">
        <f t="shared" ca="1" si="49"/>
        <v>0</v>
      </c>
      <c r="P64" s="200">
        <f t="shared" ca="1" si="49"/>
        <v>0</v>
      </c>
      <c r="Q64" s="200">
        <f t="shared" ca="1" si="49"/>
        <v>0</v>
      </c>
      <c r="R64" s="200">
        <f t="shared" ca="1" si="49"/>
        <v>0</v>
      </c>
      <c r="S64" s="200">
        <f t="shared" ca="1" si="49"/>
        <v>0</v>
      </c>
      <c r="T64" s="200">
        <f t="shared" ca="1" si="49"/>
        <v>0</v>
      </c>
      <c r="U64" s="200">
        <f t="shared" ca="1" si="49"/>
        <v>0</v>
      </c>
      <c r="V64" s="200">
        <f t="shared" ca="1" si="49"/>
        <v>0</v>
      </c>
      <c r="W64" s="200">
        <f t="shared" ca="1" si="49"/>
        <v>0</v>
      </c>
      <c r="X64" s="200">
        <f t="shared" ca="1" si="49"/>
        <v>0</v>
      </c>
      <c r="Y64" s="200">
        <f t="shared" ca="1" si="49"/>
        <v>210078.88701257063</v>
      </c>
      <c r="Z64" s="200">
        <f t="shared" ca="1" si="49"/>
        <v>10515.521369022505</v>
      </c>
      <c r="AA64" s="200">
        <f t="shared" ca="1" si="49"/>
        <v>10515.521369022505</v>
      </c>
      <c r="AB64" s="200">
        <f t="shared" ca="1" si="49"/>
        <v>10515.521369022505</v>
      </c>
      <c r="AC64" s="200">
        <f t="shared" ca="1" si="49"/>
        <v>10515.521369022505</v>
      </c>
      <c r="AD64" s="200">
        <f t="shared" ca="1" si="49"/>
        <v>10515.521369022505</v>
      </c>
      <c r="AE64" s="200">
        <f t="shared" ca="1" si="49"/>
        <v>10515.521369022505</v>
      </c>
      <c r="AF64" s="200">
        <f t="shared" ca="1" si="49"/>
        <v>10515.521369022505</v>
      </c>
      <c r="AG64" s="200">
        <f t="shared" ca="1" si="49"/>
        <v>10515.521369022505</v>
      </c>
      <c r="AH64" s="200">
        <f t="shared" ca="1" si="49"/>
        <v>10515.521369022505</v>
      </c>
      <c r="AI64" s="200">
        <f t="shared" ca="1" si="49"/>
        <v>10515.521369022505</v>
      </c>
      <c r="AJ64" s="200">
        <f t="shared" ca="1" si="49"/>
        <v>0</v>
      </c>
      <c r="AK64" s="200">
        <f t="shared" ca="1" si="49"/>
        <v>21106.655133210312</v>
      </c>
      <c r="AL64" s="200">
        <f t="shared" ca="1" si="49"/>
        <v>0</v>
      </c>
      <c r="AM64" s="200">
        <f t="shared" ca="1" si="49"/>
        <v>21114.661531351696</v>
      </c>
      <c r="AN64" s="200">
        <f t="shared" ca="1" si="49"/>
        <v>10523.47658307713</v>
      </c>
      <c r="AO64" s="200">
        <f t="shared" ca="1" si="49"/>
        <v>0</v>
      </c>
      <c r="AP64" s="200">
        <f t="shared" ca="1" si="49"/>
        <v>0</v>
      </c>
      <c r="AQ64" s="200">
        <f t="shared" ca="1" si="49"/>
        <v>0</v>
      </c>
      <c r="AR64" s="200">
        <f t="shared" ca="1" si="49"/>
        <v>25623.104356526164</v>
      </c>
      <c r="AS64" s="200">
        <f t="shared" ca="1" si="49"/>
        <v>0</v>
      </c>
      <c r="AT64" s="200">
        <f t="shared" ca="1" si="49"/>
        <v>0</v>
      </c>
      <c r="AU64" s="200">
        <f t="shared" ca="1" si="49"/>
        <v>30962.296122943095</v>
      </c>
      <c r="AV64" s="200">
        <f t="shared" ca="1" si="49"/>
        <v>30138.575853254792</v>
      </c>
      <c r="AW64" s="200">
        <f t="shared" ca="1" si="49"/>
        <v>0</v>
      </c>
      <c r="AX64" s="200">
        <f t="shared" ca="1" si="49"/>
        <v>0</v>
      </c>
      <c r="AY64" s="200">
        <f t="shared" ca="1" si="49"/>
        <v>0</v>
      </c>
      <c r="AZ64" s="200">
        <f t="shared" ca="1" si="49"/>
        <v>0</v>
      </c>
      <c r="BA64" s="200">
        <f t="shared" ca="1" si="49"/>
        <v>18813.616498030839</v>
      </c>
      <c r="BB64" s="200">
        <f t="shared" ca="1" si="49"/>
        <v>47102.426601195664</v>
      </c>
      <c r="BC64" s="200">
        <f t="shared" ca="1" si="49"/>
        <v>0</v>
      </c>
      <c r="BD64" s="200">
        <f t="shared" ca="1" si="49"/>
        <v>0</v>
      </c>
      <c r="BE64" s="200">
        <f t="shared" ca="1" si="49"/>
        <v>8879.039324972051</v>
      </c>
      <c r="BF64" s="200">
        <f t="shared" ca="1" si="49"/>
        <v>35936.460013355019</v>
      </c>
      <c r="BG64" s="200">
        <f t="shared" ca="1" si="49"/>
        <v>11198.177008419818</v>
      </c>
      <c r="BH64" s="200">
        <f t="shared" ca="1" si="49"/>
        <v>11198.177008419818</v>
      </c>
      <c r="BI64" s="200">
        <f t="shared" ca="1" si="49"/>
        <v>11198.177008419818</v>
      </c>
      <c r="BJ64" s="200">
        <f t="shared" ca="1" si="49"/>
        <v>11198.177008419818</v>
      </c>
      <c r="BK64" s="200">
        <f t="shared" ca="1" si="49"/>
        <v>11198.177008419818</v>
      </c>
      <c r="BL64" s="200">
        <f t="shared" ca="1" si="49"/>
        <v>4977567.348592516</v>
      </c>
    </row>
    <row r="65" spans="1:64">
      <c r="A65" s="126" t="s">
        <v>668</v>
      </c>
      <c r="B65" s="126"/>
      <c r="C65" s="126"/>
      <c r="D65" s="200">
        <f ca="1">D63-D13</f>
        <v>-12623273.866684388</v>
      </c>
      <c r="E65" s="200">
        <f t="shared" ref="E65:BL65" ca="1" si="50">E63-E13</f>
        <v>217378.66578943707</v>
      </c>
      <c r="F65" s="200">
        <f t="shared" ca="1" si="50"/>
        <v>-37101.353343750001</v>
      </c>
      <c r="G65" s="200">
        <f t="shared" ca="1" si="50"/>
        <v>-61571.794781250006</v>
      </c>
      <c r="H65" s="200">
        <f t="shared" ca="1" si="50"/>
        <v>-58566.455824218756</v>
      </c>
      <c r="I65" s="200">
        <f t="shared" ca="1" si="50"/>
        <v>-87461.98766574607</v>
      </c>
      <c r="J65" s="200">
        <f t="shared" ca="1" si="50"/>
        <v>-169781.04015083201</v>
      </c>
      <c r="K65" s="200">
        <f t="shared" ca="1" si="50"/>
        <v>-107347.04368625391</v>
      </c>
      <c r="L65" s="200">
        <f t="shared" ca="1" si="50"/>
        <v>-261643.28094883598</v>
      </c>
      <c r="M65" s="200">
        <f t="shared" ca="1" si="50"/>
        <v>-237996.30277502345</v>
      </c>
      <c r="N65" s="200">
        <f t="shared" ca="1" si="50"/>
        <v>-287558.73893186724</v>
      </c>
      <c r="O65" s="200">
        <f t="shared" ca="1" si="50"/>
        <v>-358882.92549749988</v>
      </c>
      <c r="P65" s="200">
        <f t="shared" ca="1" si="50"/>
        <v>-159254.41646775001</v>
      </c>
      <c r="Q65" s="200">
        <f t="shared" ca="1" si="50"/>
        <v>-146323.36213548639</v>
      </c>
      <c r="R65" s="200">
        <f t="shared" ca="1" si="50"/>
        <v>-30506.277057703126</v>
      </c>
      <c r="S65" s="200">
        <f t="shared" ca="1" si="50"/>
        <v>-30528.883308153134</v>
      </c>
      <c r="T65" s="200">
        <f t="shared" ca="1" si="50"/>
        <v>315516.07418598607</v>
      </c>
      <c r="U65" s="200">
        <f t="shared" ca="1" si="50"/>
        <v>409320.66848353203</v>
      </c>
      <c r="V65" s="200">
        <f t="shared" ca="1" si="50"/>
        <v>-51442.156650337107</v>
      </c>
      <c r="W65" s="200">
        <f t="shared" ca="1" si="50"/>
        <v>423189.60933183512</v>
      </c>
      <c r="X65" s="200">
        <f t="shared" ca="1" si="50"/>
        <v>458198.57641526632</v>
      </c>
      <c r="Y65" s="200">
        <f t="shared" ca="1" si="50"/>
        <v>248119.68940269569</v>
      </c>
      <c r="Z65" s="200">
        <f t="shared" ca="1" si="50"/>
        <v>447683.05504624383</v>
      </c>
      <c r="AA65" s="200">
        <f t="shared" ca="1" si="50"/>
        <v>113264.15036229072</v>
      </c>
      <c r="AB65" s="200">
        <f t="shared" ca="1" si="50"/>
        <v>340827.99395810044</v>
      </c>
      <c r="AC65" s="200">
        <f t="shared" ca="1" si="50"/>
        <v>443791.14726469002</v>
      </c>
      <c r="AD65" s="200">
        <f t="shared" ca="1" si="50"/>
        <v>448946.47858845303</v>
      </c>
      <c r="AE65" s="200">
        <f t="shared" ca="1" si="50"/>
        <v>450067.07190828217</v>
      </c>
      <c r="AF65" s="200">
        <f t="shared" ca="1" si="50"/>
        <v>452399.3857341588</v>
      </c>
      <c r="AG65" s="200">
        <f t="shared" ca="1" si="50"/>
        <v>469208.83268794435</v>
      </c>
      <c r="AH65" s="200">
        <f t="shared" ca="1" si="50"/>
        <v>469208.83268794435</v>
      </c>
      <c r="AI65" s="200">
        <f t="shared" ca="1" si="50"/>
        <v>336833.98855125363</v>
      </c>
      <c r="AJ65" s="200">
        <f t="shared" ca="1" si="50"/>
        <v>-11127.85070438336</v>
      </c>
      <c r="AK65" s="200">
        <f t="shared" ca="1" si="50"/>
        <v>385327.97262626071</v>
      </c>
      <c r="AL65" s="200">
        <f t="shared" ca="1" si="50"/>
        <v>33975.810445757001</v>
      </c>
      <c r="AM65" s="200">
        <f t="shared" ca="1" si="50"/>
        <v>135490.14597840491</v>
      </c>
      <c r="AN65" s="200">
        <f t="shared" ca="1" si="50"/>
        <v>1444538.4100862225</v>
      </c>
      <c r="AO65" s="200">
        <f t="shared" ca="1" si="50"/>
        <v>-232040.16502545972</v>
      </c>
      <c r="AP65" s="200">
        <f t="shared" ca="1" si="50"/>
        <v>82954.200628156657</v>
      </c>
      <c r="AQ65" s="200">
        <f t="shared" ca="1" si="50"/>
        <v>99767.373480435286</v>
      </c>
      <c r="AR65" s="200">
        <f t="shared" ca="1" si="50"/>
        <v>75255.096969653212</v>
      </c>
      <c r="AS65" s="200">
        <f t="shared" ca="1" si="50"/>
        <v>-137566.76683703993</v>
      </c>
      <c r="AT65" s="200">
        <f t="shared" ca="1" si="50"/>
        <v>123144.14332421339</v>
      </c>
      <c r="AU65" s="200">
        <f t="shared" ca="1" si="50"/>
        <v>73118.467828174602</v>
      </c>
      <c r="AV65" s="200">
        <f t="shared" ca="1" si="50"/>
        <v>85363.292600492394</v>
      </c>
      <c r="AW65" s="200">
        <f t="shared" ca="1" si="50"/>
        <v>-8676.3546831972253</v>
      </c>
      <c r="AX65" s="200">
        <f t="shared" ca="1" si="50"/>
        <v>-79431.081081118158</v>
      </c>
      <c r="AY65" s="200">
        <f t="shared" ca="1" si="50"/>
        <v>109110.28343954921</v>
      </c>
      <c r="AZ65" s="200">
        <f t="shared" ca="1" si="50"/>
        <v>120200.75404427474</v>
      </c>
      <c r="BA65" s="200">
        <f t="shared" ca="1" si="50"/>
        <v>101681.18748415314</v>
      </c>
      <c r="BB65" s="200">
        <f t="shared" ca="1" si="50"/>
        <v>73448.488148066433</v>
      </c>
      <c r="BC65" s="200">
        <f t="shared" ca="1" si="50"/>
        <v>-486064.83829315205</v>
      </c>
      <c r="BD65" s="200">
        <f t="shared" ca="1" si="50"/>
        <v>81785.645947504672</v>
      </c>
      <c r="BE65" s="200">
        <f t="shared" ca="1" si="50"/>
        <v>123096.68268962848</v>
      </c>
      <c r="BF65" s="200">
        <f t="shared" ca="1" si="50"/>
        <v>118611.19470433239</v>
      </c>
      <c r="BG65" s="200">
        <f t="shared" ca="1" si="50"/>
        <v>109648.30192136054</v>
      </c>
      <c r="BH65" s="200">
        <f t="shared" ca="1" si="50"/>
        <v>122985.00271109637</v>
      </c>
      <c r="BI65" s="200">
        <f t="shared" ca="1" si="50"/>
        <v>123044.99919634493</v>
      </c>
      <c r="BJ65" s="200">
        <f t="shared" ca="1" si="50"/>
        <v>123105.5721427903</v>
      </c>
      <c r="BK65" s="200">
        <f t="shared" ca="1" si="50"/>
        <v>123166.72703336336</v>
      </c>
      <c r="BL65" s="200">
        <f t="shared" ca="1" si="50"/>
        <v>21221597.590398241</v>
      </c>
    </row>
    <row r="66" spans="1:64">
      <c r="A66" s="126" t="s">
        <v>669</v>
      </c>
      <c r="B66" s="126"/>
      <c r="C66" s="126"/>
      <c r="D66" s="200">
        <f ca="1">D64-D14</f>
        <v>-1402585.9851871543</v>
      </c>
      <c r="E66" s="200">
        <f t="shared" ref="E66:BL66" ca="1" si="51">E64-E14</f>
        <v>9024.2804605629753</v>
      </c>
      <c r="F66" s="200">
        <f t="shared" ca="1" si="51"/>
        <v>-4122.3725937500003</v>
      </c>
      <c r="G66" s="200">
        <f t="shared" ca="1" si="51"/>
        <v>-6841.3105312500011</v>
      </c>
      <c r="H66" s="200">
        <f t="shared" ca="1" si="51"/>
        <v>-6507.3839804687514</v>
      </c>
      <c r="I66" s="200">
        <f t="shared" ca="1" si="51"/>
        <v>-9717.9986295273411</v>
      </c>
      <c r="J66" s="200">
        <f t="shared" ca="1" si="51"/>
        <v>-18864.560016759115</v>
      </c>
      <c r="K66" s="200">
        <f t="shared" ca="1" si="51"/>
        <v>-11927.449298472657</v>
      </c>
      <c r="L66" s="200">
        <f t="shared" ca="1" si="51"/>
        <v>-29071.475660981774</v>
      </c>
      <c r="M66" s="200">
        <f t="shared" ca="1" si="51"/>
        <v>-26444.033641669273</v>
      </c>
      <c r="N66" s="200">
        <f t="shared" ca="1" si="51"/>
        <v>-31950.970992429695</v>
      </c>
      <c r="O66" s="200">
        <f t="shared" ca="1" si="51"/>
        <v>-39875.880610833323</v>
      </c>
      <c r="P66" s="200">
        <f t="shared" ca="1" si="51"/>
        <v>-17694.935163083337</v>
      </c>
      <c r="Q66" s="200">
        <f t="shared" ca="1" si="51"/>
        <v>-16258.151348387375</v>
      </c>
      <c r="R66" s="200">
        <f t="shared" ca="1" si="51"/>
        <v>-3389.586339744792</v>
      </c>
      <c r="S66" s="200">
        <f t="shared" ca="1" si="51"/>
        <v>-3392.0981453503482</v>
      </c>
      <c r="T66" s="200">
        <f t="shared" ca="1" si="51"/>
        <v>0</v>
      </c>
      <c r="U66" s="200">
        <f t="shared" ca="1" si="51"/>
        <v>0</v>
      </c>
      <c r="V66" s="200">
        <f t="shared" ca="1" si="51"/>
        <v>-5715.7951833707893</v>
      </c>
      <c r="W66" s="200">
        <f t="shared" ca="1" si="51"/>
        <v>0</v>
      </c>
      <c r="X66" s="200">
        <f t="shared" ca="1" si="51"/>
        <v>0</v>
      </c>
      <c r="Y66" s="200">
        <f t="shared" ca="1" si="51"/>
        <v>210078.88701257063</v>
      </c>
      <c r="Z66" s="200">
        <f t="shared" ca="1" si="51"/>
        <v>10515.521369022505</v>
      </c>
      <c r="AA66" s="200">
        <f t="shared" ca="1" si="51"/>
        <v>10515.521369022505</v>
      </c>
      <c r="AB66" s="200">
        <f t="shared" ca="1" si="51"/>
        <v>10515.521369022505</v>
      </c>
      <c r="AC66" s="200">
        <f t="shared" ca="1" si="51"/>
        <v>10515.521369022505</v>
      </c>
      <c r="AD66" s="200">
        <f t="shared" ca="1" si="51"/>
        <v>10515.521369022505</v>
      </c>
      <c r="AE66" s="200">
        <f t="shared" ca="1" si="51"/>
        <v>10515.521369022505</v>
      </c>
      <c r="AF66" s="200">
        <f t="shared" ca="1" si="51"/>
        <v>10515.521369022505</v>
      </c>
      <c r="AG66" s="200">
        <f t="shared" ca="1" si="51"/>
        <v>10515.521369022505</v>
      </c>
      <c r="AH66" s="200">
        <f t="shared" ca="1" si="51"/>
        <v>10515.521369022505</v>
      </c>
      <c r="AI66" s="200">
        <f t="shared" ca="1" si="51"/>
        <v>10515.521369022505</v>
      </c>
      <c r="AJ66" s="200">
        <f t="shared" ca="1" si="51"/>
        <v>-1236.4278560425955</v>
      </c>
      <c r="AK66" s="200">
        <f t="shared" ca="1" si="51"/>
        <v>21106.655133210312</v>
      </c>
      <c r="AL66" s="200">
        <f t="shared" ca="1" si="51"/>
        <v>0</v>
      </c>
      <c r="AM66" s="200">
        <f t="shared" ca="1" si="51"/>
        <v>21114.661531351696</v>
      </c>
      <c r="AN66" s="200">
        <f t="shared" ca="1" si="51"/>
        <v>10523.47658307713</v>
      </c>
      <c r="AO66" s="200">
        <f t="shared" ca="1" si="51"/>
        <v>-25782.240558384412</v>
      </c>
      <c r="AP66" s="200">
        <f t="shared" ca="1" si="51"/>
        <v>0</v>
      </c>
      <c r="AQ66" s="200">
        <f t="shared" ca="1" si="51"/>
        <v>0</v>
      </c>
      <c r="AR66" s="200">
        <f t="shared" ca="1" si="51"/>
        <v>25623.104356526164</v>
      </c>
      <c r="AS66" s="200">
        <f t="shared" ca="1" si="51"/>
        <v>-15285.196315226658</v>
      </c>
      <c r="AT66" s="200">
        <f t="shared" ca="1" si="51"/>
        <v>0</v>
      </c>
      <c r="AU66" s="200">
        <f t="shared" ca="1" si="51"/>
        <v>30962.296122943095</v>
      </c>
      <c r="AV66" s="200">
        <f t="shared" ca="1" si="51"/>
        <v>30138.575853254792</v>
      </c>
      <c r="AW66" s="200">
        <f t="shared" ca="1" si="51"/>
        <v>-964.03940924413621</v>
      </c>
      <c r="AX66" s="200">
        <f t="shared" ca="1" si="51"/>
        <v>-8825.6756756797968</v>
      </c>
      <c r="AY66" s="200">
        <f t="shared" ca="1" si="51"/>
        <v>0</v>
      </c>
      <c r="AZ66" s="200">
        <f t="shared" ca="1" si="51"/>
        <v>0</v>
      </c>
      <c r="BA66" s="200">
        <f t="shared" ca="1" si="51"/>
        <v>18813.616498030839</v>
      </c>
      <c r="BB66" s="200">
        <f t="shared" ca="1" si="51"/>
        <v>47102.426601195664</v>
      </c>
      <c r="BC66" s="200">
        <f t="shared" ca="1" si="51"/>
        <v>-54007.204254794669</v>
      </c>
      <c r="BD66" s="200">
        <f t="shared" ca="1" si="51"/>
        <v>0</v>
      </c>
      <c r="BE66" s="200">
        <f t="shared" ca="1" si="51"/>
        <v>8879.039324972051</v>
      </c>
      <c r="BF66" s="200">
        <f t="shared" ca="1" si="51"/>
        <v>35936.460013355019</v>
      </c>
      <c r="BG66" s="200">
        <f t="shared" ca="1" si="51"/>
        <v>11198.177008419818</v>
      </c>
      <c r="BH66" s="200">
        <f t="shared" ca="1" si="51"/>
        <v>11198.177008419818</v>
      </c>
      <c r="BI66" s="200">
        <f t="shared" ca="1" si="51"/>
        <v>11198.177008419818</v>
      </c>
      <c r="BJ66" s="200">
        <f t="shared" ca="1" si="51"/>
        <v>11198.177008419818</v>
      </c>
      <c r="BK66" s="200">
        <f t="shared" ca="1" si="51"/>
        <v>11198.177008419818</v>
      </c>
      <c r="BL66" s="200">
        <f t="shared" ca="1" si="51"/>
        <v>4977567.348592516</v>
      </c>
    </row>
    <row r="67" spans="1:64">
      <c r="A67" s="126" t="s">
        <v>670</v>
      </c>
      <c r="B67" s="126"/>
      <c r="C67" s="126"/>
      <c r="D67" s="200">
        <f ca="1">D65+D66</f>
        <v>-14025859.851871543</v>
      </c>
      <c r="E67" s="200">
        <f t="shared" ref="E67:BL67" ca="1" si="52">E65+E66</f>
        <v>226402.94625000004</v>
      </c>
      <c r="F67" s="200">
        <f t="shared" ca="1" si="52"/>
        <v>-41223.725937499999</v>
      </c>
      <c r="G67" s="200">
        <f t="shared" ca="1" si="52"/>
        <v>-68413.105312500003</v>
      </c>
      <c r="H67" s="200">
        <f t="shared" ca="1" si="52"/>
        <v>-65073.839804687508</v>
      </c>
      <c r="I67" s="200">
        <f t="shared" ca="1" si="52"/>
        <v>-97179.986295273411</v>
      </c>
      <c r="J67" s="200">
        <f t="shared" ca="1" si="52"/>
        <v>-188645.60016759112</v>
      </c>
      <c r="K67" s="200">
        <f t="shared" ca="1" si="52"/>
        <v>-119274.49298472656</v>
      </c>
      <c r="L67" s="200">
        <f t="shared" ca="1" si="52"/>
        <v>-290714.75660981773</v>
      </c>
      <c r="M67" s="200">
        <f t="shared" ca="1" si="52"/>
        <v>-264440.33641669271</v>
      </c>
      <c r="N67" s="200">
        <f t="shared" ca="1" si="52"/>
        <v>-319509.70992429694</v>
      </c>
      <c r="O67" s="200">
        <f t="shared" ca="1" si="52"/>
        <v>-398758.80610833317</v>
      </c>
      <c r="P67" s="200">
        <f t="shared" ca="1" si="52"/>
        <v>-176949.35163083335</v>
      </c>
      <c r="Q67" s="200">
        <f t="shared" ca="1" si="52"/>
        <v>-162581.51348387377</v>
      </c>
      <c r="R67" s="200">
        <f t="shared" ca="1" si="52"/>
        <v>-33895.863397447916</v>
      </c>
      <c r="S67" s="200">
        <f t="shared" ca="1" si="52"/>
        <v>-33920.981453503482</v>
      </c>
      <c r="T67" s="200">
        <f t="shared" ca="1" si="52"/>
        <v>315516.07418598607</v>
      </c>
      <c r="U67" s="200">
        <f t="shared" ca="1" si="52"/>
        <v>409320.66848353203</v>
      </c>
      <c r="V67" s="200">
        <f t="shared" ca="1" si="52"/>
        <v>-57157.951833707899</v>
      </c>
      <c r="W67" s="200">
        <f t="shared" ca="1" si="52"/>
        <v>423189.60933183512</v>
      </c>
      <c r="X67" s="200">
        <f t="shared" ca="1" si="52"/>
        <v>458198.57641526632</v>
      </c>
      <c r="Y67" s="200">
        <f t="shared" ca="1" si="52"/>
        <v>458198.57641526632</v>
      </c>
      <c r="Z67" s="200">
        <f t="shared" ca="1" si="52"/>
        <v>458198.57641526632</v>
      </c>
      <c r="AA67" s="200">
        <f t="shared" ca="1" si="52"/>
        <v>123779.67173131322</v>
      </c>
      <c r="AB67" s="200">
        <f t="shared" ca="1" si="52"/>
        <v>351343.51532712294</v>
      </c>
      <c r="AC67" s="200">
        <f t="shared" ca="1" si="52"/>
        <v>454306.66863371251</v>
      </c>
      <c r="AD67" s="200">
        <f t="shared" ca="1" si="52"/>
        <v>459461.99995747552</v>
      </c>
      <c r="AE67" s="200">
        <f t="shared" ca="1" si="52"/>
        <v>460582.59327730467</v>
      </c>
      <c r="AF67" s="200">
        <f t="shared" ca="1" si="52"/>
        <v>462914.90710318129</v>
      </c>
      <c r="AG67" s="200">
        <f t="shared" ca="1" si="52"/>
        <v>479724.35405696684</v>
      </c>
      <c r="AH67" s="200">
        <f t="shared" ca="1" si="52"/>
        <v>479724.35405696684</v>
      </c>
      <c r="AI67" s="200">
        <f t="shared" ca="1" si="52"/>
        <v>347349.50992027612</v>
      </c>
      <c r="AJ67" s="200">
        <f t="shared" ca="1" si="52"/>
        <v>-12364.278560425955</v>
      </c>
      <c r="AK67" s="200">
        <f t="shared" ca="1" si="52"/>
        <v>406434.62775947101</v>
      </c>
      <c r="AL67" s="200">
        <f t="shared" ca="1" si="52"/>
        <v>33975.810445757001</v>
      </c>
      <c r="AM67" s="200">
        <f t="shared" ca="1" si="52"/>
        <v>156604.80750975659</v>
      </c>
      <c r="AN67" s="200">
        <f t="shared" ca="1" si="52"/>
        <v>1455061.8866692996</v>
      </c>
      <c r="AO67" s="200">
        <f t="shared" ca="1" si="52"/>
        <v>-257822.40558384414</v>
      </c>
      <c r="AP67" s="200">
        <f t="shared" ca="1" si="52"/>
        <v>82954.200628156657</v>
      </c>
      <c r="AQ67" s="200">
        <f t="shared" ca="1" si="52"/>
        <v>99767.373480435286</v>
      </c>
      <c r="AR67" s="200">
        <f t="shared" ca="1" si="52"/>
        <v>100878.20132617938</v>
      </c>
      <c r="AS67" s="200">
        <f t="shared" ca="1" si="52"/>
        <v>-152851.9631522666</v>
      </c>
      <c r="AT67" s="200">
        <f t="shared" ca="1" si="52"/>
        <v>123144.14332421339</v>
      </c>
      <c r="AU67" s="200">
        <f t="shared" ca="1" si="52"/>
        <v>104080.7639511177</v>
      </c>
      <c r="AV67" s="200">
        <f t="shared" ca="1" si="52"/>
        <v>115501.86845374719</v>
      </c>
      <c r="AW67" s="200">
        <f t="shared" ca="1" si="52"/>
        <v>-9640.3940924413619</v>
      </c>
      <c r="AX67" s="200">
        <f t="shared" ca="1" si="52"/>
        <v>-88256.756756797957</v>
      </c>
      <c r="AY67" s="200">
        <f t="shared" ca="1" si="52"/>
        <v>109110.28343954921</v>
      </c>
      <c r="AZ67" s="200">
        <f t="shared" ca="1" si="52"/>
        <v>120200.75404427474</v>
      </c>
      <c r="BA67" s="200">
        <f t="shared" ca="1" si="52"/>
        <v>120494.80398218398</v>
      </c>
      <c r="BB67" s="200">
        <f t="shared" ca="1" si="52"/>
        <v>120550.9147492621</v>
      </c>
      <c r="BC67" s="200">
        <f t="shared" ca="1" si="52"/>
        <v>-540072.04254794668</v>
      </c>
      <c r="BD67" s="200">
        <f t="shared" ca="1" si="52"/>
        <v>81785.645947504672</v>
      </c>
      <c r="BE67" s="200">
        <f t="shared" ca="1" si="52"/>
        <v>131975.72201460053</v>
      </c>
      <c r="BF67" s="200">
        <f t="shared" ca="1" si="52"/>
        <v>154547.6547176874</v>
      </c>
      <c r="BG67" s="200">
        <f t="shared" ca="1" si="52"/>
        <v>120846.47892978037</v>
      </c>
      <c r="BH67" s="200">
        <f t="shared" ca="1" si="52"/>
        <v>134183.17971951619</v>
      </c>
      <c r="BI67" s="200">
        <f t="shared" ca="1" si="52"/>
        <v>134243.17620476475</v>
      </c>
      <c r="BJ67" s="200">
        <f t="shared" ca="1" si="52"/>
        <v>134303.74915121013</v>
      </c>
      <c r="BK67" s="200">
        <f t="shared" ca="1" si="52"/>
        <v>134364.90404178319</v>
      </c>
      <c r="BL67" s="200">
        <f t="shared" ca="1" si="52"/>
        <v>26199164.938990757</v>
      </c>
    </row>
    <row r="68" spans="1:64">
      <c r="A68" s="193" t="s">
        <v>671</v>
      </c>
      <c r="B68" s="193"/>
      <c r="C68" s="193"/>
      <c r="D68" s="201">
        <f ca="1">D23+D33</f>
        <v>14025859.851871543</v>
      </c>
      <c r="E68" s="201">
        <f t="shared" ref="E68:BL68" ca="1" si="53">E23+E33</f>
        <v>13889699.710227173</v>
      </c>
      <c r="F68" s="201">
        <f t="shared" ca="1" si="53"/>
        <v>13930923.436164672</v>
      </c>
      <c r="G68" s="201">
        <f t="shared" ca="1" si="53"/>
        <v>13999336.541477174</v>
      </c>
      <c r="H68" s="201">
        <f t="shared" ca="1" si="53"/>
        <v>14064410.38128186</v>
      </c>
      <c r="I68" s="201">
        <f t="shared" ca="1" si="53"/>
        <v>14161590.367577134</v>
      </c>
      <c r="J68" s="201">
        <f t="shared" ca="1" si="53"/>
        <v>14350235.967744727</v>
      </c>
      <c r="K68" s="201">
        <f t="shared" ca="1" si="53"/>
        <v>14469510.460729452</v>
      </c>
      <c r="L68" s="201">
        <f t="shared" ca="1" si="53"/>
        <v>14760225.21733927</v>
      </c>
      <c r="M68" s="201">
        <f t="shared" ca="1" si="53"/>
        <v>15024665.553755963</v>
      </c>
      <c r="N68" s="201">
        <f t="shared" ca="1" si="53"/>
        <v>15344175.263680259</v>
      </c>
      <c r="O68" s="201">
        <f t="shared" ca="1" si="53"/>
        <v>15742934.069788594</v>
      </c>
      <c r="P68" s="201">
        <f t="shared" ca="1" si="53"/>
        <v>15919883.421419427</v>
      </c>
      <c r="Q68" s="201">
        <f t="shared" ca="1" si="53"/>
        <v>16082464.934903301</v>
      </c>
      <c r="R68" s="201">
        <f t="shared" ca="1" si="53"/>
        <v>16116360.798300749</v>
      </c>
      <c r="S68" s="201">
        <f t="shared" ca="1" si="53"/>
        <v>16150281.779754253</v>
      </c>
      <c r="T68" s="201">
        <f t="shared" ca="1" si="53"/>
        <v>16150281.779754253</v>
      </c>
      <c r="U68" s="201">
        <f t="shared" ca="1" si="53"/>
        <v>16150281.779754253</v>
      </c>
      <c r="V68" s="201">
        <f t="shared" ca="1" si="53"/>
        <v>16207439.731587961</v>
      </c>
      <c r="W68" s="201">
        <f t="shared" ca="1" si="53"/>
        <v>16207439.731587961</v>
      </c>
      <c r="X68" s="201">
        <f t="shared" ca="1" si="53"/>
        <v>16207439.731587961</v>
      </c>
      <c r="Y68" s="201">
        <f t="shared" ca="1" si="53"/>
        <v>16195841.1814433</v>
      </c>
      <c r="Z68" s="201">
        <f t="shared" ca="1" si="53"/>
        <v>15841847.134846274</v>
      </c>
      <c r="AA68" s="201">
        <f t="shared" ca="1" si="53"/>
        <v>15819994.384578634</v>
      </c>
      <c r="AB68" s="201">
        <f t="shared" ca="1" si="53"/>
        <v>15570437.189461973</v>
      </c>
      <c r="AC68" s="201">
        <f t="shared" ca="1" si="53"/>
        <v>15216311.182531178</v>
      </c>
      <c r="AD68" s="201">
        <f t="shared" ca="1" si="53"/>
        <v>14854751.386885289</v>
      </c>
      <c r="AE68" s="201">
        <f t="shared" ca="1" si="53"/>
        <v>14489744.71130782</v>
      </c>
      <c r="AF68" s="201">
        <f t="shared" ca="1" si="53"/>
        <v>14120057.257963456</v>
      </c>
      <c r="AG68" s="201">
        <f t="shared" ca="1" si="53"/>
        <v>13731181.777459197</v>
      </c>
      <c r="AH68" s="201">
        <f t="shared" ca="1" si="53"/>
        <v>13339804.260404333</v>
      </c>
      <c r="AI68" s="201">
        <f t="shared" ca="1" si="53"/>
        <v>13078283.452757053</v>
      </c>
      <c r="AJ68" s="201">
        <f t="shared" ca="1" si="53"/>
        <v>13090647.731317477</v>
      </c>
      <c r="AK68" s="201">
        <f t="shared" ca="1" si="53"/>
        <v>12853126.193087894</v>
      </c>
      <c r="AL68" s="201">
        <f t="shared" ca="1" si="53"/>
        <v>12853126.193087894</v>
      </c>
      <c r="AM68" s="201">
        <f t="shared" ca="1" si="53"/>
        <v>12828253.853180593</v>
      </c>
      <c r="AN68" s="201">
        <f t="shared" ca="1" si="53"/>
        <v>11455729.338061424</v>
      </c>
      <c r="AO68" s="201">
        <f t="shared" ca="1" si="53"/>
        <v>11713551.743645269</v>
      </c>
      <c r="AP68" s="201">
        <f t="shared" ca="1" si="53"/>
        <v>11713551.743645269</v>
      </c>
      <c r="AQ68" s="201">
        <f t="shared" ca="1" si="53"/>
        <v>11713551.743645269</v>
      </c>
      <c r="AR68" s="201">
        <f t="shared" ca="1" si="53"/>
        <v>11713551.743645269</v>
      </c>
      <c r="AS68" s="201">
        <f t="shared" ca="1" si="53"/>
        <v>11866403.706797535</v>
      </c>
      <c r="AT68" s="201">
        <f t="shared" ca="1" si="53"/>
        <v>11866403.706797535</v>
      </c>
      <c r="AU68" s="201">
        <f t="shared" ca="1" si="53"/>
        <v>11866403.706797535</v>
      </c>
      <c r="AV68" s="201">
        <f t="shared" ca="1" si="53"/>
        <v>11846601.507235572</v>
      </c>
      <c r="AW68" s="201">
        <f t="shared" ca="1" si="53"/>
        <v>11856241.901328014</v>
      </c>
      <c r="AX68" s="201">
        <f t="shared" ca="1" si="53"/>
        <v>11944498.658084814</v>
      </c>
      <c r="AY68" s="201">
        <f t="shared" ca="1" si="53"/>
        <v>11944498.658084814</v>
      </c>
      <c r="AZ68" s="201">
        <f t="shared" ca="1" si="53"/>
        <v>11944498.658084814</v>
      </c>
      <c r="BA68" s="201">
        <f t="shared" ca="1" si="53"/>
        <v>11944498.658084814</v>
      </c>
      <c r="BB68" s="201">
        <f t="shared" ca="1" si="53"/>
        <v>11937050.740921672</v>
      </c>
      <c r="BC68" s="201">
        <f t="shared" ca="1" si="53"/>
        <v>12477122.783469617</v>
      </c>
      <c r="BD68" s="201">
        <f t="shared" ca="1" si="53"/>
        <v>12477122.783469617</v>
      </c>
      <c r="BE68" s="201">
        <f t="shared" ca="1" si="53"/>
        <v>12477122.783469617</v>
      </c>
      <c r="BF68" s="201">
        <f t="shared" ca="1" si="53"/>
        <v>12427591.595431918</v>
      </c>
      <c r="BG68" s="201">
        <f t="shared" ca="1" si="53"/>
        <v>12386704.615021972</v>
      </c>
      <c r="BH68" s="201">
        <f t="shared" ca="1" si="53"/>
        <v>12332217.865759226</v>
      </c>
      <c r="BI68" s="201">
        <f t="shared" ca="1" si="53"/>
        <v>12277320.550625877</v>
      </c>
      <c r="BJ68" s="201">
        <f t="shared" ca="1" si="53"/>
        <v>12222009.451567559</v>
      </c>
      <c r="BK68" s="201">
        <f t="shared" ca="1" si="53"/>
        <v>12166281.324341908</v>
      </c>
      <c r="BL68" s="201">
        <f t="shared" ca="1" si="53"/>
        <v>0</v>
      </c>
    </row>
    <row r="69" spans="1:64">
      <c r="A69" s="125"/>
      <c r="B69" s="125"/>
      <c r="C69" s="125"/>
      <c r="D69" s="125"/>
      <c r="E69" s="125"/>
      <c r="F69" s="125"/>
      <c r="G69" s="125"/>
      <c r="H69" s="125"/>
      <c r="I69" s="125"/>
      <c r="J69" s="125"/>
      <c r="K69" s="125"/>
      <c r="L69" s="125"/>
      <c r="M69" s="125"/>
      <c r="N69" s="125"/>
      <c r="O69" s="125"/>
      <c r="P69" s="125"/>
      <c r="Q69" s="125"/>
      <c r="R69" s="125"/>
      <c r="S69" s="125"/>
      <c r="T69" s="125"/>
      <c r="U69" s="125"/>
      <c r="V69" s="125"/>
      <c r="W69" s="125"/>
      <c r="X69" s="125"/>
      <c r="Y69" s="125"/>
      <c r="Z69" s="125"/>
      <c r="AA69" s="125"/>
      <c r="AB69" s="125"/>
      <c r="AC69" s="125"/>
      <c r="AD69" s="125"/>
      <c r="AE69" s="125"/>
      <c r="AF69" s="125"/>
      <c r="AG69" s="125"/>
      <c r="AH69" s="125"/>
      <c r="AI69" s="125"/>
      <c r="AJ69" s="125"/>
      <c r="AK69" s="125"/>
      <c r="AL69" s="125"/>
      <c r="AM69" s="125"/>
      <c r="AN69" s="125"/>
      <c r="AO69" s="125"/>
      <c r="AP69" s="125"/>
      <c r="AQ69" s="125"/>
      <c r="AR69" s="125"/>
      <c r="AS69" s="125"/>
      <c r="AT69" s="125"/>
      <c r="AU69" s="125"/>
      <c r="AV69" s="125"/>
      <c r="AW69" s="125"/>
      <c r="AX69" s="125"/>
      <c r="AY69" s="125"/>
      <c r="AZ69" s="125"/>
      <c r="BA69" s="125"/>
      <c r="BB69" s="125"/>
      <c r="BC69" s="125"/>
      <c r="BD69" s="125"/>
      <c r="BE69" s="125"/>
      <c r="BF69" s="125"/>
      <c r="BG69" s="125"/>
      <c r="BH69" s="125"/>
      <c r="BI69" s="125"/>
      <c r="BJ69" s="125"/>
      <c r="BK69" s="125"/>
      <c r="BL69" s="125"/>
    </row>
    <row r="70" spans="1:64">
      <c r="A70" s="198" t="s">
        <v>672</v>
      </c>
      <c r="B70" s="198"/>
      <c r="C70" s="198"/>
      <c r="D70" s="198"/>
      <c r="E70" s="198"/>
      <c r="F70" s="198"/>
      <c r="G70" s="198"/>
      <c r="H70" s="198"/>
      <c r="I70" s="198"/>
      <c r="J70" s="198"/>
      <c r="K70" s="198"/>
      <c r="L70" s="198"/>
      <c r="M70" s="198"/>
      <c r="N70" s="198"/>
      <c r="O70" s="198"/>
      <c r="P70" s="198"/>
      <c r="Q70" s="198"/>
      <c r="R70" s="198"/>
      <c r="S70" s="198"/>
      <c r="T70" s="198"/>
      <c r="U70" s="198"/>
      <c r="V70" s="198"/>
      <c r="W70" s="198"/>
      <c r="X70" s="198"/>
      <c r="Y70" s="198"/>
      <c r="Z70" s="198"/>
      <c r="AA70" s="198"/>
      <c r="AB70" s="198"/>
      <c r="AC70" s="198"/>
      <c r="AD70" s="198"/>
      <c r="AE70" s="198"/>
      <c r="AF70" s="198"/>
      <c r="AG70" s="198"/>
      <c r="AH70" s="198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  <c r="AS70" s="198"/>
      <c r="AT70" s="198"/>
      <c r="AU70" s="198"/>
      <c r="AV70" s="198"/>
      <c r="AW70" s="198"/>
      <c r="AX70" s="198"/>
      <c r="AY70" s="198"/>
      <c r="AZ70" s="198"/>
      <c r="BA70" s="198"/>
      <c r="BB70" s="198"/>
      <c r="BC70" s="198"/>
      <c r="BD70" s="198"/>
      <c r="BE70" s="198"/>
      <c r="BF70" s="198"/>
      <c r="BG70" s="198"/>
      <c r="BH70" s="198"/>
      <c r="BI70" s="198"/>
      <c r="BJ70" s="198"/>
      <c r="BK70" s="198"/>
      <c r="BL70" s="198"/>
    </row>
    <row r="71" spans="1:64">
      <c r="A71" s="125" t="s">
        <v>673</v>
      </c>
      <c r="B71" s="204">
        <f ca="1">XIRR($D$65:$BL$65,$D$5:$BL$5)</f>
        <v>0.19814531207084657</v>
      </c>
      <c r="C71" s="125"/>
      <c r="D71" s="125"/>
      <c r="E71" s="125"/>
      <c r="F71" s="125"/>
      <c r="G71" s="125"/>
      <c r="H71" s="125"/>
      <c r="I71" s="125"/>
      <c r="J71" s="125"/>
      <c r="K71" s="125"/>
      <c r="L71" s="125"/>
      <c r="M71" s="125"/>
      <c r="N71" s="125"/>
      <c r="O71" s="125"/>
      <c r="P71" s="125"/>
      <c r="Q71" s="125"/>
      <c r="R71" s="125"/>
      <c r="S71" s="125"/>
      <c r="T71" s="125"/>
      <c r="U71" s="125"/>
      <c r="V71" s="125"/>
      <c r="W71" s="125"/>
      <c r="X71" s="125"/>
      <c r="Y71" s="125"/>
      <c r="Z71" s="125"/>
      <c r="AA71" s="125"/>
      <c r="AB71" s="125"/>
      <c r="AC71" s="125"/>
      <c r="AD71" s="125"/>
      <c r="AE71" s="125"/>
      <c r="AF71" s="125"/>
      <c r="AG71" s="125"/>
      <c r="AH71" s="125"/>
      <c r="AI71" s="125"/>
      <c r="AJ71" s="125"/>
      <c r="AK71" s="125"/>
      <c r="AL71" s="125"/>
      <c r="AM71" s="125"/>
      <c r="AN71" s="125"/>
      <c r="AO71" s="125"/>
      <c r="AP71" s="125"/>
      <c r="AQ71" s="125"/>
      <c r="AR71" s="125"/>
      <c r="AS71" s="125"/>
      <c r="AT71" s="125"/>
      <c r="AU71" s="125"/>
      <c r="AV71" s="125"/>
      <c r="AW71" s="125"/>
      <c r="AX71" s="125"/>
      <c r="AY71" s="125"/>
      <c r="AZ71" s="125"/>
      <c r="BA71" s="125"/>
      <c r="BB71" s="125"/>
      <c r="BC71" s="125"/>
      <c r="BD71" s="125"/>
      <c r="BE71" s="125"/>
      <c r="BF71" s="125"/>
      <c r="BG71" s="125"/>
      <c r="BH71" s="125"/>
      <c r="BI71" s="125"/>
      <c r="BJ71" s="125"/>
      <c r="BK71" s="125"/>
      <c r="BL71" s="125"/>
    </row>
    <row r="72" spans="1:64">
      <c r="A72" s="125" t="s">
        <v>674</v>
      </c>
      <c r="B72" s="204">
        <f ca="1">XIRR($D$66:$BL$66,$D$5:$BL$5)</f>
        <v>0.30356701016426091</v>
      </c>
      <c r="C72" s="125"/>
      <c r="D72" s="125"/>
      <c r="E72" s="125"/>
      <c r="F72" s="125"/>
      <c r="G72" s="125"/>
      <c r="H72" s="125"/>
      <c r="I72" s="125"/>
      <c r="J72" s="125"/>
      <c r="K72" s="125"/>
      <c r="L72" s="125"/>
      <c r="M72" s="125"/>
      <c r="N72" s="125"/>
      <c r="O72" s="125"/>
      <c r="P72" s="125"/>
      <c r="Q72" s="125"/>
      <c r="R72" s="125"/>
      <c r="S72" s="125"/>
      <c r="T72" s="125"/>
      <c r="U72" s="125"/>
      <c r="V72" s="125"/>
      <c r="W72" s="125"/>
      <c r="X72" s="125"/>
      <c r="Y72" s="125"/>
      <c r="Z72" s="125"/>
      <c r="AA72" s="125"/>
      <c r="AB72" s="125"/>
      <c r="AC72" s="125"/>
      <c r="AD72" s="125"/>
      <c r="AE72" s="125"/>
      <c r="AF72" s="125"/>
      <c r="AG72" s="125"/>
      <c r="AH72" s="125"/>
      <c r="AI72" s="125"/>
      <c r="AJ72" s="125"/>
      <c r="AK72" s="125"/>
      <c r="AL72" s="125"/>
      <c r="AM72" s="125"/>
      <c r="AN72" s="125"/>
      <c r="AO72" s="125"/>
      <c r="AP72" s="125"/>
      <c r="AQ72" s="125"/>
      <c r="AR72" s="125"/>
      <c r="AS72" s="125"/>
      <c r="AT72" s="125"/>
      <c r="AU72" s="125"/>
      <c r="AV72" s="125"/>
      <c r="AW72" s="125"/>
      <c r="AX72" s="125"/>
      <c r="AY72" s="125"/>
      <c r="AZ72" s="125"/>
      <c r="BA72" s="125"/>
      <c r="BB72" s="125"/>
      <c r="BC72" s="125"/>
      <c r="BD72" s="125"/>
      <c r="BE72" s="125"/>
      <c r="BF72" s="125"/>
      <c r="BG72" s="125"/>
      <c r="BH72" s="125"/>
      <c r="BI72" s="125"/>
      <c r="BJ72" s="125"/>
      <c r="BK72" s="125"/>
      <c r="BL72" s="125"/>
    </row>
    <row r="73" spans="1:64">
      <c r="A73" s="125" t="s">
        <v>675</v>
      </c>
      <c r="B73" s="204">
        <f ca="1">XIRR($D$67:$BL$67,$D$5:$BL$5)</f>
        <v>0.21210951209068299</v>
      </c>
      <c r="C73" s="206" t="str">
        <f ca="1">IF(ABS(B73)='Property Cash Flow'!B72,"OK","CHECK")</f>
        <v>OK</v>
      </c>
      <c r="D73" s="125"/>
      <c r="E73" s="125"/>
      <c r="F73" s="125"/>
      <c r="G73" s="125"/>
      <c r="H73" s="125"/>
      <c r="I73" s="125"/>
      <c r="J73" s="125"/>
      <c r="K73" s="125"/>
      <c r="L73" s="125"/>
      <c r="M73" s="125"/>
      <c r="N73" s="125"/>
      <c r="O73" s="125"/>
      <c r="P73" s="125"/>
      <c r="Q73" s="125"/>
      <c r="R73" s="125"/>
      <c r="S73" s="125"/>
      <c r="T73" s="125"/>
      <c r="U73" s="125"/>
      <c r="V73" s="125"/>
      <c r="W73" s="125"/>
      <c r="X73" s="125"/>
      <c r="Y73" s="125"/>
      <c r="Z73" s="125"/>
      <c r="AA73" s="125"/>
      <c r="AB73" s="125"/>
      <c r="AC73" s="125"/>
      <c r="AD73" s="125"/>
      <c r="AE73" s="125"/>
      <c r="AF73" s="125"/>
      <c r="AG73" s="125"/>
      <c r="AH73" s="125"/>
      <c r="AI73" s="125"/>
      <c r="AJ73" s="125"/>
      <c r="AK73" s="125"/>
      <c r="AL73" s="125"/>
      <c r="AM73" s="125"/>
      <c r="AN73" s="125"/>
      <c r="AO73" s="125"/>
      <c r="AP73" s="125"/>
      <c r="AQ73" s="125"/>
      <c r="AR73" s="125"/>
      <c r="AS73" s="125"/>
      <c r="AT73" s="125"/>
      <c r="AU73" s="125"/>
      <c r="AV73" s="125"/>
      <c r="AW73" s="125"/>
      <c r="AX73" s="125"/>
      <c r="AY73" s="125"/>
      <c r="AZ73" s="125"/>
      <c r="BA73" s="125"/>
      <c r="BB73" s="125"/>
      <c r="BC73" s="125"/>
      <c r="BD73" s="125"/>
      <c r="BE73" s="125"/>
      <c r="BF73" s="125"/>
      <c r="BG73" s="125"/>
      <c r="BH73" s="125"/>
      <c r="BI73" s="125"/>
      <c r="BJ73" s="125"/>
      <c r="BK73" s="125"/>
      <c r="BL73" s="125"/>
    </row>
    <row r="74" spans="1:64">
      <c r="A74" s="125" t="s">
        <v>676</v>
      </c>
      <c r="B74" s="205">
        <f ca="1">SUM($D$63:$BL$63)/SUM($D$13:$BL$13)</f>
        <v>1.9876199884007892</v>
      </c>
      <c r="C74" s="125"/>
      <c r="D74" s="125"/>
      <c r="E74" s="125"/>
      <c r="F74" s="125"/>
      <c r="G74" s="125"/>
      <c r="H74" s="125"/>
      <c r="I74" s="125"/>
      <c r="J74" s="125"/>
      <c r="K74" s="125"/>
      <c r="L74" s="125"/>
      <c r="M74" s="125"/>
      <c r="N74" s="125"/>
      <c r="O74" s="125"/>
      <c r="P74" s="125"/>
      <c r="Q74" s="125"/>
      <c r="R74" s="125"/>
      <c r="S74" s="125"/>
      <c r="T74" s="125"/>
      <c r="U74" s="125"/>
      <c r="V74" s="125"/>
      <c r="W74" s="125"/>
      <c r="X74" s="125"/>
      <c r="Y74" s="125"/>
      <c r="Z74" s="125"/>
      <c r="AA74" s="125"/>
      <c r="AB74" s="125"/>
      <c r="AC74" s="125"/>
      <c r="AD74" s="125"/>
      <c r="AE74" s="125"/>
      <c r="AF74" s="125"/>
      <c r="AG74" s="125"/>
      <c r="AH74" s="125"/>
      <c r="AI74" s="125"/>
      <c r="AJ74" s="125"/>
      <c r="AK74" s="125"/>
      <c r="AL74" s="125"/>
      <c r="AM74" s="125"/>
      <c r="AN74" s="125"/>
      <c r="AO74" s="125"/>
      <c r="AP74" s="125"/>
      <c r="AQ74" s="125"/>
      <c r="AR74" s="125"/>
      <c r="AS74" s="125"/>
      <c r="AT74" s="125"/>
      <c r="AU74" s="125"/>
      <c r="AV74" s="125"/>
      <c r="AW74" s="125"/>
      <c r="AX74" s="125"/>
      <c r="AY74" s="125"/>
      <c r="AZ74" s="125"/>
      <c r="BA74" s="125"/>
      <c r="BB74" s="125"/>
      <c r="BC74" s="125"/>
      <c r="BD74" s="125"/>
      <c r="BE74" s="125"/>
      <c r="BF74" s="125"/>
      <c r="BG74" s="125"/>
      <c r="BH74" s="125"/>
      <c r="BI74" s="125"/>
      <c r="BJ74" s="125"/>
      <c r="BK74" s="125"/>
      <c r="BL74" s="125"/>
    </row>
    <row r="75" spans="1:64">
      <c r="A75" s="125" t="s">
        <v>677</v>
      </c>
      <c r="B75" s="205">
        <f ca="1">SUM($D$64:$BL$64)/SUM($D$14:$BL$14)</f>
        <v>3.2221449739017758</v>
      </c>
      <c r="C75" s="125"/>
      <c r="D75" s="125"/>
      <c r="E75" s="125"/>
      <c r="F75" s="125"/>
      <c r="G75" s="125"/>
      <c r="H75" s="125"/>
      <c r="I75" s="125"/>
      <c r="J75" s="125"/>
      <c r="K75" s="125"/>
      <c r="L75" s="125"/>
      <c r="M75" s="125"/>
      <c r="N75" s="125"/>
      <c r="O75" s="125"/>
      <c r="P75" s="125"/>
      <c r="Q75" s="125"/>
      <c r="R75" s="125"/>
      <c r="S75" s="125"/>
      <c r="T75" s="125"/>
      <c r="U75" s="125"/>
      <c r="V75" s="125"/>
      <c r="W75" s="125"/>
      <c r="X75" s="125"/>
      <c r="Y75" s="125"/>
      <c r="Z75" s="125"/>
      <c r="AA75" s="125"/>
      <c r="AB75" s="125"/>
      <c r="AC75" s="125"/>
      <c r="AD75" s="125"/>
      <c r="AE75" s="125"/>
      <c r="AF75" s="125"/>
      <c r="AG75" s="125"/>
      <c r="AH75" s="125"/>
      <c r="AI75" s="125"/>
      <c r="AJ75" s="125"/>
      <c r="AK75" s="125"/>
      <c r="AL75" s="125"/>
      <c r="AM75" s="125"/>
      <c r="AN75" s="125"/>
      <c r="AO75" s="125"/>
      <c r="AP75" s="125"/>
      <c r="AQ75" s="125"/>
      <c r="AR75" s="125"/>
      <c r="AS75" s="125"/>
      <c r="AT75" s="125"/>
      <c r="AU75" s="125"/>
      <c r="AV75" s="125"/>
      <c r="AW75" s="125"/>
      <c r="AX75" s="125"/>
      <c r="AY75" s="125"/>
      <c r="AZ75" s="125"/>
      <c r="BA75" s="125"/>
      <c r="BB75" s="125"/>
      <c r="BC75" s="125"/>
      <c r="BD75" s="125"/>
      <c r="BE75" s="125"/>
      <c r="BF75" s="125"/>
      <c r="BG75" s="125"/>
      <c r="BH75" s="125"/>
      <c r="BI75" s="125"/>
      <c r="BJ75" s="125"/>
      <c r="BK75" s="125"/>
      <c r="BL75" s="125"/>
    </row>
    <row r="76" spans="1:64">
      <c r="A76" s="125" t="s">
        <v>678</v>
      </c>
      <c r="B76" s="205">
        <f ca="1">(SUM($D$63:$BL$63)+SUM($D$64:$BL$64))/SUM($D$9:$BL$9)</f>
        <v>2.1110724869508881</v>
      </c>
      <c r="C76" s="125"/>
      <c r="D76" s="125"/>
      <c r="E76" s="125"/>
      <c r="F76" s="125"/>
      <c r="G76" s="125"/>
      <c r="H76" s="125"/>
      <c r="I76" s="125"/>
      <c r="J76" s="125"/>
      <c r="K76" s="125"/>
      <c r="L76" s="125"/>
      <c r="M76" s="125"/>
      <c r="N76" s="125"/>
      <c r="O76" s="125"/>
      <c r="P76" s="125"/>
      <c r="Q76" s="125"/>
      <c r="R76" s="125"/>
      <c r="S76" s="125"/>
      <c r="T76" s="125"/>
      <c r="U76" s="125"/>
      <c r="V76" s="125"/>
      <c r="W76" s="125"/>
      <c r="X76" s="125"/>
      <c r="Y76" s="125"/>
      <c r="Z76" s="125"/>
      <c r="AA76" s="125"/>
      <c r="AB76" s="125"/>
      <c r="AC76" s="125"/>
      <c r="AD76" s="125"/>
      <c r="AE76" s="125"/>
      <c r="AF76" s="125"/>
      <c r="AG76" s="125"/>
      <c r="AH76" s="125"/>
      <c r="AI76" s="125"/>
      <c r="AJ76" s="125"/>
      <c r="AK76" s="125"/>
      <c r="AL76" s="125"/>
      <c r="AM76" s="125"/>
      <c r="AN76" s="125"/>
      <c r="AO76" s="125"/>
      <c r="AP76" s="125"/>
      <c r="AQ76" s="125"/>
      <c r="AR76" s="125"/>
      <c r="AS76" s="125"/>
      <c r="AT76" s="125"/>
      <c r="AU76" s="125"/>
      <c r="AV76" s="125"/>
      <c r="AW76" s="125"/>
      <c r="AX76" s="125"/>
      <c r="AY76" s="125"/>
      <c r="AZ76" s="125"/>
      <c r="BA76" s="125"/>
      <c r="BB76" s="125"/>
      <c r="BC76" s="125"/>
      <c r="BD76" s="125"/>
      <c r="BE76" s="125"/>
      <c r="BF76" s="125"/>
      <c r="BG76" s="125"/>
      <c r="BH76" s="125"/>
      <c r="BI76" s="125"/>
      <c r="BJ76" s="125"/>
      <c r="BK76" s="125"/>
      <c r="BL76" s="125"/>
    </row>
    <row r="77" spans="1:64">
      <c r="A77" s="125" t="s">
        <v>679</v>
      </c>
      <c r="B77" s="201">
        <f ca="1">SUM($D$9:$BL$9)</f>
        <v>17404607.713926051</v>
      </c>
      <c r="C77" s="125"/>
      <c r="D77" s="125"/>
      <c r="E77" s="125"/>
      <c r="F77" s="125"/>
      <c r="G77" s="125"/>
      <c r="H77" s="125"/>
      <c r="I77" s="125"/>
      <c r="J77" s="125"/>
      <c r="K77" s="125"/>
      <c r="L77" s="125"/>
      <c r="M77" s="125"/>
      <c r="N77" s="125"/>
      <c r="O77" s="125"/>
      <c r="P77" s="125"/>
      <c r="Q77" s="125"/>
      <c r="R77" s="125"/>
      <c r="S77" s="125"/>
      <c r="T77" s="125"/>
      <c r="U77" s="125"/>
      <c r="V77" s="125"/>
      <c r="W77" s="125"/>
      <c r="X77" s="125"/>
      <c r="Y77" s="125"/>
      <c r="Z77" s="125"/>
      <c r="AA77" s="125"/>
      <c r="AB77" s="125"/>
      <c r="AC77" s="125"/>
      <c r="AD77" s="125"/>
      <c r="AE77" s="125"/>
      <c r="AF77" s="125"/>
      <c r="AG77" s="125"/>
      <c r="AH77" s="125"/>
      <c r="AI77" s="125"/>
      <c r="AJ77" s="125"/>
      <c r="AK77" s="125"/>
      <c r="AL77" s="125"/>
      <c r="AM77" s="125"/>
      <c r="AN77" s="125"/>
      <c r="AO77" s="125"/>
      <c r="AP77" s="125"/>
      <c r="AQ77" s="125"/>
      <c r="AR77" s="125"/>
      <c r="AS77" s="125"/>
      <c r="AT77" s="125"/>
      <c r="AU77" s="125"/>
      <c r="AV77" s="125"/>
      <c r="AW77" s="125"/>
      <c r="AX77" s="125"/>
      <c r="AY77" s="125"/>
      <c r="AZ77" s="125"/>
      <c r="BA77" s="125"/>
      <c r="BB77" s="125"/>
      <c r="BC77" s="125"/>
      <c r="BD77" s="125"/>
      <c r="BE77" s="125"/>
      <c r="BF77" s="125"/>
      <c r="BG77" s="125"/>
      <c r="BH77" s="125"/>
      <c r="BI77" s="125"/>
      <c r="BJ77" s="125"/>
      <c r="BK77" s="125"/>
      <c r="BL77" s="125"/>
    </row>
    <row r="78" spans="1:64">
      <c r="A78" s="125" t="s">
        <v>680</v>
      </c>
      <c r="B78" s="201">
        <f ca="1">SUM($D$13:$BL$13)</f>
        <v>15664146.942533448</v>
      </c>
      <c r="C78" s="125"/>
      <c r="D78" s="125"/>
      <c r="E78" s="125"/>
      <c r="F78" s="125"/>
      <c r="G78" s="125"/>
      <c r="H78" s="125"/>
      <c r="I78" s="125"/>
      <c r="J78" s="125"/>
      <c r="K78" s="125"/>
      <c r="L78" s="125"/>
      <c r="M78" s="125"/>
      <c r="N78" s="125"/>
      <c r="O78" s="125"/>
      <c r="P78" s="125"/>
      <c r="Q78" s="125"/>
      <c r="R78" s="125"/>
      <c r="S78" s="125"/>
      <c r="T78" s="125"/>
      <c r="U78" s="125"/>
      <c r="V78" s="125"/>
      <c r="W78" s="125"/>
      <c r="X78" s="125"/>
      <c r="Y78" s="125"/>
      <c r="Z78" s="125"/>
      <c r="AA78" s="125"/>
      <c r="AB78" s="125"/>
      <c r="AC78" s="125"/>
      <c r="AD78" s="125"/>
      <c r="AE78" s="125"/>
      <c r="AF78" s="125"/>
      <c r="AG78" s="125"/>
      <c r="AH78" s="125"/>
      <c r="AI78" s="125"/>
      <c r="AJ78" s="125"/>
      <c r="AK78" s="125"/>
      <c r="AL78" s="125"/>
      <c r="AM78" s="125"/>
      <c r="AN78" s="125"/>
      <c r="AO78" s="125"/>
      <c r="AP78" s="125"/>
      <c r="AQ78" s="125"/>
      <c r="AR78" s="125"/>
      <c r="AS78" s="125"/>
      <c r="AT78" s="125"/>
      <c r="AU78" s="125"/>
      <c r="AV78" s="125"/>
      <c r="AW78" s="125"/>
      <c r="AX78" s="125"/>
      <c r="AY78" s="125"/>
      <c r="AZ78" s="125"/>
      <c r="BA78" s="125"/>
      <c r="BB78" s="125"/>
      <c r="BC78" s="125"/>
      <c r="BD78" s="125"/>
      <c r="BE78" s="125"/>
      <c r="BF78" s="125"/>
      <c r="BG78" s="125"/>
      <c r="BH78" s="125"/>
      <c r="BI78" s="125"/>
      <c r="BJ78" s="125"/>
      <c r="BK78" s="125"/>
      <c r="BL78" s="125"/>
    </row>
    <row r="79" spans="1:64">
      <c r="A79" s="125" t="s">
        <v>681</v>
      </c>
      <c r="B79" s="201">
        <f ca="1">SUM($D$14:$BL$14)</f>
        <v>1740460.771392605</v>
      </c>
      <c r="C79" s="125"/>
      <c r="D79" s="125"/>
      <c r="E79" s="125"/>
      <c r="F79" s="125"/>
      <c r="G79" s="125"/>
      <c r="H79" s="125"/>
      <c r="I79" s="125"/>
      <c r="J79" s="125"/>
      <c r="K79" s="125"/>
      <c r="L79" s="125"/>
      <c r="M79" s="125"/>
      <c r="N79" s="125"/>
      <c r="O79" s="125"/>
      <c r="P79" s="125"/>
      <c r="Q79" s="125"/>
      <c r="R79" s="125"/>
      <c r="S79" s="125"/>
      <c r="T79" s="125"/>
      <c r="U79" s="125"/>
      <c r="V79" s="125"/>
      <c r="W79" s="125"/>
      <c r="X79" s="125"/>
      <c r="Y79" s="125"/>
      <c r="Z79" s="125"/>
      <c r="AA79" s="125"/>
      <c r="AB79" s="125"/>
      <c r="AC79" s="125"/>
      <c r="AD79" s="125"/>
      <c r="AE79" s="125"/>
      <c r="AF79" s="125"/>
      <c r="AG79" s="125"/>
      <c r="AH79" s="125"/>
      <c r="AI79" s="125"/>
      <c r="AJ79" s="125"/>
      <c r="AK79" s="125"/>
      <c r="AL79" s="125"/>
      <c r="AM79" s="125"/>
      <c r="AN79" s="125"/>
      <c r="AO79" s="125"/>
      <c r="AP79" s="125"/>
      <c r="AQ79" s="125"/>
      <c r="AR79" s="125"/>
      <c r="AS79" s="125"/>
      <c r="AT79" s="125"/>
      <c r="AU79" s="125"/>
      <c r="AV79" s="125"/>
      <c r="AW79" s="125"/>
      <c r="AX79" s="125"/>
      <c r="AY79" s="125"/>
      <c r="AZ79" s="125"/>
      <c r="BA79" s="125"/>
      <c r="BB79" s="125"/>
      <c r="BC79" s="125"/>
      <c r="BD79" s="125"/>
      <c r="BE79" s="125"/>
      <c r="BF79" s="125"/>
      <c r="BG79" s="125"/>
      <c r="BH79" s="125"/>
      <c r="BI79" s="125"/>
      <c r="BJ79" s="125"/>
      <c r="BK79" s="125"/>
      <c r="BL79" s="125"/>
    </row>
    <row r="80" spans="1:64">
      <c r="A80" s="125" t="s">
        <v>682</v>
      </c>
      <c r="B80" s="201">
        <f ca="1">MAX($D$68:$BL$68)</f>
        <v>16207439.731587961</v>
      </c>
      <c r="C80" s="125"/>
      <c r="D80" s="125"/>
      <c r="E80" s="125"/>
      <c r="F80" s="125"/>
      <c r="G80" s="125"/>
      <c r="H80" s="125"/>
      <c r="I80" s="125"/>
      <c r="J80" s="125"/>
      <c r="K80" s="125"/>
      <c r="L80" s="125"/>
      <c r="M80" s="125"/>
      <c r="N80" s="125"/>
      <c r="O80" s="125"/>
      <c r="P80" s="125"/>
      <c r="Q80" s="125"/>
      <c r="R80" s="125"/>
      <c r="S80" s="125"/>
      <c r="T80" s="125"/>
      <c r="U80" s="125"/>
      <c r="V80" s="125"/>
      <c r="W80" s="125"/>
      <c r="X80" s="125"/>
      <c r="Y80" s="125"/>
      <c r="Z80" s="125"/>
      <c r="AA80" s="125"/>
      <c r="AB80" s="125"/>
      <c r="AC80" s="125"/>
      <c r="AD80" s="125"/>
      <c r="AE80" s="125"/>
      <c r="AF80" s="125"/>
      <c r="AG80" s="125"/>
      <c r="AH80" s="125"/>
      <c r="AI80" s="125"/>
      <c r="AJ80" s="125"/>
      <c r="AK80" s="125"/>
      <c r="AL80" s="125"/>
      <c r="AM80" s="125"/>
      <c r="AN80" s="125"/>
      <c r="AO80" s="125"/>
      <c r="AP80" s="125"/>
      <c r="AQ80" s="125"/>
      <c r="AR80" s="125"/>
      <c r="AS80" s="125"/>
      <c r="AT80" s="125"/>
      <c r="AU80" s="125"/>
      <c r="AV80" s="125"/>
      <c r="AW80" s="125"/>
      <c r="AX80" s="125"/>
      <c r="AY80" s="125"/>
      <c r="AZ80" s="125"/>
      <c r="BA80" s="125"/>
      <c r="BB80" s="125"/>
      <c r="BC80" s="125"/>
      <c r="BD80" s="125"/>
      <c r="BE80" s="125"/>
      <c r="BF80" s="125"/>
      <c r="BG80" s="125"/>
      <c r="BH80" s="125"/>
      <c r="BI80" s="125"/>
      <c r="BJ80" s="125"/>
      <c r="BK80" s="125"/>
      <c r="BL80" s="125"/>
    </row>
    <row r="81" spans="1:64">
      <c r="A81" s="125" t="s">
        <v>683</v>
      </c>
      <c r="B81" s="201">
        <f ca="1">MAX($D$23:$BL$23)</f>
        <v>14573079.744264727</v>
      </c>
      <c r="C81" s="125"/>
      <c r="D81" s="125"/>
      <c r="E81" s="125"/>
      <c r="F81" s="125"/>
      <c r="G81" s="125"/>
      <c r="H81" s="125"/>
      <c r="I81" s="125"/>
      <c r="J81" s="125"/>
      <c r="K81" s="125"/>
      <c r="L81" s="125"/>
      <c r="M81" s="125"/>
      <c r="N81" s="125"/>
      <c r="O81" s="125"/>
      <c r="P81" s="125"/>
      <c r="Q81" s="125"/>
      <c r="R81" s="125"/>
      <c r="S81" s="125"/>
      <c r="T81" s="125"/>
      <c r="U81" s="125"/>
      <c r="V81" s="125"/>
      <c r="W81" s="125"/>
      <c r="X81" s="125"/>
      <c r="Y81" s="125"/>
      <c r="Z81" s="125"/>
      <c r="AA81" s="125"/>
      <c r="AB81" s="125"/>
      <c r="AC81" s="125"/>
      <c r="AD81" s="125"/>
      <c r="AE81" s="125"/>
      <c r="AF81" s="125"/>
      <c r="AG81" s="125"/>
      <c r="AH81" s="125"/>
      <c r="AI81" s="125"/>
      <c r="AJ81" s="125"/>
      <c r="AK81" s="125"/>
      <c r="AL81" s="125"/>
      <c r="AM81" s="125"/>
      <c r="AN81" s="125"/>
      <c r="AO81" s="125"/>
      <c r="AP81" s="125"/>
      <c r="AQ81" s="125"/>
      <c r="AR81" s="125"/>
      <c r="AS81" s="125"/>
      <c r="AT81" s="125"/>
      <c r="AU81" s="125"/>
      <c r="AV81" s="125"/>
      <c r="AW81" s="125"/>
      <c r="AX81" s="125"/>
      <c r="AY81" s="125"/>
      <c r="AZ81" s="125"/>
      <c r="BA81" s="125"/>
      <c r="BB81" s="125"/>
      <c r="BC81" s="125"/>
      <c r="BD81" s="125"/>
      <c r="BE81" s="125"/>
      <c r="BF81" s="125"/>
      <c r="BG81" s="125"/>
      <c r="BH81" s="125"/>
      <c r="BI81" s="125"/>
      <c r="BJ81" s="125"/>
      <c r="BK81" s="125"/>
      <c r="BL81" s="125"/>
    </row>
    <row r="82" spans="1:64">
      <c r="A82" s="125" t="s">
        <v>684</v>
      </c>
      <c r="B82" s="201">
        <f ca="1">MAX($D$33:$BL$33)</f>
        <v>1740460.771392605</v>
      </c>
      <c r="C82" s="125"/>
      <c r="D82" s="125"/>
      <c r="E82" s="125"/>
      <c r="F82" s="125"/>
      <c r="G82" s="125"/>
      <c r="H82" s="125"/>
      <c r="I82" s="125"/>
      <c r="J82" s="125"/>
      <c r="K82" s="125"/>
      <c r="L82" s="125"/>
      <c r="M82" s="125"/>
      <c r="N82" s="125"/>
      <c r="O82" s="125"/>
      <c r="P82" s="125"/>
      <c r="Q82" s="125"/>
      <c r="R82" s="125"/>
      <c r="S82" s="125"/>
      <c r="T82" s="125"/>
      <c r="U82" s="125"/>
      <c r="V82" s="125"/>
      <c r="W82" s="125"/>
      <c r="X82" s="125"/>
      <c r="Y82" s="125"/>
      <c r="Z82" s="125"/>
      <c r="AA82" s="125"/>
      <c r="AB82" s="125"/>
      <c r="AC82" s="125"/>
      <c r="AD82" s="125"/>
      <c r="AE82" s="125"/>
      <c r="AF82" s="125"/>
      <c r="AG82" s="125"/>
      <c r="AH82" s="125"/>
      <c r="AI82" s="125"/>
      <c r="AJ82" s="125"/>
      <c r="AK82" s="125"/>
      <c r="AL82" s="125"/>
      <c r="AM82" s="125"/>
      <c r="AN82" s="125"/>
      <c r="AO82" s="125"/>
      <c r="AP82" s="125"/>
      <c r="AQ82" s="125"/>
      <c r="AR82" s="125"/>
      <c r="AS82" s="125"/>
      <c r="AT82" s="125"/>
      <c r="AU82" s="125"/>
      <c r="AV82" s="125"/>
      <c r="AW82" s="125"/>
      <c r="AX82" s="125"/>
      <c r="AY82" s="125"/>
      <c r="AZ82" s="125"/>
      <c r="BA82" s="125"/>
      <c r="BB82" s="125"/>
      <c r="BC82" s="125"/>
      <c r="BD82" s="125"/>
      <c r="BE82" s="125"/>
      <c r="BF82" s="125"/>
      <c r="BG82" s="125"/>
      <c r="BH82" s="125"/>
      <c r="BI82" s="125"/>
      <c r="BJ82" s="125"/>
      <c r="BK82" s="125"/>
      <c r="BL82" s="125"/>
    </row>
    <row r="83" spans="1:64">
      <c r="A83" s="125" t="s">
        <v>685</v>
      </c>
      <c r="B83" s="204">
        <f ca="1">SUM($D$58:$BL$58)/(SUM($D$57:$BL$57)+SUM($D$58:$BL$58))</f>
        <v>0.2</v>
      </c>
      <c r="C83" s="125"/>
      <c r="D83" s="125"/>
      <c r="E83" s="125"/>
      <c r="F83" s="125"/>
      <c r="G83" s="125"/>
      <c r="H83" s="125"/>
      <c r="I83" s="125"/>
      <c r="J83" s="125"/>
      <c r="K83" s="125"/>
      <c r="L83" s="125"/>
      <c r="M83" s="125"/>
      <c r="N83" s="125"/>
      <c r="O83" s="125"/>
      <c r="P83" s="125"/>
      <c r="Q83" s="125"/>
      <c r="R83" s="125"/>
      <c r="S83" s="125"/>
      <c r="T83" s="125"/>
      <c r="U83" s="125"/>
      <c r="V83" s="125"/>
      <c r="W83" s="125"/>
      <c r="X83" s="125"/>
      <c r="Y83" s="125"/>
      <c r="Z83" s="125"/>
      <c r="AA83" s="125"/>
      <c r="AB83" s="125"/>
      <c r="AC83" s="125"/>
      <c r="AD83" s="125"/>
      <c r="AE83" s="125"/>
      <c r="AF83" s="125"/>
      <c r="AG83" s="125"/>
      <c r="AH83" s="125"/>
      <c r="AI83" s="125"/>
      <c r="AJ83" s="125"/>
      <c r="AK83" s="125"/>
      <c r="AL83" s="125"/>
      <c r="AM83" s="125"/>
      <c r="AN83" s="125"/>
      <c r="AO83" s="125"/>
      <c r="AP83" s="125"/>
      <c r="AQ83" s="125"/>
      <c r="AR83" s="125"/>
      <c r="AS83" s="125"/>
      <c r="AT83" s="125"/>
      <c r="AU83" s="125"/>
      <c r="AV83" s="125"/>
      <c r="AW83" s="125"/>
      <c r="AX83" s="125"/>
      <c r="AY83" s="125"/>
      <c r="AZ83" s="125"/>
      <c r="BA83" s="125"/>
      <c r="BB83" s="125"/>
      <c r="BC83" s="125"/>
      <c r="BD83" s="125"/>
      <c r="BE83" s="125"/>
      <c r="BF83" s="125"/>
      <c r="BG83" s="125"/>
      <c r="BH83" s="125"/>
      <c r="BI83" s="125"/>
      <c r="BJ83" s="125"/>
      <c r="BK83" s="125"/>
      <c r="BL83" s="125"/>
    </row>
    <row r="84" spans="1:64">
      <c r="A84" s="125"/>
      <c r="B84" s="125"/>
      <c r="C84" s="125"/>
      <c r="D84" s="125"/>
      <c r="E84" s="125"/>
      <c r="F84" s="125"/>
      <c r="G84" s="125"/>
      <c r="H84" s="125"/>
      <c r="I84" s="125"/>
      <c r="J84" s="125"/>
      <c r="K84" s="125"/>
      <c r="L84" s="125"/>
      <c r="M84" s="125"/>
      <c r="N84" s="125"/>
      <c r="O84" s="125"/>
      <c r="P84" s="125"/>
      <c r="Q84" s="125"/>
      <c r="R84" s="125"/>
      <c r="S84" s="125"/>
      <c r="T84" s="125"/>
      <c r="U84" s="125"/>
      <c r="V84" s="125"/>
      <c r="W84" s="125"/>
      <c r="X84" s="125"/>
      <c r="Y84" s="125"/>
      <c r="Z84" s="125"/>
      <c r="AA84" s="125"/>
      <c r="AB84" s="125"/>
      <c r="AC84" s="125"/>
      <c r="AD84" s="125"/>
      <c r="AE84" s="125"/>
      <c r="AF84" s="125"/>
      <c r="AG84" s="125"/>
      <c r="AH84" s="125"/>
      <c r="AI84" s="125"/>
      <c r="AJ84" s="125"/>
      <c r="AK84" s="125"/>
      <c r="AL84" s="125"/>
      <c r="AM84" s="125"/>
      <c r="AN84" s="125"/>
      <c r="AO84" s="125"/>
      <c r="AP84" s="125"/>
      <c r="AQ84" s="125"/>
      <c r="AR84" s="125"/>
      <c r="AS84" s="125"/>
      <c r="AT84" s="125"/>
      <c r="AU84" s="125"/>
      <c r="AV84" s="125"/>
      <c r="AW84" s="125"/>
      <c r="AX84" s="125"/>
      <c r="AY84" s="125"/>
      <c r="AZ84" s="125"/>
      <c r="BA84" s="125"/>
      <c r="BB84" s="125"/>
      <c r="BC84" s="125"/>
      <c r="BD84" s="125"/>
      <c r="BE84" s="125"/>
      <c r="BF84" s="125"/>
      <c r="BG84" s="125"/>
      <c r="BH84" s="125"/>
      <c r="BI84" s="125"/>
      <c r="BJ84" s="125"/>
      <c r="BK84" s="125"/>
      <c r="BL84" s="125"/>
    </row>
    <row r="85" spans="1:64">
      <c r="A85" s="198" t="s">
        <v>184</v>
      </c>
      <c r="B85" s="198"/>
      <c r="C85" s="198"/>
      <c r="D85" s="198"/>
      <c r="E85" s="198"/>
      <c r="F85" s="198"/>
      <c r="G85" s="198"/>
      <c r="H85" s="198"/>
      <c r="I85" s="198"/>
      <c r="J85" s="198"/>
      <c r="K85" s="198"/>
      <c r="L85" s="198"/>
      <c r="M85" s="198"/>
      <c r="N85" s="198"/>
      <c r="O85" s="198"/>
      <c r="P85" s="198"/>
      <c r="Q85" s="198"/>
      <c r="R85" s="198"/>
      <c r="S85" s="198"/>
      <c r="T85" s="198"/>
      <c r="U85" s="198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198"/>
      <c r="AH85" s="198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  <c r="AS85" s="198"/>
      <c r="AT85" s="198"/>
      <c r="AU85" s="198"/>
      <c r="AV85" s="198"/>
      <c r="AW85" s="198"/>
      <c r="AX85" s="198"/>
      <c r="AY85" s="198"/>
      <c r="AZ85" s="198"/>
      <c r="BA85" s="198"/>
      <c r="BB85" s="198"/>
      <c r="BC85" s="198"/>
      <c r="BD85" s="198"/>
      <c r="BE85" s="198"/>
      <c r="BF85" s="198"/>
      <c r="BG85" s="198"/>
      <c r="BH85" s="198"/>
      <c r="BI85" s="198"/>
      <c r="BJ85" s="198"/>
      <c r="BK85" s="198"/>
      <c r="BL85" s="198"/>
    </row>
    <row r="86" spans="1:64">
      <c r="A86" s="125" t="s">
        <v>691</v>
      </c>
      <c r="B86" s="202" cm="1">
        <f t="array" aca="1" ref="B86" ca="1">SUMPRODUCT(ABS($D$63:$BL$63+$D$64:$BL$64-$D$10:$BL$10))</f>
        <v>2.9103830456733704E-11</v>
      </c>
      <c r="C86" s="206" t="str">
        <f ca="1">IF(B86&lt;0.01,"OK","CHECK")</f>
        <v>OK</v>
      </c>
      <c r="D86" s="125"/>
      <c r="E86" s="125"/>
      <c r="F86" s="125"/>
      <c r="G86" s="125"/>
      <c r="H86" s="125"/>
      <c r="I86" s="125"/>
      <c r="J86" s="125"/>
      <c r="K86" s="125"/>
      <c r="L86" s="125"/>
      <c r="M86" s="125"/>
      <c r="N86" s="125"/>
      <c r="O86" s="125"/>
      <c r="P86" s="125"/>
      <c r="Q86" s="125"/>
      <c r="R86" s="125"/>
      <c r="S86" s="125"/>
      <c r="T86" s="125"/>
      <c r="U86" s="125"/>
      <c r="V86" s="125"/>
      <c r="W86" s="125"/>
      <c r="X86" s="125"/>
      <c r="Y86" s="125"/>
      <c r="Z86" s="125"/>
      <c r="AA86" s="125"/>
      <c r="AB86" s="125"/>
      <c r="AC86" s="125"/>
      <c r="AD86" s="125"/>
      <c r="AE86" s="125"/>
      <c r="AF86" s="125"/>
      <c r="AG86" s="125"/>
      <c r="AH86" s="125"/>
      <c r="AI86" s="125"/>
      <c r="AJ86" s="125"/>
      <c r="AK86" s="125"/>
      <c r="AL86" s="125"/>
      <c r="AM86" s="125"/>
      <c r="AN86" s="125"/>
      <c r="AO86" s="125"/>
      <c r="AP86" s="125"/>
      <c r="AQ86" s="125"/>
      <c r="AR86" s="125"/>
      <c r="AS86" s="125"/>
      <c r="AT86" s="125"/>
      <c r="AU86" s="125"/>
      <c r="AV86" s="125"/>
      <c r="AW86" s="125"/>
      <c r="AX86" s="125"/>
      <c r="AY86" s="125"/>
      <c r="AZ86" s="125"/>
      <c r="BA86" s="125"/>
      <c r="BB86" s="125"/>
      <c r="BC86" s="125"/>
      <c r="BD86" s="125"/>
      <c r="BE86" s="125"/>
      <c r="BF86" s="125"/>
      <c r="BG86" s="125"/>
      <c r="BH86" s="125"/>
      <c r="BI86" s="125"/>
      <c r="BJ86" s="125"/>
      <c r="BK86" s="125"/>
      <c r="BL86" s="125"/>
    </row>
    <row r="87" spans="1:64">
      <c r="A87" s="125" t="s">
        <v>692</v>
      </c>
      <c r="B87" s="202" cm="1">
        <f t="array" aca="1" ref="B87" ca="1">SUMPRODUCT(ABS($D$65:$BL$65+$D$66:$BL$66-$D$8:$BL$8))</f>
        <v>1.2369127944111824E-10</v>
      </c>
      <c r="C87" s="206" t="str">
        <f ca="1">IF(B87&lt;0.01,"OK","CHECK")</f>
        <v>OK</v>
      </c>
      <c r="D87" s="125"/>
      <c r="E87" s="125"/>
      <c r="F87" s="125"/>
      <c r="G87" s="125"/>
      <c r="H87" s="125"/>
      <c r="I87" s="125"/>
      <c r="J87" s="125"/>
      <c r="K87" s="125"/>
      <c r="L87" s="125"/>
      <c r="M87" s="125"/>
      <c r="N87" s="125"/>
      <c r="O87" s="125"/>
      <c r="P87" s="125"/>
      <c r="Q87" s="125"/>
      <c r="R87" s="125"/>
      <c r="S87" s="125"/>
      <c r="T87" s="125"/>
      <c r="U87" s="125"/>
      <c r="V87" s="125"/>
      <c r="W87" s="125"/>
      <c r="X87" s="125"/>
      <c r="Y87" s="125"/>
      <c r="Z87" s="125"/>
      <c r="AA87" s="125"/>
      <c r="AB87" s="125"/>
      <c r="AC87" s="125"/>
      <c r="AD87" s="125"/>
      <c r="AE87" s="125"/>
      <c r="AF87" s="125"/>
      <c r="AG87" s="125"/>
      <c r="AH87" s="125"/>
      <c r="AI87" s="125"/>
      <c r="AJ87" s="125"/>
      <c r="AK87" s="125"/>
      <c r="AL87" s="125"/>
      <c r="AM87" s="125"/>
      <c r="AN87" s="125"/>
      <c r="AO87" s="125"/>
      <c r="AP87" s="125"/>
      <c r="AQ87" s="125"/>
      <c r="AR87" s="125"/>
      <c r="AS87" s="125"/>
      <c r="AT87" s="125"/>
      <c r="AU87" s="125"/>
      <c r="AV87" s="125"/>
      <c r="AW87" s="125"/>
      <c r="AX87" s="125"/>
      <c r="AY87" s="125"/>
      <c r="AZ87" s="125"/>
      <c r="BA87" s="125"/>
      <c r="BB87" s="125"/>
      <c r="BC87" s="125"/>
      <c r="BD87" s="125"/>
      <c r="BE87" s="125"/>
      <c r="BF87" s="125"/>
      <c r="BG87" s="125"/>
      <c r="BH87" s="125"/>
      <c r="BI87" s="125"/>
      <c r="BJ87" s="125"/>
      <c r="BK87" s="125"/>
      <c r="BL87" s="125"/>
    </row>
    <row r="88" spans="1:64">
      <c r="A88" s="125" t="s">
        <v>686</v>
      </c>
      <c r="B88" s="202">
        <f ca="1">$BL$23+$BL$33</f>
        <v>0</v>
      </c>
      <c r="C88" s="206" t="str">
        <f ca="1">IF(ABS(B88)&lt;0.01,"OK","CHECK")</f>
        <v>OK</v>
      </c>
      <c r="D88" s="125"/>
      <c r="E88" s="125"/>
      <c r="F88" s="125"/>
      <c r="G88" s="125"/>
      <c r="H88" s="125"/>
      <c r="I88" s="125"/>
      <c r="J88" s="125"/>
      <c r="K88" s="125"/>
      <c r="L88" s="125"/>
      <c r="M88" s="125"/>
      <c r="N88" s="125"/>
      <c r="O88" s="125"/>
      <c r="P88" s="125"/>
      <c r="Q88" s="125"/>
      <c r="R88" s="125"/>
      <c r="S88" s="125"/>
      <c r="T88" s="125"/>
      <c r="U88" s="125"/>
      <c r="V88" s="125"/>
      <c r="W88" s="125"/>
      <c r="X88" s="125"/>
      <c r="Y88" s="125"/>
      <c r="Z88" s="125"/>
      <c r="AA88" s="125"/>
      <c r="AB88" s="125"/>
      <c r="AC88" s="125"/>
      <c r="AD88" s="125"/>
      <c r="AE88" s="125"/>
      <c r="AF88" s="125"/>
      <c r="AG88" s="125"/>
      <c r="AH88" s="125"/>
      <c r="AI88" s="125"/>
      <c r="AJ88" s="125"/>
      <c r="AK88" s="125"/>
      <c r="AL88" s="125"/>
      <c r="AM88" s="125"/>
      <c r="AN88" s="125"/>
      <c r="AO88" s="125"/>
      <c r="AP88" s="125"/>
      <c r="AQ88" s="125"/>
      <c r="AR88" s="125"/>
      <c r="AS88" s="125"/>
      <c r="AT88" s="125"/>
      <c r="AU88" s="125"/>
      <c r="AV88" s="125"/>
      <c r="AW88" s="125"/>
      <c r="AX88" s="125"/>
      <c r="AY88" s="125"/>
      <c r="AZ88" s="125"/>
      <c r="BA88" s="125"/>
      <c r="BB88" s="125"/>
      <c r="BC88" s="125"/>
      <c r="BD88" s="125"/>
      <c r="BE88" s="125"/>
      <c r="BF88" s="125"/>
      <c r="BG88" s="125"/>
      <c r="BH88" s="125"/>
      <c r="BI88" s="125"/>
      <c r="BJ88" s="125"/>
      <c r="BK88" s="125"/>
      <c r="BL88" s="125"/>
    </row>
    <row r="89" spans="1:64">
      <c r="A89" s="125" t="s">
        <v>687</v>
      </c>
      <c r="B89" s="202">
        <f ca="1">$BL$27+$BL$37</f>
        <v>0</v>
      </c>
      <c r="C89" s="206" t="str">
        <f ca="1">IF(ABS(B89)&lt;0.01,"OK","CHECK")</f>
        <v>OK</v>
      </c>
      <c r="D89" s="125"/>
      <c r="E89" s="125"/>
      <c r="F89" s="125"/>
      <c r="G89" s="125"/>
      <c r="H89" s="125"/>
      <c r="I89" s="125"/>
      <c r="J89" s="125"/>
      <c r="K89" s="125"/>
      <c r="L89" s="125"/>
      <c r="M89" s="125"/>
      <c r="N89" s="125"/>
      <c r="O89" s="125"/>
      <c r="P89" s="125"/>
      <c r="Q89" s="125"/>
      <c r="R89" s="125"/>
      <c r="S89" s="125"/>
      <c r="T89" s="125"/>
      <c r="U89" s="125"/>
      <c r="V89" s="125"/>
      <c r="W89" s="125"/>
      <c r="X89" s="125"/>
      <c r="Y89" s="125"/>
      <c r="Z89" s="125"/>
      <c r="AA89" s="125"/>
      <c r="AB89" s="125"/>
      <c r="AC89" s="125"/>
      <c r="AD89" s="125"/>
      <c r="AE89" s="125"/>
      <c r="AF89" s="125"/>
      <c r="AG89" s="125"/>
      <c r="AH89" s="125"/>
      <c r="AI89" s="125"/>
      <c r="AJ89" s="125"/>
      <c r="AK89" s="125"/>
      <c r="AL89" s="125"/>
      <c r="AM89" s="125"/>
      <c r="AN89" s="125"/>
      <c r="AO89" s="125"/>
      <c r="AP89" s="125"/>
      <c r="AQ89" s="125"/>
      <c r="AR89" s="125"/>
      <c r="AS89" s="125"/>
      <c r="AT89" s="125"/>
      <c r="AU89" s="125"/>
      <c r="AV89" s="125"/>
      <c r="AW89" s="125"/>
      <c r="AX89" s="125"/>
      <c r="AY89" s="125"/>
      <c r="AZ89" s="125"/>
      <c r="BA89" s="125"/>
      <c r="BB89" s="125"/>
      <c r="BC89" s="125"/>
      <c r="BD89" s="125"/>
      <c r="BE89" s="125"/>
      <c r="BF89" s="125"/>
      <c r="BG89" s="125"/>
      <c r="BH89" s="125"/>
      <c r="BI89" s="125"/>
      <c r="BJ89" s="125"/>
      <c r="BK89" s="125"/>
      <c r="BL89" s="125"/>
    </row>
    <row r="90" spans="1:64">
      <c r="A90" s="125" t="s">
        <v>688</v>
      </c>
      <c r="B90" s="203">
        <f ca="1">B83-GPTarget</f>
        <v>0</v>
      </c>
      <c r="C90" s="206" t="str">
        <f ca="1">IF(B90&gt;=-0.001,"OK","CHECK")</f>
        <v>OK</v>
      </c>
      <c r="D90" s="125"/>
      <c r="E90" s="125"/>
      <c r="F90" s="125"/>
      <c r="G90" s="125"/>
      <c r="H90" s="125"/>
      <c r="I90" s="125"/>
      <c r="J90" s="125"/>
      <c r="K90" s="125"/>
      <c r="L90" s="125"/>
      <c r="M90" s="125"/>
      <c r="N90" s="125"/>
      <c r="O90" s="125"/>
      <c r="P90" s="125"/>
      <c r="Q90" s="125"/>
      <c r="R90" s="125"/>
      <c r="S90" s="125"/>
      <c r="T90" s="125"/>
      <c r="U90" s="125"/>
      <c r="V90" s="125"/>
      <c r="W90" s="125"/>
      <c r="X90" s="125"/>
      <c r="Y90" s="125"/>
      <c r="Z90" s="125"/>
      <c r="AA90" s="125"/>
      <c r="AB90" s="125"/>
      <c r="AC90" s="125"/>
      <c r="AD90" s="125"/>
      <c r="AE90" s="125"/>
      <c r="AF90" s="125"/>
      <c r="AG90" s="125"/>
      <c r="AH90" s="125"/>
      <c r="AI90" s="125"/>
      <c r="AJ90" s="125"/>
      <c r="AK90" s="125"/>
      <c r="AL90" s="125"/>
      <c r="AM90" s="125"/>
      <c r="AN90" s="125"/>
      <c r="AO90" s="125"/>
      <c r="AP90" s="125"/>
      <c r="AQ90" s="125"/>
      <c r="AR90" s="125"/>
      <c r="AS90" s="125"/>
      <c r="AT90" s="125"/>
      <c r="AU90" s="125"/>
      <c r="AV90" s="125"/>
      <c r="AW90" s="125"/>
      <c r="AX90" s="125"/>
      <c r="AY90" s="125"/>
      <c r="AZ90" s="125"/>
      <c r="BA90" s="125"/>
      <c r="BB90" s="125"/>
      <c r="BC90" s="125"/>
      <c r="BD90" s="125"/>
      <c r="BE90" s="125"/>
      <c r="BF90" s="125"/>
      <c r="BG90" s="125"/>
      <c r="BH90" s="125"/>
      <c r="BI90" s="125"/>
      <c r="BJ90" s="125"/>
      <c r="BK90" s="125"/>
      <c r="BL90" s="125"/>
    </row>
    <row r="91" spans="1:64">
      <c r="A91" s="125" t="s">
        <v>689</v>
      </c>
      <c r="B91" s="125"/>
      <c r="C91" s="206" t="str">
        <f ca="1">IF(AND(B71&lt;B73,B73&lt;B72),"OK","CHECK")</f>
        <v>OK</v>
      </c>
      <c r="D91" s="125"/>
      <c r="E91" s="125"/>
      <c r="F91" s="125"/>
      <c r="G91" s="125"/>
      <c r="H91" s="125"/>
      <c r="I91" s="125"/>
      <c r="J91" s="125"/>
      <c r="K91" s="125"/>
      <c r="L91" s="125"/>
      <c r="M91" s="125"/>
      <c r="N91" s="125"/>
      <c r="O91" s="125"/>
      <c r="P91" s="125"/>
      <c r="Q91" s="125"/>
      <c r="R91" s="125"/>
      <c r="S91" s="125"/>
      <c r="T91" s="125"/>
      <c r="U91" s="125"/>
      <c r="V91" s="125"/>
      <c r="W91" s="125"/>
      <c r="X91" s="125"/>
      <c r="Y91" s="125"/>
      <c r="Z91" s="125"/>
      <c r="AA91" s="125"/>
      <c r="AB91" s="125"/>
      <c r="AC91" s="125"/>
      <c r="AD91" s="125"/>
      <c r="AE91" s="125"/>
      <c r="AF91" s="125"/>
      <c r="AG91" s="125"/>
      <c r="AH91" s="125"/>
      <c r="AI91" s="125"/>
      <c r="AJ91" s="125"/>
      <c r="AK91" s="125"/>
      <c r="AL91" s="125"/>
      <c r="AM91" s="125"/>
      <c r="AN91" s="125"/>
      <c r="AO91" s="125"/>
      <c r="AP91" s="125"/>
      <c r="AQ91" s="125"/>
      <c r="AR91" s="125"/>
      <c r="AS91" s="125"/>
      <c r="AT91" s="125"/>
      <c r="AU91" s="125"/>
      <c r="AV91" s="125"/>
      <c r="AW91" s="125"/>
      <c r="AX91" s="125"/>
      <c r="AY91" s="125"/>
      <c r="AZ91" s="125"/>
      <c r="BA91" s="125"/>
      <c r="BB91" s="125"/>
      <c r="BC91" s="125"/>
      <c r="BD91" s="125"/>
      <c r="BE91" s="125"/>
      <c r="BF91" s="125"/>
      <c r="BG91" s="125"/>
      <c r="BH91" s="125"/>
      <c r="BI91" s="125"/>
      <c r="BJ91" s="125"/>
      <c r="BK91" s="125"/>
      <c r="BL91" s="12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ABD40-E5F8-4C06-91E9-1C17DA46BB9D}">
  <sheetPr>
    <tabColor rgb="FFED7D31"/>
  </sheetPr>
  <dimension ref="A1:H36"/>
  <sheetViews>
    <sheetView showGridLines="0" zoomScale="70" zoomScaleNormal="70" workbookViewId="0">
      <selection activeCell="C25" sqref="C25"/>
    </sheetView>
  </sheetViews>
  <sheetFormatPr defaultRowHeight="14.75" outlineLevelRow="1" outlineLevelCol="1"/>
  <cols>
    <col min="1" max="1" width="37.6796875" bestFit="1" customWidth="1"/>
    <col min="2" max="2" width="36.81640625" customWidth="1"/>
    <col min="3" max="3" width="27.26953125" customWidth="1" outlineLevel="1"/>
    <col min="4" max="6" width="31.81640625" customWidth="1"/>
    <col min="7" max="7" width="10.36328125" customWidth="1"/>
    <col min="8" max="8" width="19.81640625" bestFit="1" customWidth="1"/>
  </cols>
  <sheetData>
    <row r="1" spans="1:6" ht="16">
      <c r="A1" s="80" t="s">
        <v>254</v>
      </c>
      <c r="B1" s="80"/>
      <c r="C1" s="80"/>
    </row>
    <row r="2" spans="1:6" ht="16">
      <c r="A2" s="80"/>
      <c r="B2" s="97">
        <v>2</v>
      </c>
      <c r="C2" s="80"/>
      <c r="D2" s="98">
        <v>1</v>
      </c>
      <c r="E2" s="98">
        <v>2</v>
      </c>
      <c r="F2" s="98">
        <v>3</v>
      </c>
    </row>
    <row r="3" spans="1:6" ht="16.75" thickBot="1">
      <c r="A3" s="80"/>
      <c r="B3" s="99" t="s">
        <v>256</v>
      </c>
      <c r="C3" s="80"/>
      <c r="D3" s="189" t="s">
        <v>606</v>
      </c>
      <c r="E3" s="98"/>
      <c r="F3" s="98"/>
    </row>
    <row r="4" spans="1:6" ht="15.5" thickBot="1">
      <c r="A4" s="83" t="s">
        <v>227</v>
      </c>
      <c r="B4" s="84" t="str">
        <f ca="1">OFFSET(C4,,$B$2)</f>
        <v>First Southeast Bank</v>
      </c>
      <c r="C4" s="95"/>
      <c r="D4" s="91" t="s">
        <v>209</v>
      </c>
      <c r="E4" s="84" t="s">
        <v>236</v>
      </c>
      <c r="F4" s="84" t="s">
        <v>245</v>
      </c>
    </row>
    <row r="5" spans="1:6">
      <c r="A5" s="85" t="s">
        <v>210</v>
      </c>
      <c r="B5" s="92" t="str">
        <f ca="1">OFFSET(C5,,$B$2)</f>
        <v>Construction-to-Permanent</v>
      </c>
      <c r="C5" s="96"/>
      <c r="D5" s="92" t="s">
        <v>211</v>
      </c>
      <c r="E5" s="86" t="s">
        <v>211</v>
      </c>
      <c r="F5" s="86" t="s">
        <v>211</v>
      </c>
    </row>
    <row r="6" spans="1:6">
      <c r="A6" s="87" t="s">
        <v>212</v>
      </c>
      <c r="B6" s="93" t="str">
        <f t="shared" ref="B6:B22" ca="1" si="0">OFFSET(C6,,$B$2)</f>
        <v>Floating (swapped)</v>
      </c>
      <c r="C6" s="96"/>
      <c r="D6" s="93" t="s">
        <v>255</v>
      </c>
      <c r="E6" s="88" t="s">
        <v>255</v>
      </c>
      <c r="F6" s="88" t="s">
        <v>255</v>
      </c>
    </row>
    <row r="7" spans="1:6">
      <c r="A7" s="89" t="s">
        <v>213</v>
      </c>
      <c r="B7" s="94" t="str">
        <f t="shared" ca="1" si="0"/>
        <v>SOFR + 275 bps</v>
      </c>
      <c r="C7" s="96"/>
      <c r="D7" s="94" t="s">
        <v>214</v>
      </c>
      <c r="E7" s="90" t="s">
        <v>237</v>
      </c>
      <c r="F7" s="90" t="s">
        <v>246</v>
      </c>
    </row>
    <row r="8" spans="1:6">
      <c r="A8" s="87" t="s">
        <v>215</v>
      </c>
      <c r="B8" s="93" t="str">
        <f t="shared" ca="1" si="0"/>
        <v>4.35%</v>
      </c>
      <c r="C8" s="96"/>
      <c r="D8" s="93" t="s">
        <v>216</v>
      </c>
      <c r="E8" s="88" t="s">
        <v>216</v>
      </c>
      <c r="F8" s="88" t="s">
        <v>216</v>
      </c>
    </row>
    <row r="9" spans="1:6">
      <c r="A9" s="89" t="s">
        <v>217</v>
      </c>
      <c r="B9" s="94" t="str">
        <f t="shared" ca="1" si="0"/>
        <v>7.10%</v>
      </c>
      <c r="C9" s="96"/>
      <c r="D9" s="94" t="s">
        <v>218</v>
      </c>
      <c r="E9" s="90" t="s">
        <v>238</v>
      </c>
      <c r="F9" s="90" t="s">
        <v>247</v>
      </c>
    </row>
    <row r="10" spans="1:6">
      <c r="A10" s="87" t="s">
        <v>219</v>
      </c>
      <c r="B10" s="93" t="str">
        <f t="shared" ca="1" si="0"/>
        <v>75%</v>
      </c>
      <c r="C10" s="96"/>
      <c r="D10" s="93" t="s">
        <v>220</v>
      </c>
      <c r="E10" s="88" t="s">
        <v>222</v>
      </c>
      <c r="F10" s="88" t="s">
        <v>239</v>
      </c>
    </row>
    <row r="11" spans="1:6">
      <c r="A11" s="89" t="s">
        <v>221</v>
      </c>
      <c r="B11" s="94" t="str">
        <f t="shared" ca="1" si="0"/>
        <v>70%</v>
      </c>
      <c r="C11" s="96"/>
      <c r="D11" s="94" t="s">
        <v>222</v>
      </c>
      <c r="E11" s="90" t="s">
        <v>239</v>
      </c>
      <c r="F11" s="90" t="s">
        <v>248</v>
      </c>
    </row>
    <row r="12" spans="1:6">
      <c r="A12" s="87" t="s">
        <v>263</v>
      </c>
      <c r="B12" s="100">
        <f t="shared" ca="1" si="0"/>
        <v>1.25</v>
      </c>
      <c r="C12" s="96"/>
      <c r="D12" s="100">
        <v>1.1499999999999999</v>
      </c>
      <c r="E12" s="101">
        <v>1.25</v>
      </c>
      <c r="F12" s="101">
        <v>1.2</v>
      </c>
    </row>
    <row r="13" spans="1:6">
      <c r="A13" s="89" t="s">
        <v>262</v>
      </c>
      <c r="B13" s="94">
        <f t="shared" ca="1" si="0"/>
        <v>36</v>
      </c>
      <c r="C13" s="96"/>
      <c r="D13" s="94">
        <v>36</v>
      </c>
      <c r="E13" s="90">
        <v>36</v>
      </c>
      <c r="F13" s="90">
        <v>36</v>
      </c>
    </row>
    <row r="14" spans="1:6">
      <c r="A14" s="87" t="s">
        <v>1029</v>
      </c>
      <c r="B14" s="265">
        <f t="shared" ref="B14" ca="1" si="1">OFFSET(C14,,$B$2)</f>
        <v>1.4999999999999999E-2</v>
      </c>
      <c r="C14" s="96"/>
      <c r="D14" s="265">
        <v>1.4999999999999999E-2</v>
      </c>
      <c r="E14" s="265">
        <v>1.4999999999999999E-2</v>
      </c>
      <c r="F14" s="265">
        <v>1.4999999999999999E-2</v>
      </c>
    </row>
    <row r="15" spans="1:6">
      <c r="A15" s="89" t="s">
        <v>224</v>
      </c>
      <c r="B15" s="94" t="str">
        <f t="shared" ca="1" si="0"/>
        <v>24 months from close</v>
      </c>
      <c r="C15" s="96"/>
      <c r="D15" s="94" t="s">
        <v>225</v>
      </c>
      <c r="E15" s="90" t="s">
        <v>240</v>
      </c>
      <c r="F15" s="90" t="s">
        <v>249</v>
      </c>
    </row>
    <row r="16" spans="1:6">
      <c r="A16" s="87" t="s">
        <v>265</v>
      </c>
      <c r="B16" s="102">
        <v>30</v>
      </c>
      <c r="C16" s="96"/>
      <c r="D16" s="102">
        <v>30</v>
      </c>
      <c r="E16" s="102">
        <v>25</v>
      </c>
      <c r="F16" s="102">
        <v>30</v>
      </c>
    </row>
    <row r="17" spans="1:6">
      <c r="A17" s="89" t="s">
        <v>227</v>
      </c>
      <c r="B17" s="103">
        <f t="shared" ca="1" si="0"/>
        <v>5</v>
      </c>
      <c r="C17" s="96"/>
      <c r="D17" s="103">
        <v>10</v>
      </c>
      <c r="E17" s="103">
        <v>5</v>
      </c>
      <c r="F17" s="103">
        <v>7</v>
      </c>
    </row>
    <row r="18" spans="1:6">
      <c r="A18" s="87" t="s">
        <v>228</v>
      </c>
      <c r="B18" s="93" t="str">
        <f t="shared" ca="1" si="0"/>
        <v>1 x 1-year (subject to DSCR test)</v>
      </c>
      <c r="C18" s="96"/>
      <c r="D18" s="93" t="s">
        <v>45</v>
      </c>
      <c r="E18" s="88" t="s">
        <v>241</v>
      </c>
      <c r="F18" s="88" t="s">
        <v>250</v>
      </c>
    </row>
    <row r="19" spans="1:6" ht="29.5">
      <c r="A19" s="89" t="s">
        <v>229</v>
      </c>
      <c r="B19" s="94" t="str">
        <f t="shared" ca="1" si="0"/>
        <v>Non-recourse with standard carve-outs</v>
      </c>
      <c r="C19" s="96"/>
      <c r="D19" s="94" t="s">
        <v>230</v>
      </c>
      <c r="E19" s="90" t="s">
        <v>242</v>
      </c>
      <c r="F19" s="90" t="s">
        <v>251</v>
      </c>
    </row>
    <row r="20" spans="1:6">
      <c r="A20" s="87" t="s">
        <v>231</v>
      </c>
      <c r="B20" s="93" t="str">
        <f t="shared" ca="1" si="0"/>
        <v>1.00%</v>
      </c>
      <c r="C20" s="96"/>
      <c r="D20" s="93" t="s">
        <v>232</v>
      </c>
      <c r="E20" s="88" t="s">
        <v>243</v>
      </c>
      <c r="F20" s="88" t="s">
        <v>252</v>
      </c>
    </row>
    <row r="21" spans="1:6" ht="29.5">
      <c r="A21" s="89" t="s">
        <v>233</v>
      </c>
      <c r="B21" s="94" t="str">
        <f t="shared" ca="1" si="0"/>
        <v>Open after Year 2</v>
      </c>
      <c r="C21" s="96"/>
      <c r="D21" s="94" t="s">
        <v>234</v>
      </c>
      <c r="E21" s="90" t="s">
        <v>244</v>
      </c>
      <c r="F21" s="90" t="s">
        <v>253</v>
      </c>
    </row>
    <row r="22" spans="1:6">
      <c r="A22" s="87" t="s">
        <v>235</v>
      </c>
      <c r="B22" s="93" t="str">
        <f t="shared" ca="1" si="0"/>
        <v>PIK During Construction</v>
      </c>
      <c r="C22" s="96"/>
      <c r="D22" s="93" t="s">
        <v>607</v>
      </c>
      <c r="E22" s="93" t="s">
        <v>607</v>
      </c>
      <c r="F22" s="93" t="s">
        <v>607</v>
      </c>
    </row>
    <row r="25" spans="1:6">
      <c r="A25" s="17" t="s">
        <v>258</v>
      </c>
    </row>
    <row r="26" spans="1:6">
      <c r="A26" t="s">
        <v>259</v>
      </c>
      <c r="B26" s="69">
        <f ca="1">B10*'Property Cash Flow'!$B$36</f>
        <v>46146436.619945571</v>
      </c>
      <c r="D26" s="69">
        <f ca="1">D10*'Property Cash Flow'!$B$36</f>
        <v>49222865.727941945</v>
      </c>
      <c r="E26" s="69">
        <f ca="1">E10*'Property Cash Flow'!$B$36</f>
        <v>46146436.619945571</v>
      </c>
      <c r="F26" s="69">
        <f ca="1">F10*'Property Cash Flow'!$B$36</f>
        <v>43070007.511949196</v>
      </c>
    </row>
    <row r="27" spans="1:6">
      <c r="A27" t="s">
        <v>261</v>
      </c>
      <c r="B27" s="69">
        <f ca="1">+B11*'Exit Analysis'!$B$16</f>
        <v>57936597.256668665</v>
      </c>
      <c r="D27" s="69">
        <f ca="1">+D11*'Exit Analysis'!$B$16</f>
        <v>62074925.632145002</v>
      </c>
      <c r="E27" s="69">
        <f ca="1">+E11*'Exit Analysis'!$B$16</f>
        <v>57936597.256668665</v>
      </c>
      <c r="F27" s="69">
        <f ca="1">+F11*'Exit Analysis'!$B$16</f>
        <v>53798268.881192334</v>
      </c>
    </row>
    <row r="28" spans="1:6">
      <c r="A28" t="s">
        <v>260</v>
      </c>
      <c r="B28" s="69">
        <f ca="1">SUMIFS('Property Cash Flow'!$L$19:$CF$19,'Property Cash Flow'!$L$4:$CF$4,"&gt;="&amp;'Leverage Options'!B13,'Property Cash Flow'!$L$4:$CF$4,"&lt;"&amp;('Leverage Options'!B13+12))/B12/B9</f>
        <v>66929781.052139997</v>
      </c>
      <c r="D28" s="69">
        <f>SUMIFS('Property Cash Flow'!$L$19:$CF$19,'Property Cash Flow'!$L$4:$CF$4,"&gt;="&amp;'Leverage Options'!D13,'Property Cash Flow'!$L$4:$CF$4,"&lt;"&amp;('Leverage Options'!D13+12))/D12/D9</f>
        <v>81342253.58955735</v>
      </c>
      <c r="E28" s="69">
        <f>SUMIFS('Property Cash Flow'!$L$19:$CF$19,'Property Cash Flow'!$L$4:$CF$4,"&gt;="&amp;'Leverage Options'!E13,'Property Cash Flow'!$L$4:$CF$4,"&lt;"&amp;('Leverage Options'!E13+12))/E12/E9</f>
        <v>66929781.052139997</v>
      </c>
      <c r="F28" s="69">
        <f>SUMIFS('Property Cash Flow'!$L$19:$CF$19,'Property Cash Flow'!$L$4:$CF$4,"&gt;="&amp;'Leverage Options'!F13,'Property Cash Flow'!$L$4:$CF$4,"&lt;"&amp;('Leverage Options'!F13+12))/F12/F9</f>
        <v>72262993.532572076</v>
      </c>
    </row>
    <row r="32" spans="1:6">
      <c r="A32" s="17" t="s">
        <v>603</v>
      </c>
    </row>
    <row r="33" spans="1:8" ht="15.5" thickBot="1">
      <c r="A33" s="83"/>
      <c r="B33" s="84" t="s">
        <v>604</v>
      </c>
      <c r="C33" s="95"/>
      <c r="D33" s="91" t="str">
        <f>D4</f>
        <v>Atlantic Life Insurance</v>
      </c>
      <c r="E33" s="84" t="str">
        <f t="shared" ref="E33:F33" si="2">E4</f>
        <v>First Southeast Bank</v>
      </c>
      <c r="F33" s="84" t="str">
        <f t="shared" si="2"/>
        <v>Piedmont Capital</v>
      </c>
      <c r="H33" s="84" t="s">
        <v>605</v>
      </c>
    </row>
    <row r="34" spans="1:8" hidden="1" outlineLevel="1">
      <c r="C34" s="29"/>
      <c r="D34" s="29">
        <f>D2</f>
        <v>1</v>
      </c>
      <c r="E34" s="29">
        <f t="shared" ref="E34:F34" si="3">E2</f>
        <v>2</v>
      </c>
      <c r="F34" s="29">
        <f t="shared" si="3"/>
        <v>3</v>
      </c>
      <c r="H34" s="29"/>
    </row>
    <row r="35" spans="1:8" collapsed="1">
      <c r="A35" t="s">
        <v>601</v>
      </c>
      <c r="B35" s="186">
        <f ca="1">IF(OFFSET($C$3,,$B$2)="STALE QUOTE","ERROR",'Property Cash Flow'!B72)</f>
        <v>0.21210951209068299</v>
      </c>
      <c r="C35" s="185">
        <f ca="1">B35</f>
        <v>0.21210951209068299</v>
      </c>
      <c r="D35" s="186" t="str">
        <f t="dataTable" ref="D35:F36" dt2D="0" dtr="1" r1="B2" ca="1"/>
        <v>ERROR</v>
      </c>
      <c r="E35" s="186">
        <v>0.21210951209068299</v>
      </c>
      <c r="F35" s="186">
        <v>0.19834606051445008</v>
      </c>
      <c r="H35" s="186" t="str" cm="1">
        <f t="array" ref="H35">INDEX(D$33:F$33,,MATCH(MAX(D35:F35),D35:F35,0))</f>
        <v>First Southeast Bank</v>
      </c>
    </row>
    <row r="36" spans="1:8">
      <c r="A36" t="s">
        <v>602</v>
      </c>
      <c r="B36" s="188">
        <f ca="1">IF(OFFSET($C$3,,$B$2)="STALE QUOTE","ERROR",'Property Cash Flow'!B75)</f>
        <v>2.1110724869508886</v>
      </c>
      <c r="C36" s="187">
        <f ca="1">B36</f>
        <v>2.1110724869508886</v>
      </c>
      <c r="D36" s="188" t="str">
        <v>ERROR</v>
      </c>
      <c r="E36" s="188">
        <v>2.1110724869508886</v>
      </c>
      <c r="F36" s="188">
        <v>2.0659994827990671</v>
      </c>
      <c r="H36" s="186" t="str" cm="1">
        <f t="array" ref="H36">INDEX(D$33:F$33,,MATCH(MAX(D36:F36),D36:F36,0))</f>
        <v>First Southeast Bank</v>
      </c>
    </row>
  </sheetData>
  <dataValidations disablePrompts="1" count="1">
    <dataValidation type="list" allowBlank="1" showInputMessage="1" showErrorMessage="1" sqref="B2" xr:uid="{08D09519-5EA4-48B7-BBE9-F976140A597E}">
      <formula1>$D$2:$F$2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D7D31"/>
  </sheetPr>
  <dimension ref="A1:E24"/>
  <sheetViews>
    <sheetView showGridLines="0" workbookViewId="0">
      <selection activeCell="E5" sqref="E5"/>
    </sheetView>
  </sheetViews>
  <sheetFormatPr defaultRowHeight="14.75"/>
  <cols>
    <col min="1" max="1" width="38.1796875" customWidth="1"/>
    <col min="2" max="2" width="23.6328125" customWidth="1"/>
    <col min="3" max="3" width="36.36328125" customWidth="1"/>
    <col min="5" max="5" width="10.6796875" bestFit="1" customWidth="1"/>
  </cols>
  <sheetData>
    <row r="1" spans="1:5" ht="18.5">
      <c r="A1" s="1" t="s">
        <v>174</v>
      </c>
    </row>
    <row r="3" spans="1:5">
      <c r="A3" s="4" t="s">
        <v>175</v>
      </c>
      <c r="B3" s="5"/>
      <c r="C3" s="5"/>
    </row>
    <row r="4" spans="1:5">
      <c r="A4" t="s">
        <v>65</v>
      </c>
      <c r="B4" s="51">
        <f>HoldMonths</f>
        <v>60</v>
      </c>
      <c r="C4" s="9" t="s">
        <v>176</v>
      </c>
    </row>
    <row r="5" spans="1:5">
      <c r="A5" t="s">
        <v>66</v>
      </c>
      <c r="B5" s="72">
        <f ca="1">SUM(OFFSET('Property Cash Flow'!M19,0,'Exit Analysis'!B4,1,12))</f>
        <v>6545315.2877431801</v>
      </c>
      <c r="C5" s="2" t="s">
        <v>257</v>
      </c>
      <c r="E5" s="107">
        <f ca="1">B5/SUM(B13:B14)</f>
        <v>-0.10637845141190395</v>
      </c>
    </row>
    <row r="6" spans="1:5">
      <c r="A6" t="s">
        <v>9</v>
      </c>
      <c r="B6" s="52">
        <f>ExitCap</f>
        <v>7.7499999999999999E-2</v>
      </c>
    </row>
    <row r="7" spans="1:5">
      <c r="A7" s="17" t="s">
        <v>67</v>
      </c>
      <c r="B7" s="73">
        <f ca="1">B5/B6</f>
        <v>84455681.132170066</v>
      </c>
    </row>
    <row r="8" spans="1:5">
      <c r="A8" t="s">
        <v>177</v>
      </c>
      <c r="B8" s="74">
        <f ca="1">B7/BldgSF</f>
        <v>301.62743261489311</v>
      </c>
    </row>
    <row r="9" spans="1:5">
      <c r="A9" t="s">
        <v>178</v>
      </c>
      <c r="B9" s="72">
        <f ca="1">-B7*DispCost</f>
        <v>-1689113.6226434014</v>
      </c>
    </row>
    <row r="10" spans="1:5">
      <c r="A10" s="17" t="s">
        <v>68</v>
      </c>
      <c r="B10" s="75">
        <f ca="1">B7+B9</f>
        <v>82766567.50952667</v>
      </c>
    </row>
    <row r="12" spans="1:5">
      <c r="A12" s="4" t="s">
        <v>179</v>
      </c>
      <c r="B12" s="5"/>
      <c r="C12" s="5"/>
    </row>
    <row r="13" spans="1:5">
      <c r="A13" t="s">
        <v>206</v>
      </c>
      <c r="B13" s="72">
        <f>-PurchasePrice*(1+Assumptions!B7)</f>
        <v>-51500000</v>
      </c>
    </row>
    <row r="14" spans="1:5">
      <c r="A14" t="s">
        <v>208</v>
      </c>
      <c r="B14" s="72">
        <f ca="1">-'Property Cash Flow'!B36-'Exit Analysis'!B13</f>
        <v>-10028582.159927428</v>
      </c>
    </row>
    <row r="15" spans="1:5">
      <c r="A15" t="s">
        <v>207</v>
      </c>
      <c r="B15" s="72">
        <f>SUM('Property Cash Flow'!E27:J27)</f>
        <v>7651534.0390225314</v>
      </c>
      <c r="C15" s="2" t="s">
        <v>180</v>
      </c>
    </row>
    <row r="16" spans="1:5">
      <c r="A16" t="s">
        <v>181</v>
      </c>
      <c r="B16" s="72">
        <f ca="1">B10</f>
        <v>82766567.50952667</v>
      </c>
    </row>
    <row r="17" spans="1:3">
      <c r="A17" s="17" t="s">
        <v>182</v>
      </c>
      <c r="B17" s="73">
        <f ca="1">SUM(B13:B16)</f>
        <v>28889519.388621777</v>
      </c>
    </row>
    <row r="18" spans="1:3">
      <c r="A18" s="17" t="s">
        <v>183</v>
      </c>
      <c r="B18" s="53">
        <f ca="1">(B15+B16)/PurchasePrice</f>
        <v>1.808362030970984</v>
      </c>
    </row>
    <row r="19" spans="1:3">
      <c r="A19" s="17"/>
      <c r="B19" s="53"/>
    </row>
    <row r="21" spans="1:3">
      <c r="A21" s="55" t="s">
        <v>184</v>
      </c>
      <c r="B21" s="56"/>
      <c r="C21" s="56"/>
    </row>
    <row r="22" spans="1:3">
      <c r="A22" t="s">
        <v>185</v>
      </c>
      <c r="B22" s="49">
        <f>'Rent Roll'!F36</f>
        <v>0</v>
      </c>
      <c r="C22" s="50" t="str">
        <f>IF(B22=0,"OK","CHECK")</f>
        <v>OK</v>
      </c>
    </row>
    <row r="23" spans="1:3">
      <c r="A23" t="s">
        <v>186</v>
      </c>
      <c r="B23" s="72">
        <f>'Property Cash Flow'!I19</f>
        <v>6312430.2528110724</v>
      </c>
      <c r="C23" s="50" t="str">
        <f>IF(B23&gt;0,"OK","CHECK")</f>
        <v>OK</v>
      </c>
    </row>
    <row r="24" spans="1:3">
      <c r="A24" t="s">
        <v>187</v>
      </c>
      <c r="B24" s="72">
        <f ca="1">B7-PurchasePrice</f>
        <v>34455681.132170066</v>
      </c>
      <c r="C24" s="50" t="str">
        <f ca="1">IF(B24&gt;0,"OK","CHECK")</f>
        <v>OK</v>
      </c>
    </row>
  </sheetData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FD3F8-25FA-4CEC-80C3-A7668BC8393D}">
  <sheetPr>
    <tabColor theme="9"/>
  </sheetPr>
  <dimension ref="A1:M37"/>
  <sheetViews>
    <sheetView showGridLines="0" zoomScale="85" zoomScaleNormal="85" workbookViewId="0">
      <selection activeCell="K34" sqref="K34"/>
    </sheetView>
  </sheetViews>
  <sheetFormatPr defaultRowHeight="14.75"/>
  <cols>
    <col min="1" max="1" width="4" customWidth="1"/>
    <col min="2" max="2" width="30" customWidth="1"/>
    <col min="3" max="3" width="14" customWidth="1"/>
    <col min="4" max="4" width="6" customWidth="1"/>
    <col min="5" max="5" width="10" customWidth="1"/>
    <col min="6" max="6" width="12" customWidth="1"/>
    <col min="7" max="7" width="14" customWidth="1"/>
    <col min="8" max="8" width="10" customWidth="1"/>
    <col min="11" max="11" width="14" customWidth="1"/>
    <col min="12" max="12" width="45" customWidth="1"/>
  </cols>
  <sheetData>
    <row r="1" spans="1:13" ht="40.5">
      <c r="A1" s="108" t="s">
        <v>34</v>
      </c>
      <c r="B1" s="108" t="s">
        <v>280</v>
      </c>
      <c r="C1" s="108" t="s">
        <v>281</v>
      </c>
      <c r="D1" s="108" t="s">
        <v>282</v>
      </c>
      <c r="E1" s="108" t="s">
        <v>36</v>
      </c>
      <c r="F1" s="108" t="s">
        <v>283</v>
      </c>
      <c r="G1" s="108" t="s">
        <v>284</v>
      </c>
      <c r="H1" s="108" t="s">
        <v>285</v>
      </c>
      <c r="I1" s="108" t="s">
        <v>286</v>
      </c>
      <c r="J1" s="108" t="s">
        <v>287</v>
      </c>
      <c r="K1" s="108" t="s">
        <v>288</v>
      </c>
      <c r="L1" s="108" t="s">
        <v>289</v>
      </c>
      <c r="M1" s="108" t="s">
        <v>392</v>
      </c>
    </row>
    <row r="2" spans="1:13">
      <c r="A2" s="79">
        <v>1</v>
      </c>
      <c r="B2" s="79" t="s">
        <v>290</v>
      </c>
      <c r="C2" s="79" t="s">
        <v>291</v>
      </c>
      <c r="D2" s="79" t="s">
        <v>292</v>
      </c>
      <c r="E2" s="109">
        <v>185000</v>
      </c>
      <c r="F2" s="135" t="s">
        <v>293</v>
      </c>
      <c r="G2" s="182">
        <v>45120000</v>
      </c>
      <c r="H2" s="181">
        <f>IFERROR(G2/E2,"N/A")</f>
        <v>243.8918918918919</v>
      </c>
      <c r="I2" s="183">
        <v>7.8E-2</v>
      </c>
      <c r="J2" s="183">
        <v>0.82</v>
      </c>
      <c r="K2" s="79" t="s">
        <v>294</v>
      </c>
      <c r="L2" s="124" t="s">
        <v>295</v>
      </c>
      <c r="M2" s="125">
        <v>1</v>
      </c>
    </row>
    <row r="3" spans="1:13">
      <c r="A3" s="79">
        <v>2</v>
      </c>
      <c r="B3" s="79" t="s">
        <v>296</v>
      </c>
      <c r="C3" s="79" t="s">
        <v>291</v>
      </c>
      <c r="D3" s="79" t="s">
        <v>297</v>
      </c>
      <c r="E3" s="109">
        <v>142000</v>
      </c>
      <c r="F3" s="135" t="s">
        <v>298</v>
      </c>
      <c r="G3" s="182">
        <v>52480000</v>
      </c>
      <c r="H3" s="181">
        <f t="shared" ref="H3:H26" si="0">IFERROR(G3/E3,"N/A")</f>
        <v>369.57746478873241</v>
      </c>
      <c r="I3" s="183">
        <v>6.2E-2</v>
      </c>
      <c r="J3" s="183">
        <v>0.94</v>
      </c>
      <c r="K3" s="79" t="s">
        <v>299</v>
      </c>
      <c r="L3" s="124" t="s">
        <v>300</v>
      </c>
      <c r="M3" s="125">
        <v>1</v>
      </c>
    </row>
    <row r="4" spans="1:13">
      <c r="A4" s="79">
        <v>3</v>
      </c>
      <c r="B4" s="79" t="s">
        <v>301</v>
      </c>
      <c r="C4" s="79" t="s">
        <v>291</v>
      </c>
      <c r="D4" s="79" t="s">
        <v>302</v>
      </c>
      <c r="E4" s="109">
        <v>98000</v>
      </c>
      <c r="F4" s="135" t="s">
        <v>303</v>
      </c>
      <c r="G4" s="182">
        <v>20000000</v>
      </c>
      <c r="H4" s="181">
        <f t="shared" si="0"/>
        <v>204.08163265306123</v>
      </c>
      <c r="I4" s="183">
        <v>8.5000000000000006E-2</v>
      </c>
      <c r="J4" s="183">
        <v>0.71</v>
      </c>
      <c r="K4" s="79" t="s">
        <v>304</v>
      </c>
      <c r="L4" s="124" t="s">
        <v>305</v>
      </c>
      <c r="M4" s="125">
        <v>1</v>
      </c>
    </row>
    <row r="5" spans="1:13">
      <c r="A5" s="79">
        <v>4</v>
      </c>
      <c r="B5" s="79" t="s">
        <v>306</v>
      </c>
      <c r="C5" s="79" t="s">
        <v>291</v>
      </c>
      <c r="D5" s="79" t="s">
        <v>292</v>
      </c>
      <c r="E5" s="109">
        <v>220000</v>
      </c>
      <c r="F5" s="135" t="s">
        <v>307</v>
      </c>
      <c r="G5" s="182">
        <v>56320000</v>
      </c>
      <c r="H5" s="181">
        <f t="shared" si="0"/>
        <v>256</v>
      </c>
      <c r="I5" s="183">
        <v>7.1999999999999995E-2</v>
      </c>
      <c r="J5" s="183">
        <v>0.88</v>
      </c>
      <c r="K5" s="79" t="s">
        <v>308</v>
      </c>
      <c r="L5" s="124" t="s">
        <v>309</v>
      </c>
      <c r="M5" s="125">
        <v>1</v>
      </c>
    </row>
    <row r="6" spans="1:13">
      <c r="A6" s="79">
        <v>5</v>
      </c>
      <c r="B6" s="79" t="s">
        <v>310</v>
      </c>
      <c r="C6" s="79" t="s">
        <v>291</v>
      </c>
      <c r="D6" s="79" t="s">
        <v>302</v>
      </c>
      <c r="E6" s="109">
        <v>65000</v>
      </c>
      <c r="F6" s="135" t="s">
        <v>311</v>
      </c>
      <c r="G6" s="182">
        <v>12480000</v>
      </c>
      <c r="H6" s="181">
        <f t="shared" si="0"/>
        <v>192</v>
      </c>
      <c r="I6" s="183">
        <v>9.0999999999999998E-2</v>
      </c>
      <c r="J6" s="183">
        <v>0.75</v>
      </c>
      <c r="K6" s="79" t="s">
        <v>304</v>
      </c>
      <c r="L6" s="124" t="s">
        <v>312</v>
      </c>
      <c r="M6" s="125">
        <v>1</v>
      </c>
    </row>
    <row r="7" spans="1:13">
      <c r="A7" s="79">
        <v>6</v>
      </c>
      <c r="B7" s="79" t="s">
        <v>313</v>
      </c>
      <c r="C7" s="79" t="s">
        <v>314</v>
      </c>
      <c r="D7" s="79" t="s">
        <v>292</v>
      </c>
      <c r="E7" s="109">
        <v>155000</v>
      </c>
      <c r="F7" s="135" t="s">
        <v>315</v>
      </c>
      <c r="G7" s="182">
        <v>37200000</v>
      </c>
      <c r="H7" s="181">
        <f t="shared" si="0"/>
        <v>240</v>
      </c>
      <c r="I7" s="183">
        <v>7.4999999999999997E-2</v>
      </c>
      <c r="J7" s="183">
        <v>0.85</v>
      </c>
      <c r="K7" s="79" t="s">
        <v>294</v>
      </c>
      <c r="L7" s="124" t="s">
        <v>316</v>
      </c>
      <c r="M7" s="125">
        <v>1</v>
      </c>
    </row>
    <row r="8" spans="1:13">
      <c r="A8" s="79">
        <v>7</v>
      </c>
      <c r="B8" s="79" t="s">
        <v>317</v>
      </c>
      <c r="C8" s="79" t="s">
        <v>318</v>
      </c>
      <c r="D8" s="79" t="s">
        <v>319</v>
      </c>
      <c r="E8" s="109">
        <v>175000</v>
      </c>
      <c r="F8" s="135" t="s">
        <v>320</v>
      </c>
      <c r="G8" s="182">
        <v>49000000</v>
      </c>
      <c r="H8" s="181">
        <f t="shared" si="0"/>
        <v>280</v>
      </c>
      <c r="I8" s="183">
        <v>6.8000000000000005E-2</v>
      </c>
      <c r="J8" s="183">
        <v>0.91</v>
      </c>
      <c r="K8" s="79" t="s">
        <v>308</v>
      </c>
      <c r="L8" s="124" t="s">
        <v>321</v>
      </c>
      <c r="M8" s="125">
        <v>1</v>
      </c>
    </row>
    <row r="9" spans="1:13">
      <c r="A9" s="79">
        <v>8</v>
      </c>
      <c r="B9" s="79" t="s">
        <v>322</v>
      </c>
      <c r="C9" s="79" t="s">
        <v>291</v>
      </c>
      <c r="D9" s="79" t="s">
        <v>292</v>
      </c>
      <c r="E9" s="109">
        <v>110000</v>
      </c>
      <c r="F9" s="135" t="s">
        <v>323</v>
      </c>
      <c r="G9" s="182">
        <v>28864000</v>
      </c>
      <c r="H9" s="181">
        <f t="shared" si="0"/>
        <v>262.39999999999998</v>
      </c>
      <c r="I9" s="183">
        <v>7.2999999999999995E-2</v>
      </c>
      <c r="J9" s="183">
        <v>0.84</v>
      </c>
      <c r="K9" s="79" t="s">
        <v>304</v>
      </c>
      <c r="L9" s="124" t="s">
        <v>324</v>
      </c>
      <c r="M9" s="125">
        <v>1</v>
      </c>
    </row>
    <row r="10" spans="1:13">
      <c r="A10" s="79">
        <v>9</v>
      </c>
      <c r="B10" s="79" t="s">
        <v>325</v>
      </c>
      <c r="C10" s="79" t="s">
        <v>291</v>
      </c>
      <c r="D10" s="79" t="s">
        <v>292</v>
      </c>
      <c r="E10" s="109">
        <v>95000</v>
      </c>
      <c r="F10" s="135" t="s">
        <v>326</v>
      </c>
      <c r="G10" s="182">
        <v>24320000</v>
      </c>
      <c r="H10" s="181">
        <f t="shared" si="0"/>
        <v>256</v>
      </c>
      <c r="I10" s="183">
        <v>7.5999999999999998E-2</v>
      </c>
      <c r="J10" s="183">
        <v>0.8</v>
      </c>
      <c r="K10" s="79" t="s">
        <v>294</v>
      </c>
      <c r="L10" s="124" t="s">
        <v>327</v>
      </c>
      <c r="M10" s="125">
        <v>1</v>
      </c>
    </row>
    <row r="11" spans="1:13">
      <c r="A11" s="79">
        <v>10</v>
      </c>
      <c r="B11" s="79" t="s">
        <v>328</v>
      </c>
      <c r="C11" s="79" t="s">
        <v>291</v>
      </c>
      <c r="D11" s="79" t="s">
        <v>302</v>
      </c>
      <c r="E11" s="109">
        <v>130000</v>
      </c>
      <c r="F11" s="135" t="s">
        <v>329</v>
      </c>
      <c r="G11" s="182">
        <v>28080000</v>
      </c>
      <c r="H11" s="181">
        <f t="shared" si="0"/>
        <v>216</v>
      </c>
      <c r="I11" s="183">
        <v>8.2000000000000003E-2</v>
      </c>
      <c r="J11" s="183">
        <v>0.77</v>
      </c>
      <c r="K11" s="79" t="s">
        <v>304</v>
      </c>
      <c r="L11" s="124" t="s">
        <v>330</v>
      </c>
      <c r="M11" s="125">
        <v>1</v>
      </c>
    </row>
    <row r="12" spans="1:13">
      <c r="A12" s="79">
        <v>11</v>
      </c>
      <c r="B12" s="79" t="s">
        <v>331</v>
      </c>
      <c r="C12" s="79" t="s">
        <v>291</v>
      </c>
      <c r="D12" s="79" t="s">
        <v>292</v>
      </c>
      <c r="E12" s="109">
        <v>88000</v>
      </c>
      <c r="F12" s="135" t="s">
        <v>332</v>
      </c>
      <c r="G12" s="182">
        <v>21120000</v>
      </c>
      <c r="H12" s="181">
        <f t="shared" si="0"/>
        <v>240</v>
      </c>
      <c r="I12" s="183">
        <v>7.3999999999999996E-2</v>
      </c>
      <c r="J12" s="183">
        <v>0.86</v>
      </c>
      <c r="K12" s="79" t="s">
        <v>308</v>
      </c>
      <c r="L12" s="124" t="s">
        <v>333</v>
      </c>
      <c r="M12" s="125">
        <v>1</v>
      </c>
    </row>
    <row r="13" spans="1:13">
      <c r="A13" s="79">
        <v>12</v>
      </c>
      <c r="B13" s="79" t="s">
        <v>334</v>
      </c>
      <c r="C13" s="79" t="s">
        <v>291</v>
      </c>
      <c r="D13" s="79" t="s">
        <v>319</v>
      </c>
      <c r="E13" s="109">
        <v>160000</v>
      </c>
      <c r="F13" s="135" t="s">
        <v>335</v>
      </c>
      <c r="G13" s="182">
        <v>49920000</v>
      </c>
      <c r="H13" s="181">
        <f t="shared" si="0"/>
        <v>312</v>
      </c>
      <c r="I13" s="183">
        <v>6.5000000000000002E-2</v>
      </c>
      <c r="J13" s="183">
        <v>0.92</v>
      </c>
      <c r="K13" s="79" t="s">
        <v>299</v>
      </c>
      <c r="L13" s="124" t="s">
        <v>336</v>
      </c>
      <c r="M13" s="125">
        <v>1</v>
      </c>
    </row>
    <row r="14" spans="1:13">
      <c r="A14" s="79">
        <v>13</v>
      </c>
      <c r="B14" s="79" t="s">
        <v>337</v>
      </c>
      <c r="C14" s="79" t="s">
        <v>291</v>
      </c>
      <c r="D14" s="79" t="s">
        <v>292</v>
      </c>
      <c r="E14" s="109">
        <v>125000</v>
      </c>
      <c r="F14" s="135" t="s">
        <v>338</v>
      </c>
      <c r="G14" s="182">
        <v>13600000</v>
      </c>
      <c r="H14" s="181">
        <f t="shared" si="0"/>
        <v>108.8</v>
      </c>
      <c r="I14" s="172" t="s">
        <v>339</v>
      </c>
      <c r="J14" s="183">
        <v>0.52</v>
      </c>
      <c r="K14" s="79" t="s">
        <v>340</v>
      </c>
      <c r="L14" s="124" t="s">
        <v>341</v>
      </c>
      <c r="M14" s="125">
        <v>2</v>
      </c>
    </row>
    <row r="15" spans="1:13">
      <c r="A15" s="79">
        <v>14</v>
      </c>
      <c r="B15" s="79" t="s">
        <v>342</v>
      </c>
      <c r="C15" s="79" t="s">
        <v>291</v>
      </c>
      <c r="D15" s="79" t="s">
        <v>302</v>
      </c>
      <c r="E15" s="109">
        <v>150000</v>
      </c>
      <c r="F15" s="135" t="s">
        <v>343</v>
      </c>
      <c r="G15" s="182">
        <v>22800000</v>
      </c>
      <c r="H15" s="181">
        <f t="shared" si="0"/>
        <v>152</v>
      </c>
      <c r="I15" s="172" t="s">
        <v>339</v>
      </c>
      <c r="J15" s="183">
        <v>0.6</v>
      </c>
      <c r="K15" s="79" t="s">
        <v>344</v>
      </c>
      <c r="L15" s="124" t="s">
        <v>345</v>
      </c>
      <c r="M15" s="125">
        <v>2</v>
      </c>
    </row>
    <row r="16" spans="1:13">
      <c r="A16" s="79">
        <v>15</v>
      </c>
      <c r="B16" s="79" t="s">
        <v>346</v>
      </c>
      <c r="C16" s="79" t="s">
        <v>291</v>
      </c>
      <c r="D16" s="79" t="s">
        <v>292</v>
      </c>
      <c r="E16" s="109">
        <v>163000</v>
      </c>
      <c r="F16" s="135" t="s">
        <v>347</v>
      </c>
      <c r="G16" s="182">
        <v>35200000</v>
      </c>
      <c r="H16" s="181">
        <f t="shared" si="0"/>
        <v>215.95092024539878</v>
      </c>
      <c r="I16" s="183">
        <v>8.8999999999999996E-2</v>
      </c>
      <c r="J16" s="183">
        <v>0.7</v>
      </c>
      <c r="K16" s="79" t="s">
        <v>304</v>
      </c>
      <c r="L16" s="124" t="s">
        <v>348</v>
      </c>
      <c r="M16" s="125">
        <v>2</v>
      </c>
    </row>
    <row r="17" spans="1:13">
      <c r="A17" s="79">
        <v>16</v>
      </c>
      <c r="B17" s="79" t="s">
        <v>349</v>
      </c>
      <c r="C17" s="79" t="s">
        <v>291</v>
      </c>
      <c r="D17" s="79" t="s">
        <v>302</v>
      </c>
      <c r="E17" s="109">
        <v>100000</v>
      </c>
      <c r="F17" s="135" t="s">
        <v>350</v>
      </c>
      <c r="G17" s="182">
        <v>18880000</v>
      </c>
      <c r="H17" s="181">
        <f t="shared" si="0"/>
        <v>188.8</v>
      </c>
      <c r="I17" s="183">
        <v>9.5000000000000001E-2</v>
      </c>
      <c r="J17" s="183">
        <v>0.65</v>
      </c>
      <c r="K17" s="79" t="s">
        <v>294</v>
      </c>
      <c r="L17" s="124" t="s">
        <v>351</v>
      </c>
      <c r="M17" s="125">
        <v>2</v>
      </c>
    </row>
    <row r="18" spans="1:13">
      <c r="A18" s="79">
        <v>17</v>
      </c>
      <c r="B18" s="79" t="s">
        <v>352</v>
      </c>
      <c r="C18" s="79" t="s">
        <v>291</v>
      </c>
      <c r="D18" s="79" t="s">
        <v>292</v>
      </c>
      <c r="E18" s="109">
        <v>140000</v>
      </c>
      <c r="F18" s="135" t="s">
        <v>353</v>
      </c>
      <c r="G18" s="182">
        <v>29120000</v>
      </c>
      <c r="H18" s="181">
        <f t="shared" si="0"/>
        <v>208</v>
      </c>
      <c r="I18" s="183">
        <v>8.6999999999999994E-2</v>
      </c>
      <c r="J18" s="183">
        <v>0.72</v>
      </c>
      <c r="K18" s="79" t="s">
        <v>304</v>
      </c>
      <c r="L18" s="124" t="s">
        <v>354</v>
      </c>
      <c r="M18" s="125">
        <v>2</v>
      </c>
    </row>
    <row r="19" spans="1:13">
      <c r="A19" s="79">
        <v>18</v>
      </c>
      <c r="B19" s="79" t="s">
        <v>355</v>
      </c>
      <c r="C19" s="79" t="s">
        <v>356</v>
      </c>
      <c r="D19" s="79" t="s">
        <v>292</v>
      </c>
      <c r="E19" s="109">
        <v>160000</v>
      </c>
      <c r="F19" s="135" t="s">
        <v>357</v>
      </c>
      <c r="G19" s="182">
        <v>31200000</v>
      </c>
      <c r="H19" s="181">
        <f t="shared" si="0"/>
        <v>195</v>
      </c>
      <c r="I19" s="172" t="s">
        <v>339</v>
      </c>
      <c r="J19" s="172" t="s">
        <v>339</v>
      </c>
      <c r="K19" s="79" t="s">
        <v>358</v>
      </c>
      <c r="L19" s="124" t="s">
        <v>359</v>
      </c>
      <c r="M19" s="125">
        <v>3</v>
      </c>
    </row>
    <row r="20" spans="1:13">
      <c r="A20" s="79">
        <v>19</v>
      </c>
      <c r="B20" s="79" t="s">
        <v>360</v>
      </c>
      <c r="C20" s="79" t="s">
        <v>361</v>
      </c>
      <c r="D20" s="79" t="s">
        <v>302</v>
      </c>
      <c r="E20" s="109">
        <v>130000</v>
      </c>
      <c r="F20" s="135" t="s">
        <v>332</v>
      </c>
      <c r="G20" s="172" t="s">
        <v>339</v>
      </c>
      <c r="H20" s="172" t="str">
        <f t="shared" si="0"/>
        <v>N/A</v>
      </c>
      <c r="I20" s="172" t="s">
        <v>339</v>
      </c>
      <c r="J20" s="183">
        <v>0.78</v>
      </c>
      <c r="K20" s="79" t="s">
        <v>358</v>
      </c>
      <c r="L20" s="124" t="s">
        <v>362</v>
      </c>
      <c r="M20" s="125">
        <v>3</v>
      </c>
    </row>
    <row r="21" spans="1:13">
      <c r="A21" s="79">
        <v>20</v>
      </c>
      <c r="B21" s="79" t="s">
        <v>363</v>
      </c>
      <c r="C21" s="79" t="s">
        <v>364</v>
      </c>
      <c r="D21" s="79" t="s">
        <v>297</v>
      </c>
      <c r="E21" s="109">
        <v>72000</v>
      </c>
      <c r="F21" s="135" t="s">
        <v>365</v>
      </c>
      <c r="G21" s="182">
        <v>26496000</v>
      </c>
      <c r="H21" s="181">
        <f t="shared" si="0"/>
        <v>368</v>
      </c>
      <c r="I21" s="172" t="s">
        <v>339</v>
      </c>
      <c r="J21" s="183">
        <v>0.96</v>
      </c>
      <c r="K21" s="79" t="s">
        <v>304</v>
      </c>
      <c r="L21" s="124" t="s">
        <v>366</v>
      </c>
      <c r="M21" s="125">
        <v>3</v>
      </c>
    </row>
    <row r="22" spans="1:13">
      <c r="A22" s="79">
        <v>21</v>
      </c>
      <c r="B22" s="79" t="s">
        <v>367</v>
      </c>
      <c r="C22" s="79" t="s">
        <v>291</v>
      </c>
      <c r="D22" s="79" t="s">
        <v>292</v>
      </c>
      <c r="E22" s="109">
        <v>115000</v>
      </c>
      <c r="F22" s="135" t="s">
        <v>368</v>
      </c>
      <c r="G22" s="182">
        <v>29440000</v>
      </c>
      <c r="H22" s="181">
        <f t="shared" si="0"/>
        <v>256</v>
      </c>
      <c r="I22" s="172" t="s">
        <v>339</v>
      </c>
      <c r="J22" s="172" t="s">
        <v>339</v>
      </c>
      <c r="K22" s="79" t="s">
        <v>294</v>
      </c>
      <c r="L22" s="124" t="s">
        <v>369</v>
      </c>
      <c r="M22" s="125">
        <v>3</v>
      </c>
    </row>
    <row r="23" spans="1:13">
      <c r="A23" s="79">
        <v>22</v>
      </c>
      <c r="B23" s="79" t="s">
        <v>370</v>
      </c>
      <c r="C23" s="79" t="s">
        <v>371</v>
      </c>
      <c r="D23" s="79" t="s">
        <v>297</v>
      </c>
      <c r="E23" s="109">
        <v>350000</v>
      </c>
      <c r="F23" s="135" t="s">
        <v>372</v>
      </c>
      <c r="G23" s="182">
        <v>156800000</v>
      </c>
      <c r="H23" s="181">
        <f t="shared" si="0"/>
        <v>448</v>
      </c>
      <c r="I23" s="183">
        <v>5.5E-2</v>
      </c>
      <c r="J23" s="183">
        <v>0.9</v>
      </c>
      <c r="K23" s="79" t="s">
        <v>308</v>
      </c>
      <c r="L23" s="124" t="s">
        <v>373</v>
      </c>
      <c r="M23" s="125">
        <v>4</v>
      </c>
    </row>
    <row r="24" spans="1:13">
      <c r="A24" s="79">
        <v>23</v>
      </c>
      <c r="B24" s="79" t="s">
        <v>374</v>
      </c>
      <c r="C24" s="79" t="s">
        <v>375</v>
      </c>
      <c r="D24" s="79" t="s">
        <v>297</v>
      </c>
      <c r="E24" s="109">
        <v>210000</v>
      </c>
      <c r="F24" s="135" t="s">
        <v>376</v>
      </c>
      <c r="G24" s="182">
        <v>84000000</v>
      </c>
      <c r="H24" s="181">
        <f t="shared" si="0"/>
        <v>400</v>
      </c>
      <c r="I24" s="183">
        <v>0.06</v>
      </c>
      <c r="J24" s="183">
        <v>0.93</v>
      </c>
      <c r="K24" s="79" t="s">
        <v>299</v>
      </c>
      <c r="L24" s="124" t="s">
        <v>377</v>
      </c>
      <c r="M24" s="125">
        <v>4</v>
      </c>
    </row>
    <row r="25" spans="1:13">
      <c r="A25" s="79">
        <v>24</v>
      </c>
      <c r="B25" s="79" t="s">
        <v>378</v>
      </c>
      <c r="C25" s="79" t="s">
        <v>379</v>
      </c>
      <c r="D25" s="79" t="s">
        <v>380</v>
      </c>
      <c r="E25" s="109">
        <v>85000</v>
      </c>
      <c r="F25" s="135" t="s">
        <v>381</v>
      </c>
      <c r="G25" s="182">
        <v>10880000</v>
      </c>
      <c r="H25" s="181">
        <f t="shared" si="0"/>
        <v>128</v>
      </c>
      <c r="I25" s="183">
        <v>9.1999999999999998E-2</v>
      </c>
      <c r="J25" s="183">
        <v>0.88</v>
      </c>
      <c r="K25" s="79" t="s">
        <v>304</v>
      </c>
      <c r="L25" s="124" t="s">
        <v>382</v>
      </c>
      <c r="M25" s="125">
        <v>4</v>
      </c>
    </row>
    <row r="26" spans="1:13">
      <c r="A26" s="79">
        <v>25</v>
      </c>
      <c r="B26" s="79" t="s">
        <v>383</v>
      </c>
      <c r="C26" s="79" t="s">
        <v>384</v>
      </c>
      <c r="D26" s="79" t="s">
        <v>292</v>
      </c>
      <c r="E26" s="109">
        <v>45000</v>
      </c>
      <c r="F26" s="135" t="s">
        <v>385</v>
      </c>
      <c r="G26" s="182">
        <v>8640000</v>
      </c>
      <c r="H26" s="181">
        <f t="shared" si="0"/>
        <v>192</v>
      </c>
      <c r="I26" s="183">
        <v>8.4000000000000005E-2</v>
      </c>
      <c r="J26" s="183">
        <v>0.8</v>
      </c>
      <c r="K26" s="79" t="s">
        <v>304</v>
      </c>
      <c r="L26" s="124" t="s">
        <v>386</v>
      </c>
      <c r="M26" s="125">
        <v>4</v>
      </c>
    </row>
    <row r="27" spans="1:13">
      <c r="A27" s="127" t="s">
        <v>396</v>
      </c>
      <c r="B27" s="128"/>
      <c r="C27" s="128"/>
      <c r="D27" s="128"/>
      <c r="E27" s="129">
        <f>AVERAGEIFS(E$2:E$26,$M$2:$M$26,$M27)</f>
        <v>135250</v>
      </c>
      <c r="F27" s="128"/>
      <c r="G27" s="130">
        <f>AVERAGEIFS(G$2:G$26,$M$2:$M$26,$M27)</f>
        <v>35408666.666666664</v>
      </c>
      <c r="H27" s="131">
        <f>AVERAGEIFS(H$2:H$26,$M$2:$M$26,$M27)</f>
        <v>255.99591577780711</v>
      </c>
      <c r="I27" s="132">
        <f t="shared" ref="I27:J28" si="1">AVERAGEIFS(I$2:I$26,$M$2:$M$26,$M27)</f>
        <v>7.5083333333333321E-2</v>
      </c>
      <c r="J27" s="132">
        <f t="shared" si="1"/>
        <v>0.83749999999999991</v>
      </c>
      <c r="K27" s="128"/>
      <c r="L27" s="133"/>
      <c r="M27" s="134">
        <v>1</v>
      </c>
    </row>
    <row r="28" spans="1:13">
      <c r="A28" s="127" t="s">
        <v>397</v>
      </c>
      <c r="B28" s="128"/>
      <c r="C28" s="128"/>
      <c r="D28" s="128"/>
      <c r="E28" s="129">
        <f>AVERAGEIFS(E$2:E$26,$M$2:$M$26,$M28)</f>
        <v>135600</v>
      </c>
      <c r="F28" s="128"/>
      <c r="G28" s="130">
        <f>AVERAGEIFS(G$2:G$26,$M$2:$M$26,$M28)</f>
        <v>23920000</v>
      </c>
      <c r="H28" s="131">
        <f>AVERAGEIFS(H$2:H$26,$M$2:$M$26,$M28)</f>
        <v>174.71018404907977</v>
      </c>
      <c r="I28" s="132">
        <f t="shared" si="1"/>
        <v>9.0333333333333335E-2</v>
      </c>
      <c r="J28" s="132">
        <f t="shared" si="1"/>
        <v>0.63800000000000012</v>
      </c>
      <c r="K28" s="128"/>
      <c r="L28" s="133"/>
      <c r="M28" s="134">
        <v>2</v>
      </c>
    </row>
    <row r="29" spans="1:13">
      <c r="A29" s="136" t="s">
        <v>399</v>
      </c>
      <c r="B29" s="137"/>
      <c r="C29" s="137"/>
      <c r="D29" s="137"/>
      <c r="E29" s="138">
        <f>BldgSF</f>
        <v>280000</v>
      </c>
      <c r="F29" s="137"/>
      <c r="G29" s="139">
        <f>-('Property Cash Flow'!D29+'Property Cash Flow'!D30)</f>
        <v>51500000</v>
      </c>
      <c r="H29" s="140">
        <f>G29/E29</f>
        <v>183.92857142857142</v>
      </c>
      <c r="I29" s="266">
        <f>'Property Cash Flow'!E19/'Sales Comp Analysis'!G29</f>
        <v>5.7432470255294292E-2</v>
      </c>
      <c r="J29" s="141">
        <f>'Property Cash Flow'!E6</f>
        <v>0.68791666666666662</v>
      </c>
      <c r="K29" s="137"/>
      <c r="L29" s="142"/>
      <c r="M29" s="143"/>
    </row>
    <row r="30" spans="1:13">
      <c r="A30" s="144" t="s">
        <v>398</v>
      </c>
      <c r="B30" s="145"/>
      <c r="C30" s="145"/>
      <c r="D30" s="145"/>
      <c r="E30" s="146">
        <f>E29</f>
        <v>280000</v>
      </c>
      <c r="F30" s="145"/>
      <c r="G30" s="147">
        <f ca="1">'Exit Analysis'!B16</f>
        <v>82766567.50952667</v>
      </c>
      <c r="H30" s="148">
        <f ca="1">G30/E30</f>
        <v>295.59488396259525</v>
      </c>
      <c r="I30" s="149">
        <f>ExitCap</f>
        <v>7.7499999999999999E-2</v>
      </c>
      <c r="J30" s="149">
        <f>SUMIFS('Property Cash Flow'!D6:J6,'Property Cash Flow'!D4:J4,HoldMonths)</f>
        <v>0.97738095238095202</v>
      </c>
      <c r="K30" s="145"/>
      <c r="L30" s="150"/>
      <c r="M30" s="151"/>
    </row>
    <row r="33" spans="2:4">
      <c r="B33" s="78" t="s">
        <v>387</v>
      </c>
    </row>
    <row r="34" spans="2:4">
      <c r="B34" s="79" t="s">
        <v>388</v>
      </c>
    </row>
    <row r="35" spans="2:4">
      <c r="B35" s="113" t="s">
        <v>389</v>
      </c>
      <c r="D35" t="s">
        <v>393</v>
      </c>
    </row>
    <row r="36" spans="2:4">
      <c r="B36" s="117" t="s">
        <v>390</v>
      </c>
      <c r="D36" t="s">
        <v>394</v>
      </c>
    </row>
    <row r="37" spans="2:4">
      <c r="B37" s="121" t="s">
        <v>391</v>
      </c>
      <c r="D37" t="s">
        <v>395</v>
      </c>
    </row>
  </sheetData>
  <conditionalFormatting sqref="A2:M30">
    <cfRule type="expression" dxfId="7" priority="1">
      <formula>$M2=4</formula>
    </cfRule>
    <cfRule type="expression" dxfId="6" priority="2">
      <formula>$M2=3</formula>
    </cfRule>
    <cfRule type="expression" dxfId="5" priority="3">
      <formula>$M2=2</formula>
    </cfRule>
  </conditionalFormatting>
  <dataValidations count="1">
    <dataValidation type="list" allowBlank="1" showInputMessage="1" showErrorMessage="1" sqref="M2:M26" xr:uid="{E32DA980-D6DD-46FC-9EBD-637DF320D052}">
      <formula1>"1,2,3,4"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38B38-D801-4BE8-93E7-6EBA9AB4C8F1}">
  <sheetPr>
    <tabColor theme="9"/>
  </sheetPr>
  <dimension ref="A1:Q60"/>
  <sheetViews>
    <sheetView showGridLines="0" zoomScale="85" zoomScaleNormal="85" workbookViewId="0">
      <selection activeCell="P19" sqref="P19"/>
    </sheetView>
  </sheetViews>
  <sheetFormatPr defaultRowHeight="14.75"/>
  <cols>
    <col min="1" max="1" width="4" customWidth="1"/>
    <col min="2" max="2" width="26" customWidth="1"/>
    <col min="3" max="3" width="13" customWidth="1"/>
    <col min="4" max="4" width="22" customWidth="1"/>
    <col min="5" max="5" width="8" customWidth="1"/>
    <col min="6" max="6" width="11" customWidth="1"/>
    <col min="7" max="7" width="8" customWidth="1"/>
    <col min="8" max="8" width="12" customWidth="1"/>
    <col min="11" max="11" width="10" customWidth="1"/>
    <col min="12" max="12" width="45" customWidth="1"/>
  </cols>
  <sheetData>
    <row r="1" spans="1:17" ht="26" customHeight="1">
      <c r="A1" s="108" t="s">
        <v>34</v>
      </c>
      <c r="B1" s="108" t="s">
        <v>280</v>
      </c>
      <c r="C1" s="108" t="s">
        <v>281</v>
      </c>
      <c r="D1" s="108" t="s">
        <v>35</v>
      </c>
      <c r="E1" s="108" t="s">
        <v>36</v>
      </c>
      <c r="F1" s="108" t="s">
        <v>404</v>
      </c>
      <c r="G1" s="108" t="s">
        <v>405</v>
      </c>
      <c r="H1" s="108" t="s">
        <v>406</v>
      </c>
      <c r="I1" s="108" t="s">
        <v>407</v>
      </c>
      <c r="J1" s="108" t="s">
        <v>168</v>
      </c>
      <c r="K1" s="108" t="s">
        <v>408</v>
      </c>
      <c r="L1" s="108" t="s">
        <v>289</v>
      </c>
      <c r="M1" s="108" t="s">
        <v>392</v>
      </c>
    </row>
    <row r="2" spans="1:17">
      <c r="A2" s="113">
        <v>1</v>
      </c>
      <c r="B2" s="113" t="s">
        <v>409</v>
      </c>
      <c r="C2" s="113" t="s">
        <v>384</v>
      </c>
      <c r="D2" s="113" t="s">
        <v>120</v>
      </c>
      <c r="E2" s="114">
        <v>80000</v>
      </c>
      <c r="F2" s="113" t="s">
        <v>410</v>
      </c>
      <c r="G2" s="113">
        <v>15</v>
      </c>
      <c r="H2" s="115">
        <v>28.5</v>
      </c>
      <c r="I2" s="178">
        <v>0.03</v>
      </c>
      <c r="J2" s="114">
        <v>55</v>
      </c>
      <c r="K2" s="114">
        <v>6</v>
      </c>
      <c r="L2" s="116" t="s">
        <v>600</v>
      </c>
      <c r="M2" s="125">
        <v>1</v>
      </c>
      <c r="Q2" s="107"/>
    </row>
    <row r="3" spans="1:17">
      <c r="A3" s="79">
        <v>2</v>
      </c>
      <c r="B3" s="79" t="s">
        <v>411</v>
      </c>
      <c r="C3" s="79" t="s">
        <v>291</v>
      </c>
      <c r="D3" s="79" t="s">
        <v>412</v>
      </c>
      <c r="E3" s="109">
        <v>11959.999999999998</v>
      </c>
      <c r="F3" s="79" t="s">
        <v>413</v>
      </c>
      <c r="G3" s="79">
        <v>7</v>
      </c>
      <c r="H3" s="111">
        <v>25.5</v>
      </c>
      <c r="I3" s="179">
        <v>2.5000000000000001E-2</v>
      </c>
      <c r="J3" s="109">
        <v>38</v>
      </c>
      <c r="K3" s="109">
        <v>2</v>
      </c>
      <c r="L3" s="112" t="s">
        <v>414</v>
      </c>
      <c r="M3" s="125">
        <v>2</v>
      </c>
      <c r="Q3" s="107"/>
    </row>
    <row r="4" spans="1:17">
      <c r="A4" s="79">
        <v>3</v>
      </c>
      <c r="B4" s="79" t="s">
        <v>342</v>
      </c>
      <c r="C4" s="79" t="s">
        <v>291</v>
      </c>
      <c r="D4" s="79" t="s">
        <v>415</v>
      </c>
      <c r="E4" s="109">
        <v>8740</v>
      </c>
      <c r="F4" s="79" t="s">
        <v>416</v>
      </c>
      <c r="G4" s="79">
        <v>5</v>
      </c>
      <c r="H4" s="111">
        <v>24.5</v>
      </c>
      <c r="I4" s="179">
        <v>2.5000000000000001E-2</v>
      </c>
      <c r="J4" s="109">
        <v>33</v>
      </c>
      <c r="K4" s="109">
        <v>1</v>
      </c>
      <c r="L4" s="112" t="s">
        <v>417</v>
      </c>
      <c r="M4" s="125">
        <v>2</v>
      </c>
      <c r="Q4" s="107"/>
    </row>
    <row r="5" spans="1:17">
      <c r="A5" s="79">
        <v>4</v>
      </c>
      <c r="B5" s="79" t="s">
        <v>418</v>
      </c>
      <c r="C5" s="79" t="s">
        <v>291</v>
      </c>
      <c r="D5" s="79" t="s">
        <v>419</v>
      </c>
      <c r="E5" s="109">
        <v>10350</v>
      </c>
      <c r="F5" s="79" t="s">
        <v>420</v>
      </c>
      <c r="G5" s="79">
        <v>7</v>
      </c>
      <c r="H5" s="111">
        <v>26</v>
      </c>
      <c r="I5" s="179">
        <v>0.03</v>
      </c>
      <c r="J5" s="109">
        <v>40</v>
      </c>
      <c r="K5" s="109">
        <v>2</v>
      </c>
      <c r="L5" s="112" t="s">
        <v>421</v>
      </c>
      <c r="M5" s="125">
        <v>2</v>
      </c>
      <c r="Q5" s="107"/>
    </row>
    <row r="6" spans="1:17">
      <c r="A6" s="79">
        <v>5</v>
      </c>
      <c r="B6" s="79" t="s">
        <v>422</v>
      </c>
      <c r="C6" s="79" t="s">
        <v>291</v>
      </c>
      <c r="D6" s="79" t="s">
        <v>423</v>
      </c>
      <c r="E6" s="109">
        <v>14029.999999999998</v>
      </c>
      <c r="F6" s="79" t="s">
        <v>424</v>
      </c>
      <c r="G6" s="79">
        <v>5</v>
      </c>
      <c r="H6" s="111">
        <v>24</v>
      </c>
      <c r="I6" s="179">
        <v>2.5000000000000001E-2</v>
      </c>
      <c r="J6" s="109">
        <v>30</v>
      </c>
      <c r="K6" s="109">
        <v>1</v>
      </c>
      <c r="L6" s="112" t="s">
        <v>425</v>
      </c>
      <c r="M6" s="125">
        <v>2</v>
      </c>
      <c r="Q6" s="107"/>
    </row>
    <row r="7" spans="1:17">
      <c r="A7" s="79">
        <v>6</v>
      </c>
      <c r="B7" s="79" t="s">
        <v>426</v>
      </c>
      <c r="C7" s="79" t="s">
        <v>291</v>
      </c>
      <c r="D7" s="79" t="s">
        <v>427</v>
      </c>
      <c r="E7" s="109">
        <v>18860</v>
      </c>
      <c r="F7" s="79" t="s">
        <v>428</v>
      </c>
      <c r="G7" s="79">
        <v>10</v>
      </c>
      <c r="H7" s="111">
        <v>27</v>
      </c>
      <c r="I7" s="179">
        <v>0.03</v>
      </c>
      <c r="J7" s="109">
        <v>45</v>
      </c>
      <c r="K7" s="109">
        <v>3</v>
      </c>
      <c r="L7" s="112" t="s">
        <v>429</v>
      </c>
      <c r="M7" s="125">
        <v>2</v>
      </c>
      <c r="Q7" s="107"/>
    </row>
    <row r="8" spans="1:17">
      <c r="A8" s="79">
        <v>7</v>
      </c>
      <c r="B8" s="79" t="s">
        <v>430</v>
      </c>
      <c r="C8" s="79" t="s">
        <v>291</v>
      </c>
      <c r="D8" s="79" t="s">
        <v>431</v>
      </c>
      <c r="E8" s="109">
        <v>7359.9999999999991</v>
      </c>
      <c r="F8" s="79" t="s">
        <v>432</v>
      </c>
      <c r="G8" s="79">
        <v>5</v>
      </c>
      <c r="H8" s="111">
        <v>23.5</v>
      </c>
      <c r="I8" s="179">
        <v>2.5000000000000001E-2</v>
      </c>
      <c r="J8" s="109">
        <v>28</v>
      </c>
      <c r="K8" s="109">
        <v>1</v>
      </c>
      <c r="L8" s="112" t="s">
        <v>433</v>
      </c>
      <c r="M8" s="125">
        <v>2</v>
      </c>
      <c r="Q8" s="107"/>
    </row>
    <row r="9" spans="1:17">
      <c r="A9" s="79">
        <v>8</v>
      </c>
      <c r="B9" s="79" t="s">
        <v>434</v>
      </c>
      <c r="C9" s="79" t="s">
        <v>291</v>
      </c>
      <c r="D9" s="79" t="s">
        <v>435</v>
      </c>
      <c r="E9" s="109">
        <v>11040</v>
      </c>
      <c r="F9" s="79" t="s">
        <v>436</v>
      </c>
      <c r="G9" s="79">
        <v>7</v>
      </c>
      <c r="H9" s="111">
        <v>24.5</v>
      </c>
      <c r="I9" s="179">
        <v>2.5000000000000001E-2</v>
      </c>
      <c r="J9" s="109">
        <v>36</v>
      </c>
      <c r="K9" s="109">
        <v>2</v>
      </c>
      <c r="L9" s="112" t="s">
        <v>437</v>
      </c>
      <c r="M9" s="125">
        <v>2</v>
      </c>
      <c r="Q9" s="107"/>
    </row>
    <row r="10" spans="1:17">
      <c r="A10" s="79">
        <v>9</v>
      </c>
      <c r="B10" s="79" t="s">
        <v>438</v>
      </c>
      <c r="C10" s="79" t="s">
        <v>291</v>
      </c>
      <c r="D10" s="79" t="s">
        <v>439</v>
      </c>
      <c r="E10" s="109">
        <v>17250</v>
      </c>
      <c r="F10" s="79" t="s">
        <v>440</v>
      </c>
      <c r="G10" s="79">
        <v>7</v>
      </c>
      <c r="H10" s="111">
        <v>25.5</v>
      </c>
      <c r="I10" s="179">
        <v>2.5000000000000001E-2</v>
      </c>
      <c r="J10" s="109">
        <v>38</v>
      </c>
      <c r="K10" s="109">
        <v>2</v>
      </c>
      <c r="L10" s="112" t="s">
        <v>441</v>
      </c>
      <c r="M10" s="125">
        <v>2</v>
      </c>
      <c r="Q10" s="107"/>
    </row>
    <row r="11" spans="1:17">
      <c r="A11" s="79">
        <v>10</v>
      </c>
      <c r="B11" s="79" t="s">
        <v>296</v>
      </c>
      <c r="C11" s="79" t="s">
        <v>291</v>
      </c>
      <c r="D11" s="79" t="s">
        <v>442</v>
      </c>
      <c r="E11" s="109">
        <v>13339.999999999998</v>
      </c>
      <c r="F11" s="79" t="s">
        <v>443</v>
      </c>
      <c r="G11" s="79">
        <v>5</v>
      </c>
      <c r="H11" s="111">
        <v>26.5</v>
      </c>
      <c r="I11" s="179">
        <v>0.03</v>
      </c>
      <c r="J11" s="109">
        <v>35</v>
      </c>
      <c r="K11" s="109">
        <v>1</v>
      </c>
      <c r="L11" s="112" t="s">
        <v>444</v>
      </c>
      <c r="M11" s="125">
        <v>2</v>
      </c>
      <c r="Q11" s="107"/>
    </row>
    <row r="12" spans="1:17">
      <c r="A12" s="79">
        <v>11</v>
      </c>
      <c r="B12" s="79" t="s">
        <v>301</v>
      </c>
      <c r="C12" s="79" t="s">
        <v>291</v>
      </c>
      <c r="D12" s="79" t="s">
        <v>445</v>
      </c>
      <c r="E12" s="109">
        <v>8280</v>
      </c>
      <c r="F12" s="79" t="s">
        <v>446</v>
      </c>
      <c r="G12" s="79">
        <v>3</v>
      </c>
      <c r="H12" s="111">
        <v>23</v>
      </c>
      <c r="I12" s="179">
        <v>0.02</v>
      </c>
      <c r="J12" s="109">
        <v>25</v>
      </c>
      <c r="K12" s="109">
        <v>0</v>
      </c>
      <c r="L12" s="112" t="s">
        <v>447</v>
      </c>
      <c r="M12" s="125">
        <v>2</v>
      </c>
      <c r="Q12" s="107"/>
    </row>
    <row r="13" spans="1:17">
      <c r="A13" s="79">
        <v>12</v>
      </c>
      <c r="B13" s="79" t="s">
        <v>306</v>
      </c>
      <c r="C13" s="79" t="s">
        <v>291</v>
      </c>
      <c r="D13" s="79" t="s">
        <v>448</v>
      </c>
      <c r="E13" s="109">
        <v>9660</v>
      </c>
      <c r="F13" s="79" t="s">
        <v>449</v>
      </c>
      <c r="G13" s="79">
        <v>5</v>
      </c>
      <c r="H13" s="111">
        <v>24.5</v>
      </c>
      <c r="I13" s="179">
        <v>2.5000000000000001E-2</v>
      </c>
      <c r="J13" s="109">
        <v>32</v>
      </c>
      <c r="K13" s="109">
        <v>1</v>
      </c>
      <c r="L13" s="112" t="s">
        <v>450</v>
      </c>
      <c r="M13" s="125">
        <v>2</v>
      </c>
      <c r="Q13" s="107"/>
    </row>
    <row r="14" spans="1:17">
      <c r="A14" s="79">
        <v>13</v>
      </c>
      <c r="B14" s="79" t="s">
        <v>451</v>
      </c>
      <c r="C14" s="79" t="s">
        <v>314</v>
      </c>
      <c r="D14" s="79" t="s">
        <v>452</v>
      </c>
      <c r="E14" s="109">
        <v>14949.999999999998</v>
      </c>
      <c r="F14" s="79" t="s">
        <v>293</v>
      </c>
      <c r="G14" s="79">
        <v>7</v>
      </c>
      <c r="H14" s="111">
        <v>26</v>
      </c>
      <c r="I14" s="179">
        <v>2.5000000000000001E-2</v>
      </c>
      <c r="J14" s="109">
        <v>40</v>
      </c>
      <c r="K14" s="109">
        <v>2</v>
      </c>
      <c r="L14" s="112" t="s">
        <v>453</v>
      </c>
      <c r="M14" s="125">
        <v>2</v>
      </c>
      <c r="Q14" s="107"/>
    </row>
    <row r="15" spans="1:17">
      <c r="A15" s="79">
        <v>14</v>
      </c>
      <c r="B15" s="79" t="s">
        <v>349</v>
      </c>
      <c r="C15" s="79" t="s">
        <v>291</v>
      </c>
      <c r="D15" s="79" t="s">
        <v>454</v>
      </c>
      <c r="E15" s="109">
        <v>11500</v>
      </c>
      <c r="F15" s="79" t="s">
        <v>455</v>
      </c>
      <c r="G15" s="79">
        <v>5</v>
      </c>
      <c r="H15" s="111">
        <v>25</v>
      </c>
      <c r="I15" s="179">
        <v>2.5000000000000001E-2</v>
      </c>
      <c r="J15" s="109">
        <v>35</v>
      </c>
      <c r="K15" s="109">
        <v>1</v>
      </c>
      <c r="L15" s="112" t="s">
        <v>456</v>
      </c>
      <c r="M15" s="125">
        <v>2</v>
      </c>
      <c r="Q15" s="107"/>
    </row>
    <row r="16" spans="1:17">
      <c r="A16" s="79">
        <v>15</v>
      </c>
      <c r="B16" s="79" t="s">
        <v>457</v>
      </c>
      <c r="C16" s="79" t="s">
        <v>291</v>
      </c>
      <c r="D16" s="79" t="s">
        <v>458</v>
      </c>
      <c r="E16" s="109">
        <v>17940</v>
      </c>
      <c r="F16" s="79" t="s">
        <v>459</v>
      </c>
      <c r="G16" s="79">
        <v>7</v>
      </c>
      <c r="H16" s="111">
        <v>24.5</v>
      </c>
      <c r="I16" s="179">
        <v>2.5000000000000001E-2</v>
      </c>
      <c r="J16" s="109">
        <v>38</v>
      </c>
      <c r="K16" s="109">
        <v>2</v>
      </c>
      <c r="L16" s="112" t="s">
        <v>460</v>
      </c>
      <c r="M16" s="125">
        <v>2</v>
      </c>
      <c r="Q16" s="107"/>
    </row>
    <row r="17" spans="1:17">
      <c r="A17" s="79">
        <v>16</v>
      </c>
      <c r="B17" s="79" t="s">
        <v>461</v>
      </c>
      <c r="C17" s="79" t="s">
        <v>291</v>
      </c>
      <c r="D17" s="79" t="s">
        <v>462</v>
      </c>
      <c r="E17" s="109">
        <v>10120</v>
      </c>
      <c r="F17" s="79" t="s">
        <v>463</v>
      </c>
      <c r="G17" s="79">
        <v>7</v>
      </c>
      <c r="H17" s="111">
        <v>25.5</v>
      </c>
      <c r="I17" s="179">
        <v>2.5000000000000001E-2</v>
      </c>
      <c r="J17" s="109">
        <v>35</v>
      </c>
      <c r="K17" s="109">
        <v>2</v>
      </c>
      <c r="L17" s="112" t="s">
        <v>464</v>
      </c>
      <c r="M17" s="125">
        <v>2</v>
      </c>
      <c r="Q17" s="107"/>
    </row>
    <row r="18" spans="1:17">
      <c r="A18" s="79">
        <v>17</v>
      </c>
      <c r="B18" s="79" t="s">
        <v>465</v>
      </c>
      <c r="C18" s="79" t="s">
        <v>291</v>
      </c>
      <c r="D18" s="79" t="s">
        <v>466</v>
      </c>
      <c r="E18" s="109">
        <v>8049.9999999999991</v>
      </c>
      <c r="F18" s="79" t="s">
        <v>467</v>
      </c>
      <c r="G18" s="79">
        <v>5</v>
      </c>
      <c r="H18" s="111">
        <v>24</v>
      </c>
      <c r="I18" s="179">
        <v>2.5000000000000001E-2</v>
      </c>
      <c r="J18" s="109">
        <v>30</v>
      </c>
      <c r="K18" s="109">
        <v>1</v>
      </c>
      <c r="L18" s="112" t="s">
        <v>468</v>
      </c>
      <c r="M18" s="125">
        <v>2</v>
      </c>
      <c r="Q18" s="107"/>
    </row>
    <row r="19" spans="1:17">
      <c r="A19" s="79">
        <v>18</v>
      </c>
      <c r="B19" s="79" t="s">
        <v>469</v>
      </c>
      <c r="C19" s="79" t="s">
        <v>291</v>
      </c>
      <c r="D19" s="79" t="s">
        <v>470</v>
      </c>
      <c r="E19" s="109">
        <v>15639.999999999998</v>
      </c>
      <c r="F19" s="79" t="s">
        <v>471</v>
      </c>
      <c r="G19" s="79">
        <v>7</v>
      </c>
      <c r="H19" s="111">
        <v>27</v>
      </c>
      <c r="I19" s="179">
        <v>0.03</v>
      </c>
      <c r="J19" s="109">
        <v>42</v>
      </c>
      <c r="K19" s="109">
        <v>2</v>
      </c>
      <c r="L19" s="112" t="s">
        <v>472</v>
      </c>
      <c r="M19" s="125">
        <v>2</v>
      </c>
      <c r="Q19" s="107"/>
    </row>
    <row r="20" spans="1:17">
      <c r="A20" s="79">
        <v>19</v>
      </c>
      <c r="B20" s="79" t="s">
        <v>473</v>
      </c>
      <c r="C20" s="79" t="s">
        <v>291</v>
      </c>
      <c r="D20" s="79" t="s">
        <v>474</v>
      </c>
      <c r="E20" s="109">
        <v>7129.9999999999991</v>
      </c>
      <c r="F20" s="79" t="s">
        <v>475</v>
      </c>
      <c r="G20" s="79">
        <v>5</v>
      </c>
      <c r="H20" s="111">
        <v>23.5</v>
      </c>
      <c r="I20" s="179">
        <v>2.5000000000000001E-2</v>
      </c>
      <c r="J20" s="109">
        <v>28</v>
      </c>
      <c r="K20" s="109">
        <v>1</v>
      </c>
      <c r="L20" s="112" t="s">
        <v>476</v>
      </c>
      <c r="M20" s="125">
        <v>2</v>
      </c>
      <c r="Q20" s="107"/>
    </row>
    <row r="21" spans="1:17">
      <c r="A21" s="79">
        <v>20</v>
      </c>
      <c r="B21" s="79" t="s">
        <v>477</v>
      </c>
      <c r="C21" s="79" t="s">
        <v>291</v>
      </c>
      <c r="D21" s="79" t="s">
        <v>478</v>
      </c>
      <c r="E21" s="109">
        <v>10580</v>
      </c>
      <c r="F21" s="79" t="s">
        <v>479</v>
      </c>
      <c r="G21" s="79">
        <v>5</v>
      </c>
      <c r="H21" s="111">
        <v>24.5</v>
      </c>
      <c r="I21" s="179">
        <v>2.5000000000000001E-2</v>
      </c>
      <c r="J21" s="109">
        <v>35</v>
      </c>
      <c r="K21" s="109">
        <v>1</v>
      </c>
      <c r="L21" s="112" t="s">
        <v>480</v>
      </c>
      <c r="M21" s="125">
        <v>2</v>
      </c>
      <c r="Q21" s="107"/>
    </row>
    <row r="22" spans="1:17">
      <c r="A22" s="79">
        <v>21</v>
      </c>
      <c r="B22" s="79" t="s">
        <v>481</v>
      </c>
      <c r="C22" s="79" t="s">
        <v>291</v>
      </c>
      <c r="D22" s="79" t="s">
        <v>482</v>
      </c>
      <c r="E22" s="109">
        <v>12649.999999999998</v>
      </c>
      <c r="F22" s="79" t="s">
        <v>483</v>
      </c>
      <c r="G22" s="79">
        <v>5</v>
      </c>
      <c r="H22" s="111">
        <v>25</v>
      </c>
      <c r="I22" s="179">
        <v>2.5000000000000001E-2</v>
      </c>
      <c r="J22" s="109">
        <v>32</v>
      </c>
      <c r="K22" s="109">
        <v>1</v>
      </c>
      <c r="L22" s="112" t="s">
        <v>484</v>
      </c>
      <c r="M22" s="125">
        <v>2</v>
      </c>
      <c r="Q22" s="107"/>
    </row>
    <row r="23" spans="1:17">
      <c r="A23" s="79">
        <v>22</v>
      </c>
      <c r="B23" s="79" t="s">
        <v>485</v>
      </c>
      <c r="C23" s="79" t="s">
        <v>291</v>
      </c>
      <c r="D23" s="79" t="s">
        <v>486</v>
      </c>
      <c r="E23" s="109">
        <v>16560</v>
      </c>
      <c r="F23" s="79" t="s">
        <v>487</v>
      </c>
      <c r="G23" s="79">
        <v>7</v>
      </c>
      <c r="H23" s="111">
        <v>26</v>
      </c>
      <c r="I23" s="179">
        <v>0.03</v>
      </c>
      <c r="J23" s="109">
        <v>38</v>
      </c>
      <c r="K23" s="109">
        <v>2</v>
      </c>
      <c r="L23" s="112" t="s">
        <v>488</v>
      </c>
      <c r="M23" s="125">
        <v>2</v>
      </c>
      <c r="Q23" s="107"/>
    </row>
    <row r="24" spans="1:17">
      <c r="A24" s="79">
        <v>23</v>
      </c>
      <c r="B24" s="79" t="s">
        <v>489</v>
      </c>
      <c r="C24" s="79" t="s">
        <v>291</v>
      </c>
      <c r="D24" s="79" t="s">
        <v>490</v>
      </c>
      <c r="E24" s="109">
        <v>8970</v>
      </c>
      <c r="F24" s="79" t="s">
        <v>491</v>
      </c>
      <c r="G24" s="79">
        <v>5</v>
      </c>
      <c r="H24" s="111">
        <v>24</v>
      </c>
      <c r="I24" s="179">
        <v>2.5000000000000001E-2</v>
      </c>
      <c r="J24" s="109">
        <v>30</v>
      </c>
      <c r="K24" s="109">
        <v>1</v>
      </c>
      <c r="L24" s="112" t="s">
        <v>492</v>
      </c>
      <c r="M24" s="125">
        <v>2</v>
      </c>
      <c r="Q24" s="107"/>
    </row>
    <row r="25" spans="1:17">
      <c r="A25" s="79">
        <v>24</v>
      </c>
      <c r="B25" s="79" t="s">
        <v>493</v>
      </c>
      <c r="C25" s="79" t="s">
        <v>291</v>
      </c>
      <c r="D25" s="79" t="s">
        <v>494</v>
      </c>
      <c r="E25" s="109">
        <v>11730</v>
      </c>
      <c r="F25" s="79" t="s">
        <v>320</v>
      </c>
      <c r="G25" s="79">
        <v>7</v>
      </c>
      <c r="H25" s="111">
        <v>25.5</v>
      </c>
      <c r="I25" s="179">
        <v>2.5000000000000001E-2</v>
      </c>
      <c r="J25" s="109">
        <v>35</v>
      </c>
      <c r="K25" s="109">
        <v>2</v>
      </c>
      <c r="L25" s="112" t="s">
        <v>495</v>
      </c>
      <c r="M25" s="125">
        <v>2</v>
      </c>
      <c r="Q25" s="107"/>
    </row>
    <row r="26" spans="1:17">
      <c r="A26" s="79">
        <v>25</v>
      </c>
      <c r="B26" s="79" t="s">
        <v>496</v>
      </c>
      <c r="C26" s="79" t="s">
        <v>314</v>
      </c>
      <c r="D26" s="79" t="s">
        <v>497</v>
      </c>
      <c r="E26" s="109">
        <v>9890</v>
      </c>
      <c r="F26" s="79" t="s">
        <v>498</v>
      </c>
      <c r="G26" s="79">
        <v>5</v>
      </c>
      <c r="H26" s="111">
        <v>24.5</v>
      </c>
      <c r="I26" s="179">
        <v>2.5000000000000001E-2</v>
      </c>
      <c r="J26" s="109">
        <v>32</v>
      </c>
      <c r="K26" s="109">
        <v>1</v>
      </c>
      <c r="L26" s="112" t="s">
        <v>499</v>
      </c>
      <c r="M26" s="125">
        <v>2</v>
      </c>
      <c r="Q26" s="107"/>
    </row>
    <row r="27" spans="1:17">
      <c r="A27" s="79">
        <v>26</v>
      </c>
      <c r="B27" s="79" t="s">
        <v>500</v>
      </c>
      <c r="C27" s="79" t="s">
        <v>291</v>
      </c>
      <c r="D27" s="79" t="s">
        <v>501</v>
      </c>
      <c r="E27" s="109">
        <v>13799.999999999998</v>
      </c>
      <c r="F27" s="79" t="s">
        <v>502</v>
      </c>
      <c r="G27" s="79">
        <v>5</v>
      </c>
      <c r="H27" s="111">
        <v>25</v>
      </c>
      <c r="I27" s="179">
        <v>2.5000000000000001E-2</v>
      </c>
      <c r="J27" s="109">
        <v>35</v>
      </c>
      <c r="K27" s="109">
        <v>1</v>
      </c>
      <c r="L27" s="112" t="s">
        <v>503</v>
      </c>
      <c r="M27" s="125">
        <v>2</v>
      </c>
      <c r="Q27" s="107"/>
    </row>
    <row r="28" spans="1:17">
      <c r="A28" s="117">
        <v>27</v>
      </c>
      <c r="B28" s="117" t="s">
        <v>504</v>
      </c>
      <c r="C28" s="117" t="s">
        <v>291</v>
      </c>
      <c r="D28" s="117" t="s">
        <v>505</v>
      </c>
      <c r="E28" s="118">
        <v>10350</v>
      </c>
      <c r="F28" s="117" t="s">
        <v>506</v>
      </c>
      <c r="G28" s="117">
        <v>5</v>
      </c>
      <c r="H28" s="119">
        <v>22</v>
      </c>
      <c r="I28" s="180">
        <v>2.5000000000000001E-2</v>
      </c>
      <c r="J28" s="118">
        <v>28</v>
      </c>
      <c r="K28" s="118">
        <v>1</v>
      </c>
      <c r="L28" s="120" t="s">
        <v>507</v>
      </c>
      <c r="M28" s="125">
        <v>3</v>
      </c>
      <c r="Q28" s="107"/>
    </row>
    <row r="29" spans="1:17">
      <c r="A29" s="117">
        <v>28</v>
      </c>
      <c r="B29" s="117" t="s">
        <v>508</v>
      </c>
      <c r="C29" s="117" t="s">
        <v>291</v>
      </c>
      <c r="D29" s="117" t="s">
        <v>509</v>
      </c>
      <c r="E29" s="118">
        <v>14259.999999999998</v>
      </c>
      <c r="F29" s="117" t="s">
        <v>510</v>
      </c>
      <c r="G29" s="117">
        <v>5</v>
      </c>
      <c r="H29" s="119">
        <v>21.5</v>
      </c>
      <c r="I29" s="180">
        <v>2.5000000000000001E-2</v>
      </c>
      <c r="J29" s="118">
        <v>30</v>
      </c>
      <c r="K29" s="118">
        <v>1</v>
      </c>
      <c r="L29" s="120" t="s">
        <v>511</v>
      </c>
      <c r="M29" s="125">
        <v>3</v>
      </c>
      <c r="Q29" s="107"/>
    </row>
    <row r="30" spans="1:17">
      <c r="A30" s="117">
        <v>29</v>
      </c>
      <c r="B30" s="117" t="s">
        <v>328</v>
      </c>
      <c r="C30" s="117" t="s">
        <v>291</v>
      </c>
      <c r="D30" s="117" t="s">
        <v>512</v>
      </c>
      <c r="E30" s="118">
        <v>8740</v>
      </c>
      <c r="F30" s="117" t="s">
        <v>513</v>
      </c>
      <c r="G30" s="117">
        <v>5</v>
      </c>
      <c r="H30" s="119">
        <v>20.5</v>
      </c>
      <c r="I30" s="180">
        <v>0.02</v>
      </c>
      <c r="J30" s="118">
        <v>25</v>
      </c>
      <c r="K30" s="118">
        <v>1</v>
      </c>
      <c r="L30" s="120" t="s">
        <v>514</v>
      </c>
      <c r="M30" s="125">
        <v>3</v>
      </c>
      <c r="Q30" s="107"/>
    </row>
    <row r="31" spans="1:17">
      <c r="A31" s="117">
        <v>30</v>
      </c>
      <c r="B31" s="117" t="s">
        <v>296</v>
      </c>
      <c r="C31" s="117" t="s">
        <v>291</v>
      </c>
      <c r="D31" s="117" t="s">
        <v>515</v>
      </c>
      <c r="E31" s="118">
        <v>11730</v>
      </c>
      <c r="F31" s="117" t="s">
        <v>516</v>
      </c>
      <c r="G31" s="117">
        <v>7</v>
      </c>
      <c r="H31" s="119">
        <v>23</v>
      </c>
      <c r="I31" s="180">
        <v>2.5000000000000001E-2</v>
      </c>
      <c r="J31" s="118">
        <v>32</v>
      </c>
      <c r="K31" s="118">
        <v>2</v>
      </c>
      <c r="L31" s="120" t="s">
        <v>517</v>
      </c>
      <c r="M31" s="125">
        <v>3</v>
      </c>
      <c r="Q31" s="107"/>
    </row>
    <row r="32" spans="1:17">
      <c r="A32" s="117">
        <v>31</v>
      </c>
      <c r="B32" s="117" t="s">
        <v>518</v>
      </c>
      <c r="C32" s="117" t="s">
        <v>291</v>
      </c>
      <c r="D32" s="117" t="s">
        <v>519</v>
      </c>
      <c r="E32" s="118">
        <v>7359.9999999999991</v>
      </c>
      <c r="F32" s="117" t="s">
        <v>520</v>
      </c>
      <c r="G32" s="117">
        <v>5</v>
      </c>
      <c r="H32" s="119">
        <v>21</v>
      </c>
      <c r="I32" s="180">
        <v>2.5000000000000001E-2</v>
      </c>
      <c r="J32" s="118">
        <v>26</v>
      </c>
      <c r="K32" s="118">
        <v>1</v>
      </c>
      <c r="L32" s="120" t="s">
        <v>511</v>
      </c>
      <c r="M32" s="125">
        <v>3</v>
      </c>
      <c r="Q32" s="107"/>
    </row>
    <row r="33" spans="1:17">
      <c r="A33" s="117">
        <v>32</v>
      </c>
      <c r="B33" s="117" t="s">
        <v>438</v>
      </c>
      <c r="C33" s="117" t="s">
        <v>291</v>
      </c>
      <c r="D33" s="117" t="s">
        <v>521</v>
      </c>
      <c r="E33" s="118">
        <v>17020</v>
      </c>
      <c r="F33" s="117" t="s">
        <v>522</v>
      </c>
      <c r="G33" s="117">
        <v>7</v>
      </c>
      <c r="H33" s="119">
        <v>22.5</v>
      </c>
      <c r="I33" s="180">
        <v>2.5000000000000001E-2</v>
      </c>
      <c r="J33" s="118">
        <v>30</v>
      </c>
      <c r="K33" s="118">
        <v>1</v>
      </c>
      <c r="L33" s="120" t="s">
        <v>523</v>
      </c>
      <c r="M33" s="125">
        <v>3</v>
      </c>
      <c r="Q33" s="107"/>
    </row>
    <row r="34" spans="1:17">
      <c r="A34" s="117">
        <v>33</v>
      </c>
      <c r="B34" s="117" t="s">
        <v>481</v>
      </c>
      <c r="C34" s="117" t="s">
        <v>291</v>
      </c>
      <c r="D34" s="117" t="s">
        <v>524</v>
      </c>
      <c r="E34" s="118">
        <v>11040</v>
      </c>
      <c r="F34" s="117" t="s">
        <v>525</v>
      </c>
      <c r="G34" s="117">
        <v>5</v>
      </c>
      <c r="H34" s="119">
        <v>20</v>
      </c>
      <c r="I34" s="180">
        <v>0.02</v>
      </c>
      <c r="J34" s="118">
        <v>24</v>
      </c>
      <c r="K34" s="118">
        <v>0</v>
      </c>
      <c r="L34" s="120" t="s">
        <v>526</v>
      </c>
      <c r="M34" s="125">
        <v>3</v>
      </c>
      <c r="Q34" s="107"/>
    </row>
    <row r="35" spans="1:17">
      <c r="A35" s="117">
        <v>34</v>
      </c>
      <c r="B35" s="117" t="s">
        <v>527</v>
      </c>
      <c r="C35" s="117" t="s">
        <v>291</v>
      </c>
      <c r="D35" s="117" t="s">
        <v>528</v>
      </c>
      <c r="E35" s="118">
        <v>12879.999999999998</v>
      </c>
      <c r="F35" s="117" t="s">
        <v>529</v>
      </c>
      <c r="G35" s="117">
        <v>5</v>
      </c>
      <c r="H35" s="119">
        <v>21.5</v>
      </c>
      <c r="I35" s="180">
        <v>2.5000000000000001E-2</v>
      </c>
      <c r="J35" s="118">
        <v>28</v>
      </c>
      <c r="K35" s="118">
        <v>1</v>
      </c>
      <c r="L35" s="120" t="s">
        <v>517</v>
      </c>
      <c r="M35" s="125">
        <v>3</v>
      </c>
      <c r="Q35" s="107"/>
    </row>
    <row r="36" spans="1:17">
      <c r="A36" s="156">
        <v>35</v>
      </c>
      <c r="B36" s="156" t="s">
        <v>317</v>
      </c>
      <c r="C36" s="156" t="s">
        <v>318</v>
      </c>
      <c r="D36" s="156" t="s">
        <v>530</v>
      </c>
      <c r="E36" s="157">
        <v>12649.999999999998</v>
      </c>
      <c r="F36" s="156" t="s">
        <v>531</v>
      </c>
      <c r="G36" s="156">
        <v>5</v>
      </c>
      <c r="H36" s="158">
        <v>22</v>
      </c>
      <c r="I36" s="175">
        <v>2.5000000000000001E-2</v>
      </c>
      <c r="J36" s="157">
        <v>30</v>
      </c>
      <c r="K36" s="157">
        <v>1</v>
      </c>
      <c r="L36" s="159" t="s">
        <v>532</v>
      </c>
      <c r="M36" s="125">
        <v>4</v>
      </c>
      <c r="Q36" s="107"/>
    </row>
    <row r="37" spans="1:17">
      <c r="A37" s="156">
        <v>36</v>
      </c>
      <c r="B37" s="156" t="s">
        <v>533</v>
      </c>
      <c r="C37" s="156" t="s">
        <v>361</v>
      </c>
      <c r="D37" s="156" t="s">
        <v>534</v>
      </c>
      <c r="E37" s="157">
        <v>9660</v>
      </c>
      <c r="F37" s="156" t="s">
        <v>535</v>
      </c>
      <c r="G37" s="156">
        <v>5</v>
      </c>
      <c r="H37" s="158">
        <v>21</v>
      </c>
      <c r="I37" s="175">
        <v>2.5000000000000001E-2</v>
      </c>
      <c r="J37" s="157">
        <v>28</v>
      </c>
      <c r="K37" s="157">
        <v>1</v>
      </c>
      <c r="L37" s="159" t="s">
        <v>536</v>
      </c>
      <c r="M37" s="125">
        <v>4</v>
      </c>
      <c r="Q37" s="107"/>
    </row>
    <row r="38" spans="1:17">
      <c r="A38" s="156">
        <v>37</v>
      </c>
      <c r="B38" s="156" t="s">
        <v>537</v>
      </c>
      <c r="C38" s="156" t="s">
        <v>538</v>
      </c>
      <c r="D38" s="156" t="s">
        <v>539</v>
      </c>
      <c r="E38" s="157">
        <v>15639.999999999998</v>
      </c>
      <c r="F38" s="156" t="s">
        <v>332</v>
      </c>
      <c r="G38" s="160">
        <v>5</v>
      </c>
      <c r="H38" s="161">
        <v>19.5</v>
      </c>
      <c r="I38" s="175">
        <v>0.02</v>
      </c>
      <c r="J38" s="162">
        <v>25</v>
      </c>
      <c r="K38" s="162">
        <v>1</v>
      </c>
      <c r="L38" s="159" t="s">
        <v>540</v>
      </c>
      <c r="M38" s="125">
        <v>4</v>
      </c>
      <c r="Q38" s="107"/>
    </row>
    <row r="39" spans="1:17">
      <c r="A39" s="156">
        <v>38</v>
      </c>
      <c r="B39" s="156" t="s">
        <v>541</v>
      </c>
      <c r="C39" s="156" t="s">
        <v>542</v>
      </c>
      <c r="D39" s="156" t="s">
        <v>543</v>
      </c>
      <c r="E39" s="157">
        <v>8280</v>
      </c>
      <c r="F39" s="156" t="s">
        <v>544</v>
      </c>
      <c r="G39" s="160">
        <v>5</v>
      </c>
      <c r="H39" s="161">
        <v>20.5</v>
      </c>
      <c r="I39" s="175">
        <v>2.5000000000000001E-2</v>
      </c>
      <c r="J39" s="162">
        <v>28</v>
      </c>
      <c r="K39" s="162">
        <v>1</v>
      </c>
      <c r="L39" s="159" t="s">
        <v>545</v>
      </c>
      <c r="M39" s="125">
        <v>4</v>
      </c>
      <c r="Q39" s="107"/>
    </row>
    <row r="40" spans="1:17">
      <c r="A40" s="156">
        <v>39</v>
      </c>
      <c r="B40" s="156" t="s">
        <v>546</v>
      </c>
      <c r="C40" s="156" t="s">
        <v>547</v>
      </c>
      <c r="D40" s="156" t="s">
        <v>548</v>
      </c>
      <c r="E40" s="157">
        <v>9430</v>
      </c>
      <c r="F40" s="156" t="s">
        <v>549</v>
      </c>
      <c r="G40" s="160">
        <v>5</v>
      </c>
      <c r="H40" s="161">
        <v>18.5</v>
      </c>
      <c r="I40" s="175">
        <v>0.02</v>
      </c>
      <c r="J40" s="162">
        <v>22</v>
      </c>
      <c r="K40" s="162">
        <v>1</v>
      </c>
      <c r="L40" s="159" t="s">
        <v>550</v>
      </c>
      <c r="M40" s="125">
        <v>4</v>
      </c>
      <c r="Q40" s="107"/>
    </row>
    <row r="41" spans="1:17">
      <c r="A41" s="156">
        <v>40</v>
      </c>
      <c r="B41" s="156" t="s">
        <v>551</v>
      </c>
      <c r="C41" s="156" t="s">
        <v>552</v>
      </c>
      <c r="D41" s="156" t="s">
        <v>553</v>
      </c>
      <c r="E41" s="157">
        <v>11959.999999999998</v>
      </c>
      <c r="F41" s="156" t="s">
        <v>365</v>
      </c>
      <c r="G41" s="160">
        <v>5</v>
      </c>
      <c r="H41" s="161">
        <v>19</v>
      </c>
      <c r="I41" s="175">
        <v>0.02</v>
      </c>
      <c r="J41" s="162">
        <v>24</v>
      </c>
      <c r="K41" s="162">
        <v>1</v>
      </c>
      <c r="L41" s="159" t="s">
        <v>554</v>
      </c>
      <c r="M41" s="125">
        <v>4</v>
      </c>
      <c r="Q41" s="107"/>
    </row>
    <row r="42" spans="1:17">
      <c r="A42" s="121">
        <v>41</v>
      </c>
      <c r="B42" s="121" t="s">
        <v>555</v>
      </c>
      <c r="C42" s="121" t="s">
        <v>291</v>
      </c>
      <c r="D42" s="121" t="s">
        <v>556</v>
      </c>
      <c r="E42" s="122">
        <v>18860</v>
      </c>
      <c r="F42" s="121" t="s">
        <v>303</v>
      </c>
      <c r="G42" s="163">
        <v>10</v>
      </c>
      <c r="H42" s="164">
        <v>32</v>
      </c>
      <c r="I42" s="176">
        <v>0.03</v>
      </c>
      <c r="J42" s="165">
        <v>60</v>
      </c>
      <c r="K42" s="165">
        <v>0</v>
      </c>
      <c r="L42" s="123" t="s">
        <v>557</v>
      </c>
      <c r="M42" s="125">
        <v>5</v>
      </c>
      <c r="Q42" s="107"/>
    </row>
    <row r="43" spans="1:17">
      <c r="A43" s="121">
        <v>42</v>
      </c>
      <c r="B43" s="121" t="s">
        <v>558</v>
      </c>
      <c r="C43" s="121" t="s">
        <v>379</v>
      </c>
      <c r="D43" s="121" t="s">
        <v>559</v>
      </c>
      <c r="E43" s="122">
        <v>27599.999999999996</v>
      </c>
      <c r="F43" s="121" t="s">
        <v>560</v>
      </c>
      <c r="G43" s="163">
        <v>5</v>
      </c>
      <c r="H43" s="164">
        <v>14.5</v>
      </c>
      <c r="I43" s="176">
        <v>0.02</v>
      </c>
      <c r="J43" s="165">
        <v>15</v>
      </c>
      <c r="K43" s="165">
        <v>0</v>
      </c>
      <c r="L43" s="123" t="s">
        <v>561</v>
      </c>
      <c r="M43" s="125">
        <v>5</v>
      </c>
      <c r="Q43" s="107"/>
    </row>
    <row r="44" spans="1:17">
      <c r="A44" s="121">
        <v>43</v>
      </c>
      <c r="B44" s="121" t="s">
        <v>562</v>
      </c>
      <c r="C44" s="121" t="s">
        <v>356</v>
      </c>
      <c r="D44" s="121" t="s">
        <v>563</v>
      </c>
      <c r="E44" s="122">
        <v>14949.999999999998</v>
      </c>
      <c r="F44" s="121" t="s">
        <v>564</v>
      </c>
      <c r="G44" s="163">
        <v>3</v>
      </c>
      <c r="H44" s="164">
        <v>16</v>
      </c>
      <c r="I44" s="176"/>
      <c r="J44" s="165">
        <v>10</v>
      </c>
      <c r="K44" s="165">
        <v>0</v>
      </c>
      <c r="L44" s="123" t="s">
        <v>565</v>
      </c>
      <c r="M44" s="125">
        <v>5</v>
      </c>
      <c r="Q44" s="107"/>
    </row>
    <row r="45" spans="1:17">
      <c r="A45" s="121">
        <v>44</v>
      </c>
      <c r="B45" s="121" t="s">
        <v>566</v>
      </c>
      <c r="C45" s="121" t="s">
        <v>379</v>
      </c>
      <c r="D45" s="121" t="s">
        <v>567</v>
      </c>
      <c r="E45" s="122">
        <v>22540</v>
      </c>
      <c r="F45" s="121" t="s">
        <v>568</v>
      </c>
      <c r="G45" s="163">
        <v>7</v>
      </c>
      <c r="H45" s="164">
        <v>12.5</v>
      </c>
      <c r="I45" s="176">
        <v>0.02</v>
      </c>
      <c r="J45" s="165">
        <v>8</v>
      </c>
      <c r="K45" s="165">
        <v>0</v>
      </c>
      <c r="L45" s="123" t="s">
        <v>569</v>
      </c>
      <c r="M45" s="125">
        <v>5</v>
      </c>
      <c r="Q45" s="107"/>
    </row>
    <row r="46" spans="1:17">
      <c r="A46" s="121">
        <v>45</v>
      </c>
      <c r="B46" s="121" t="s">
        <v>570</v>
      </c>
      <c r="C46" s="121" t="s">
        <v>291</v>
      </c>
      <c r="D46" s="121" t="s">
        <v>571</v>
      </c>
      <c r="E46" s="122">
        <v>17020</v>
      </c>
      <c r="F46" s="121" t="s">
        <v>329</v>
      </c>
      <c r="G46" s="163">
        <v>10</v>
      </c>
      <c r="H46" s="164">
        <v>35</v>
      </c>
      <c r="I46" s="176">
        <v>0.03</v>
      </c>
      <c r="J46" s="165">
        <v>70</v>
      </c>
      <c r="K46" s="165">
        <v>0</v>
      </c>
      <c r="L46" s="123" t="s">
        <v>572</v>
      </c>
      <c r="M46" s="125">
        <v>5</v>
      </c>
      <c r="Q46" s="107"/>
    </row>
    <row r="47" spans="1:17">
      <c r="A47" s="166">
        <v>46</v>
      </c>
      <c r="B47" s="166" t="s">
        <v>573</v>
      </c>
      <c r="C47" s="166" t="s">
        <v>291</v>
      </c>
      <c r="D47" s="166" t="s">
        <v>574</v>
      </c>
      <c r="E47" s="167">
        <v>11040</v>
      </c>
      <c r="F47" s="166" t="s">
        <v>575</v>
      </c>
      <c r="G47" s="168" t="s">
        <v>339</v>
      </c>
      <c r="H47" s="168" t="s">
        <v>339</v>
      </c>
      <c r="I47" s="177"/>
      <c r="J47" s="168" t="s">
        <v>339</v>
      </c>
      <c r="K47" s="168" t="s">
        <v>339</v>
      </c>
      <c r="L47" s="169" t="s">
        <v>577</v>
      </c>
      <c r="M47" s="125">
        <v>6</v>
      </c>
      <c r="Q47" s="107"/>
    </row>
    <row r="48" spans="1:17">
      <c r="A48" s="166">
        <v>47</v>
      </c>
      <c r="B48" s="166" t="s">
        <v>418</v>
      </c>
      <c r="C48" s="166" t="s">
        <v>291</v>
      </c>
      <c r="D48" s="166" t="s">
        <v>578</v>
      </c>
      <c r="E48" s="167">
        <v>14259.999999999998</v>
      </c>
      <c r="F48" s="166" t="s">
        <v>579</v>
      </c>
      <c r="G48" s="168">
        <v>5</v>
      </c>
      <c r="H48" s="170">
        <v>24.5</v>
      </c>
      <c r="I48" s="177"/>
      <c r="J48" s="171">
        <v>35</v>
      </c>
      <c r="K48" s="171">
        <v>2</v>
      </c>
      <c r="L48" s="169" t="s">
        <v>580</v>
      </c>
      <c r="M48" s="125">
        <v>6</v>
      </c>
      <c r="Q48" s="107"/>
    </row>
    <row r="49" spans="1:17">
      <c r="A49" s="166">
        <v>48</v>
      </c>
      <c r="B49" s="166" t="s">
        <v>527</v>
      </c>
      <c r="C49" s="166" t="s">
        <v>291</v>
      </c>
      <c r="D49" s="166" t="s">
        <v>581</v>
      </c>
      <c r="E49" s="167">
        <v>8049.9999999999991</v>
      </c>
      <c r="F49" s="166" t="s">
        <v>320</v>
      </c>
      <c r="G49" s="168">
        <v>7</v>
      </c>
      <c r="H49" s="168" t="s">
        <v>339</v>
      </c>
      <c r="I49" s="177">
        <v>2.5000000000000001E-2</v>
      </c>
      <c r="J49" s="168" t="s">
        <v>339</v>
      </c>
      <c r="K49" s="168" t="s">
        <v>339</v>
      </c>
      <c r="L49" s="169" t="s">
        <v>582</v>
      </c>
      <c r="M49" s="125">
        <v>6</v>
      </c>
      <c r="Q49" s="107"/>
    </row>
    <row r="50" spans="1:17">
      <c r="A50" s="166">
        <v>49</v>
      </c>
      <c r="B50" s="166" t="s">
        <v>583</v>
      </c>
      <c r="C50" s="166" t="s">
        <v>291</v>
      </c>
      <c r="D50" s="166" t="s">
        <v>584</v>
      </c>
      <c r="E50" s="167">
        <v>11730</v>
      </c>
      <c r="F50" s="166" t="s">
        <v>585</v>
      </c>
      <c r="G50" s="168" t="s">
        <v>339</v>
      </c>
      <c r="H50" s="170">
        <v>25</v>
      </c>
      <c r="I50" s="177"/>
      <c r="J50" s="168" t="s">
        <v>339</v>
      </c>
      <c r="K50" s="171">
        <v>1</v>
      </c>
      <c r="L50" s="169" t="s">
        <v>586</v>
      </c>
      <c r="M50" s="125">
        <v>6</v>
      </c>
      <c r="Q50" s="107"/>
    </row>
    <row r="51" spans="1:17">
      <c r="A51" s="166">
        <v>50</v>
      </c>
      <c r="B51" s="166" t="s">
        <v>587</v>
      </c>
      <c r="C51" s="166" t="s">
        <v>291</v>
      </c>
      <c r="D51" s="166" t="s">
        <v>588</v>
      </c>
      <c r="E51" s="167">
        <v>10120</v>
      </c>
      <c r="F51" s="166" t="s">
        <v>589</v>
      </c>
      <c r="G51" s="168">
        <v>5</v>
      </c>
      <c r="H51" s="168" t="s">
        <v>339</v>
      </c>
      <c r="I51" s="177">
        <v>2.5000000000000001E-2</v>
      </c>
      <c r="J51" s="171">
        <v>32</v>
      </c>
      <c r="K51" s="168" t="s">
        <v>339</v>
      </c>
      <c r="L51" s="169" t="s">
        <v>590</v>
      </c>
      <c r="M51" s="125">
        <v>6</v>
      </c>
      <c r="Q51" s="107"/>
    </row>
    <row r="52" spans="1:17">
      <c r="A52" s="127" t="s">
        <v>396</v>
      </c>
      <c r="B52" s="128"/>
      <c r="C52" s="128"/>
      <c r="D52" s="128"/>
      <c r="E52" s="129">
        <f>AVERAGEIFS(E$2:E$51,$M$2:$M$51,$M52)</f>
        <v>12015.2</v>
      </c>
      <c r="F52" s="128"/>
      <c r="G52" s="129">
        <f t="shared" ref="G52:K52" si="0">AVERAGEIFS(G$2:G$51,$M$2:$M$51,$M52)</f>
        <v>5.92</v>
      </c>
      <c r="H52" s="131">
        <f t="shared" si="0"/>
        <v>24.98</v>
      </c>
      <c r="I52" s="132">
        <f t="shared" si="0"/>
        <v>2.5800000000000014E-2</v>
      </c>
      <c r="J52" s="173">
        <f t="shared" si="0"/>
        <v>34.6</v>
      </c>
      <c r="K52" s="173">
        <f t="shared" si="0"/>
        <v>1.44</v>
      </c>
      <c r="L52" s="133"/>
      <c r="M52" s="134">
        <v>2</v>
      </c>
    </row>
    <row r="53" spans="1:17">
      <c r="A53" s="144" t="s">
        <v>599</v>
      </c>
      <c r="B53" s="145"/>
      <c r="C53" s="145"/>
      <c r="D53" s="145"/>
      <c r="E53" s="146">
        <f>AVERAGE('Rent Roll'!F41:F46)</f>
        <v>12666.666666666666</v>
      </c>
      <c r="F53" s="145"/>
      <c r="G53" s="146"/>
      <c r="H53" s="148">
        <f>AVERAGE(Assumptions!C56:C59)</f>
        <v>24.875</v>
      </c>
      <c r="I53" s="149">
        <f>+RentGrowth</f>
        <v>2.7E-2</v>
      </c>
      <c r="J53" s="174">
        <f>AVERAGE(Assumptions!F56:F59)</f>
        <v>34</v>
      </c>
      <c r="K53" s="145">
        <f>AVERAGE(Assumptions!I56:J59)</f>
        <v>1.5</v>
      </c>
      <c r="L53" s="150"/>
      <c r="M53" s="151"/>
    </row>
    <row r="55" spans="1:17">
      <c r="B55" s="113" t="s">
        <v>598</v>
      </c>
      <c r="D55" t="s">
        <v>393</v>
      </c>
    </row>
    <row r="56" spans="1:17">
      <c r="B56" s="79" t="s">
        <v>597</v>
      </c>
    </row>
    <row r="57" spans="1:17">
      <c r="B57" s="117" t="s">
        <v>591</v>
      </c>
      <c r="D57" t="s">
        <v>394</v>
      </c>
    </row>
    <row r="58" spans="1:17">
      <c r="B58" s="156" t="s">
        <v>592</v>
      </c>
      <c r="D58" t="s">
        <v>595</v>
      </c>
    </row>
    <row r="59" spans="1:17">
      <c r="B59" s="121" t="s">
        <v>593</v>
      </c>
      <c r="D59" t="s">
        <v>395</v>
      </c>
    </row>
    <row r="60" spans="1:17">
      <c r="B60" s="166" t="s">
        <v>594</v>
      </c>
      <c r="D60" t="s">
        <v>596</v>
      </c>
    </row>
  </sheetData>
  <conditionalFormatting sqref="A2:M51">
    <cfRule type="expression" dxfId="4" priority="5">
      <formula>$M2=1</formula>
    </cfRule>
  </conditionalFormatting>
  <conditionalFormatting sqref="A2:M53">
    <cfRule type="expression" dxfId="3" priority="1">
      <formula>$M2=6</formula>
    </cfRule>
    <cfRule type="expression" dxfId="2" priority="2">
      <formula>$M2=5</formula>
    </cfRule>
    <cfRule type="expression" dxfId="1" priority="3">
      <formula>$M2=4</formula>
    </cfRule>
    <cfRule type="expression" dxfId="0" priority="4">
      <formula>$M2=3</formula>
    </cfRule>
  </conditionalFormatting>
  <dataValidations count="1">
    <dataValidation type="list" allowBlank="1" showInputMessage="1" showErrorMessage="1" sqref="M2:M51" xr:uid="{26A1C1B1-BA5D-4506-BAA5-9074BE2B4760}">
      <formula1>"1,2,3,4,5,6"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AE037-D7D4-4147-A3D2-106A823F8D4B}">
  <sheetPr>
    <tabColor theme="0"/>
  </sheetPr>
  <dimension ref="A1"/>
  <sheetViews>
    <sheetView workbookViewId="0">
      <selection activeCell="T37" sqref="T37"/>
    </sheetView>
  </sheetViews>
  <sheetFormatPr defaultRowHeight="14.7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7EFC3-810C-4BC0-9D59-B8F47D815202}">
  <dimension ref="A1:N28"/>
  <sheetViews>
    <sheetView workbookViewId="0">
      <pane xSplit="1" ySplit="1" topLeftCell="B2" activePane="bottomRight" state="frozen"/>
      <selection pane="topRight"/>
      <selection pane="bottomLeft"/>
      <selection pane="bottomRight" activeCell="F19" sqref="F19"/>
    </sheetView>
  </sheetViews>
  <sheetFormatPr defaultRowHeight="14.75"/>
  <cols>
    <col min="1" max="1" width="28" customWidth="1"/>
    <col min="2" max="14" width="11" customWidth="1"/>
  </cols>
  <sheetData>
    <row r="1" spans="1:14" ht="24" customHeight="1">
      <c r="A1" s="250" t="s">
        <v>938</v>
      </c>
      <c r="B1" s="250" t="s">
        <v>939</v>
      </c>
      <c r="C1" s="250" t="s">
        <v>940</v>
      </c>
      <c r="D1" s="250" t="s">
        <v>941</v>
      </c>
      <c r="E1" s="250" t="s">
        <v>942</v>
      </c>
      <c r="F1" s="250" t="s">
        <v>943</v>
      </c>
      <c r="G1" s="250" t="s">
        <v>944</v>
      </c>
      <c r="H1" s="250" t="s">
        <v>945</v>
      </c>
      <c r="I1" s="250" t="s">
        <v>946</v>
      </c>
      <c r="J1" s="250" t="s">
        <v>947</v>
      </c>
      <c r="K1" s="250" t="s">
        <v>948</v>
      </c>
      <c r="L1" s="250" t="s">
        <v>949</v>
      </c>
      <c r="M1" s="250" t="s">
        <v>950</v>
      </c>
      <c r="N1" s="250" t="s">
        <v>50</v>
      </c>
    </row>
    <row r="2" spans="1:14" ht="15.5" thickBot="1">
      <c r="A2" s="251" t="s">
        <v>951</v>
      </c>
    </row>
    <row r="3" spans="1:14">
      <c r="A3" s="252" t="s">
        <v>952</v>
      </c>
      <c r="B3" s="253">
        <v>371400</v>
      </c>
      <c r="C3" s="253">
        <v>371400</v>
      </c>
      <c r="D3" s="253">
        <v>371400</v>
      </c>
      <c r="E3" s="253">
        <v>371400</v>
      </c>
      <c r="F3" s="253">
        <v>371400</v>
      </c>
      <c r="G3" s="253">
        <v>371400</v>
      </c>
      <c r="H3" s="253">
        <v>371400</v>
      </c>
      <c r="I3" s="253">
        <v>371400</v>
      </c>
      <c r="J3" s="253">
        <v>371400</v>
      </c>
      <c r="K3" s="253">
        <v>371400</v>
      </c>
      <c r="L3" s="253">
        <v>368700</v>
      </c>
      <c r="M3" s="253">
        <v>368700</v>
      </c>
      <c r="N3" s="253">
        <f t="shared" ref="N3:N8" si="0">SUM(B3:M3)</f>
        <v>4451400</v>
      </c>
    </row>
    <row r="4" spans="1:14">
      <c r="A4" s="252" t="s">
        <v>953</v>
      </c>
      <c r="B4" s="253">
        <v>190554</v>
      </c>
      <c r="C4" s="253">
        <v>190554</v>
      </c>
      <c r="D4" s="253">
        <v>190554</v>
      </c>
      <c r="E4" s="253">
        <v>190554</v>
      </c>
      <c r="F4" s="253">
        <v>190554</v>
      </c>
      <c r="G4" s="253">
        <v>190554</v>
      </c>
      <c r="H4" s="253">
        <v>190554</v>
      </c>
      <c r="I4" s="253">
        <v>190554</v>
      </c>
      <c r="J4" s="253">
        <v>190554</v>
      </c>
      <c r="K4" s="253">
        <v>190554</v>
      </c>
      <c r="L4" s="253">
        <v>188984</v>
      </c>
      <c r="M4" s="253">
        <v>188984</v>
      </c>
      <c r="N4" s="253">
        <f t="shared" si="0"/>
        <v>2283508</v>
      </c>
    </row>
    <row r="5" spans="1:14">
      <c r="A5" s="252" t="s">
        <v>25</v>
      </c>
      <c r="B5" s="253">
        <v>19167</v>
      </c>
      <c r="C5" s="253">
        <v>19167</v>
      </c>
      <c r="D5" s="253">
        <v>19167</v>
      </c>
      <c r="E5" s="253">
        <v>19167</v>
      </c>
      <c r="F5" s="253">
        <v>19167</v>
      </c>
      <c r="G5" s="253">
        <v>19167</v>
      </c>
      <c r="H5" s="253">
        <v>19167</v>
      </c>
      <c r="I5" s="253">
        <v>19167</v>
      </c>
      <c r="J5" s="253">
        <v>19167</v>
      </c>
      <c r="K5" s="253">
        <v>19167</v>
      </c>
      <c r="L5" s="253">
        <v>19167</v>
      </c>
      <c r="M5" s="253">
        <v>19167</v>
      </c>
      <c r="N5" s="253">
        <f t="shared" si="0"/>
        <v>230004</v>
      </c>
    </row>
    <row r="6" spans="1:14">
      <c r="A6" s="252" t="s">
        <v>954</v>
      </c>
      <c r="B6" s="253">
        <v>5167</v>
      </c>
      <c r="C6" s="253">
        <v>5167</v>
      </c>
      <c r="D6" s="253">
        <v>5167</v>
      </c>
      <c r="E6" s="253">
        <v>5167</v>
      </c>
      <c r="F6" s="253">
        <v>5167</v>
      </c>
      <c r="G6" s="253">
        <v>5167</v>
      </c>
      <c r="H6" s="253">
        <v>5167</v>
      </c>
      <c r="I6" s="253">
        <v>5167</v>
      </c>
      <c r="J6" s="253">
        <v>2667</v>
      </c>
      <c r="K6" s="253">
        <v>2667</v>
      </c>
      <c r="L6" s="253">
        <v>2667</v>
      </c>
      <c r="M6" s="253">
        <v>2667</v>
      </c>
      <c r="N6" s="253">
        <f t="shared" si="0"/>
        <v>52004</v>
      </c>
    </row>
    <row r="7" spans="1:14">
      <c r="A7" s="252" t="s">
        <v>27</v>
      </c>
      <c r="B7" s="253">
        <v>1667</v>
      </c>
      <c r="C7" s="253">
        <v>1667</v>
      </c>
      <c r="D7" s="253">
        <v>1667</v>
      </c>
      <c r="E7" s="253">
        <v>1667</v>
      </c>
      <c r="F7" s="253">
        <v>1667</v>
      </c>
      <c r="G7" s="253">
        <v>1667</v>
      </c>
      <c r="H7" s="253">
        <v>1667</v>
      </c>
      <c r="I7" s="253">
        <v>1667</v>
      </c>
      <c r="J7" s="253">
        <v>1667</v>
      </c>
      <c r="K7" s="253">
        <v>1667</v>
      </c>
      <c r="L7" s="253">
        <v>1667</v>
      </c>
      <c r="M7" s="253">
        <v>1667</v>
      </c>
      <c r="N7" s="253">
        <f t="shared" si="0"/>
        <v>20004</v>
      </c>
    </row>
    <row r="8" spans="1:14">
      <c r="A8" s="252" t="s">
        <v>955</v>
      </c>
      <c r="B8" s="253">
        <v>0</v>
      </c>
      <c r="C8" s="253">
        <v>0</v>
      </c>
      <c r="D8" s="253">
        <v>0</v>
      </c>
      <c r="E8" s="253">
        <v>0</v>
      </c>
      <c r="F8" s="253">
        <v>0</v>
      </c>
      <c r="G8" s="253">
        <v>42000</v>
      </c>
      <c r="H8" s="253">
        <v>0</v>
      </c>
      <c r="I8" s="253">
        <v>0</v>
      </c>
      <c r="J8" s="253">
        <v>0</v>
      </c>
      <c r="K8" s="253">
        <v>0</v>
      </c>
      <c r="L8" s="253">
        <v>0</v>
      </c>
      <c r="M8" s="253">
        <v>0</v>
      </c>
      <c r="N8" s="253">
        <f t="shared" si="0"/>
        <v>42000</v>
      </c>
    </row>
    <row r="10" spans="1:14" ht="15.5" thickBot="1">
      <c r="A10" s="254" t="s">
        <v>956</v>
      </c>
      <c r="B10" s="253">
        <f t="shared" ref="B10:M10" si="1">SUM(B3:B8)</f>
        <v>587955</v>
      </c>
      <c r="C10" s="253">
        <f t="shared" si="1"/>
        <v>587955</v>
      </c>
      <c r="D10" s="253">
        <f t="shared" si="1"/>
        <v>587955</v>
      </c>
      <c r="E10" s="253">
        <f t="shared" si="1"/>
        <v>587955</v>
      </c>
      <c r="F10" s="253">
        <f t="shared" si="1"/>
        <v>587955</v>
      </c>
      <c r="G10" s="253">
        <f t="shared" si="1"/>
        <v>629955</v>
      </c>
      <c r="H10" s="253">
        <f t="shared" si="1"/>
        <v>587955</v>
      </c>
      <c r="I10" s="253">
        <f t="shared" si="1"/>
        <v>587955</v>
      </c>
      <c r="J10" s="253">
        <f t="shared" si="1"/>
        <v>585455</v>
      </c>
      <c r="K10" s="253">
        <f t="shared" si="1"/>
        <v>585455</v>
      </c>
      <c r="L10" s="253">
        <f t="shared" si="1"/>
        <v>581185</v>
      </c>
      <c r="M10" s="253">
        <f t="shared" si="1"/>
        <v>581185</v>
      </c>
      <c r="N10" s="255">
        <f>SUM(B10:M10)</f>
        <v>7078920</v>
      </c>
    </row>
    <row r="12" spans="1:14" ht="15.5" thickBot="1">
      <c r="A12" s="251" t="s">
        <v>957</v>
      </c>
    </row>
    <row r="13" spans="1:14">
      <c r="A13" s="252" t="s">
        <v>12</v>
      </c>
      <c r="B13" s="253">
        <v>61833</v>
      </c>
      <c r="C13" s="253">
        <v>61833</v>
      </c>
      <c r="D13" s="253">
        <v>61833</v>
      </c>
      <c r="E13" s="253">
        <v>61833</v>
      </c>
      <c r="F13" s="253">
        <v>61833</v>
      </c>
      <c r="G13" s="253">
        <v>61833</v>
      </c>
      <c r="H13" s="253">
        <v>61833</v>
      </c>
      <c r="I13" s="253">
        <v>61833</v>
      </c>
      <c r="J13" s="253">
        <v>61833</v>
      </c>
      <c r="K13" s="253">
        <v>61833</v>
      </c>
      <c r="L13" s="253">
        <v>61833</v>
      </c>
      <c r="M13" s="253">
        <v>61833</v>
      </c>
      <c r="N13" s="253">
        <f t="shared" ref="N13:N24" si="2">SUM(B13:M13)</f>
        <v>741996</v>
      </c>
    </row>
    <row r="14" spans="1:14">
      <c r="A14" s="252" t="s">
        <v>13</v>
      </c>
      <c r="B14" s="253">
        <v>17500</v>
      </c>
      <c r="C14" s="253">
        <v>17500</v>
      </c>
      <c r="D14" s="253">
        <v>17500</v>
      </c>
      <c r="E14" s="253">
        <v>17500</v>
      </c>
      <c r="F14" s="253">
        <v>17500</v>
      </c>
      <c r="G14" s="253">
        <v>17500</v>
      </c>
      <c r="H14" s="253">
        <v>17500</v>
      </c>
      <c r="I14" s="253">
        <v>17500</v>
      </c>
      <c r="J14" s="253">
        <v>17500</v>
      </c>
      <c r="K14" s="253">
        <v>17500</v>
      </c>
      <c r="L14" s="253">
        <v>17500</v>
      </c>
      <c r="M14" s="253">
        <v>17500</v>
      </c>
      <c r="N14" s="253">
        <f t="shared" si="2"/>
        <v>210000</v>
      </c>
    </row>
    <row r="15" spans="1:14">
      <c r="A15" s="252" t="s">
        <v>14</v>
      </c>
      <c r="B15" s="253">
        <v>58333</v>
      </c>
      <c r="C15" s="253">
        <v>58333</v>
      </c>
      <c r="D15" s="253">
        <v>58333</v>
      </c>
      <c r="E15" s="253">
        <v>58333</v>
      </c>
      <c r="F15" s="253">
        <v>58333</v>
      </c>
      <c r="G15" s="253">
        <v>58333</v>
      </c>
      <c r="H15" s="253">
        <v>58333</v>
      </c>
      <c r="I15" s="253">
        <v>58333</v>
      </c>
      <c r="J15" s="253">
        <v>58333</v>
      </c>
      <c r="K15" s="253">
        <v>58333</v>
      </c>
      <c r="L15" s="253">
        <v>58333</v>
      </c>
      <c r="M15" s="253">
        <v>58333</v>
      </c>
      <c r="N15" s="253">
        <f t="shared" si="2"/>
        <v>699996</v>
      </c>
    </row>
    <row r="16" spans="1:14">
      <c r="A16" s="252" t="s">
        <v>15</v>
      </c>
      <c r="B16" s="253">
        <v>40833</v>
      </c>
      <c r="C16" s="253">
        <v>40833</v>
      </c>
      <c r="D16" s="253">
        <v>40833</v>
      </c>
      <c r="E16" s="253">
        <v>40833</v>
      </c>
      <c r="F16" s="253">
        <v>40833</v>
      </c>
      <c r="G16" s="253">
        <v>40833</v>
      </c>
      <c r="H16" s="253">
        <v>40833</v>
      </c>
      <c r="I16" s="253">
        <v>40833</v>
      </c>
      <c r="J16" s="253">
        <v>40833</v>
      </c>
      <c r="K16" s="253">
        <v>40833</v>
      </c>
      <c r="L16" s="253">
        <v>40833</v>
      </c>
      <c r="M16" s="253">
        <v>40833</v>
      </c>
      <c r="N16" s="253">
        <f t="shared" si="2"/>
        <v>489996</v>
      </c>
    </row>
    <row r="17" spans="1:14">
      <c r="A17" s="252" t="s">
        <v>958</v>
      </c>
      <c r="B17" s="253">
        <v>31500</v>
      </c>
      <c r="C17" s="253">
        <v>31500</v>
      </c>
      <c r="D17" s="253">
        <v>31500</v>
      </c>
      <c r="E17" s="253">
        <v>31500</v>
      </c>
      <c r="F17" s="253">
        <v>31500</v>
      </c>
      <c r="G17" s="253">
        <v>31500</v>
      </c>
      <c r="H17" s="253">
        <v>31500</v>
      </c>
      <c r="I17" s="253">
        <v>31500</v>
      </c>
      <c r="J17" s="253">
        <v>31500</v>
      </c>
      <c r="K17" s="253">
        <v>31500</v>
      </c>
      <c r="L17" s="253">
        <v>31500</v>
      </c>
      <c r="M17" s="253">
        <v>31500</v>
      </c>
      <c r="N17" s="253">
        <f t="shared" si="2"/>
        <v>378000</v>
      </c>
    </row>
    <row r="18" spans="1:14">
      <c r="A18" s="252" t="s">
        <v>959</v>
      </c>
      <c r="B18" s="253">
        <v>7000</v>
      </c>
      <c r="C18" s="253">
        <v>7000</v>
      </c>
      <c r="D18" s="253">
        <v>7000</v>
      </c>
      <c r="E18" s="253">
        <v>7000</v>
      </c>
      <c r="F18" s="253">
        <v>7000</v>
      </c>
      <c r="G18" s="253">
        <v>7000</v>
      </c>
      <c r="H18" s="253">
        <v>7000</v>
      </c>
      <c r="I18" s="253">
        <v>7000</v>
      </c>
      <c r="J18" s="253">
        <v>7000</v>
      </c>
      <c r="K18" s="253">
        <v>7000</v>
      </c>
      <c r="L18" s="253">
        <v>7000</v>
      </c>
      <c r="M18" s="253">
        <v>7000</v>
      </c>
      <c r="N18" s="253">
        <f t="shared" si="2"/>
        <v>84000</v>
      </c>
    </row>
    <row r="19" spans="1:14">
      <c r="A19" s="252" t="s">
        <v>18</v>
      </c>
      <c r="B19" s="253">
        <v>9333</v>
      </c>
      <c r="C19" s="253">
        <v>9333</v>
      </c>
      <c r="D19" s="253">
        <v>9333</v>
      </c>
      <c r="E19" s="253">
        <v>9333</v>
      </c>
      <c r="F19" s="253">
        <v>9333</v>
      </c>
      <c r="G19" s="253">
        <v>9333</v>
      </c>
      <c r="H19" s="253">
        <v>9333</v>
      </c>
      <c r="I19" s="253">
        <v>9333</v>
      </c>
      <c r="J19" s="253">
        <v>9333</v>
      </c>
      <c r="K19" s="253">
        <v>9333</v>
      </c>
      <c r="L19" s="253">
        <v>9333</v>
      </c>
      <c r="M19" s="253">
        <v>9333</v>
      </c>
      <c r="N19" s="253">
        <f t="shared" si="2"/>
        <v>111996</v>
      </c>
    </row>
    <row r="20" spans="1:14">
      <c r="A20" s="252" t="s">
        <v>960</v>
      </c>
      <c r="B20" s="253">
        <v>4200</v>
      </c>
      <c r="C20" s="253">
        <v>4200</v>
      </c>
      <c r="D20" s="253">
        <v>4200</v>
      </c>
      <c r="E20" s="253">
        <v>4200</v>
      </c>
      <c r="F20" s="253">
        <v>4200</v>
      </c>
      <c r="G20" s="253">
        <v>4200</v>
      </c>
      <c r="H20" s="253">
        <v>4200</v>
      </c>
      <c r="I20" s="253">
        <v>4200</v>
      </c>
      <c r="J20" s="253">
        <v>4200</v>
      </c>
      <c r="K20" s="253">
        <v>4200</v>
      </c>
      <c r="L20" s="253">
        <v>4200</v>
      </c>
      <c r="M20" s="253">
        <v>4200</v>
      </c>
      <c r="N20" s="253">
        <f t="shared" si="2"/>
        <v>50400</v>
      </c>
    </row>
    <row r="21" spans="1:14">
      <c r="A21" s="252" t="s">
        <v>961</v>
      </c>
      <c r="B21" s="253">
        <v>8167</v>
      </c>
      <c r="C21" s="253">
        <v>8167</v>
      </c>
      <c r="D21" s="253">
        <v>8167</v>
      </c>
      <c r="E21" s="253">
        <v>8167</v>
      </c>
      <c r="F21" s="253">
        <v>8167</v>
      </c>
      <c r="G21" s="253">
        <v>8167</v>
      </c>
      <c r="H21" s="253">
        <v>8167</v>
      </c>
      <c r="I21" s="253">
        <v>8167</v>
      </c>
      <c r="J21" s="253">
        <v>8167</v>
      </c>
      <c r="K21" s="253">
        <v>8167</v>
      </c>
      <c r="L21" s="253">
        <v>8167</v>
      </c>
      <c r="M21" s="253">
        <v>8167</v>
      </c>
      <c r="N21" s="253">
        <f t="shared" si="2"/>
        <v>98004</v>
      </c>
    </row>
    <row r="22" spans="1:14">
      <c r="A22" s="252" t="s">
        <v>962</v>
      </c>
      <c r="B22" s="253">
        <v>5600</v>
      </c>
      <c r="C22" s="253">
        <v>5600</v>
      </c>
      <c r="D22" s="253">
        <v>5600</v>
      </c>
      <c r="E22" s="253">
        <v>5600</v>
      </c>
      <c r="F22" s="253">
        <v>5600</v>
      </c>
      <c r="G22" s="253">
        <v>5600</v>
      </c>
      <c r="H22" s="253">
        <v>5600</v>
      </c>
      <c r="I22" s="253">
        <v>5600</v>
      </c>
      <c r="J22" s="253">
        <v>5600</v>
      </c>
      <c r="K22" s="253">
        <v>5600</v>
      </c>
      <c r="L22" s="253">
        <v>5600</v>
      </c>
      <c r="M22" s="253">
        <v>5600</v>
      </c>
      <c r="N22" s="253">
        <f t="shared" si="2"/>
        <v>67200</v>
      </c>
    </row>
    <row r="23" spans="1:14">
      <c r="A23" s="252" t="s">
        <v>963</v>
      </c>
      <c r="B23" s="253">
        <v>3267</v>
      </c>
      <c r="C23" s="253">
        <v>3267</v>
      </c>
      <c r="D23" s="253">
        <v>3267</v>
      </c>
      <c r="E23" s="253">
        <v>3267</v>
      </c>
      <c r="F23" s="253">
        <v>3267</v>
      </c>
      <c r="G23" s="253">
        <v>3267</v>
      </c>
      <c r="H23" s="253">
        <v>3267</v>
      </c>
      <c r="I23" s="253">
        <v>3267</v>
      </c>
      <c r="J23" s="253">
        <v>3267</v>
      </c>
      <c r="K23" s="253">
        <v>3267</v>
      </c>
      <c r="L23" s="253">
        <v>3267</v>
      </c>
      <c r="M23" s="253">
        <v>3267</v>
      </c>
      <c r="N23" s="253">
        <f t="shared" si="2"/>
        <v>39204</v>
      </c>
    </row>
    <row r="24" spans="1:14">
      <c r="A24" s="252" t="s">
        <v>964</v>
      </c>
      <c r="B24" s="253">
        <f t="shared" ref="B24:M24" si="3">B10*0.035</f>
        <v>20578.425000000003</v>
      </c>
      <c r="C24" s="253">
        <f t="shared" si="3"/>
        <v>20578.425000000003</v>
      </c>
      <c r="D24" s="253">
        <f t="shared" si="3"/>
        <v>20578.425000000003</v>
      </c>
      <c r="E24" s="253">
        <f t="shared" si="3"/>
        <v>20578.425000000003</v>
      </c>
      <c r="F24" s="253">
        <f t="shared" si="3"/>
        <v>20578.425000000003</v>
      </c>
      <c r="G24" s="253">
        <f t="shared" si="3"/>
        <v>22048.425000000003</v>
      </c>
      <c r="H24" s="253">
        <f t="shared" si="3"/>
        <v>20578.425000000003</v>
      </c>
      <c r="I24" s="253">
        <f t="shared" si="3"/>
        <v>20578.425000000003</v>
      </c>
      <c r="J24" s="253">
        <f t="shared" si="3"/>
        <v>20490.925000000003</v>
      </c>
      <c r="K24" s="253">
        <f t="shared" si="3"/>
        <v>20490.925000000003</v>
      </c>
      <c r="L24" s="253">
        <f t="shared" si="3"/>
        <v>20341.475000000002</v>
      </c>
      <c r="M24" s="253">
        <f t="shared" si="3"/>
        <v>20341.475000000002</v>
      </c>
      <c r="N24" s="253">
        <f t="shared" si="2"/>
        <v>247762.2</v>
      </c>
    </row>
    <row r="26" spans="1:14" ht="15.5" thickBot="1">
      <c r="A26" s="254" t="s">
        <v>965</v>
      </c>
      <c r="B26" s="253">
        <f t="shared" ref="B26:M26" si="4">SUM(B13:B24)</f>
        <v>268144.42499999999</v>
      </c>
      <c r="C26" s="253">
        <f t="shared" si="4"/>
        <v>268144.42499999999</v>
      </c>
      <c r="D26" s="253">
        <f t="shared" si="4"/>
        <v>268144.42499999999</v>
      </c>
      <c r="E26" s="253">
        <f t="shared" si="4"/>
        <v>268144.42499999999</v>
      </c>
      <c r="F26" s="253">
        <f t="shared" si="4"/>
        <v>268144.42499999999</v>
      </c>
      <c r="G26" s="253">
        <f t="shared" si="4"/>
        <v>269614.42499999999</v>
      </c>
      <c r="H26" s="253">
        <f t="shared" si="4"/>
        <v>268144.42499999999</v>
      </c>
      <c r="I26" s="253">
        <f t="shared" si="4"/>
        <v>268144.42499999999</v>
      </c>
      <c r="J26" s="253">
        <f t="shared" si="4"/>
        <v>268056.92499999999</v>
      </c>
      <c r="K26" s="253">
        <f t="shared" si="4"/>
        <v>268056.92499999999</v>
      </c>
      <c r="L26" s="253">
        <f t="shared" si="4"/>
        <v>267907.47499999998</v>
      </c>
      <c r="M26" s="253">
        <f t="shared" si="4"/>
        <v>267907.47499999998</v>
      </c>
      <c r="N26" s="255">
        <f>SUM(B26:M26)</f>
        <v>3218554.1999999997</v>
      </c>
    </row>
    <row r="28" spans="1:14" ht="15.5" thickBot="1">
      <c r="A28" s="254" t="s">
        <v>966</v>
      </c>
      <c r="B28" s="253">
        <f t="shared" ref="B28:M28" si="5">B10-B26</f>
        <v>319810.57500000001</v>
      </c>
      <c r="C28" s="253">
        <f t="shared" si="5"/>
        <v>319810.57500000001</v>
      </c>
      <c r="D28" s="253">
        <f t="shared" si="5"/>
        <v>319810.57500000001</v>
      </c>
      <c r="E28" s="253">
        <f t="shared" si="5"/>
        <v>319810.57500000001</v>
      </c>
      <c r="F28" s="253">
        <f t="shared" si="5"/>
        <v>319810.57500000001</v>
      </c>
      <c r="G28" s="253">
        <f t="shared" si="5"/>
        <v>360340.57500000001</v>
      </c>
      <c r="H28" s="253">
        <f t="shared" si="5"/>
        <v>319810.57500000001</v>
      </c>
      <c r="I28" s="253">
        <f t="shared" si="5"/>
        <v>319810.57500000001</v>
      </c>
      <c r="J28" s="253">
        <f t="shared" si="5"/>
        <v>317398.07500000001</v>
      </c>
      <c r="K28" s="253">
        <f t="shared" si="5"/>
        <v>317398.07500000001</v>
      </c>
      <c r="L28" s="253">
        <f t="shared" si="5"/>
        <v>313277.52500000002</v>
      </c>
      <c r="M28" s="253">
        <f t="shared" si="5"/>
        <v>313277.52500000002</v>
      </c>
      <c r="N28" s="255">
        <f>SUM(B28:M28)</f>
        <v>3860365.8000000003</v>
      </c>
    </row>
  </sheetData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9666A-7529-4C8D-B17B-13B1003CB3B6}">
  <dimension ref="A1:H10"/>
  <sheetViews>
    <sheetView workbookViewId="0">
      <selection activeCell="H18" sqref="H18"/>
    </sheetView>
  </sheetViews>
  <sheetFormatPr defaultRowHeight="14.75"/>
  <cols>
    <col min="1" max="1" width="24" customWidth="1"/>
    <col min="2" max="2" width="18" customWidth="1"/>
    <col min="3" max="3" width="12" customWidth="1"/>
    <col min="4" max="5" width="11" customWidth="1"/>
    <col min="6" max="7" width="10" customWidth="1"/>
    <col min="8" max="8" width="35" customWidth="1"/>
  </cols>
  <sheetData>
    <row r="1" spans="1:8" ht="8.6999999999999993" customHeight="1">
      <c r="A1" s="250" t="s">
        <v>967</v>
      </c>
      <c r="B1" s="250" t="s">
        <v>968</v>
      </c>
      <c r="C1" s="250" t="s">
        <v>969</v>
      </c>
      <c r="D1" s="250" t="s">
        <v>970</v>
      </c>
      <c r="E1" s="250" t="s">
        <v>42</v>
      </c>
      <c r="F1" s="250" t="s">
        <v>971</v>
      </c>
      <c r="G1" s="250" t="s">
        <v>117</v>
      </c>
      <c r="H1" s="250" t="s">
        <v>289</v>
      </c>
    </row>
    <row r="2" spans="1:8">
      <c r="A2" s="252" t="s">
        <v>972</v>
      </c>
      <c r="B2" s="252" t="s">
        <v>973</v>
      </c>
      <c r="C2" s="253">
        <v>32000</v>
      </c>
      <c r="D2" s="252" t="s">
        <v>974</v>
      </c>
      <c r="E2" s="252" t="s">
        <v>975</v>
      </c>
      <c r="F2" s="252" t="s">
        <v>101</v>
      </c>
      <c r="G2" s="252" t="s">
        <v>604</v>
      </c>
      <c r="H2" s="256" t="s">
        <v>976</v>
      </c>
    </row>
    <row r="3" spans="1:8">
      <c r="A3" s="257" t="s">
        <v>977</v>
      </c>
      <c r="B3" s="257" t="s">
        <v>978</v>
      </c>
      <c r="C3" s="258">
        <v>30000</v>
      </c>
      <c r="D3" s="257" t="s">
        <v>979</v>
      </c>
      <c r="E3" s="257" t="s">
        <v>980</v>
      </c>
      <c r="F3" s="257" t="s">
        <v>102</v>
      </c>
      <c r="G3" s="257" t="s">
        <v>981</v>
      </c>
      <c r="H3" s="259" t="s">
        <v>982</v>
      </c>
    </row>
    <row r="4" spans="1:8">
      <c r="A4" s="252" t="s">
        <v>983</v>
      </c>
      <c r="B4" s="252" t="s">
        <v>984</v>
      </c>
      <c r="C4" s="252"/>
      <c r="D4" s="252" t="s">
        <v>979</v>
      </c>
      <c r="E4" s="252" t="s">
        <v>985</v>
      </c>
      <c r="F4" s="252" t="s">
        <v>101</v>
      </c>
      <c r="G4" s="252" t="s">
        <v>604</v>
      </c>
      <c r="H4" s="256" t="s">
        <v>986</v>
      </c>
    </row>
    <row r="5" spans="1:8">
      <c r="A5" s="252" t="s">
        <v>987</v>
      </c>
      <c r="B5" s="252" t="s">
        <v>16</v>
      </c>
      <c r="C5" s="253">
        <v>378000</v>
      </c>
      <c r="D5" s="252" t="s">
        <v>988</v>
      </c>
      <c r="E5" s="252" t="s">
        <v>989</v>
      </c>
      <c r="F5" s="252" t="s">
        <v>101</v>
      </c>
      <c r="G5" s="252" t="s">
        <v>604</v>
      </c>
      <c r="H5" s="256" t="s">
        <v>990</v>
      </c>
    </row>
    <row r="6" spans="1:8">
      <c r="A6" s="252" t="s">
        <v>991</v>
      </c>
      <c r="B6" s="252" t="s">
        <v>960</v>
      </c>
      <c r="C6" s="253">
        <v>50400</v>
      </c>
      <c r="D6" s="252" t="s">
        <v>992</v>
      </c>
      <c r="E6" s="252" t="s">
        <v>993</v>
      </c>
      <c r="F6" s="252" t="s">
        <v>101</v>
      </c>
      <c r="G6" s="252" t="s">
        <v>604</v>
      </c>
      <c r="H6" s="256" t="s">
        <v>994</v>
      </c>
    </row>
    <row r="7" spans="1:8">
      <c r="A7" s="252" t="s">
        <v>995</v>
      </c>
      <c r="B7" s="252" t="s">
        <v>961</v>
      </c>
      <c r="C7" s="253">
        <v>98000</v>
      </c>
      <c r="D7" s="252" t="s">
        <v>996</v>
      </c>
      <c r="E7" s="252" t="s">
        <v>997</v>
      </c>
      <c r="F7" s="252" t="s">
        <v>101</v>
      </c>
      <c r="G7" s="252" t="s">
        <v>604</v>
      </c>
      <c r="H7" s="256" t="s">
        <v>998</v>
      </c>
    </row>
    <row r="8" spans="1:8">
      <c r="A8" s="252" t="s">
        <v>999</v>
      </c>
      <c r="B8" s="252" t="s">
        <v>17</v>
      </c>
      <c r="C8" s="253">
        <v>84000</v>
      </c>
      <c r="D8" s="252" t="s">
        <v>1000</v>
      </c>
      <c r="E8" s="252" t="s">
        <v>1001</v>
      </c>
      <c r="F8" s="252" t="s">
        <v>101</v>
      </c>
      <c r="G8" s="252" t="s">
        <v>604</v>
      </c>
      <c r="H8" s="256" t="s">
        <v>1002</v>
      </c>
    </row>
    <row r="9" spans="1:8">
      <c r="A9" s="252" t="s">
        <v>1003</v>
      </c>
      <c r="B9" s="252" t="s">
        <v>18</v>
      </c>
      <c r="C9" s="253">
        <v>112000</v>
      </c>
      <c r="D9" s="252" t="s">
        <v>992</v>
      </c>
      <c r="E9" s="252" t="s">
        <v>993</v>
      </c>
      <c r="F9" s="252" t="s">
        <v>101</v>
      </c>
      <c r="G9" s="252" t="s">
        <v>604</v>
      </c>
      <c r="H9" s="256" t="s">
        <v>1004</v>
      </c>
    </row>
    <row r="10" spans="1:8">
      <c r="A10" s="252" t="s">
        <v>1005</v>
      </c>
      <c r="B10" s="252" t="s">
        <v>1006</v>
      </c>
      <c r="C10" s="253">
        <v>18000</v>
      </c>
      <c r="D10" s="252" t="s">
        <v>974</v>
      </c>
      <c r="E10" s="252" t="s">
        <v>985</v>
      </c>
      <c r="F10" s="252" t="s">
        <v>101</v>
      </c>
      <c r="G10" s="252" t="s">
        <v>604</v>
      </c>
      <c r="H10" s="256" t="s">
        <v>1007</v>
      </c>
    </row>
  </sheetData>
  <pageMargins left="0.7" right="0.7" top="0.75" bottom="0.75" header="0.3" footer="0.3"/>
  <pageSetup orientation="portrait" horizontalDpi="4294967295" verticalDpi="429496729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ECE09-C971-47A3-A7B1-7EBDD97E5107}">
  <dimension ref="A1:C48"/>
  <sheetViews>
    <sheetView showGridLines="0" workbookViewId="0">
      <selection activeCell="C19" sqref="C19"/>
    </sheetView>
  </sheetViews>
  <sheetFormatPr defaultRowHeight="14.75"/>
  <cols>
    <col min="1" max="1" width="32" customWidth="1"/>
    <col min="2" max="2" width="52.1796875" customWidth="1"/>
    <col min="3" max="3" width="35" customWidth="1"/>
  </cols>
  <sheetData>
    <row r="1" spans="1:3" ht="18.5">
      <c r="A1" s="76" t="s">
        <v>831</v>
      </c>
    </row>
    <row r="2" spans="1:3" ht="16">
      <c r="A2" s="245" t="s">
        <v>832</v>
      </c>
    </row>
    <row r="3" spans="1:3">
      <c r="A3" s="112" t="s">
        <v>833</v>
      </c>
    </row>
    <row r="5" spans="1:3" ht="15.5" thickBot="1">
      <c r="A5" s="268" t="s">
        <v>834</v>
      </c>
      <c r="B5" s="268"/>
      <c r="C5" s="268"/>
    </row>
    <row r="6" spans="1:3">
      <c r="A6" s="78" t="s">
        <v>835</v>
      </c>
      <c r="B6" s="79" t="s">
        <v>836</v>
      </c>
    </row>
    <row r="7" spans="1:3">
      <c r="A7" s="78" t="s">
        <v>837</v>
      </c>
      <c r="B7" s="79" t="s">
        <v>838</v>
      </c>
      <c r="C7" s="112" t="s">
        <v>839</v>
      </c>
    </row>
    <row r="8" spans="1:3">
      <c r="A8" s="78" t="s">
        <v>840</v>
      </c>
      <c r="B8" s="79" t="s">
        <v>841</v>
      </c>
      <c r="C8" s="112" t="s">
        <v>842</v>
      </c>
    </row>
    <row r="10" spans="1:3" ht="15.5" thickBot="1">
      <c r="A10" s="268" t="s">
        <v>843</v>
      </c>
      <c r="B10" s="268"/>
      <c r="C10" s="268"/>
    </row>
    <row r="11" spans="1:3">
      <c r="A11" s="78" t="s">
        <v>844</v>
      </c>
      <c r="B11" s="79" t="s">
        <v>845</v>
      </c>
      <c r="C11" s="112" t="s">
        <v>846</v>
      </c>
    </row>
    <row r="12" spans="1:3">
      <c r="A12" s="78" t="s">
        <v>847</v>
      </c>
      <c r="B12" s="79" t="s">
        <v>848</v>
      </c>
      <c r="C12" s="112" t="s">
        <v>849</v>
      </c>
    </row>
    <row r="13" spans="1:3">
      <c r="A13" s="78" t="s">
        <v>850</v>
      </c>
      <c r="B13" s="79" t="s">
        <v>851</v>
      </c>
      <c r="C13" s="112" t="s">
        <v>852</v>
      </c>
    </row>
    <row r="14" spans="1:3">
      <c r="A14" s="78" t="s">
        <v>853</v>
      </c>
      <c r="B14" s="79" t="s">
        <v>854</v>
      </c>
      <c r="C14" s="112" t="s">
        <v>855</v>
      </c>
    </row>
    <row r="15" spans="1:3">
      <c r="A15" s="78" t="s">
        <v>856</v>
      </c>
      <c r="B15" s="79" t="s">
        <v>857</v>
      </c>
    </row>
    <row r="16" spans="1:3">
      <c r="A16" s="78" t="s">
        <v>858</v>
      </c>
      <c r="B16" s="79" t="s">
        <v>859</v>
      </c>
      <c r="C16" s="112" t="s">
        <v>860</v>
      </c>
    </row>
    <row r="18" spans="1:3" ht="15.5" thickBot="1">
      <c r="A18" s="268" t="s">
        <v>861</v>
      </c>
      <c r="B18" s="268"/>
      <c r="C18" s="268"/>
    </row>
    <row r="19" spans="1:3">
      <c r="A19" s="78" t="s">
        <v>862</v>
      </c>
      <c r="B19" s="79" t="s">
        <v>863</v>
      </c>
      <c r="C19" s="112" t="s">
        <v>864</v>
      </c>
    </row>
    <row r="20" spans="1:3">
      <c r="A20" s="78" t="s">
        <v>865</v>
      </c>
      <c r="B20" s="79" t="s">
        <v>866</v>
      </c>
      <c r="C20" s="112" t="s">
        <v>867</v>
      </c>
    </row>
    <row r="21" spans="1:3">
      <c r="A21" s="78" t="s">
        <v>868</v>
      </c>
      <c r="B21" s="79" t="s">
        <v>869</v>
      </c>
      <c r="C21" s="112" t="s">
        <v>870</v>
      </c>
    </row>
    <row r="22" spans="1:3">
      <c r="A22" s="78" t="s">
        <v>871</v>
      </c>
      <c r="B22" s="79" t="s">
        <v>872</v>
      </c>
      <c r="C22" s="112" t="s">
        <v>873</v>
      </c>
    </row>
    <row r="23" spans="1:3">
      <c r="A23" s="78" t="s">
        <v>874</v>
      </c>
      <c r="B23" s="79" t="s">
        <v>875</v>
      </c>
      <c r="C23" s="112" t="s">
        <v>876</v>
      </c>
    </row>
    <row r="24" spans="1:3">
      <c r="A24" s="78" t="s">
        <v>877</v>
      </c>
      <c r="B24" s="79" t="s">
        <v>878</v>
      </c>
    </row>
    <row r="26" spans="1:3" ht="15.5" thickBot="1">
      <c r="A26" s="268" t="s">
        <v>879</v>
      </c>
      <c r="B26" s="268"/>
      <c r="C26" s="268"/>
    </row>
    <row r="27" spans="1:3">
      <c r="A27" s="78" t="s">
        <v>880</v>
      </c>
      <c r="B27" s="79" t="s">
        <v>881</v>
      </c>
      <c r="C27" s="112" t="s">
        <v>882</v>
      </c>
    </row>
    <row r="28" spans="1:3">
      <c r="A28" s="78" t="s">
        <v>883</v>
      </c>
      <c r="B28" s="79" t="s">
        <v>884</v>
      </c>
      <c r="C28" s="112" t="s">
        <v>885</v>
      </c>
    </row>
    <row r="29" spans="1:3">
      <c r="A29" s="78" t="s">
        <v>886</v>
      </c>
      <c r="B29" s="79" t="s">
        <v>887</v>
      </c>
      <c r="C29" s="112" t="s">
        <v>888</v>
      </c>
    </row>
    <row r="30" spans="1:3">
      <c r="A30" s="78" t="s">
        <v>889</v>
      </c>
      <c r="B30" s="79" t="s">
        <v>890</v>
      </c>
      <c r="C30" s="112" t="s">
        <v>891</v>
      </c>
    </row>
    <row r="32" spans="1:3" ht="15.5" thickBot="1">
      <c r="A32" s="268" t="s">
        <v>892</v>
      </c>
      <c r="B32" s="268"/>
      <c r="C32" s="268"/>
    </row>
    <row r="33" spans="1:3">
      <c r="A33" s="78" t="s">
        <v>893</v>
      </c>
      <c r="B33" s="79" t="s">
        <v>894</v>
      </c>
      <c r="C33" s="112" t="s">
        <v>895</v>
      </c>
    </row>
    <row r="34" spans="1:3">
      <c r="A34" s="78" t="s">
        <v>896</v>
      </c>
      <c r="B34" s="79" t="s">
        <v>897</v>
      </c>
      <c r="C34" s="112" t="s">
        <v>898</v>
      </c>
    </row>
    <row r="35" spans="1:3">
      <c r="A35" s="78" t="s">
        <v>899</v>
      </c>
      <c r="B35" s="79" t="s">
        <v>900</v>
      </c>
      <c r="C35" s="112" t="s">
        <v>901</v>
      </c>
    </row>
    <row r="36" spans="1:3">
      <c r="A36" s="78" t="s">
        <v>902</v>
      </c>
      <c r="B36" s="79" t="s">
        <v>903</v>
      </c>
      <c r="C36" s="112" t="s">
        <v>904</v>
      </c>
    </row>
    <row r="37" spans="1:3">
      <c r="A37" s="78" t="s">
        <v>905</v>
      </c>
      <c r="B37" s="79" t="s">
        <v>45</v>
      </c>
      <c r="C37" s="112" t="s">
        <v>906</v>
      </c>
    </row>
    <row r="39" spans="1:3" ht="15.5" thickBot="1">
      <c r="A39" s="268" t="s">
        <v>907</v>
      </c>
      <c r="B39" s="268"/>
      <c r="C39" s="268"/>
    </row>
    <row r="40" spans="1:3">
      <c r="A40" s="78" t="s">
        <v>908</v>
      </c>
      <c r="B40" s="79" t="s">
        <v>909</v>
      </c>
    </row>
    <row r="41" spans="1:3">
      <c r="A41" s="78" t="s">
        <v>910</v>
      </c>
      <c r="B41" s="79" t="s">
        <v>911</v>
      </c>
      <c r="C41" s="112" t="s">
        <v>912</v>
      </c>
    </row>
    <row r="42" spans="1:3">
      <c r="A42" s="78" t="s">
        <v>913</v>
      </c>
      <c r="B42" s="79" t="s">
        <v>914</v>
      </c>
    </row>
    <row r="43" spans="1:3">
      <c r="A43" s="78" t="s">
        <v>915</v>
      </c>
      <c r="B43" s="79" t="s">
        <v>916</v>
      </c>
      <c r="C43" s="112" t="s">
        <v>917</v>
      </c>
    </row>
    <row r="45" spans="1:3" ht="15.5" thickBot="1">
      <c r="A45" s="268" t="s">
        <v>918</v>
      </c>
      <c r="B45" s="268"/>
      <c r="C45" s="268"/>
    </row>
    <row r="46" spans="1:3">
      <c r="A46" s="78" t="s">
        <v>919</v>
      </c>
      <c r="B46" s="79" t="s">
        <v>920</v>
      </c>
      <c r="C46" s="112" t="s">
        <v>921</v>
      </c>
    </row>
    <row r="47" spans="1:3">
      <c r="A47" s="78" t="s">
        <v>922</v>
      </c>
      <c r="B47" s="79" t="s">
        <v>923</v>
      </c>
      <c r="C47" s="112" t="s">
        <v>924</v>
      </c>
    </row>
    <row r="48" spans="1:3">
      <c r="A48" s="78" t="s">
        <v>925</v>
      </c>
      <c r="B48" s="79" t="s">
        <v>926</v>
      </c>
      <c r="C48" s="112" t="s">
        <v>927</v>
      </c>
    </row>
  </sheetData>
  <mergeCells count="7">
    <mergeCell ref="A45:C45"/>
    <mergeCell ref="A5:C5"/>
    <mergeCell ref="A10:C10"/>
    <mergeCell ref="A18:C18"/>
    <mergeCell ref="A26:C26"/>
    <mergeCell ref="A32:C32"/>
    <mergeCell ref="A39:C39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27</vt:i4>
      </vt:variant>
    </vt:vector>
  </HeadingPairs>
  <TitlesOfParts>
    <vt:vector size="43" baseType="lpstr">
      <vt:lpstr>Assumptions</vt:lpstr>
      <vt:lpstr>Rent Roll</vt:lpstr>
      <vt:lpstr>Rent Roll Calc</vt:lpstr>
      <vt:lpstr>IC Summary</vt:lpstr>
      <vt:lpstr>LOI</vt:lpstr>
      <vt:lpstr>Property Cash Flow</vt:lpstr>
      <vt:lpstr>CapEx Schedule</vt:lpstr>
      <vt:lpstr>Waterfall</vt:lpstr>
      <vt:lpstr>Leverage Options</vt:lpstr>
      <vt:lpstr>Exit Analysis</vt:lpstr>
      <vt:lpstr>Sales Comp Analysis</vt:lpstr>
      <vt:lpstr>Rental Comp Analysis</vt:lpstr>
      <vt:lpstr>Pure Reference---&gt;</vt:lpstr>
      <vt:lpstr>T-12 Operating Statement</vt:lpstr>
      <vt:lpstr>Vendor Contracts</vt:lpstr>
      <vt:lpstr>SouthPark Submarket</vt:lpstr>
      <vt:lpstr>AntennaGrowth</vt:lpstr>
      <vt:lpstr>BldgSF</vt:lpstr>
      <vt:lpstr>CatchupGP</vt:lpstr>
      <vt:lpstr>CloseDate</vt:lpstr>
      <vt:lpstr>DispCost</vt:lpstr>
      <vt:lpstr>ExitCap</vt:lpstr>
      <vt:lpstr>ExpGrowth</vt:lpstr>
      <vt:lpstr>GPShare</vt:lpstr>
      <vt:lpstr>GPTarget</vt:lpstr>
      <vt:lpstr>HoldMonths</vt:lpstr>
      <vt:lpstr>LeaseTable</vt:lpstr>
      <vt:lpstr>LPShare</vt:lpstr>
      <vt:lpstr>MgmtFeePct</vt:lpstr>
      <vt:lpstr>ParkGrowth</vt:lpstr>
      <vt:lpstr>PrefMo</vt:lpstr>
      <vt:lpstr>PurchasePrice</vt:lpstr>
      <vt:lpstr>ReimbPool</vt:lpstr>
      <vt:lpstr>RenewDiscount</vt:lpstr>
      <vt:lpstr>RenoBudget</vt:lpstr>
      <vt:lpstr>RenoDuration</vt:lpstr>
      <vt:lpstr>RentGrowth</vt:lpstr>
      <vt:lpstr>ReservesGrowth</vt:lpstr>
      <vt:lpstr>ReservesPSF</vt:lpstr>
      <vt:lpstr>ResidGP</vt:lpstr>
      <vt:lpstr>ResidLP</vt:lpstr>
      <vt:lpstr>SpecBuildout</vt:lpstr>
      <vt:lpstr>SpecTI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2026-06-05T18:41:35Z</dcterms:created>
  <dcterms:modified xsi:type="dcterms:W3CDTF">2026-06-10T19:11:01Z</dcterms:modified>
  <cp:category/>
</cp:coreProperties>
</file>