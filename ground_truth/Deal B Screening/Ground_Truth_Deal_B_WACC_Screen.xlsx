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8b4f19d2442a4b/Dokumente/Claude_Access/Fleet.ai/RE Finance Workflow/Fleet.ai/"/>
    </mc:Choice>
  </mc:AlternateContent>
  <xr:revisionPtr revIDLastSave="3" documentId="11_094ECD67974806BE68690C55540D06F87237C6F3" xr6:coauthVersionLast="47" xr6:coauthVersionMax="47" xr10:uidLastSave="{4C56983A-C45B-46CB-9D0B-9D9CF35E4DBB}"/>
  <bookViews>
    <workbookView xWindow="57480" yWindow="-120" windowWidth="29040" windowHeight="15720" xr2:uid="{00000000-000D-0000-FFFF-FFFF00000000}"/>
  </bookViews>
  <sheets>
    <sheet name="Deal B Quick Sc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E49" i="1" s="1"/>
  <c r="C44" i="1"/>
  <c r="C59" i="1" s="1"/>
  <c r="C29" i="1"/>
  <c r="C17" i="1"/>
  <c r="C23" i="1" s="1"/>
  <c r="C25" i="1" s="1"/>
  <c r="C31" i="1" s="1"/>
  <c r="C34" i="1" s="1"/>
  <c r="C15" i="1"/>
  <c r="F49" i="1" l="1"/>
  <c r="C45" i="1"/>
  <c r="C42" i="1"/>
  <c r="H56" i="1"/>
  <c r="G49" i="1" l="1"/>
  <c r="E50" i="1"/>
  <c r="E51" i="1" s="1"/>
  <c r="E59" i="1" s="1"/>
  <c r="D50" i="1"/>
  <c r="D51" i="1" s="1"/>
  <c r="D59" i="1" s="1"/>
  <c r="G50" i="1"/>
  <c r="F50" i="1"/>
  <c r="F51" i="1" s="1"/>
  <c r="F59" i="1" s="1"/>
  <c r="H50" i="1"/>
  <c r="H49" i="1" l="1"/>
  <c r="G51" i="1"/>
  <c r="G59" i="1" s="1"/>
  <c r="H53" i="1" l="1"/>
  <c r="H54" i="1" s="1"/>
  <c r="H51" i="1"/>
  <c r="H55" i="1" l="1"/>
  <c r="H57" i="1" s="1"/>
  <c r="H59" i="1" s="1"/>
  <c r="C62" i="1" l="1"/>
  <c r="C63" i="1"/>
</calcChain>
</file>

<file path=xl/sharedStrings.xml><?xml version="1.0" encoding="utf-8"?>
<sst xmlns="http://schemas.openxmlformats.org/spreadsheetml/2006/main" count="65" uniqueCount="63">
  <si>
    <t>HARBORVIEW CAPITAL PARTNERS</t>
  </si>
  <si>
    <t>Prepared: June 2026</t>
  </si>
  <si>
    <t>PROPERTY SUMMARY</t>
  </si>
  <si>
    <t>Property</t>
  </si>
  <si>
    <t>Ballantyne Office Centre</t>
  </si>
  <si>
    <t>Address</t>
  </si>
  <si>
    <t>11200 Elm Lane Drive, Charlotte, NC 28277</t>
  </si>
  <si>
    <t>Submarket</t>
  </si>
  <si>
    <t>Ballantyne</t>
  </si>
  <si>
    <t>Property Type</t>
  </si>
  <si>
    <t>Class A- Office</t>
  </si>
  <si>
    <t>Total SF</t>
  </si>
  <si>
    <t>Occupancy</t>
  </si>
  <si>
    <t>Year Built</t>
  </si>
  <si>
    <t>Last Renovated</t>
  </si>
  <si>
    <t>2022 (comprehensive renovation)</t>
  </si>
  <si>
    <t>Asking Price</t>
  </si>
  <si>
    <t>Price / SF</t>
  </si>
  <si>
    <t>Trailing NOI</t>
  </si>
  <si>
    <t>Going-In Cap Rate</t>
  </si>
  <si>
    <t>Broker</t>
  </si>
  <si>
    <t>Ashford Partners (Derek Lawson)</t>
  </si>
  <si>
    <t>Strategy</t>
  </si>
  <si>
    <t>Stabilized Core</t>
  </si>
  <si>
    <t>WACC-BASED QUICK SCREEN</t>
  </si>
  <si>
    <t>Projected Annual Rent Growth</t>
  </si>
  <si>
    <t>Unlevered IRR (Cap Rate + Growth)</t>
  </si>
  <si>
    <t>Assumed LTV</t>
  </si>
  <si>
    <t>Cost of Debt (All-In)</t>
  </si>
  <si>
    <t>Equity Weight</t>
  </si>
  <si>
    <t>Implied Cost of Equity (Re)</t>
  </si>
  <si>
    <t>Fund Minimum Levered IRR</t>
  </si>
  <si>
    <t>Shortfall to Hurdle</t>
  </si>
  <si>
    <t>5-YEAR CASH FLOW VALIDATION</t>
  </si>
  <si>
    <t>Acquisition Costs</t>
  </si>
  <si>
    <t>Disposition Costs</t>
  </si>
  <si>
    <t>Exit Cap Rate Spread</t>
  </si>
  <si>
    <t>Exit Cap Rate</t>
  </si>
  <si>
    <t>Hold Period (years)</t>
  </si>
  <si>
    <t>Loan Amount (60% LTV)</t>
  </si>
  <si>
    <t>Annual Debt Service (IO)</t>
  </si>
  <si>
    <t>Year 0</t>
  </si>
  <si>
    <t>Year 1</t>
  </si>
  <si>
    <t>Year 2</t>
  </si>
  <si>
    <t>Year 3</t>
  </si>
  <si>
    <t>Year 4</t>
  </si>
  <si>
    <t>Year 5</t>
  </si>
  <si>
    <t>Net Operating Income</t>
  </si>
  <si>
    <t>Less: Debt Service (IO)</t>
  </si>
  <si>
    <t>Levered Cash Flow</t>
  </si>
  <si>
    <t>Year 6 NOI (for Exit)</t>
  </si>
  <si>
    <t>Gross Exit Value</t>
  </si>
  <si>
    <t>Less: Disposition Costs</t>
  </si>
  <si>
    <t>Less: Loan Payoff</t>
  </si>
  <si>
    <t>Net Equity Proceeds at Exit</t>
  </si>
  <si>
    <t>Total Equity Cash Flow</t>
  </si>
  <si>
    <t>RETURN METRICS</t>
  </si>
  <si>
    <t>Levered IRR</t>
  </si>
  <si>
    <t>Equity Multiple</t>
  </si>
  <si>
    <t>Fund Minimum Equity Multiple</t>
  </si>
  <si>
    <t>RECOMMENDATION</t>
  </si>
  <si>
    <t>PASS — Does not meet fund return thresholds. The WACC quick screen implies a levered equity return of ~10.6%, already well below the fund's 15% minimum. The 5-year DCF confirms this: levered IRR of ~4.1% and ~1.20x equity multiple, both far short of the 15% IRR / 1.80x EM hurdles. At a 5.5% going-in cap rate approximately equal to the cost of debt, there is essentially zero positive leverage. With no value-add component (fully renovated in 2022), only 2% projected rental growth, and a 50bp exit cap widening, the economics do not work for the Fund. Recommend logging as screened/passed on the pipeline tracker.</t>
  </si>
  <si>
    <t>Quick Deal Screener — Ballantyne Office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</si>
</sst>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0&quot;x&quot;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i/>
      <sz val="9"/>
      <color rgb="FF666666"/>
      <name val="Calibri"/>
    </font>
    <font>
      <b/>
      <sz val="11"/>
      <color rgb="FF1F3864"/>
      <name val="Calibri"/>
    </font>
    <font>
      <sz val="10"/>
      <name val="Calibri"/>
    </font>
    <font>
      <b/>
      <sz val="10"/>
      <name val="Calibri"/>
    </font>
    <font>
      <b/>
      <sz val="10"/>
      <color rgb="FFCC000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0" borderId="1" xfId="0" applyFont="1" applyBorder="1"/>
    <xf numFmtId="3" fontId="5" fillId="0" borderId="1" xfId="0" applyNumberFormat="1" applyFont="1" applyBorder="1"/>
    <xf numFmtId="10" fontId="5" fillId="0" borderId="1" xfId="0" applyNumberFormat="1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0" fontId="6" fillId="0" borderId="1" xfId="0" applyNumberFormat="1" applyFont="1" applyBorder="1"/>
    <xf numFmtId="0" fontId="0" fillId="0" borderId="1" xfId="0" applyBorder="1"/>
    <xf numFmtId="10" fontId="7" fillId="0" borderId="1" xfId="0" applyNumberFormat="1" applyFont="1" applyBorder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5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/>
    <xf numFmtId="0" fontId="6" fillId="0" borderId="0" xfId="0" applyFont="1"/>
    <xf numFmtId="164" fontId="6" fillId="0" borderId="0" xfId="0" applyNumberFormat="1" applyFont="1"/>
    <xf numFmtId="166" fontId="7" fillId="0" borderId="1" xfId="0" applyNumberFormat="1" applyFont="1" applyBorder="1"/>
    <xf numFmtId="0" fontId="6" fillId="0" borderId="1" xfId="0" applyFont="1" applyBorder="1"/>
    <xf numFmtId="166" fontId="6" fillId="0" borderId="1" xfId="0" applyNumberFormat="1" applyFont="1" applyBorder="1"/>
    <xf numFmtId="0" fontId="1" fillId="2" borderId="0" xfId="0" applyFont="1" applyFill="1" applyAlignment="1">
      <alignment horizontal="left"/>
    </xf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3"/>
  <sheetViews>
    <sheetView showGridLines="0" tabSelected="1" topLeftCell="A39" workbookViewId="0">
      <selection activeCell="I63" sqref="I63"/>
    </sheetView>
  </sheetViews>
  <sheetFormatPr defaultRowHeight="14.75" x14ac:dyDescent="0.75"/>
  <cols>
    <col min="1" max="1" width="3" customWidth="1"/>
    <col min="2" max="2" width="36" customWidth="1"/>
    <col min="3" max="4" width="18" customWidth="1"/>
    <col min="5" max="9" width="16" customWidth="1"/>
  </cols>
  <sheetData>
    <row r="1" spans="2:8" ht="18.5" x14ac:dyDescent="0.9">
      <c r="B1" s="24" t="s">
        <v>0</v>
      </c>
      <c r="C1" s="25"/>
      <c r="D1" s="25"/>
      <c r="E1" s="25"/>
      <c r="F1" s="25"/>
      <c r="G1" s="25"/>
      <c r="H1" s="25"/>
    </row>
    <row r="2" spans="2:8" ht="16" x14ac:dyDescent="0.8">
      <c r="B2" s="28" t="s">
        <v>62</v>
      </c>
      <c r="C2" s="25"/>
      <c r="D2" s="25"/>
      <c r="E2" s="25"/>
      <c r="F2" s="25"/>
      <c r="G2" s="25"/>
      <c r="H2" s="25"/>
    </row>
    <row r="3" spans="2:8" x14ac:dyDescent="0.75">
      <c r="B3" s="1" t="s">
        <v>1</v>
      </c>
    </row>
    <row r="5" spans="2:8" x14ac:dyDescent="0.75">
      <c r="B5" s="26" t="s">
        <v>2</v>
      </c>
      <c r="C5" s="25"/>
    </row>
    <row r="6" spans="2:8" x14ac:dyDescent="0.75">
      <c r="B6" s="2" t="s">
        <v>3</v>
      </c>
      <c r="C6" s="2" t="s">
        <v>4</v>
      </c>
    </row>
    <row r="7" spans="2:8" x14ac:dyDescent="0.75">
      <c r="B7" s="2" t="s">
        <v>5</v>
      </c>
      <c r="C7" s="2" t="s">
        <v>6</v>
      </c>
    </row>
    <row r="8" spans="2:8" x14ac:dyDescent="0.75">
      <c r="B8" s="2" t="s">
        <v>7</v>
      </c>
      <c r="C8" s="2" t="s">
        <v>8</v>
      </c>
    </row>
    <row r="9" spans="2:8" x14ac:dyDescent="0.75">
      <c r="B9" s="2" t="s">
        <v>9</v>
      </c>
      <c r="C9" s="2" t="s">
        <v>10</v>
      </c>
    </row>
    <row r="10" spans="2:8" x14ac:dyDescent="0.75">
      <c r="B10" s="2" t="s">
        <v>11</v>
      </c>
      <c r="C10" s="3">
        <v>120000</v>
      </c>
    </row>
    <row r="11" spans="2:8" x14ac:dyDescent="0.75">
      <c r="B11" s="2" t="s">
        <v>12</v>
      </c>
      <c r="C11" s="4">
        <v>0.94</v>
      </c>
    </row>
    <row r="12" spans="2:8" x14ac:dyDescent="0.75">
      <c r="B12" s="2" t="s">
        <v>13</v>
      </c>
      <c r="C12" s="5">
        <v>2006</v>
      </c>
    </row>
    <row r="13" spans="2:8" x14ac:dyDescent="0.75">
      <c r="B13" s="2" t="s">
        <v>14</v>
      </c>
      <c r="C13" s="2" t="s">
        <v>15</v>
      </c>
    </row>
    <row r="14" spans="2:8" x14ac:dyDescent="0.75">
      <c r="B14" s="2" t="s">
        <v>16</v>
      </c>
      <c r="C14" s="6">
        <v>28000000</v>
      </c>
    </row>
    <row r="15" spans="2:8" x14ac:dyDescent="0.75">
      <c r="B15" s="2" t="s">
        <v>17</v>
      </c>
      <c r="C15" s="7">
        <f>C14/C10</f>
        <v>233.33333333333334</v>
      </c>
    </row>
    <row r="16" spans="2:8" x14ac:dyDescent="0.75">
      <c r="B16" s="2" t="s">
        <v>18</v>
      </c>
      <c r="C16" s="6">
        <v>1550000</v>
      </c>
    </row>
    <row r="17" spans="2:3" x14ac:dyDescent="0.75">
      <c r="B17" s="2" t="s">
        <v>19</v>
      </c>
      <c r="C17" s="4">
        <f>C16/C14</f>
        <v>5.5357142857142855E-2</v>
      </c>
    </row>
    <row r="18" spans="2:3" x14ac:dyDescent="0.75">
      <c r="B18" s="2" t="s">
        <v>20</v>
      </c>
      <c r="C18" s="2" t="s">
        <v>21</v>
      </c>
    </row>
    <row r="19" spans="2:3" x14ac:dyDescent="0.75">
      <c r="B19" s="2" t="s">
        <v>22</v>
      </c>
      <c r="C19" s="2" t="s">
        <v>23</v>
      </c>
    </row>
    <row r="22" spans="2:3" x14ac:dyDescent="0.75">
      <c r="B22" s="26" t="s">
        <v>24</v>
      </c>
      <c r="C22" s="25"/>
    </row>
    <row r="23" spans="2:3" x14ac:dyDescent="0.75">
      <c r="B23" s="2" t="s">
        <v>19</v>
      </c>
      <c r="C23" s="4">
        <f>C17</f>
        <v>5.5357142857142855E-2</v>
      </c>
    </row>
    <row r="24" spans="2:3" x14ac:dyDescent="0.75">
      <c r="B24" s="2" t="s">
        <v>25</v>
      </c>
      <c r="C24" s="4">
        <v>0.02</v>
      </c>
    </row>
    <row r="25" spans="2:3" x14ac:dyDescent="0.75">
      <c r="B25" s="2" t="s">
        <v>26</v>
      </c>
      <c r="C25" s="8">
        <f>C23+C24</f>
        <v>7.5357142857142859E-2</v>
      </c>
    </row>
    <row r="26" spans="2:3" x14ac:dyDescent="0.75">
      <c r="B26" s="2"/>
      <c r="C26" s="9"/>
    </row>
    <row r="27" spans="2:3" x14ac:dyDescent="0.75">
      <c r="B27" s="2" t="s">
        <v>27</v>
      </c>
      <c r="C27" s="4">
        <v>0.6</v>
      </c>
    </row>
    <row r="28" spans="2:3" x14ac:dyDescent="0.75">
      <c r="B28" s="2" t="s">
        <v>28</v>
      </c>
      <c r="C28" s="4">
        <v>5.5E-2</v>
      </c>
    </row>
    <row r="29" spans="2:3" x14ac:dyDescent="0.75">
      <c r="B29" s="2" t="s">
        <v>29</v>
      </c>
      <c r="C29" s="4">
        <f>1-C27</f>
        <v>0.4</v>
      </c>
    </row>
    <row r="30" spans="2:3" x14ac:dyDescent="0.75">
      <c r="B30" s="2"/>
      <c r="C30" s="9"/>
    </row>
    <row r="31" spans="2:3" x14ac:dyDescent="0.75">
      <c r="B31" s="2" t="s">
        <v>30</v>
      </c>
      <c r="C31" s="8">
        <f>(C25-C27*C28)/C29</f>
        <v>0.10589285714285714</v>
      </c>
    </row>
    <row r="32" spans="2:3" x14ac:dyDescent="0.75">
      <c r="B32" s="2"/>
      <c r="C32" s="9"/>
    </row>
    <row r="33" spans="2:8" x14ac:dyDescent="0.75">
      <c r="B33" s="2" t="s">
        <v>31</v>
      </c>
      <c r="C33" s="8">
        <v>0.15</v>
      </c>
    </row>
    <row r="34" spans="2:8" x14ac:dyDescent="0.75">
      <c r="B34" s="2" t="s">
        <v>32</v>
      </c>
      <c r="C34" s="10">
        <f>C31-C33</f>
        <v>-4.4107142857142859E-2</v>
      </c>
    </row>
    <row r="38" spans="2:8" x14ac:dyDescent="0.75">
      <c r="B38" s="26" t="s">
        <v>33</v>
      </c>
      <c r="C38" s="25"/>
      <c r="D38" s="25"/>
      <c r="E38" s="25"/>
      <c r="F38" s="25"/>
      <c r="G38" s="25"/>
      <c r="H38" s="25"/>
    </row>
    <row r="39" spans="2:8" x14ac:dyDescent="0.75">
      <c r="B39" s="2" t="s">
        <v>34</v>
      </c>
      <c r="C39" s="4">
        <v>0.03</v>
      </c>
    </row>
    <row r="40" spans="2:8" x14ac:dyDescent="0.75">
      <c r="B40" s="2" t="s">
        <v>35</v>
      </c>
      <c r="C40" s="4">
        <v>0.02</v>
      </c>
    </row>
    <row r="41" spans="2:8" x14ac:dyDescent="0.75">
      <c r="B41" s="2" t="s">
        <v>36</v>
      </c>
      <c r="C41" s="4">
        <v>5.0000000000000001E-3</v>
      </c>
    </row>
    <row r="42" spans="2:8" x14ac:dyDescent="0.75">
      <c r="B42" s="2" t="s">
        <v>37</v>
      </c>
      <c r="C42" s="4">
        <f>C17+C41</f>
        <v>6.0357142857142852E-2</v>
      </c>
    </row>
    <row r="43" spans="2:8" x14ac:dyDescent="0.75">
      <c r="B43" s="2" t="s">
        <v>38</v>
      </c>
      <c r="C43" s="5">
        <v>5</v>
      </c>
    </row>
    <row r="44" spans="2:8" x14ac:dyDescent="0.75">
      <c r="B44" s="2" t="s">
        <v>39</v>
      </c>
      <c r="C44" s="6">
        <f>C14*C27</f>
        <v>16800000</v>
      </c>
    </row>
    <row r="45" spans="2:8" x14ac:dyDescent="0.75">
      <c r="B45" s="2" t="s">
        <v>40</v>
      </c>
      <c r="C45" s="6">
        <f>C44*C28</f>
        <v>924000</v>
      </c>
    </row>
    <row r="48" spans="2:8" x14ac:dyDescent="0.75">
      <c r="B48" s="11"/>
      <c r="C48" s="12" t="s">
        <v>41</v>
      </c>
      <c r="D48" s="12" t="s">
        <v>42</v>
      </c>
      <c r="E48" s="12" t="s">
        <v>43</v>
      </c>
      <c r="F48" s="12" t="s">
        <v>44</v>
      </c>
      <c r="G48" s="12" t="s">
        <v>45</v>
      </c>
      <c r="H48" s="12" t="s">
        <v>46</v>
      </c>
    </row>
    <row r="49" spans="2:8" x14ac:dyDescent="0.75">
      <c r="B49" s="13" t="s">
        <v>47</v>
      </c>
      <c r="C49" s="14"/>
      <c r="D49" s="14">
        <f>C16</f>
        <v>1550000</v>
      </c>
      <c r="E49" s="14">
        <f>D49*(1+$C$24)</f>
        <v>1581000</v>
      </c>
      <c r="F49" s="14">
        <f>E49*(1+$C$24)</f>
        <v>1612620</v>
      </c>
      <c r="G49" s="14">
        <f>F49*(1+$C$24)</f>
        <v>1644872.4000000001</v>
      </c>
      <c r="H49" s="14">
        <f>G49*(1+$C$24)</f>
        <v>1677769.8480000002</v>
      </c>
    </row>
    <row r="50" spans="2:8" x14ac:dyDescent="0.75">
      <c r="B50" s="13" t="s">
        <v>48</v>
      </c>
      <c r="C50" s="14"/>
      <c r="D50" s="14">
        <f>-$C$45</f>
        <v>-924000</v>
      </c>
      <c r="E50" s="14">
        <f>-$C$45</f>
        <v>-924000</v>
      </c>
      <c r="F50" s="14">
        <f>-$C$45</f>
        <v>-924000</v>
      </c>
      <c r="G50" s="14">
        <f>-$C$45</f>
        <v>-924000</v>
      </c>
      <c r="H50" s="14">
        <f>-$C$45</f>
        <v>-924000</v>
      </c>
    </row>
    <row r="51" spans="2:8" x14ac:dyDescent="0.75">
      <c r="B51" s="15" t="s">
        <v>49</v>
      </c>
      <c r="C51" s="16"/>
      <c r="D51" s="16">
        <f>D49+D50</f>
        <v>626000</v>
      </c>
      <c r="E51" s="16">
        <f>E49+E50</f>
        <v>657000</v>
      </c>
      <c r="F51" s="16">
        <f>F49+F50</f>
        <v>688620</v>
      </c>
      <c r="G51" s="16">
        <f>G49+G50</f>
        <v>720872.40000000014</v>
      </c>
      <c r="H51" s="16">
        <f>H49+H50</f>
        <v>753769.84800000023</v>
      </c>
    </row>
    <row r="53" spans="2:8" x14ac:dyDescent="0.75">
      <c r="B53" s="13" t="s">
        <v>50</v>
      </c>
      <c r="H53" s="14">
        <f>H49*(1+$C$24)</f>
        <v>1711325.2449600003</v>
      </c>
    </row>
    <row r="54" spans="2:8" x14ac:dyDescent="0.75">
      <c r="B54" s="13" t="s">
        <v>51</v>
      </c>
      <c r="H54" s="14">
        <f>H53/$C$42</f>
        <v>28353317.667976338</v>
      </c>
    </row>
    <row r="55" spans="2:8" x14ac:dyDescent="0.75">
      <c r="B55" s="13" t="s">
        <v>52</v>
      </c>
      <c r="H55" s="14">
        <f>-H54*$C$40</f>
        <v>-567066.35335952684</v>
      </c>
    </row>
    <row r="56" spans="2:8" x14ac:dyDescent="0.75">
      <c r="B56" s="13" t="s">
        <v>53</v>
      </c>
      <c r="H56" s="14">
        <f>-$C$44</f>
        <v>-16800000</v>
      </c>
    </row>
    <row r="57" spans="2:8" x14ac:dyDescent="0.75">
      <c r="B57" s="17" t="s">
        <v>54</v>
      </c>
      <c r="H57" s="18">
        <f>H54+H55+H56</f>
        <v>10986251.314616811</v>
      </c>
    </row>
    <row r="59" spans="2:8" x14ac:dyDescent="0.75">
      <c r="B59" s="19" t="s">
        <v>55</v>
      </c>
      <c r="C59" s="20">
        <f>-(C14*(1+C39)-C44)</f>
        <v>-12040000</v>
      </c>
      <c r="D59" s="14">
        <f>D51</f>
        <v>626000</v>
      </c>
      <c r="E59" s="14">
        <f>E51</f>
        <v>657000</v>
      </c>
      <c r="F59" s="14">
        <f>F51</f>
        <v>688620</v>
      </c>
      <c r="G59" s="14">
        <f>G51</f>
        <v>720872.40000000014</v>
      </c>
      <c r="H59" s="20">
        <f>H51+H57</f>
        <v>11740021.162616812</v>
      </c>
    </row>
    <row r="61" spans="2:8" x14ac:dyDescent="0.75">
      <c r="B61" s="26" t="s">
        <v>56</v>
      </c>
      <c r="C61" s="25"/>
    </row>
    <row r="62" spans="2:8" x14ac:dyDescent="0.75">
      <c r="B62" s="2" t="s">
        <v>57</v>
      </c>
      <c r="C62" s="10">
        <f>IRR(C59:H59)</f>
        <v>4.0904882539487764E-2</v>
      </c>
    </row>
    <row r="63" spans="2:8" x14ac:dyDescent="0.75">
      <c r="B63" s="2" t="s">
        <v>58</v>
      </c>
      <c r="C63" s="21">
        <f>(SUM(D59:H59))/(-C59)</f>
        <v>1.198713751047908</v>
      </c>
    </row>
    <row r="64" spans="2:8" x14ac:dyDescent="0.75">
      <c r="B64" s="2"/>
      <c r="C64" s="2"/>
    </row>
    <row r="65" spans="2:8" x14ac:dyDescent="0.75">
      <c r="B65" s="22" t="s">
        <v>31</v>
      </c>
      <c r="C65" s="8">
        <v>0.15</v>
      </c>
    </row>
    <row r="66" spans="2:8" x14ac:dyDescent="0.75">
      <c r="B66" s="22" t="s">
        <v>59</v>
      </c>
      <c r="C66" s="23">
        <v>1.8</v>
      </c>
    </row>
    <row r="69" spans="2:8" x14ac:dyDescent="0.75">
      <c r="B69" s="26" t="s">
        <v>60</v>
      </c>
      <c r="C69" s="25"/>
      <c r="D69" s="25"/>
      <c r="E69" s="25"/>
      <c r="F69" s="25"/>
      <c r="G69" s="25"/>
      <c r="H69" s="25"/>
    </row>
    <row r="70" spans="2:8" x14ac:dyDescent="0.75">
      <c r="B70" s="27" t="s">
        <v>61</v>
      </c>
      <c r="C70" s="25"/>
      <c r="D70" s="25"/>
      <c r="E70" s="25"/>
      <c r="F70" s="25"/>
      <c r="G70" s="25"/>
      <c r="H70" s="25"/>
    </row>
    <row r="71" spans="2:8" x14ac:dyDescent="0.75">
      <c r="B71" s="25"/>
      <c r="C71" s="25"/>
      <c r="D71" s="25"/>
      <c r="E71" s="25"/>
      <c r="F71" s="25"/>
      <c r="G71" s="25"/>
      <c r="H71" s="25"/>
    </row>
    <row r="72" spans="2:8" x14ac:dyDescent="0.75">
      <c r="B72" s="25"/>
      <c r="C72" s="25"/>
      <c r="D72" s="25"/>
      <c r="E72" s="25"/>
      <c r="F72" s="25"/>
      <c r="G72" s="25"/>
      <c r="H72" s="25"/>
    </row>
    <row r="73" spans="2:8" x14ac:dyDescent="0.75">
      <c r="B73" s="25"/>
      <c r="C73" s="25"/>
      <c r="D73" s="25"/>
      <c r="E73" s="25"/>
      <c r="F73" s="25"/>
      <c r="G73" s="25"/>
      <c r="H73" s="25"/>
    </row>
  </sheetData>
  <mergeCells count="8">
    <mergeCell ref="B1:H1"/>
    <mergeCell ref="B5:C5"/>
    <mergeCell ref="B70:H73"/>
    <mergeCell ref="B69:H69"/>
    <mergeCell ref="B61:C61"/>
    <mergeCell ref="B22:C22"/>
    <mergeCell ref="B2:H2"/>
    <mergeCell ref="B38:H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B Quick 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Marati</cp:lastModifiedBy>
  <dcterms:created xsi:type="dcterms:W3CDTF">2026-06-10T01:35:08Z</dcterms:created>
  <dcterms:modified xsi:type="dcterms:W3CDTF">2026-06-10T01:59:59Z</dcterms:modified>
</cp:coreProperties>
</file>