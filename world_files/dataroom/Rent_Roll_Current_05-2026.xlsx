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" documentId="11_7E22DF6107C3CCD55222346622C784E808240824" xr6:coauthVersionLast="47" xr6:coauthVersionMax="47" xr10:uidLastSave="{C75C2457-9A4A-4946-BC65-3F4ED648C7C1}"/>
  <bookViews>
    <workbookView xWindow="-90" yWindow="-90" windowWidth="19380" windowHeight="11460" xr2:uid="{00000000-000D-0000-FFFF-FFFF00000000}"/>
  </bookViews>
  <sheets>
    <sheet name="Rent 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5" i="1" s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2" i="1" s="1"/>
  <c r="G2" i="1"/>
</calcChain>
</file>

<file path=xl/sharedStrings.xml><?xml version="1.0" encoding="utf-8"?>
<sst xmlns="http://schemas.openxmlformats.org/spreadsheetml/2006/main" count="177" uniqueCount="138">
  <si>
    <t>#</t>
  </si>
  <si>
    <t>Tenant</t>
  </si>
  <si>
    <t>Suite</t>
  </si>
  <si>
    <t>Floor</t>
  </si>
  <si>
    <t>SF</t>
  </si>
  <si>
    <t>Rent $/SF</t>
  </si>
  <si>
    <t>Annual Rent</t>
  </si>
  <si>
    <t>Esc %</t>
  </si>
  <si>
    <t>Esc Anniversary</t>
  </si>
  <si>
    <t>Lease Start</t>
  </si>
  <si>
    <t>Lease Expiry</t>
  </si>
  <si>
    <t>Renewal Option</t>
  </si>
  <si>
    <t>Sec Deposit (mo)</t>
  </si>
  <si>
    <t>Guarantor</t>
  </si>
  <si>
    <t>Meridian Financial Group</t>
  </si>
  <si>
    <t>600-820</t>
  </si>
  <si>
    <t>6-8</t>
  </si>
  <si>
    <t>Nov</t>
  </si>
  <si>
    <t>11/1/2016</t>
  </si>
  <si>
    <t>None</t>
  </si>
  <si>
    <t>Meridian Financial Holdings LLC</t>
  </si>
  <si>
    <t>Southeast Regional Health</t>
  </si>
  <si>
    <t>200</t>
  </si>
  <si>
    <t>2</t>
  </si>
  <si>
    <t>Apr</t>
  </si>
  <si>
    <t>4/1/2019</t>
  </si>
  <si>
    <t>3/31/2029</t>
  </si>
  <si>
    <t>1x5yr</t>
  </si>
  <si>
    <t>Southeast Regional Health System Inc.</t>
  </si>
  <si>
    <t>Carter &amp; Associates Law</t>
  </si>
  <si>
    <t>310</t>
  </si>
  <si>
    <t>3</t>
  </si>
  <si>
    <t>Oct</t>
  </si>
  <si>
    <t>10/1/2022</t>
  </si>
  <si>
    <t>9/30/2027</t>
  </si>
  <si>
    <t>Carter &amp; Associates PLLC</t>
  </si>
  <si>
    <t>Pinnacle Wealth Advisors</t>
  </si>
  <si>
    <t>320</t>
  </si>
  <si>
    <t>Jan</t>
  </si>
  <si>
    <t>1/1/2024</t>
  </si>
  <si>
    <t>12/31/2028</t>
  </si>
  <si>
    <t>1x3yr</t>
  </si>
  <si>
    <t>Pinnacle Wealth Advisors Inc. + personal guarantee</t>
  </si>
  <si>
    <t>TechBridge Solutions</t>
  </si>
  <si>
    <t>410</t>
  </si>
  <si>
    <t>4</t>
  </si>
  <si>
    <t>Jul</t>
  </si>
  <si>
    <t>7/1/2025</t>
  </si>
  <si>
    <t>6/30/2030</t>
  </si>
  <si>
    <t>TechBridge Solutions Inc.</t>
  </si>
  <si>
    <t>Brightpath Insurance</t>
  </si>
  <si>
    <t>330</t>
  </si>
  <si>
    <t>Mar</t>
  </si>
  <si>
    <t>3/1/2019</t>
  </si>
  <si>
    <t>2/28/2029</t>
  </si>
  <si>
    <t>Brightpath Insurance Agency LLC</t>
  </si>
  <si>
    <t>Caldwell Consulting Group</t>
  </si>
  <si>
    <t>420</t>
  </si>
  <si>
    <t>Sep</t>
  </si>
  <si>
    <t>9/1/2021</t>
  </si>
  <si>
    <t>8/31/2031</t>
  </si>
  <si>
    <t>Caldwell Consulting Group LLC</t>
  </si>
  <si>
    <t>Queen City Accounting</t>
  </si>
  <si>
    <t>210</t>
  </si>
  <si>
    <t>Feb</t>
  </si>
  <si>
    <t>2/1/2023</t>
  </si>
  <si>
    <t>1/31/2028</t>
  </si>
  <si>
    <t>Queen City Accounting PA + personal guarantee</t>
  </si>
  <si>
    <t>Monarch Marketing Group</t>
  </si>
  <si>
    <t>340</t>
  </si>
  <si>
    <t>May</t>
  </si>
  <si>
    <t>5/1/2019</t>
  </si>
  <si>
    <t>4/30/2029</t>
  </si>
  <si>
    <t>Monarch Marketing Group LLC</t>
  </si>
  <si>
    <t>Davidson &amp; Reed Architects</t>
  </si>
  <si>
    <t>430</t>
  </si>
  <si>
    <t>Dec</t>
  </si>
  <si>
    <t>12/1/2018</t>
  </si>
  <si>
    <t>11/30/2028</t>
  </si>
  <si>
    <t>Davidson &amp; Reed Architects PA</t>
  </si>
  <si>
    <t>Greenway Environmental</t>
  </si>
  <si>
    <t>220</t>
  </si>
  <si>
    <t>Aug</t>
  </si>
  <si>
    <t>8/1/2019</t>
  </si>
  <si>
    <t>7/31/2029</t>
  </si>
  <si>
    <t>Greenway Environmental Services Inc.</t>
  </si>
  <si>
    <t>Trellis HR Solutions</t>
  </si>
  <si>
    <t>510</t>
  </si>
  <si>
    <t>5</t>
  </si>
  <si>
    <t>Jun</t>
  </si>
  <si>
    <t>6/1/2023</t>
  </si>
  <si>
    <t>5/31/2030</t>
  </si>
  <si>
    <t>Trellis HR Solutions LLC</t>
  </si>
  <si>
    <t>Summit Digital Media</t>
  </si>
  <si>
    <t>350</t>
  </si>
  <si>
    <t>11/1/2023</t>
  </si>
  <si>
    <t>10/31/2028</t>
  </si>
  <si>
    <t>Summit Digital Media LLC</t>
  </si>
  <si>
    <t>Lakeview Financial Planning</t>
  </si>
  <si>
    <t>230</t>
  </si>
  <si>
    <t>8/1/2022</t>
  </si>
  <si>
    <t>7/31/2027</t>
  </si>
  <si>
    <t>Lakeview Financial Planning LLC + personal guarantee</t>
  </si>
  <si>
    <t>Cornerstone Title Services</t>
  </si>
  <si>
    <t>440</t>
  </si>
  <si>
    <t>1/1/2020</t>
  </si>
  <si>
    <t>12/31/2029</t>
  </si>
  <si>
    <t>Cornerstone Title Services Inc.</t>
  </si>
  <si>
    <t>Appalachian Wealth Mgmt</t>
  </si>
  <si>
    <t>520</t>
  </si>
  <si>
    <t>4/1/2020</t>
  </si>
  <si>
    <t>3/31/2031</t>
  </si>
  <si>
    <t>Appalachian Wealth Management LLC</t>
  </si>
  <si>
    <t>Blue Ridge Legal Services</t>
  </si>
  <si>
    <t>530</t>
  </si>
  <si>
    <t>9/1/2018</t>
  </si>
  <si>
    <t>8/31/2028</t>
  </si>
  <si>
    <t>Blue Ridge Legal Services PLLC</t>
  </si>
  <si>
    <t>Magnolia Event Planning</t>
  </si>
  <si>
    <t>240</t>
  </si>
  <si>
    <t>12/1/2024</t>
  </si>
  <si>
    <t>11/30/2029</t>
  </si>
  <si>
    <t>Magnolia Event Planning LLC</t>
  </si>
  <si>
    <t>Horizon Physical Therapy</t>
  </si>
  <si>
    <t>110</t>
  </si>
  <si>
    <t>1</t>
  </si>
  <si>
    <t>3/1/2023</t>
  </si>
  <si>
    <t>2/28/2028</t>
  </si>
  <si>
    <t>Horizon Physical Therapy LLC + personal guarantee</t>
  </si>
  <si>
    <t>SouthPark Dental Associates</t>
  </si>
  <si>
    <t>120</t>
  </si>
  <si>
    <t>4/1/2021</t>
  </si>
  <si>
    <t>3/31/2026</t>
  </si>
  <si>
    <t>SouthPark Dental Associates PA</t>
  </si>
  <si>
    <t>TOTAL</t>
  </si>
  <si>
    <t>Building SF:</t>
  </si>
  <si>
    <t>Occupancy:</t>
  </si>
  <si>
    <t>10/31/2026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</si>
</sst>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3" sqref="K3"/>
    </sheetView>
  </sheetViews>
  <sheetFormatPr defaultRowHeight="14.75" x14ac:dyDescent="0.75"/>
  <cols>
    <col min="1" max="1" width="4" customWidth="1"/>
    <col min="2" max="2" width="26" customWidth="1"/>
    <col min="3" max="3" width="10" customWidth="1"/>
    <col min="4" max="4" width="6" customWidth="1"/>
    <col min="6" max="6" width="10" customWidth="1"/>
    <col min="7" max="7" width="13" customWidth="1"/>
    <col min="8" max="8" width="8" customWidth="1"/>
    <col min="9" max="9" width="12" customWidth="1"/>
    <col min="10" max="11" width="11" customWidth="1"/>
    <col min="12" max="13" width="10" customWidth="1"/>
    <col min="14" max="14" width="30" customWidth="1"/>
  </cols>
  <sheetData>
    <row r="1" spans="1:14" ht="26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75">
      <c r="A2" s="2">
        <v>1</v>
      </c>
      <c r="B2" s="2" t="s">
        <v>14</v>
      </c>
      <c r="C2" s="2" t="s">
        <v>15</v>
      </c>
      <c r="D2" s="2" t="s">
        <v>16</v>
      </c>
      <c r="E2" s="3">
        <v>76000</v>
      </c>
      <c r="F2" s="4">
        <v>19.5</v>
      </c>
      <c r="G2" s="5">
        <f t="shared" ref="G2:G21" si="0">E2*F2</f>
        <v>1482000</v>
      </c>
      <c r="H2" s="6">
        <v>2.5000000000000001E-2</v>
      </c>
      <c r="I2" s="2" t="s">
        <v>17</v>
      </c>
      <c r="J2" s="2" t="s">
        <v>18</v>
      </c>
      <c r="K2" s="2" t="s">
        <v>137</v>
      </c>
      <c r="L2" s="2" t="s">
        <v>19</v>
      </c>
      <c r="M2" s="3">
        <v>3</v>
      </c>
      <c r="N2" s="2" t="s">
        <v>20</v>
      </c>
    </row>
    <row r="3" spans="1:14" x14ac:dyDescent="0.75">
      <c r="A3" s="2">
        <v>2</v>
      </c>
      <c r="B3" s="2" t="s">
        <v>21</v>
      </c>
      <c r="C3" s="2" t="s">
        <v>22</v>
      </c>
      <c r="D3" s="2" t="s">
        <v>23</v>
      </c>
      <c r="E3" s="3">
        <v>24000</v>
      </c>
      <c r="F3" s="4">
        <v>21.5</v>
      </c>
      <c r="G3" s="5">
        <f t="shared" si="0"/>
        <v>516000</v>
      </c>
      <c r="H3" s="6">
        <v>0.03</v>
      </c>
      <c r="I3" s="2" t="s">
        <v>24</v>
      </c>
      <c r="J3" s="2" t="s">
        <v>25</v>
      </c>
      <c r="K3" s="2" t="s">
        <v>26</v>
      </c>
      <c r="L3" s="2" t="s">
        <v>27</v>
      </c>
      <c r="M3" s="3">
        <v>6</v>
      </c>
      <c r="N3" s="2" t="s">
        <v>28</v>
      </c>
    </row>
    <row r="4" spans="1:14" x14ac:dyDescent="0.75">
      <c r="A4" s="2">
        <v>3</v>
      </c>
      <c r="B4" s="2" t="s">
        <v>29</v>
      </c>
      <c r="C4" s="2" t="s">
        <v>30</v>
      </c>
      <c r="D4" s="2" t="s">
        <v>31</v>
      </c>
      <c r="E4" s="3">
        <v>12000</v>
      </c>
      <c r="F4" s="4">
        <v>22</v>
      </c>
      <c r="G4" s="5">
        <f t="shared" si="0"/>
        <v>264000</v>
      </c>
      <c r="H4" s="6">
        <v>2.5000000000000001E-2</v>
      </c>
      <c r="I4" s="2" t="s">
        <v>32</v>
      </c>
      <c r="J4" s="2" t="s">
        <v>33</v>
      </c>
      <c r="K4" s="2" t="s">
        <v>34</v>
      </c>
      <c r="L4" s="2" t="s">
        <v>19</v>
      </c>
      <c r="M4" s="3">
        <v>2</v>
      </c>
      <c r="N4" s="2" t="s">
        <v>35</v>
      </c>
    </row>
    <row r="5" spans="1:14" x14ac:dyDescent="0.75">
      <c r="A5" s="2">
        <v>4</v>
      </c>
      <c r="B5" s="2" t="s">
        <v>36</v>
      </c>
      <c r="C5" s="2" t="s">
        <v>37</v>
      </c>
      <c r="D5" s="2" t="s">
        <v>31</v>
      </c>
      <c r="E5" s="3">
        <v>11000</v>
      </c>
      <c r="F5" s="4">
        <v>20.25</v>
      </c>
      <c r="G5" s="5">
        <f t="shared" si="0"/>
        <v>222750</v>
      </c>
      <c r="H5" s="6">
        <v>0.02</v>
      </c>
      <c r="I5" s="2" t="s">
        <v>38</v>
      </c>
      <c r="J5" s="2" t="s">
        <v>39</v>
      </c>
      <c r="K5" s="2" t="s">
        <v>40</v>
      </c>
      <c r="L5" s="2" t="s">
        <v>41</v>
      </c>
      <c r="M5" s="3">
        <v>2</v>
      </c>
      <c r="N5" s="2" t="s">
        <v>42</v>
      </c>
    </row>
    <row r="6" spans="1:14" x14ac:dyDescent="0.75">
      <c r="A6" s="2">
        <v>5</v>
      </c>
      <c r="B6" s="2" t="s">
        <v>43</v>
      </c>
      <c r="C6" s="2" t="s">
        <v>44</v>
      </c>
      <c r="D6" s="2" t="s">
        <v>45</v>
      </c>
      <c r="E6" s="3">
        <v>10500</v>
      </c>
      <c r="F6" s="4">
        <v>21.75</v>
      </c>
      <c r="G6" s="5">
        <f t="shared" si="0"/>
        <v>228375</v>
      </c>
      <c r="H6" s="6">
        <v>0.03</v>
      </c>
      <c r="I6" s="2" t="s">
        <v>46</v>
      </c>
      <c r="J6" s="2" t="s">
        <v>47</v>
      </c>
      <c r="K6" s="2" t="s">
        <v>48</v>
      </c>
      <c r="L6" s="2" t="s">
        <v>19</v>
      </c>
      <c r="M6" s="3">
        <v>3</v>
      </c>
      <c r="N6" s="2" t="s">
        <v>49</v>
      </c>
    </row>
    <row r="7" spans="1:14" x14ac:dyDescent="0.75">
      <c r="A7" s="2">
        <v>6</v>
      </c>
      <c r="B7" s="2" t="s">
        <v>50</v>
      </c>
      <c r="C7" s="2" t="s">
        <v>51</v>
      </c>
      <c r="D7" s="2" t="s">
        <v>31</v>
      </c>
      <c r="E7" s="3">
        <v>7900</v>
      </c>
      <c r="F7" s="4">
        <v>21.25</v>
      </c>
      <c r="G7" s="5">
        <f t="shared" si="0"/>
        <v>167875</v>
      </c>
      <c r="H7" s="6">
        <v>2.5000000000000001E-2</v>
      </c>
      <c r="I7" s="2" t="s">
        <v>52</v>
      </c>
      <c r="J7" s="2" t="s">
        <v>53</v>
      </c>
      <c r="K7" s="2" t="s">
        <v>54</v>
      </c>
      <c r="L7" s="2" t="s">
        <v>27</v>
      </c>
      <c r="M7" s="3">
        <v>2</v>
      </c>
      <c r="N7" s="2" t="s">
        <v>55</v>
      </c>
    </row>
    <row r="8" spans="1:14" x14ac:dyDescent="0.75">
      <c r="A8" s="2">
        <v>7</v>
      </c>
      <c r="B8" s="2" t="s">
        <v>56</v>
      </c>
      <c r="C8" s="2" t="s">
        <v>57</v>
      </c>
      <c r="D8" s="2" t="s">
        <v>45</v>
      </c>
      <c r="E8" s="3">
        <v>9500</v>
      </c>
      <c r="F8" s="4">
        <v>20.5</v>
      </c>
      <c r="G8" s="5">
        <f t="shared" si="0"/>
        <v>194750</v>
      </c>
      <c r="H8" s="6">
        <v>0.02</v>
      </c>
      <c r="I8" s="2" t="s">
        <v>58</v>
      </c>
      <c r="J8" s="2" t="s">
        <v>59</v>
      </c>
      <c r="K8" s="2" t="s">
        <v>60</v>
      </c>
      <c r="L8" s="2" t="s">
        <v>27</v>
      </c>
      <c r="M8" s="3">
        <v>3</v>
      </c>
      <c r="N8" s="2" t="s">
        <v>61</v>
      </c>
    </row>
    <row r="9" spans="1:14" x14ac:dyDescent="0.75">
      <c r="A9" s="2">
        <v>8</v>
      </c>
      <c r="B9" s="2" t="s">
        <v>62</v>
      </c>
      <c r="C9" s="2" t="s">
        <v>63</v>
      </c>
      <c r="D9" s="2" t="s">
        <v>23</v>
      </c>
      <c r="E9" s="3">
        <v>8500</v>
      </c>
      <c r="F9" s="4">
        <v>19.75</v>
      </c>
      <c r="G9" s="5">
        <f t="shared" si="0"/>
        <v>167875</v>
      </c>
      <c r="H9" s="6">
        <v>2.5000000000000001E-2</v>
      </c>
      <c r="I9" s="2" t="s">
        <v>64</v>
      </c>
      <c r="J9" s="2" t="s">
        <v>65</v>
      </c>
      <c r="K9" s="2" t="s">
        <v>66</v>
      </c>
      <c r="L9" s="2" t="s">
        <v>19</v>
      </c>
      <c r="M9" s="3">
        <v>2</v>
      </c>
      <c r="N9" s="2" t="s">
        <v>67</v>
      </c>
    </row>
    <row r="10" spans="1:14" x14ac:dyDescent="0.75">
      <c r="A10" s="2">
        <v>9</v>
      </c>
      <c r="B10" s="2" t="s">
        <v>68</v>
      </c>
      <c r="C10" s="2" t="s">
        <v>69</v>
      </c>
      <c r="D10" s="2" t="s">
        <v>31</v>
      </c>
      <c r="E10" s="3">
        <v>7800</v>
      </c>
      <c r="F10" s="4">
        <v>21</v>
      </c>
      <c r="G10" s="5">
        <f t="shared" si="0"/>
        <v>163800</v>
      </c>
      <c r="H10" s="6">
        <v>2.5000000000000001E-2</v>
      </c>
      <c r="I10" s="2" t="s">
        <v>70</v>
      </c>
      <c r="J10" s="2" t="s">
        <v>71</v>
      </c>
      <c r="K10" s="2" t="s">
        <v>72</v>
      </c>
      <c r="L10" s="2" t="s">
        <v>41</v>
      </c>
      <c r="M10" s="3">
        <v>2</v>
      </c>
      <c r="N10" s="2" t="s">
        <v>73</v>
      </c>
    </row>
    <row r="11" spans="1:14" x14ac:dyDescent="0.75">
      <c r="A11" s="2">
        <v>10</v>
      </c>
      <c r="B11" s="2" t="s">
        <v>74</v>
      </c>
      <c r="C11" s="2" t="s">
        <v>75</v>
      </c>
      <c r="D11" s="2" t="s">
        <v>45</v>
      </c>
      <c r="E11" s="3">
        <v>7200</v>
      </c>
      <c r="F11" s="4">
        <v>20.75</v>
      </c>
      <c r="G11" s="5">
        <f t="shared" si="0"/>
        <v>149400</v>
      </c>
      <c r="H11" s="6">
        <v>0.02</v>
      </c>
      <c r="I11" s="2" t="s">
        <v>76</v>
      </c>
      <c r="J11" s="2" t="s">
        <v>77</v>
      </c>
      <c r="K11" s="2" t="s">
        <v>78</v>
      </c>
      <c r="L11" s="2" t="s">
        <v>19</v>
      </c>
      <c r="M11" s="3">
        <v>2</v>
      </c>
      <c r="N11" s="2" t="s">
        <v>79</v>
      </c>
    </row>
    <row r="12" spans="1:14" x14ac:dyDescent="0.75">
      <c r="A12" s="2">
        <v>11</v>
      </c>
      <c r="B12" s="2" t="s">
        <v>80</v>
      </c>
      <c r="C12" s="2" t="s">
        <v>81</v>
      </c>
      <c r="D12" s="2" t="s">
        <v>23</v>
      </c>
      <c r="E12" s="3">
        <v>6800</v>
      </c>
      <c r="F12" s="4">
        <v>19.5</v>
      </c>
      <c r="G12" s="5">
        <f t="shared" si="0"/>
        <v>132600</v>
      </c>
      <c r="H12" s="6">
        <v>2.5000000000000001E-2</v>
      </c>
      <c r="I12" s="2" t="s">
        <v>82</v>
      </c>
      <c r="J12" s="2" t="s">
        <v>83</v>
      </c>
      <c r="K12" s="2" t="s">
        <v>84</v>
      </c>
      <c r="L12" s="2" t="s">
        <v>19</v>
      </c>
      <c r="M12" s="3">
        <v>3</v>
      </c>
      <c r="N12" s="2" t="s">
        <v>85</v>
      </c>
    </row>
    <row r="13" spans="1:14" x14ac:dyDescent="0.75">
      <c r="A13" s="2">
        <v>12</v>
      </c>
      <c r="B13" s="2" t="s">
        <v>86</v>
      </c>
      <c r="C13" s="2" t="s">
        <v>87</v>
      </c>
      <c r="D13" s="2" t="s">
        <v>88</v>
      </c>
      <c r="E13" s="3">
        <v>6200</v>
      </c>
      <c r="F13" s="4">
        <v>22.25</v>
      </c>
      <c r="G13" s="5">
        <f t="shared" si="0"/>
        <v>137950</v>
      </c>
      <c r="H13" s="6">
        <v>2.5000000000000001E-2</v>
      </c>
      <c r="I13" s="2" t="s">
        <v>89</v>
      </c>
      <c r="J13" s="2" t="s">
        <v>90</v>
      </c>
      <c r="K13" s="2" t="s">
        <v>91</v>
      </c>
      <c r="L13" s="2" t="s">
        <v>41</v>
      </c>
      <c r="M13" s="3">
        <v>2</v>
      </c>
      <c r="N13" s="2" t="s">
        <v>92</v>
      </c>
    </row>
    <row r="14" spans="1:14" x14ac:dyDescent="0.75">
      <c r="A14" s="2">
        <v>13</v>
      </c>
      <c r="B14" s="2" t="s">
        <v>93</v>
      </c>
      <c r="C14" s="2" t="s">
        <v>94</v>
      </c>
      <c r="D14" s="2" t="s">
        <v>31</v>
      </c>
      <c r="E14" s="3">
        <v>5400</v>
      </c>
      <c r="F14" s="4">
        <v>21.5</v>
      </c>
      <c r="G14" s="5">
        <f t="shared" si="0"/>
        <v>116100</v>
      </c>
      <c r="H14" s="6">
        <v>0.03</v>
      </c>
      <c r="I14" s="2" t="s">
        <v>17</v>
      </c>
      <c r="J14" s="2" t="s">
        <v>95</v>
      </c>
      <c r="K14" s="2" t="s">
        <v>96</v>
      </c>
      <c r="L14" s="2" t="s">
        <v>19</v>
      </c>
      <c r="M14" s="3">
        <v>2</v>
      </c>
      <c r="N14" s="2" t="s">
        <v>97</v>
      </c>
    </row>
    <row r="15" spans="1:14" x14ac:dyDescent="0.75">
      <c r="A15" s="2">
        <v>14</v>
      </c>
      <c r="B15" s="2" t="s">
        <v>98</v>
      </c>
      <c r="C15" s="2" t="s">
        <v>99</v>
      </c>
      <c r="D15" s="2" t="s">
        <v>23</v>
      </c>
      <c r="E15" s="3">
        <v>4800</v>
      </c>
      <c r="F15" s="4">
        <v>19.5</v>
      </c>
      <c r="G15" s="5">
        <f t="shared" si="0"/>
        <v>93600</v>
      </c>
      <c r="H15" s="6">
        <v>0.02</v>
      </c>
      <c r="I15" s="2" t="s">
        <v>82</v>
      </c>
      <c r="J15" s="2" t="s">
        <v>100</v>
      </c>
      <c r="K15" s="2" t="s">
        <v>101</v>
      </c>
      <c r="L15" s="2" t="s">
        <v>19</v>
      </c>
      <c r="M15" s="3">
        <v>2</v>
      </c>
      <c r="N15" s="2" t="s">
        <v>102</v>
      </c>
    </row>
    <row r="16" spans="1:14" x14ac:dyDescent="0.75">
      <c r="A16" s="2">
        <v>15</v>
      </c>
      <c r="B16" s="2" t="s">
        <v>103</v>
      </c>
      <c r="C16" s="2" t="s">
        <v>104</v>
      </c>
      <c r="D16" s="2" t="s">
        <v>45</v>
      </c>
      <c r="E16" s="3">
        <v>5000</v>
      </c>
      <c r="F16" s="4">
        <v>20.5</v>
      </c>
      <c r="G16" s="5">
        <f t="shared" si="0"/>
        <v>102500</v>
      </c>
      <c r="H16" s="6">
        <v>2.5000000000000001E-2</v>
      </c>
      <c r="I16" s="2" t="s">
        <v>38</v>
      </c>
      <c r="J16" s="2" t="s">
        <v>105</v>
      </c>
      <c r="K16" s="2" t="s">
        <v>106</v>
      </c>
      <c r="L16" s="2" t="s">
        <v>27</v>
      </c>
      <c r="M16" s="3">
        <v>3</v>
      </c>
      <c r="N16" s="2" t="s">
        <v>107</v>
      </c>
    </row>
    <row r="17" spans="1:14" x14ac:dyDescent="0.75">
      <c r="A17" s="2">
        <v>16</v>
      </c>
      <c r="B17" s="2" t="s">
        <v>108</v>
      </c>
      <c r="C17" s="2" t="s">
        <v>109</v>
      </c>
      <c r="D17" s="2" t="s">
        <v>88</v>
      </c>
      <c r="E17" s="3">
        <v>4200</v>
      </c>
      <c r="F17" s="4">
        <v>21</v>
      </c>
      <c r="G17" s="5">
        <f t="shared" si="0"/>
        <v>88200</v>
      </c>
      <c r="H17" s="6">
        <v>0.02</v>
      </c>
      <c r="I17" s="2" t="s">
        <v>24</v>
      </c>
      <c r="J17" s="2" t="s">
        <v>110</v>
      </c>
      <c r="K17" s="2" t="s">
        <v>111</v>
      </c>
      <c r="L17" s="2" t="s">
        <v>41</v>
      </c>
      <c r="M17" s="3">
        <v>2</v>
      </c>
      <c r="N17" s="2" t="s">
        <v>112</v>
      </c>
    </row>
    <row r="18" spans="1:14" x14ac:dyDescent="0.75">
      <c r="A18" s="2">
        <v>17</v>
      </c>
      <c r="B18" s="2" t="s">
        <v>113</v>
      </c>
      <c r="C18" s="2" t="s">
        <v>114</v>
      </c>
      <c r="D18" s="2" t="s">
        <v>88</v>
      </c>
      <c r="E18" s="3">
        <v>3800</v>
      </c>
      <c r="F18" s="4">
        <v>20</v>
      </c>
      <c r="G18" s="5">
        <f t="shared" si="0"/>
        <v>76000</v>
      </c>
      <c r="H18" s="6">
        <v>2.5000000000000001E-2</v>
      </c>
      <c r="I18" s="2" t="s">
        <v>58</v>
      </c>
      <c r="J18" s="2" t="s">
        <v>115</v>
      </c>
      <c r="K18" s="2" t="s">
        <v>116</v>
      </c>
      <c r="L18" s="2" t="s">
        <v>19</v>
      </c>
      <c r="M18" s="3">
        <v>1</v>
      </c>
      <c r="N18" s="2" t="s">
        <v>117</v>
      </c>
    </row>
    <row r="19" spans="1:14" x14ac:dyDescent="0.75">
      <c r="A19" s="2">
        <v>18</v>
      </c>
      <c r="B19" s="2" t="s">
        <v>118</v>
      </c>
      <c r="C19" s="2" t="s">
        <v>119</v>
      </c>
      <c r="D19" s="2" t="s">
        <v>23</v>
      </c>
      <c r="E19" s="3">
        <v>3500</v>
      </c>
      <c r="F19" s="4">
        <v>21.25</v>
      </c>
      <c r="G19" s="5">
        <f t="shared" si="0"/>
        <v>74375</v>
      </c>
      <c r="H19" s="6">
        <v>0.03</v>
      </c>
      <c r="I19" s="2" t="s">
        <v>76</v>
      </c>
      <c r="J19" s="2" t="s">
        <v>120</v>
      </c>
      <c r="K19" s="2" t="s">
        <v>121</v>
      </c>
      <c r="L19" s="2" t="s">
        <v>19</v>
      </c>
      <c r="M19" s="3">
        <v>2</v>
      </c>
      <c r="N19" s="2" t="s">
        <v>122</v>
      </c>
    </row>
    <row r="20" spans="1:14" x14ac:dyDescent="0.75">
      <c r="A20" s="2">
        <v>19</v>
      </c>
      <c r="B20" s="2" t="s">
        <v>123</v>
      </c>
      <c r="C20" s="2" t="s">
        <v>124</v>
      </c>
      <c r="D20" s="2" t="s">
        <v>125</v>
      </c>
      <c r="E20" s="3">
        <v>2500</v>
      </c>
      <c r="F20" s="4">
        <v>18.5</v>
      </c>
      <c r="G20" s="5">
        <f t="shared" si="0"/>
        <v>46250</v>
      </c>
      <c r="H20" s="6">
        <v>0.02</v>
      </c>
      <c r="I20" s="2" t="s">
        <v>52</v>
      </c>
      <c r="J20" s="2" t="s">
        <v>126</v>
      </c>
      <c r="K20" s="2" t="s">
        <v>127</v>
      </c>
      <c r="L20" s="2" t="s">
        <v>19</v>
      </c>
      <c r="M20" s="3">
        <v>2</v>
      </c>
      <c r="N20" s="2" t="s">
        <v>128</v>
      </c>
    </row>
    <row r="21" spans="1:14" x14ac:dyDescent="0.75">
      <c r="A21" s="2">
        <v>20</v>
      </c>
      <c r="B21" s="2" t="s">
        <v>129</v>
      </c>
      <c r="C21" s="2" t="s">
        <v>130</v>
      </c>
      <c r="D21" s="2" t="s">
        <v>125</v>
      </c>
      <c r="E21" s="3">
        <v>1800</v>
      </c>
      <c r="F21" s="4">
        <v>18</v>
      </c>
      <c r="G21" s="5">
        <f t="shared" si="0"/>
        <v>32400</v>
      </c>
      <c r="H21" s="6">
        <v>0.02</v>
      </c>
      <c r="I21" s="2" t="s">
        <v>24</v>
      </c>
      <c r="J21" s="2" t="s">
        <v>131</v>
      </c>
      <c r="K21" s="2" t="s">
        <v>132</v>
      </c>
      <c r="L21" s="2" t="s">
        <v>19</v>
      </c>
      <c r="M21" s="3">
        <v>2</v>
      </c>
      <c r="N21" s="2" t="s">
        <v>133</v>
      </c>
    </row>
    <row r="22" spans="1:14" x14ac:dyDescent="0.75">
      <c r="B22" s="7" t="s">
        <v>134</v>
      </c>
      <c r="E22" s="3">
        <f>SUM(E2:E21)</f>
        <v>218400</v>
      </c>
      <c r="G22" s="5">
        <f>SUM(G2:G21)</f>
        <v>4456800</v>
      </c>
    </row>
    <row r="24" spans="1:14" x14ac:dyDescent="0.75">
      <c r="B24" s="7" t="s">
        <v>135</v>
      </c>
      <c r="E24" s="3">
        <v>280000</v>
      </c>
    </row>
    <row r="25" spans="1:14" x14ac:dyDescent="0.75">
      <c r="B25" s="7" t="s">
        <v>136</v>
      </c>
      <c r="E25" s="6">
        <f>E22/E24</f>
        <v>0.78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2026-06-08T22:23:38Z</dcterms:created>
  <dcterms:modified xsi:type="dcterms:W3CDTF">2026-06-09T17:35:33Z</dcterms:modified>
  <cp:category/>
</cp:coreProperties>
</file>