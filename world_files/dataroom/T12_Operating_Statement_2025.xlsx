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-12 Operating Statement" state="visible" r:id="rId4"/>
  </sheets>
  <calcPr calcId="171027"/>
</workbook>
</file>

<file path=xl/sharedStrings.xml><?xml version="1.0" encoding="utf-8"?>
<sst xmlns="http://schemas.openxmlformats.org/spreadsheetml/2006/main" count="37" uniqueCount="37">
  <si>
    <t>Line Item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</si>
  <si>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</si>
  <si>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</si>
  <si>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</si>
  <si>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</si>
  <si>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</si>
  <si>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</si>
  <si>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</si>
  <si>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</si>
  <si>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</si>
  <si>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</si>
  <si>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</si>
  <si>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</si>
  <si>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TOTAL</t>
  </si>
  <si>
    <t>REVENUE</t>
  </si>
  <si>
    <t>Base Rental Revenue</t>
  </si>
  <si>
    <t>Expense Reimbursements</t>
  </si>
  <si>
    <t>Parking Income</t>
  </si>
  <si>
    <t>Antenna / Telecom Income</t>
  </si>
  <si>
    <t>Storage Income</t>
  </si>
  <si>
    <t>Other Income - Lease Termination Fee</t>
  </si>
  <si>
    <t>TOTAL REVENUE</t>
  </si>
  <si>
    <t>OPERATING EXPENSES</t>
  </si>
  <si>
    <t>Real Estate Taxes</t>
  </si>
  <si>
    <t>Insurance</t>
  </si>
  <si>
    <t>Utilities</t>
  </si>
  <si>
    <t>Repairs &amp; Maintenance</t>
  </si>
  <si>
    <t>Janitorial / Cleaning</t>
  </si>
  <si>
    <t>Landscaping &amp; Grounds</t>
  </si>
  <si>
    <t>Security</t>
  </si>
  <si>
    <t>Elevator Maintenance</t>
  </si>
  <si>
    <t>HVAC Maintenance</t>
  </si>
  <si>
    <t>General &amp; Administrative</t>
  </si>
  <si>
    <t>Marketing &amp; Leasing</t>
  </si>
  <si>
    <t>Management Fee (3.5% EGI)</t>
  </si>
  <si>
    <t>TOTAL OPERATING EXPENSES</t>
  </si>
  <si>
    <t>NET OPERATING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</si>
</sst>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5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b/>
      <color rgb="FF002060"/>
      <sz val="11"/>
      <name val="Calibri"/>
    </font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164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14" width="11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" x14ac:dyDescent="0.25">
      <c r="A2" s="2" t="s">
        <v>14</v>
      </c>
    </row>
    <row r="3" spans="1:14" x14ac:dyDescent="0.25">
      <c r="A3" s="3" t="s">
        <v>15</v>
      </c>
      <c r="B3" s="4">
        <v>371400</v>
      </c>
      <c r="C3" s="4">
        <v>371400</v>
      </c>
      <c r="D3" s="4">
        <v>371400</v>
      </c>
      <c r="E3" s="4">
        <v>371400</v>
      </c>
      <c r="F3" s="4">
        <v>371400</v>
      </c>
      <c r="G3" s="4">
        <v>371400</v>
      </c>
      <c r="H3" s="4">
        <v>371400</v>
      </c>
      <c r="I3" s="4">
        <v>371400</v>
      </c>
      <c r="J3" s="4">
        <v>371400</v>
      </c>
      <c r="K3" s="4">
        <v>371400</v>
      </c>
      <c r="L3" s="4">
        <v>368700</v>
      </c>
      <c r="M3" s="4">
        <v>368700</v>
      </c>
      <c r="N3" s="4">
        <f>SUM(B3:M3)</f>
      </c>
    </row>
    <row r="4" spans="1:14" x14ac:dyDescent="0.25">
      <c r="A4" s="3" t="s">
        <v>16</v>
      </c>
      <c r="B4" s="4">
        <v>190554</v>
      </c>
      <c r="C4" s="4">
        <v>190554</v>
      </c>
      <c r="D4" s="4">
        <v>190554</v>
      </c>
      <c r="E4" s="4">
        <v>190554</v>
      </c>
      <c r="F4" s="4">
        <v>190554</v>
      </c>
      <c r="G4" s="4">
        <v>190554</v>
      </c>
      <c r="H4" s="4">
        <v>190554</v>
      </c>
      <c r="I4" s="4">
        <v>190554</v>
      </c>
      <c r="J4" s="4">
        <v>190554</v>
      </c>
      <c r="K4" s="4">
        <v>190554</v>
      </c>
      <c r="L4" s="4">
        <v>188984</v>
      </c>
      <c r="M4" s="4">
        <v>188984</v>
      </c>
      <c r="N4" s="4">
        <f>SUM(B4:M4)</f>
      </c>
    </row>
    <row r="5" spans="1:14" x14ac:dyDescent="0.25">
      <c r="A5" s="3" t="s">
        <v>17</v>
      </c>
      <c r="B5" s="4">
        <v>19167</v>
      </c>
      <c r="C5" s="4">
        <v>19167</v>
      </c>
      <c r="D5" s="4">
        <v>19167</v>
      </c>
      <c r="E5" s="4">
        <v>19167</v>
      </c>
      <c r="F5" s="4">
        <v>19167</v>
      </c>
      <c r="G5" s="4">
        <v>19167</v>
      </c>
      <c r="H5" s="4">
        <v>19167</v>
      </c>
      <c r="I5" s="4">
        <v>19167</v>
      </c>
      <c r="J5" s="4">
        <v>19167</v>
      </c>
      <c r="K5" s="4">
        <v>19167</v>
      </c>
      <c r="L5" s="4">
        <v>19167</v>
      </c>
      <c r="M5" s="4">
        <v>19167</v>
      </c>
      <c r="N5" s="4">
        <f>SUM(B5:M5)</f>
      </c>
    </row>
    <row r="6" spans="1:14" x14ac:dyDescent="0.25">
      <c r="A6" s="3" t="s">
        <v>18</v>
      </c>
      <c r="B6" s="4">
        <v>5167</v>
      </c>
      <c r="C6" s="4">
        <v>5167</v>
      </c>
      <c r="D6" s="4">
        <v>5167</v>
      </c>
      <c r="E6" s="4">
        <v>5167</v>
      </c>
      <c r="F6" s="4">
        <v>5167</v>
      </c>
      <c r="G6" s="4">
        <v>5167</v>
      </c>
      <c r="H6" s="4">
        <v>5167</v>
      </c>
      <c r="I6" s="4">
        <v>5167</v>
      </c>
      <c r="J6" s="4">
        <v>2667</v>
      </c>
      <c r="K6" s="4">
        <v>2667</v>
      </c>
      <c r="L6" s="4">
        <v>2667</v>
      </c>
      <c r="M6" s="4">
        <v>2667</v>
      </c>
      <c r="N6" s="4">
        <f>SUM(B6:M6)</f>
      </c>
    </row>
    <row r="7" spans="1:14" x14ac:dyDescent="0.25">
      <c r="A7" s="3" t="s">
        <v>19</v>
      </c>
      <c r="B7" s="4">
        <v>1667</v>
      </c>
      <c r="C7" s="4">
        <v>1667</v>
      </c>
      <c r="D7" s="4">
        <v>1667</v>
      </c>
      <c r="E7" s="4">
        <v>1667</v>
      </c>
      <c r="F7" s="4">
        <v>1667</v>
      </c>
      <c r="G7" s="4">
        <v>1667</v>
      </c>
      <c r="H7" s="4">
        <v>1667</v>
      </c>
      <c r="I7" s="4">
        <v>1667</v>
      </c>
      <c r="J7" s="4">
        <v>1667</v>
      </c>
      <c r="K7" s="4">
        <v>1667</v>
      </c>
      <c r="L7" s="4">
        <v>1667</v>
      </c>
      <c r="M7" s="4">
        <v>1667</v>
      </c>
      <c r="N7" s="4">
        <f>SUM(B7:M7)</f>
      </c>
    </row>
    <row r="8" spans="1:14" x14ac:dyDescent="0.25">
      <c r="A8" s="3" t="s">
        <v>20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42000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f>SUM(B8:M8)</f>
      </c>
    </row>
    <row r="10" spans="1:14" x14ac:dyDescent="0.25">
      <c r="A10" s="5" t="s">
        <v>21</v>
      </c>
      <c r="B10" s="4">
        <f>SUM(B3:B8)</f>
      </c>
      <c r="C10" s="4">
        <f>SUM(C3:C8)</f>
      </c>
      <c r="D10" s="4">
        <f>SUM(D3:D8)</f>
      </c>
      <c r="E10" s="4">
        <f>SUM(E3:E8)</f>
      </c>
      <c r="F10" s="4">
        <f>SUM(F3:F8)</f>
      </c>
      <c r="G10" s="4">
        <f>SUM(G3:G8)</f>
      </c>
      <c r="H10" s="4">
        <f>SUM(H3:H8)</f>
      </c>
      <c r="I10" s="4">
        <f>SUM(I3:I8)</f>
      </c>
      <c r="J10" s="4">
        <f>SUM(J3:J8)</f>
      </c>
      <c r="K10" s="4">
        <f>SUM(K3:K8)</f>
      </c>
      <c r="L10" s="4">
        <f>SUM(L3:L8)</f>
      </c>
      <c r="M10" s="4">
        <f>SUM(M3:M8)</f>
      </c>
      <c r="N10" s="6">
        <f>SUM(B10:M10)</f>
      </c>
    </row>
    <row r="12" spans="1:1" x14ac:dyDescent="0.25">
      <c r="A12" s="2" t="s">
        <v>22</v>
      </c>
    </row>
    <row r="13" spans="1:14" x14ac:dyDescent="0.25">
      <c r="A13" s="3" t="s">
        <v>23</v>
      </c>
      <c r="B13" s="4">
        <v>61833</v>
      </c>
      <c r="C13" s="4">
        <v>61833</v>
      </c>
      <c r="D13" s="4">
        <v>61833</v>
      </c>
      <c r="E13" s="4">
        <v>61833</v>
      </c>
      <c r="F13" s="4">
        <v>61833</v>
      </c>
      <c r="G13" s="4">
        <v>61833</v>
      </c>
      <c r="H13" s="4">
        <v>61833</v>
      </c>
      <c r="I13" s="4">
        <v>61833</v>
      </c>
      <c r="J13" s="4">
        <v>61833</v>
      </c>
      <c r="K13" s="4">
        <v>61833</v>
      </c>
      <c r="L13" s="4">
        <v>61833</v>
      </c>
      <c r="M13" s="4">
        <v>61833</v>
      </c>
      <c r="N13" s="4">
        <f>SUM(B13:M13)</f>
      </c>
    </row>
    <row r="14" spans="1:14" x14ac:dyDescent="0.25">
      <c r="A14" s="3" t="s">
        <v>24</v>
      </c>
      <c r="B14" s="4">
        <v>17500</v>
      </c>
      <c r="C14" s="4">
        <v>17500</v>
      </c>
      <c r="D14" s="4">
        <v>17500</v>
      </c>
      <c r="E14" s="4">
        <v>17500</v>
      </c>
      <c r="F14" s="4">
        <v>17500</v>
      </c>
      <c r="G14" s="4">
        <v>17500</v>
      </c>
      <c r="H14" s="4">
        <v>17500</v>
      </c>
      <c r="I14" s="4">
        <v>17500</v>
      </c>
      <c r="J14" s="4">
        <v>17500</v>
      </c>
      <c r="K14" s="4">
        <v>17500</v>
      </c>
      <c r="L14" s="4">
        <v>17500</v>
      </c>
      <c r="M14" s="4">
        <v>17500</v>
      </c>
      <c r="N14" s="4">
        <f>SUM(B14:M14)</f>
      </c>
    </row>
    <row r="15" spans="1:14" x14ac:dyDescent="0.25">
      <c r="A15" s="3" t="s">
        <v>25</v>
      </c>
      <c r="B15" s="4">
        <v>58333</v>
      </c>
      <c r="C15" s="4">
        <v>58333</v>
      </c>
      <c r="D15" s="4">
        <v>58333</v>
      </c>
      <c r="E15" s="4">
        <v>58333</v>
      </c>
      <c r="F15" s="4">
        <v>58333</v>
      </c>
      <c r="G15" s="4">
        <v>58333</v>
      </c>
      <c r="H15" s="4">
        <v>58333</v>
      </c>
      <c r="I15" s="4">
        <v>58333</v>
      </c>
      <c r="J15" s="4">
        <v>58333</v>
      </c>
      <c r="K15" s="4">
        <v>58333</v>
      </c>
      <c r="L15" s="4">
        <v>58333</v>
      </c>
      <c r="M15" s="4">
        <v>58333</v>
      </c>
      <c r="N15" s="4">
        <f>SUM(B15:M15)</f>
      </c>
    </row>
    <row r="16" spans="1:14" x14ac:dyDescent="0.25">
      <c r="A16" s="3" t="s">
        <v>26</v>
      </c>
      <c r="B16" s="4">
        <v>40833</v>
      </c>
      <c r="C16" s="4">
        <v>40833</v>
      </c>
      <c r="D16" s="4">
        <v>40833</v>
      </c>
      <c r="E16" s="4">
        <v>40833</v>
      </c>
      <c r="F16" s="4">
        <v>40833</v>
      </c>
      <c r="G16" s="4">
        <v>40833</v>
      </c>
      <c r="H16" s="4">
        <v>40833</v>
      </c>
      <c r="I16" s="4">
        <v>40833</v>
      </c>
      <c r="J16" s="4">
        <v>40833</v>
      </c>
      <c r="K16" s="4">
        <v>40833</v>
      </c>
      <c r="L16" s="4">
        <v>40833</v>
      </c>
      <c r="M16" s="4">
        <v>40833</v>
      </c>
      <c r="N16" s="4">
        <f>SUM(B16:M16)</f>
      </c>
    </row>
    <row r="17" spans="1:14" x14ac:dyDescent="0.25">
      <c r="A17" s="3" t="s">
        <v>27</v>
      </c>
      <c r="B17" s="4">
        <v>31500</v>
      </c>
      <c r="C17" s="4">
        <v>31500</v>
      </c>
      <c r="D17" s="4">
        <v>31500</v>
      </c>
      <c r="E17" s="4">
        <v>31500</v>
      </c>
      <c r="F17" s="4">
        <v>31500</v>
      </c>
      <c r="G17" s="4">
        <v>31500</v>
      </c>
      <c r="H17" s="4">
        <v>31500</v>
      </c>
      <c r="I17" s="4">
        <v>31500</v>
      </c>
      <c r="J17" s="4">
        <v>31500</v>
      </c>
      <c r="K17" s="4">
        <v>31500</v>
      </c>
      <c r="L17" s="4">
        <v>31500</v>
      </c>
      <c r="M17" s="4">
        <v>31500</v>
      </c>
      <c r="N17" s="4">
        <f>SUM(B17:M17)</f>
      </c>
    </row>
    <row r="18" spans="1:14" x14ac:dyDescent="0.25">
      <c r="A18" s="3" t="s">
        <v>28</v>
      </c>
      <c r="B18" s="4">
        <v>7000</v>
      </c>
      <c r="C18" s="4">
        <v>7000</v>
      </c>
      <c r="D18" s="4">
        <v>7000</v>
      </c>
      <c r="E18" s="4">
        <v>7000</v>
      </c>
      <c r="F18" s="4">
        <v>7000</v>
      </c>
      <c r="G18" s="4">
        <v>7000</v>
      </c>
      <c r="H18" s="4">
        <v>7000</v>
      </c>
      <c r="I18" s="4">
        <v>7000</v>
      </c>
      <c r="J18" s="4">
        <v>7000</v>
      </c>
      <c r="K18" s="4">
        <v>7000</v>
      </c>
      <c r="L18" s="4">
        <v>7000</v>
      </c>
      <c r="M18" s="4">
        <v>7000</v>
      </c>
      <c r="N18" s="4">
        <f>SUM(B18:M18)</f>
      </c>
    </row>
    <row r="19" spans="1:14" x14ac:dyDescent="0.25">
      <c r="A19" s="3" t="s">
        <v>29</v>
      </c>
      <c r="B19" s="4">
        <v>9333</v>
      </c>
      <c r="C19" s="4">
        <v>9333</v>
      </c>
      <c r="D19" s="4">
        <v>9333</v>
      </c>
      <c r="E19" s="4">
        <v>9333</v>
      </c>
      <c r="F19" s="4">
        <v>9333</v>
      </c>
      <c r="G19" s="4">
        <v>9333</v>
      </c>
      <c r="H19" s="4">
        <v>9333</v>
      </c>
      <c r="I19" s="4">
        <v>9333</v>
      </c>
      <c r="J19" s="4">
        <v>9333</v>
      </c>
      <c r="K19" s="4">
        <v>9333</v>
      </c>
      <c r="L19" s="4">
        <v>9333</v>
      </c>
      <c r="M19" s="4">
        <v>9333</v>
      </c>
      <c r="N19" s="4">
        <f>SUM(B19:M19)</f>
      </c>
    </row>
    <row r="20" spans="1:14" x14ac:dyDescent="0.25">
      <c r="A20" s="3" t="s">
        <v>30</v>
      </c>
      <c r="B20" s="4">
        <v>4200</v>
      </c>
      <c r="C20" s="4">
        <v>4200</v>
      </c>
      <c r="D20" s="4">
        <v>4200</v>
      </c>
      <c r="E20" s="4">
        <v>4200</v>
      </c>
      <c r="F20" s="4">
        <v>4200</v>
      </c>
      <c r="G20" s="4">
        <v>4200</v>
      </c>
      <c r="H20" s="4">
        <v>4200</v>
      </c>
      <c r="I20" s="4">
        <v>4200</v>
      </c>
      <c r="J20" s="4">
        <v>4200</v>
      </c>
      <c r="K20" s="4">
        <v>4200</v>
      </c>
      <c r="L20" s="4">
        <v>4200</v>
      </c>
      <c r="M20" s="4">
        <v>4200</v>
      </c>
      <c r="N20" s="4">
        <f>SUM(B20:M20)</f>
      </c>
    </row>
    <row r="21" spans="1:14" x14ac:dyDescent="0.25">
      <c r="A21" s="3" t="s">
        <v>31</v>
      </c>
      <c r="B21" s="4">
        <v>8167</v>
      </c>
      <c r="C21" s="4">
        <v>8167</v>
      </c>
      <c r="D21" s="4">
        <v>8167</v>
      </c>
      <c r="E21" s="4">
        <v>8167</v>
      </c>
      <c r="F21" s="4">
        <v>8167</v>
      </c>
      <c r="G21" s="4">
        <v>8167</v>
      </c>
      <c r="H21" s="4">
        <v>8167</v>
      </c>
      <c r="I21" s="4">
        <v>8167</v>
      </c>
      <c r="J21" s="4">
        <v>8167</v>
      </c>
      <c r="K21" s="4">
        <v>8167</v>
      </c>
      <c r="L21" s="4">
        <v>8167</v>
      </c>
      <c r="M21" s="4">
        <v>8167</v>
      </c>
      <c r="N21" s="4">
        <f>SUM(B21:M21)</f>
      </c>
    </row>
    <row r="22" spans="1:14" x14ac:dyDescent="0.25">
      <c r="A22" s="3" t="s">
        <v>32</v>
      </c>
      <c r="B22" s="4">
        <v>5600</v>
      </c>
      <c r="C22" s="4">
        <v>5600</v>
      </c>
      <c r="D22" s="4">
        <v>5600</v>
      </c>
      <c r="E22" s="4">
        <v>5600</v>
      </c>
      <c r="F22" s="4">
        <v>5600</v>
      </c>
      <c r="G22" s="4">
        <v>5600</v>
      </c>
      <c r="H22" s="4">
        <v>5600</v>
      </c>
      <c r="I22" s="4">
        <v>5600</v>
      </c>
      <c r="J22" s="4">
        <v>5600</v>
      </c>
      <c r="K22" s="4">
        <v>5600</v>
      </c>
      <c r="L22" s="4">
        <v>5600</v>
      </c>
      <c r="M22" s="4">
        <v>5600</v>
      </c>
      <c r="N22" s="4">
        <f>SUM(B22:M22)</f>
      </c>
    </row>
    <row r="23" spans="1:14" x14ac:dyDescent="0.25">
      <c r="A23" s="3" t="s">
        <v>33</v>
      </c>
      <c r="B23" s="4">
        <v>3267</v>
      </c>
      <c r="C23" s="4">
        <v>3267</v>
      </c>
      <c r="D23" s="4">
        <v>3267</v>
      </c>
      <c r="E23" s="4">
        <v>3267</v>
      </c>
      <c r="F23" s="4">
        <v>3267</v>
      </c>
      <c r="G23" s="4">
        <v>3267</v>
      </c>
      <c r="H23" s="4">
        <v>3267</v>
      </c>
      <c r="I23" s="4">
        <v>3267</v>
      </c>
      <c r="J23" s="4">
        <v>3267</v>
      </c>
      <c r="K23" s="4">
        <v>3267</v>
      </c>
      <c r="L23" s="4">
        <v>3267</v>
      </c>
      <c r="M23" s="4">
        <v>3267</v>
      </c>
      <c r="N23" s="4">
        <f>SUM(B23:M23)</f>
      </c>
    </row>
    <row r="24" spans="1:14" x14ac:dyDescent="0.25">
      <c r="A24" s="3" t="s">
        <v>34</v>
      </c>
      <c r="B24" s="4">
        <f>B10*0.035</f>
      </c>
      <c r="C24" s="4">
        <f>C10*0.035</f>
      </c>
      <c r="D24" s="4">
        <f>D10*0.035</f>
      </c>
      <c r="E24" s="4">
        <f>E10*0.035</f>
      </c>
      <c r="F24" s="4">
        <f>F10*0.035</f>
      </c>
      <c r="G24" s="4">
        <f>G10*0.035</f>
      </c>
      <c r="H24" s="4">
        <f>H10*0.035</f>
      </c>
      <c r="I24" s="4">
        <f>I10*0.035</f>
      </c>
      <c r="J24" s="4">
        <f>J10*0.035</f>
      </c>
      <c r="K24" s="4">
        <f>K10*0.035</f>
      </c>
      <c r="L24" s="4">
        <f>L10*0.035</f>
      </c>
      <c r="M24" s="4">
        <f>M10*0.035</f>
      </c>
      <c r="N24" s="4">
        <f>SUM(B24:M24)</f>
      </c>
    </row>
    <row r="26" spans="1:14" x14ac:dyDescent="0.25">
      <c r="A26" s="5" t="s">
        <v>35</v>
      </c>
      <c r="B26" s="4">
        <f>SUM(B13:B24)</f>
      </c>
      <c r="C26" s="4">
        <f>SUM(C13:C24)</f>
      </c>
      <c r="D26" s="4">
        <f>SUM(D13:D24)</f>
      </c>
      <c r="E26" s="4">
        <f>SUM(E13:E24)</f>
      </c>
      <c r="F26" s="4">
        <f>SUM(F13:F24)</f>
      </c>
      <c r="G26" s="4">
        <f>SUM(G13:G24)</f>
      </c>
      <c r="H26" s="4">
        <f>SUM(H13:H24)</f>
      </c>
      <c r="I26" s="4">
        <f>SUM(I13:I24)</f>
      </c>
      <c r="J26" s="4">
        <f>SUM(J13:J24)</f>
      </c>
      <c r="K26" s="4">
        <f>SUM(K13:K24)</f>
      </c>
      <c r="L26" s="4">
        <f>SUM(L13:L24)</f>
      </c>
      <c r="M26" s="4">
        <f>SUM(M13:M24)</f>
      </c>
      <c r="N26" s="6">
        <f>SUM(B26:M26)</f>
      </c>
    </row>
    <row r="28" spans="1:14" x14ac:dyDescent="0.25">
      <c r="A28" s="5" t="s">
        <v>36</v>
      </c>
      <c r="B28" s="4">
        <f>B10-B26</f>
      </c>
      <c r="C28" s="4">
        <f>C10-C26</f>
      </c>
      <c r="D28" s="4">
        <f>D10-D26</f>
      </c>
      <c r="E28" s="4">
        <f>E10-E26</f>
      </c>
      <c r="F28" s="4">
        <f>F10-F26</f>
      </c>
      <c r="G28" s="4">
        <f>G10-G26</f>
      </c>
      <c r="H28" s="4">
        <f>H10-H26</f>
      </c>
      <c r="I28" s="4">
        <f>I10-I26</f>
      </c>
      <c r="J28" s="4">
        <f>J10-J26</f>
      </c>
      <c r="K28" s="4">
        <f>K10-K26</f>
      </c>
      <c r="L28" s="4">
        <f>L10-L26</f>
      </c>
      <c r="M28" s="4">
        <f>M10-M26</f>
      </c>
      <c r="N28" s="6">
        <f>SUM(B28:M28)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T-12 Operating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2026-06-08T22:23:38Z</dcterms:created>
  <dcterms:modified xsi:type="dcterms:W3CDTF">2026-06-08T22:23:38Z</dcterms:modified>
</cp:coreProperties>
</file>