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Rent Roll" sheetId="2" r:id="rId5"/>
    <sheet state="visible" name="Rent Roll Calc" sheetId="3" r:id="rId6"/>
    <sheet state="visible" name="IC Summary" sheetId="4" r:id="rId7"/>
    <sheet state="visible" name="LOI" sheetId="5" r:id="rId8"/>
    <sheet state="visible" name="Property Cash Flow" sheetId="6" r:id="rId9"/>
    <sheet state="visible" name="CapEx Schedule" sheetId="7" r:id="rId10"/>
    <sheet state="visible" name="Waterfall" sheetId="8" r:id="rId11"/>
    <sheet state="visible" name="Leverage Options" sheetId="9" r:id="rId12"/>
    <sheet state="visible" name="Exit Analysis" sheetId="10" r:id="rId13"/>
    <sheet state="visible" name="Sales Comp Analysis" sheetId="11" r:id="rId14"/>
    <sheet state="visible" name="Rental Comp Analysis" sheetId="12" r:id="rId15"/>
    <sheet state="visible" name="Pure Reference---&gt;" sheetId="13" r:id="rId16"/>
    <sheet state="visible" name="T-12 Operating Statement" sheetId="14" r:id="rId17"/>
    <sheet state="visible" name="Vendor Contracts" sheetId="15" r:id="rId18"/>
    <sheet state="visible" name="SouthPark Submarket" sheetId="16" r:id="rId19"/>
  </sheets>
  <definedNames>
    <definedName name="ReservesGrowth">Assumptions!$B$25</definedName>
    <definedName name="PrefMo">Assumptions!$B$70</definedName>
    <definedName name="DispCost">Assumptions!$B$17</definedName>
    <definedName name="ParkGrowth">Assumptions!$B$23</definedName>
    <definedName name="ResidLP">Assumptions!$B$74</definedName>
    <definedName name="CloseDate">Assumptions!$B$12</definedName>
    <definedName name="CatchupGP">Assumptions!$B$71</definedName>
    <definedName name="SpecBuildout">Assumptions!$B$64</definedName>
    <definedName name="AntennaGrowth">Assumptions!$B$24</definedName>
    <definedName name="BldgSF">Assumptions!$B$5</definedName>
    <definedName name="RenoBudget">Assumptions!$B$50</definedName>
    <definedName name="HoldMonths">Assumptions!$B$15</definedName>
    <definedName name="ExpGrowth">Assumptions!$B$21</definedName>
    <definedName name="LeaseTable">Assumptions!$A$56:$J$59</definedName>
    <definedName name="GPTarget">Assumptions!$B$72</definedName>
    <definedName name="MgmtFeePct">Assumptions!$B$41</definedName>
    <definedName name="SpecTI">Assumptions!$B$63</definedName>
    <definedName name="RentGrowth">Assumptions!$B$20</definedName>
    <definedName name="ResidGP">Assumptions!$B$73</definedName>
    <definedName name="ReservesPSF">Assumptions!$B$42</definedName>
    <definedName name="ReimbPool">Assumptions!$B$40</definedName>
    <definedName name="RenoDuration">Assumptions!$B$51</definedName>
    <definedName name="GPShare">Assumptions!$B$67</definedName>
    <definedName name="RenewDiscount">Assumptions!$B$62</definedName>
    <definedName name="LPShare">Assumptions!$B$68</definedName>
    <definedName name="PurchasePrice">Assumptions!$B$6</definedName>
    <definedName name="ExitCap">Assumptions!$B$16</definedName>
  </definedNames>
  <calcPr/>
  <extLst>
    <ext uri="GoogleSheetsCustomDataVersion2">
      <go:sheetsCustomData xmlns:go="http://customooxmlschemas.google.com/" r:id="rId20" roundtripDataChecksum="PtsGY1NlXpYWlQAmzSewPZOpj49NQiEc0rc7GNLJ0eI="/>
    </ext>
  </extLst>
</workbook>
</file>

<file path=xl/sharedStrings.xml><?xml version="1.0" encoding="utf-8"?>
<sst xmlns="http://schemas.openxmlformats.org/spreadsheetml/2006/main" count="1023" uniqueCount="567">
  <si>
    <t>SouthPark Centre</t>
  </si>
  <si>
    <t>4800 Sharon Road, Charlotte, NC 2821</t>
  </si>
  <si>
    <t>Class B+ Multi-Tenant Office</t>
  </si>
  <si>
    <t>All inputs blue, formulas black</t>
  </si>
  <si>
    <t>PROPERTY</t>
  </si>
  <si>
    <t>Building SF (RSF)</t>
  </si>
  <si>
    <t>Purchase Price</t>
  </si>
  <si>
    <t>Acquisition Costs (% of gross)</t>
  </si>
  <si>
    <t>Price per SF</t>
  </si>
  <si>
    <t>Stories</t>
  </si>
  <si>
    <t>Floor Plate (SF)</t>
  </si>
  <si>
    <t>Parking Spaces</t>
  </si>
  <si>
    <t>Close Date</t>
  </si>
  <si>
    <t>HOLD &amp; EXIT</t>
  </si>
  <si>
    <t>Hold Period (months)</t>
  </si>
  <si>
    <t>Exit Cap Rate</t>
  </si>
  <si>
    <t>Disposition Costs (% of gross)</t>
  </si>
  <si>
    <t>GROWTH &amp; ESCALATION</t>
  </si>
  <si>
    <t>Rent Growth (annual)</t>
  </si>
  <si>
    <t>Expense Growth (annual)</t>
  </si>
  <si>
    <t>Stabilised Occupancy</t>
  </si>
  <si>
    <t>Parking Income Growth</t>
  </si>
  <si>
    <t>Antenna Income Growth</t>
  </si>
  <si>
    <t>Building Reserves Growth</t>
  </si>
  <si>
    <t>OPERATING EXPENSES (Annual, Year 1)</t>
  </si>
  <si>
    <t>Reimbursable?</t>
  </si>
  <si>
    <t>Real Estate Taxes</t>
  </si>
  <si>
    <t>Insurance</t>
  </si>
  <si>
    <t>Utilities</t>
  </si>
  <si>
    <t>Repairs &amp; Maintenance</t>
  </si>
  <si>
    <t>Janitorial</t>
  </si>
  <si>
    <t>Landscaping</t>
  </si>
  <si>
    <t>Security</t>
  </si>
  <si>
    <t>Elevator</t>
  </si>
  <si>
    <t>HVAC</t>
  </si>
  <si>
    <t>General &amp; Admin</t>
  </si>
  <si>
    <t>Marketing</t>
  </si>
  <si>
    <t>Total OpEx (ex-mgmt fee)</t>
  </si>
  <si>
    <t>Reimbursable OpEx Pool</t>
  </si>
  <si>
    <t>Management Fee (% of EGI)</t>
  </si>
  <si>
    <t>Building Reserves ($/SF/yr)</t>
  </si>
  <si>
    <t>OTHER INCOME (Annual)</t>
  </si>
  <si>
    <t>Growth</t>
  </si>
  <si>
    <t>Parking Income</t>
  </si>
  <si>
    <t>Antenna Income (T-Mobile)</t>
  </si>
  <si>
    <t>Storage Income</t>
  </si>
  <si>
    <t>RENOVATION</t>
  </si>
  <si>
    <t>Renovation Budget (Pinnacle)</t>
  </si>
  <si>
    <t>Renovation Sensitivity</t>
  </si>
  <si>
    <t>LEASING ASSUMPTIONS BY SIZE (Standard Guide)</t>
  </si>
  <si>
    <t>&lt;-- Sensi input</t>
  </si>
  <si>
    <t>Min SF</t>
  </si>
  <si>
    <t>Bucket Label</t>
  </si>
  <si>
    <t>Mkt Rent $/SF</t>
  </si>
  <si>
    <t>Renew %</t>
  </si>
  <si>
    <t>Downtime (mo)</t>
  </si>
  <si>
    <t>New TI $/SF</t>
  </si>
  <si>
    <t>Ren TI $/SF</t>
  </si>
  <si>
    <t>LC %</t>
  </si>
  <si>
    <t>Free New (mo)</t>
  </si>
  <si>
    <t>Free Ren (mo)</t>
  </si>
  <si>
    <t>Downtime (mo) - base reference</t>
  </si>
  <si>
    <t>Renewal Discount %</t>
  </si>
  <si>
    <t>Spec Suite TI ($/SF)</t>
  </si>
  <si>
    <t>Spec Suite Buildout Duration (mo)</t>
  </si>
  <si>
    <t>JV / EQUITY WATERFALL</t>
  </si>
  <si>
    <t>GP Equity Share</t>
  </si>
  <si>
    <t>LP Equity Share</t>
  </si>
  <si>
    <t>Preferred Return (effective annual)</t>
  </si>
  <si>
    <t>Monthly Pref Rate</t>
  </si>
  <si>
    <t>Catch-up — GP Share of Catch-up Dists</t>
  </si>
  <si>
    <t>Catch-up — GP Target Share of Profits</t>
  </si>
  <si>
    <t>Residual Split — GP</t>
  </si>
  <si>
    <t>Residual Split — LP</t>
  </si>
  <si>
    <t>SENSITIVITY TABLES - Levered Deal-level Returns (IRR &amp; MoIC)</t>
  </si>
  <si>
    <t>Purchase Price vs. Exit Cap Rate</t>
  </si>
  <si>
    <t>Construction Cost Overrun vs. Lease-up Delay</t>
  </si>
  <si>
    <t>Construction Cost Overrun</t>
  </si>
  <si>
    <t>Lease-up Delay</t>
  </si>
  <si>
    <t>Purchase Price vs. Rent Growth</t>
  </si>
  <si>
    <t>Rent Growth</t>
  </si>
  <si>
    <t>SouthPark Centre — Rent Roll</t>
  </si>
  <si>
    <t>Cols N–U: occupied = expiry mo# + size lookups; vacant = lease-up commencement mo# (blue) + size lookups</t>
  </si>
  <si>
    <t>Size Rank</t>
  </si>
  <si>
    <t>#</t>
  </si>
  <si>
    <t>Tenant</t>
  </si>
  <si>
    <t>Suite</t>
  </si>
  <si>
    <t>Flr</t>
  </si>
  <si>
    <t>SF</t>
  </si>
  <si>
    <t>Rent $/SF</t>
  </si>
  <si>
    <t>Annual Rent</t>
  </si>
  <si>
    <t>Esc %</t>
  </si>
  <si>
    <t>Esc Mo</t>
  </si>
  <si>
    <t>Start</t>
  </si>
  <si>
    <t>Expiry</t>
  </si>
  <si>
    <t>Renewal</t>
  </si>
  <si>
    <t>Status</t>
  </si>
  <si>
    <t>Expiry Mo#</t>
  </si>
  <si>
    <t>Size Key</t>
  </si>
  <si>
    <t>Bucket</t>
  </si>
  <si>
    <t>Downtime</t>
  </si>
  <si>
    <t>Free New</t>
  </si>
  <si>
    <t>Blend Rent $/SF</t>
  </si>
  <si>
    <t>1st Esc Date &gt;close</t>
  </si>
  <si>
    <t>Meridian Financial Group</t>
  </si>
  <si>
    <t>Southeast Regional Health</t>
  </si>
  <si>
    <t>Carter &amp; Associates Law</t>
  </si>
  <si>
    <t>Pinnacle Wealth Advisors</t>
  </si>
  <si>
    <t>TechBridge Solutions</t>
  </si>
  <si>
    <t>Brightpath Insurance</t>
  </si>
  <si>
    <t>Caldwell Consulting Group</t>
  </si>
  <si>
    <t>Queen City Accounting</t>
  </si>
  <si>
    <t>Monarch Marketing Group</t>
  </si>
  <si>
    <t>Davidson &amp; Reed Architects</t>
  </si>
  <si>
    <t>Greenway Environmental</t>
  </si>
  <si>
    <t>Trellis HR Solutions</t>
  </si>
  <si>
    <t>Summit Digital Media</t>
  </si>
  <si>
    <t>Lakeview Financial Planning</t>
  </si>
  <si>
    <t>Cornerstone Title Services</t>
  </si>
  <si>
    <t>Appalachian Wealth Mgmt</t>
  </si>
  <si>
    <t>Blue Ridge Legal Services</t>
  </si>
  <si>
    <t>Magnolia Event Planning</t>
  </si>
  <si>
    <t>Horizon Physical Therapy</t>
  </si>
  <si>
    <t>SouthPark Dental Associates</t>
  </si>
  <si>
    <t>Vacant — Suite 130</t>
  </si>
  <si>
    <t>Vacant — Suite 250</t>
  </si>
  <si>
    <t>Vacant — Suite 360</t>
  </si>
  <si>
    <t>Vacant — Suite 450</t>
  </si>
  <si>
    <t>Vacant — Suite 460</t>
  </si>
  <si>
    <t>Vacant — Suite 540</t>
  </si>
  <si>
    <t>Vacant — Suite 550</t>
  </si>
  <si>
    <t>Vacant — Suite 830</t>
  </si>
  <si>
    <t>TOTAL</t>
  </si>
  <si>
    <t>28 entries</t>
  </si>
  <si>
    <t>SF check vs Building SF:</t>
  </si>
  <si>
    <t>SPEC SUITES (Meridian re-demise — 76,000 SF, not additive)</t>
  </si>
  <si>
    <t>Floor</t>
  </si>
  <si>
    <t>Commence Mo#</t>
  </si>
  <si>
    <t>TI $/SF</t>
  </si>
  <si>
    <t>Suite 610</t>
  </si>
  <si>
    <t>Adjusted per VP feedback (email 9)</t>
  </si>
  <si>
    <t>Suite 620</t>
  </si>
  <si>
    <t>Suite 710</t>
  </si>
  <si>
    <t>Suite 720</t>
  </si>
  <si>
    <t>Suite 810</t>
  </si>
  <si>
    <t>Suite 820</t>
  </si>
  <si>
    <t>Total (= Meridian 76,000)</t>
  </si>
  <si>
    <t>SouthPark Centre — Rent Roll Calc</t>
  </si>
  <si>
    <t>Month #</t>
  </si>
  <si>
    <t>Period End</t>
  </si>
  <si>
    <t>Year</t>
  </si>
  <si>
    <t>Rent Growth Index</t>
  </si>
  <si>
    <t>Expense Growth Index</t>
  </si>
  <si>
    <t>Occupancy Flag</t>
  </si>
  <si>
    <t>In-Place Rent</t>
  </si>
  <si>
    <t>Re-Let Flag</t>
  </si>
  <si>
    <t>Re-Let Rent (gross)</t>
  </si>
  <si>
    <t>Free Rent Adj</t>
  </si>
  <si>
    <t>Net Base Rent</t>
  </si>
  <si>
    <t>Opex Recovery (NNN)</t>
  </si>
  <si>
    <t>TI (capital)</t>
  </si>
  <si>
    <t>LC (capital)</t>
  </si>
  <si>
    <t>Buildout Flag</t>
  </si>
  <si>
    <t>TOTALS (feed Cash Flow)</t>
  </si>
  <si>
    <t>Occupied Sqft</t>
  </si>
  <si>
    <t>INVESTMENT COMMITTEE SUMMARY</t>
  </si>
  <si>
    <t>DEAL OVERVIEW</t>
  </si>
  <si>
    <t>Property Name</t>
  </si>
  <si>
    <t/>
  </si>
  <si>
    <t>Address</t>
  </si>
  <si>
    <t>Submarket</t>
  </si>
  <si>
    <t>Total SF</t>
  </si>
  <si>
    <t>from OM</t>
  </si>
  <si>
    <t>Year Built</t>
  </si>
  <si>
    <t>Price / SF</t>
  </si>
  <si>
    <t>Going-In Cap Rate (Reconciled)</t>
  </si>
  <si>
    <t>Physical Occupancy (Corrected)</t>
  </si>
  <si>
    <t>Number of Tenants (Actual)</t>
  </si>
  <si>
    <t>WALT (Years)</t>
  </si>
  <si>
    <t>Largest Tenant</t>
  </si>
  <si>
    <t>Near-Term Rollover Exposure (SF)</t>
  </si>
  <si>
    <t>MARKET CONTEXT</t>
  </si>
  <si>
    <t>Submarket Vacancy</t>
  </si>
  <si>
    <t>Class B+ Asking Rent (NNN)</t>
  </si>
  <si>
    <t>12-Month Rent Growth</t>
  </si>
  <si>
    <t>TTM Net Absorption</t>
  </si>
  <si>
    <t>Supply Pipeline</t>
  </si>
  <si>
    <t>TENANCY SUMMARY</t>
  </si>
  <si>
    <t>WALT</t>
  </si>
  <si>
    <t>Top 5 Tenant Concentration (% of SF)</t>
  </si>
  <si>
    <t>Near-Term Rollover (SF / % of Bldg)</t>
  </si>
  <si>
    <t>Avg Mark-to-Market Spread</t>
  </si>
  <si>
    <t>Weighted Avg In-Place Rent</t>
  </si>
  <si>
    <t>FINANCIAL SUMMARY</t>
  </si>
  <si>
    <t>Broker's Stated NOI</t>
  </si>
  <si>
    <t>Reconciled NOI</t>
  </si>
  <si>
    <t>Year 1 Proforma NOI</t>
  </si>
  <si>
    <t>Stabilized NOI</t>
  </si>
  <si>
    <t>Exit Year NOI</t>
  </si>
  <si>
    <t>Unlevered IRR</t>
  </si>
  <si>
    <t>DEBT TERMS</t>
  </si>
  <si>
    <t>Selected Lender</t>
  </si>
  <si>
    <t>Loan Type</t>
  </si>
  <si>
    <t>Rate</t>
  </si>
  <si>
    <t>Loan Amount</t>
  </si>
  <si>
    <t>LTC</t>
  </si>
  <si>
    <t>LTV at Stabilization</t>
  </si>
  <si>
    <t>DSCR at Conversion</t>
  </si>
  <si>
    <t>IO Period</t>
  </si>
  <si>
    <t>Amortization</t>
  </si>
  <si>
    <t>Term</t>
  </si>
  <si>
    <t>Lender Selection Rationale</t>
  </si>
  <si>
    <t>RENOVATION PROGRAM</t>
  </si>
  <si>
    <t>Selected Contractor</t>
  </si>
  <si>
    <t>Total Budget</t>
  </si>
  <si>
    <t>Timeline</t>
  </si>
  <si>
    <t>Selection Rationale</t>
  </si>
  <si>
    <t>JV STRUCTURE &amp; RETURNS</t>
  </si>
  <si>
    <t>GP / LP Equity Split</t>
  </si>
  <si>
    <t>Preferred Return</t>
  </si>
  <si>
    <t>Promote Structure</t>
  </si>
  <si>
    <t>GP IRR</t>
  </si>
  <si>
    <t>LP IRR</t>
  </si>
  <si>
    <t>GP Equity Multiple</t>
  </si>
  <si>
    <t>LP Equity Multiple</t>
  </si>
  <si>
    <t>Total Project IRR</t>
  </si>
  <si>
    <t>RECOMMENDATION</t>
  </si>
  <si>
    <t>Go / No-Go</t>
  </si>
  <si>
    <t>Rationale</t>
  </si>
  <si>
    <t>Key Return Metric vs Fund Threshold</t>
  </si>
  <si>
    <t>LETTER OF INTENT</t>
  </si>
  <si>
    <t>HARBORVIEW CAPITAL PARTNERS</t>
  </si>
  <si>
    <t>PROPERTY DETAILS</t>
  </si>
  <si>
    <t>Property Name:</t>
  </si>
  <si>
    <t>Address:</t>
  </si>
  <si>
    <t>Total SF:</t>
  </si>
  <si>
    <t>TRANSACTION TERMS</t>
  </si>
  <si>
    <t>Buyer:</t>
  </si>
  <si>
    <t>Purchase Price:</t>
  </si>
  <si>
    <t>Deposit:</t>
  </si>
  <si>
    <t>Due Diligence Period:</t>
  </si>
  <si>
    <t>Financing Contingency:</t>
  </si>
  <si>
    <t>Target Close Date:</t>
  </si>
  <si>
    <t>CONDITIONS</t>
  </si>
  <si>
    <t>Access:</t>
  </si>
  <si>
    <t>Exclusivity:</t>
  </si>
  <si>
    <t>Existing Contracts:</t>
  </si>
  <si>
    <t>Tenant Estoppels:</t>
  </si>
  <si>
    <t>Title &amp; Survey:</t>
  </si>
  <si>
    <t>Environmental:</t>
  </si>
  <si>
    <t>EXPIRATION</t>
  </si>
  <si>
    <t>This LOI expires:</t>
  </si>
  <si>
    <t>SouthPark Centre — Cash Flow Summary</t>
  </si>
  <si>
    <t>in $'000s</t>
  </si>
  <si>
    <t>Year #</t>
  </si>
  <si>
    <t>Occupancy %</t>
  </si>
  <si>
    <t>Gross Rental Income</t>
  </si>
  <si>
    <t>Free Rent</t>
  </si>
  <si>
    <t>Net Rental Income</t>
  </si>
  <si>
    <t>Expense Recovery (NNN)</t>
  </si>
  <si>
    <t>Other Income</t>
  </si>
  <si>
    <t>Effective Gross Income</t>
  </si>
  <si>
    <t>General Vacancy Adjustment</t>
  </si>
  <si>
    <t>Operating Expenses</t>
  </si>
  <si>
    <t>Management Fee</t>
  </si>
  <si>
    <t>Net Operating Income</t>
  </si>
  <si>
    <t>Renovation CapEx</t>
  </si>
  <si>
    <t>Building Reserves</t>
  </si>
  <si>
    <t>Tenant Improvements</t>
  </si>
  <si>
    <t>Leasing Commissions</t>
  </si>
  <si>
    <t>Total Capital Expenditure</t>
  </si>
  <si>
    <t>Unlevered Operating Cash Flow</t>
  </si>
  <si>
    <t>Acquisition Price</t>
  </si>
  <si>
    <t>Acquisition Costs</t>
  </si>
  <si>
    <t>Disposition Price</t>
  </si>
  <si>
    <t>Exit Costs</t>
  </si>
  <si>
    <t>Total Unlevered Cash Flow</t>
  </si>
  <si>
    <t>IRR</t>
  </si>
  <si>
    <t>Required Capital</t>
  </si>
  <si>
    <t>Profit</t>
  </si>
  <si>
    <t>MoIC</t>
  </si>
  <si>
    <t>Financing Cash Flow</t>
  </si>
  <si>
    <t>Acquisition / Dev Loan</t>
  </si>
  <si>
    <t>BoP Balance</t>
  </si>
  <si>
    <t>Drawdown</t>
  </si>
  <si>
    <t>PIK Interest</t>
  </si>
  <si>
    <t>Scheduled Amortization</t>
  </si>
  <si>
    <t>n/a</t>
  </si>
  <si>
    <t>Repayment</t>
  </si>
  <si>
    <t>EoP Balance</t>
  </si>
  <si>
    <t>Cash Interest</t>
  </si>
  <si>
    <t>Loan Closing Costs</t>
  </si>
  <si>
    <t>Origination Fee</t>
  </si>
  <si>
    <t>Acquisition / Dev Loan Cash Flow</t>
  </si>
  <si>
    <t>Permanent Loan</t>
  </si>
  <si>
    <t>Permanent Loan Cash Flow</t>
  </si>
  <si>
    <t>Total CF from Financing</t>
  </si>
  <si>
    <t>Total Levered Cash Flow</t>
  </si>
  <si>
    <t>RENOVATION TIMELINE - SOUTHPARK CENTRE</t>
  </si>
  <si>
    <t>Prepared by: Pinnacle Builders Inc.</t>
  </si>
  <si>
    <t>Date: May 28, 2026  |  Revision: 0  |  Contract Value: $7,500,000</t>
  </si>
  <si>
    <t>Assumes close August 1, 2026. Months numbered from close.</t>
  </si>
  <si>
    <t>Work Item</t>
  </si>
  <si>
    <t>Budget</t>
  </si>
  <si>
    <t>Start Month</t>
  </si>
  <si>
    <t>Duration</t>
  </si>
  <si>
    <t>COMMON AREA RENOVATION</t>
  </si>
  <si>
    <t>General Conditions &amp; Mobilization</t>
  </si>
  <si>
    <t>Lobby Demolition</t>
  </si>
  <si>
    <t>Lobby Renovation (Entrance + Reception)</t>
  </si>
  <si>
    <t>Corridor Refresh - Floor 1</t>
  </si>
  <si>
    <t>Corridor Refresh - Floor 2</t>
  </si>
  <si>
    <t>Corridor Refresh - Floor 3</t>
  </si>
  <si>
    <t>Corridor Refresh - Floor 4</t>
  </si>
  <si>
    <t>Corridor Refresh - Floor 5</t>
  </si>
  <si>
    <t>Restroom Renovation - Floor 1</t>
  </si>
  <si>
    <t>Restroom Renovation - Floor 2</t>
  </si>
  <si>
    <t>Restroom Renovation - Floor 3</t>
  </si>
  <si>
    <t>Restroom Renovation - Floor 4</t>
  </si>
  <si>
    <t>Restroom Renovation - Floor 5</t>
  </si>
  <si>
    <t>Elevator Lobby Upgrades</t>
  </si>
  <si>
    <t>Signage &amp; Wayfinding</t>
  </si>
  <si>
    <t>Punch List &amp; Closeout - Common Areas</t>
  </si>
  <si>
    <t>SPEC SUITE BUILDOUT (MERIDIAN FLOORS)</t>
  </si>
  <si>
    <t>Suite 610 (14,000 SF) - Floor 6</t>
  </si>
  <si>
    <t>Suite 620 (13,000 SF) - Floor 6</t>
  </si>
  <si>
    <t>Suite 710 (13,000 SF) - Floor 7</t>
  </si>
  <si>
    <t>Suite 720 (12,000 SF) - Floor 7</t>
  </si>
  <si>
    <t>Suite 810 (12,500 SF) - Floor 8</t>
  </si>
  <si>
    <t>Suite 820 (11,500 SF) - Floor 8</t>
  </si>
  <si>
    <t>Punch List &amp; Closeout - Spec Suites</t>
  </si>
  <si>
    <t>INDIRECT COSTS</t>
  </si>
  <si>
    <t>Soft Costs (A&amp;E, Permits, CM Fee)</t>
  </si>
  <si>
    <t>Contingency (~7% of hard costs)</t>
  </si>
  <si>
    <t>CapEx Sensitivity</t>
  </si>
  <si>
    <t>Total CapEx</t>
  </si>
  <si>
    <t>NOTES</t>
  </si>
  <si>
    <t>1. Spec suite buildout at $65/SF per James Whitfield's site assessment (Email 5, May 31).</t>
  </si>
  <si>
    <t>2. Floor 6 spec suites assume access beginning Month 4 (Meridian lease expires Oct 31, 2026).</t>
  </si>
  <si>
    <t>3. Floors 7 and 8 phased at 2-month intervals to manage subcontractor scheduling.</t>
  </si>
  <si>
    <t>4. Common area renovation and spec suites run in parallel where possible.</t>
  </si>
  <si>
    <t>5. TI allowance for spec suites not included herein</t>
  </si>
  <si>
    <t>6. Budget excludes ongoing tenant TI/LC for existing tenant rollovers (separate line in operating budget).</t>
  </si>
  <si>
    <t>7. Contingency of 5% included in line items. No separate contingency line.</t>
  </si>
  <si>
    <t>SouthPark Centre — JV Equity Waterfall</t>
  </si>
  <si>
    <t>GP 10% / LP 90% · 8% pref (effective annual, monthly compounding) · 50/50 catch-up to 20% GP profit share · 80/20 LP/GP residual</t>
  </si>
  <si>
    <t>DEAL CASH FLOW</t>
  </si>
  <si>
    <t>Levered Cash Flow (Property CF)</t>
  </si>
  <si>
    <t>Capital Call — Total Equity</t>
  </si>
  <si>
    <t>Available for Distribution</t>
  </si>
  <si>
    <t>CAPITAL CONTRIBUTIONS</t>
  </si>
  <si>
    <t>LP Contribution</t>
  </si>
  <si>
    <t>GP Contribution</t>
  </si>
  <si>
    <t>Cumulative Called — Total</t>
  </si>
  <si>
    <t>Cumulative Called — LP</t>
  </si>
  <si>
    <t>Cumulative Called — GP</t>
  </si>
  <si>
    <t>LP LEDGER</t>
  </si>
  <si>
    <t>BoP Unreturned Capital</t>
  </si>
  <si>
    <t>(+) Contributions</t>
  </si>
  <si>
    <t>(−) Return of Capital</t>
  </si>
  <si>
    <t>EoP Unreturned Capital</t>
  </si>
  <si>
    <t>BoP Accrued Unpaid Pref</t>
  </si>
  <si>
    <t>(+) Pref Accrual</t>
  </si>
  <si>
    <t>(−) Pref Distributions</t>
  </si>
  <si>
    <t>EoP Accrued Unpaid Pref</t>
  </si>
  <si>
    <t>GP LEDGER</t>
  </si>
  <si>
    <t>DISTRIBUTION WATERFALL</t>
  </si>
  <si>
    <t>Tier 1 — LP Pref</t>
  </si>
  <si>
    <t>Remaining after Tier 1</t>
  </si>
  <si>
    <t>Tier 2 — GP Pref</t>
  </si>
  <si>
    <t>Remaining after Tier 2</t>
  </si>
  <si>
    <t>Tier 3 — LP Return of Capital</t>
  </si>
  <si>
    <t>Remaining after Tier 3</t>
  </si>
  <si>
    <t>Tier 4 — GP Return of Capital</t>
  </si>
  <si>
    <t>Remaining after Tier 4</t>
  </si>
  <si>
    <t>Cum LP Profit incl. this month's pref</t>
  </si>
  <si>
    <t>Cum GP Profit incl. this month's pref</t>
  </si>
  <si>
    <t>Required Catch-up</t>
  </si>
  <si>
    <t>Tier 5 — Catch-up Paid</t>
  </si>
  <si>
    <t xml:space="preserve">   of which GP</t>
  </si>
  <si>
    <t xml:space="preserve">   of which LP</t>
  </si>
  <si>
    <t>Remaining after Tier 5</t>
  </si>
  <si>
    <t>Tier 6 — Residual to LP</t>
  </si>
  <si>
    <t>Tier 6 — Residual to GP</t>
  </si>
  <si>
    <t>LP Profit (month)</t>
  </si>
  <si>
    <t>GP Profit (month)</t>
  </si>
  <si>
    <t>Cumulative LP Profit</t>
  </si>
  <si>
    <t>Cumulative GP Profit</t>
  </si>
  <si>
    <t>PARTNER CASH FLOWS</t>
  </si>
  <si>
    <t>LP Distributions</t>
  </si>
  <si>
    <t>GP Distributions</t>
  </si>
  <si>
    <t>LP Net Cash Flow</t>
  </si>
  <si>
    <t>GP Net Cash Flow</t>
  </si>
  <si>
    <t>Total Equity Net CF</t>
  </si>
  <si>
    <t>Total Unreturned Capital (EoP)</t>
  </si>
  <si>
    <t>RETURNS SUMMARY</t>
  </si>
  <si>
    <t>Deal IRR (Total Equity)</t>
  </si>
  <si>
    <t>Deal Equity Multiple</t>
  </si>
  <si>
    <t>Total Capital Called — Total</t>
  </si>
  <si>
    <t>Total Capital Called — LP</t>
  </si>
  <si>
    <t>Total Capital Called — GP</t>
  </si>
  <si>
    <t>Peak Equity Outstanding — Total</t>
  </si>
  <si>
    <t>Peak Equity Outstanding — LP</t>
  </si>
  <si>
    <t>Peak Equity Outstanding — GP</t>
  </si>
  <si>
    <t>GP Share of Total Profit</t>
  </si>
  <si>
    <t>SENSE CHECKS</t>
  </si>
  <si>
    <t>Tier dists = Available, every month</t>
  </si>
  <si>
    <t>LP + GP Net CF = Levered CF, every month</t>
  </si>
  <si>
    <t>Unreturned capital = 0 after exit</t>
  </si>
  <si>
    <t>Accrued unpaid pref = 0 after exit</t>
  </si>
  <si>
    <t>GP profit share ≥ target (catch-up complete)</t>
  </si>
  <si>
    <t>LP IRR &lt; Deal IRR &lt; GP IRR (promote intact)</t>
  </si>
  <si>
    <t>Lender Quote Comparison — SouthPark Centre</t>
  </si>
  <si>
    <t>Active Selection</t>
  </si>
  <si>
    <t>STALE QUOTE</t>
  </si>
  <si>
    <t>Rate Type</t>
  </si>
  <si>
    <t>Spread</t>
  </si>
  <si>
    <t>Current SOFR</t>
  </si>
  <si>
    <t>All-In Rate (indicative)</t>
  </si>
  <si>
    <t>Maximum LTC</t>
  </si>
  <si>
    <t>Maximum LTV (stabilized)</t>
  </si>
  <si>
    <t>Min DSCR at Conversion (NOI based)</t>
  </si>
  <si>
    <t>Conversion Month</t>
  </si>
  <si>
    <t>Closing Costs</t>
  </si>
  <si>
    <t>Interest-Only Period</t>
  </si>
  <si>
    <t>Amortization (after conversion)</t>
  </si>
  <si>
    <t>Extension Options</t>
  </si>
  <si>
    <t>Recourse</t>
  </si>
  <si>
    <t>Prepayment</t>
  </si>
  <si>
    <t>Interest Reserve</t>
  </si>
  <si>
    <t>Imputed Figures</t>
  </si>
  <si>
    <t>Max Dev Loan</t>
  </si>
  <si>
    <t>Max Permanent Loan (LTV stabilized)</t>
  </si>
  <si>
    <t>Max Permanent Loan (DSCR at Conversion)</t>
  </si>
  <si>
    <t>Lender Scenario Analysis (sensitivity)</t>
  </si>
  <si>
    <t>Active</t>
  </si>
  <si>
    <t>Max</t>
  </si>
  <si>
    <t>Levered IRR</t>
  </si>
  <si>
    <t>Levered MoIC</t>
  </si>
  <si>
    <t>SouthPark Centre — Exit Analysis</t>
  </si>
  <si>
    <t>EXIT VALUATION</t>
  </si>
  <si>
    <t>Exit Month</t>
  </si>
  <si>
    <t>Forward 12-Month NOI</t>
  </si>
  <si>
    <t>Gross Exit Value</t>
  </si>
  <si>
    <t>Exit Value $/SF</t>
  </si>
  <si>
    <t>Less: Disposition Costs</t>
  </si>
  <si>
    <t>Net Sale Proceeds</t>
  </si>
  <si>
    <t>UNLEVERED RETURN SUMMARY</t>
  </si>
  <si>
    <t>Purchase Price (net)</t>
  </si>
  <si>
    <t>Additional Capital Required</t>
  </si>
  <si>
    <t>Operating Profit during Hold</t>
  </si>
  <si>
    <t>Net Sale Proceeds (exit)</t>
  </si>
  <si>
    <t>Total Profit</t>
  </si>
  <si>
    <t>Equity Multiple (unlevered)</t>
  </si>
  <si>
    <t>Rent Roll SF = Building SF</t>
  </si>
  <si>
    <t>Year-5 NOI positive</t>
  </si>
  <si>
    <t>Exit value &gt; purchase price</t>
  </si>
  <si>
    <t>Class</t>
  </si>
  <si>
    <t>Sale Date</t>
  </si>
  <si>
    <t>Price ($)</t>
  </si>
  <si>
    <t>$/SF</t>
  </si>
  <si>
    <t>Cap Rate</t>
  </si>
  <si>
    <t>Occ at Sale</t>
  </si>
  <si>
    <t>Buyer Type</t>
  </si>
  <si>
    <t>Notes</t>
  </si>
  <si>
    <t>Comp Type (see legend)</t>
  </si>
  <si>
    <t>Average of Current Market Comps</t>
  </si>
  <si>
    <t>Average of Crisis Era Comps</t>
  </si>
  <si>
    <t>Target Property (Going-in)</t>
  </si>
  <si>
    <t>Target Property (Underwritten)</t>
  </si>
  <si>
    <t>Legend:</t>
  </si>
  <si>
    <t>(1) White = current market comps (primary benchmarks)</t>
  </si>
  <si>
    <t>(2) Yellow = crisis-era trades (stress-test / floor)</t>
  </si>
  <si>
    <t>#FFF2CC</t>
  </si>
  <si>
    <t>(3) Gray = incomplete data (exclude from statistics)</t>
  </si>
  <si>
    <t>#F2F2F2</t>
  </si>
  <si>
    <t>(4) Pink = non-comparable (wrong submarket/type/size)</t>
  </si>
  <si>
    <t>#FCE4EC</t>
  </si>
  <si>
    <t>Lease Date</t>
  </si>
  <si>
    <t>Term (yr)</t>
  </si>
  <si>
    <t>Rent $/SF (NNN)</t>
  </si>
  <si>
    <t>Escalation</t>
  </si>
  <si>
    <t>Free Rent (mo)</t>
  </si>
  <si>
    <t>Target Property Underwriting (Vacancy)</t>
  </si>
  <si>
    <t>(1) Yellow highlight = Meridian BTS (only large-block transaction)</t>
  </si>
  <si>
    <t>(2) White = current comps, SouthPark area (usable benchmarks)</t>
  </si>
  <si>
    <t>(3) Gray = older transactions (2023 or earlier)</t>
  </si>
  <si>
    <t>(4) Purple = wrong submarket</t>
  </si>
  <si>
    <t>#E8EAF6</t>
  </si>
  <si>
    <t>(5) Pink = wrong property type/class</t>
  </si>
  <si>
    <t>(6) Light yellow = incomplete data</t>
  </si>
  <si>
    <t>#FFF9C4</t>
  </si>
  <si>
    <t>Line Item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</si>
  <si>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</si>
  <si>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</si>
  <si>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</si>
  <si>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</si>
  <si>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</si>
  <si>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</si>
  <si>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</si>
  <si>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</si>
  <si>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</si>
  <si>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</si>
  <si>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</si>
  <si>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</si>
  <si>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REVENUE</t>
  </si>
  <si>
    <t>Base Rental Revenue</t>
  </si>
  <si>
    <t>Expense Reimbursements</t>
  </si>
  <si>
    <t>Antenna / Telecom Income</t>
  </si>
  <si>
    <t>Other Income - Lease Termination Fee</t>
  </si>
  <si>
    <t>TOTAL REVENUE</t>
  </si>
  <si>
    <t>OPERATING EXPENSES</t>
  </si>
  <si>
    <t>Janitorial / Cleaning</t>
  </si>
  <si>
    <t>Landscaping &amp; Grounds</t>
  </si>
  <si>
    <t>Elevator Maintenance</t>
  </si>
  <si>
    <t>HVAC Maintenance</t>
  </si>
  <si>
    <t>General &amp; Administrative</t>
  </si>
  <si>
    <t>Marketing &amp; Leasing</t>
  </si>
  <si>
    <t>Management Fee (3.5% EGI)</t>
  </si>
  <si>
    <t>TOTAL OPERATING EXPENSES</t>
  </si>
  <si>
    <t>NET OPERATING INCOME</t>
  </si>
  <si>
    <t>Vendor</t>
  </si>
  <si>
    <t>Service</t>
  </si>
  <si>
    <t>Annual Cost</t>
  </si>
  <si>
    <t>Start Date</t>
  </si>
  <si>
    <t>Auto-Renew</t>
  </si>
  <si>
    <t>Charlotte Office Market</t>
  </si>
  <si>
    <t>SouthPark Submarket Report - Q1 2026</t>
  </si>
  <si>
    <t>Prepared by Charlotte Commercial Research</t>
  </si>
  <si>
    <t>SUBMARKET OVERVIEW</t>
  </si>
  <si>
    <t>Total Inventory</t>
  </si>
  <si>
    <t>Number of Buildings</t>
  </si>
  <si>
    <t>Average Building Age</t>
  </si>
  <si>
    <t>VACANCY &amp; OCCUPANCY</t>
  </si>
  <si>
    <t>Overall Vacancy Rate</t>
  </si>
  <si>
    <t>Class A Vacancy</t>
  </si>
  <si>
    <t>Class B/B+ Vacancy</t>
  </si>
  <si>
    <t>Class C Vacancy</t>
  </si>
  <si>
    <t>Direct Vacancy</t>
  </si>
  <si>
    <t>Sublease Vacancy</t>
  </si>
  <si>
    <t>ASKING RENTS (NNN)</t>
  </si>
  <si>
    <t>Class A</t>
  </si>
  <si>
    <t>Class B+ - Renovated</t>
  </si>
  <si>
    <t>Class B+ - Unrenovated</t>
  </si>
  <si>
    <t>Class B</t>
  </si>
  <si>
    <t>Class C</t>
  </si>
  <si>
    <t>Weighted Average (All Classes)</t>
  </si>
  <si>
    <t>ABSORPTION &amp; DEMAND</t>
  </si>
  <si>
    <t>Net Absorption (TTM)</t>
  </si>
  <si>
    <t>Gross Absorption (TTM)</t>
  </si>
  <si>
    <t>Avg Deal Size (TTM)</t>
  </si>
  <si>
    <t>Key Demand Drivers</t>
  </si>
  <si>
    <t>CONSTRUCTION PIPELINE</t>
  </si>
  <si>
    <t>Under Construction</t>
  </si>
  <si>
    <t>Project</t>
  </si>
  <si>
    <t>Developer</t>
  </si>
  <si>
    <t>Impact on Subject</t>
  </si>
  <si>
    <t>Planned Pipeline</t>
  </si>
  <si>
    <t>RENT GROWTH TRENDS</t>
  </si>
  <si>
    <t>12-Month Rent Growth (Class B+)</t>
  </si>
  <si>
    <t>5-Year Avg Rent Growth</t>
  </si>
  <si>
    <t>COVID Impact</t>
  </si>
  <si>
    <t>Forecast</t>
  </si>
  <si>
    <t>NOTABLE TRANSACTIONS (LAST 12 MONTHS)</t>
  </si>
  <si>
    <t>Meridian Financial BTS</t>
  </si>
  <si>
    <t>Waverly Tech</t>
  </si>
  <si>
    <t>Overall Trend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</si>
</sst>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@&quot; — Assumptions&quot;"/>
    <numFmt numFmtId="165" formatCode="[$$-409]#,##0"/>
    <numFmt numFmtId="166" formatCode="0.0%"/>
    <numFmt numFmtId="167" formatCode="&quot;£&quot;#,##0.00"/>
    <numFmt numFmtId="168" formatCode="mm/dd/yyyy"/>
    <numFmt numFmtId="169" formatCode="[$$-409]#,##0.00"/>
    <numFmt numFmtId="170" formatCode="0.000%"/>
    <numFmt numFmtId="171" formatCode="0&quot; mos&quot;"/>
    <numFmt numFmtId="172" formatCode="#,##0;\(#,##0\);&quot;-&quot;"/>
    <numFmt numFmtId="173" formatCode="0.000"/>
    <numFmt numFmtId="174" formatCode="#,##0\ &quot;sqft&quot;"/>
    <numFmt numFmtId="175" formatCode="0.00\x"/>
    <numFmt numFmtId="176" formatCode="&quot;Year &quot;0"/>
    <numFmt numFmtId="177" formatCode="#,##0,;\(#,##0,\);\-"/>
    <numFmt numFmtId="178" formatCode="0.00&quot; years&quot;"/>
    <numFmt numFmtId="179" formatCode="&quot;M&quot;0"/>
    <numFmt numFmtId="180" formatCode="\$#,##0"/>
    <numFmt numFmtId="181" formatCode="0&quot; mo&quot;"/>
    <numFmt numFmtId="182" formatCode="#,##0.0,;\(#,##0.0,\);"/>
    <numFmt numFmtId="183" formatCode="\$#,##0.00"/>
    <numFmt numFmtId="184" formatCode="0.0"/>
  </numFmts>
  <fonts count="50">
    <font>
      <sz val="11.0"/>
      <color theme="1"/>
      <name val="Calibri"/>
      <scheme val="minor"/>
    </font>
    <font>
      <b/>
      <sz val="14.0"/>
      <color rgb="FF1F3864"/>
      <name val="Calibri"/>
    </font>
    <font>
      <i/>
      <sz val="9.0"/>
      <color rgb="FF808080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CC"/>
      <name val="Calibri"/>
    </font>
    <font>
      <sz val="9.0"/>
      <color rgb="FF808080"/>
      <name val="Calibri"/>
    </font>
    <font>
      <b/>
      <sz val="9.0"/>
      <color rgb="FFFFFFFF"/>
      <name val="Calibri"/>
    </font>
    <font>
      <sz val="9.0"/>
      <color rgb="FF0000CC"/>
      <name val="Calibri"/>
    </font>
    <font>
      <b/>
      <sz val="11.0"/>
      <color theme="1"/>
      <name val="Calibri"/>
    </font>
    <font>
      <sz val="9.0"/>
      <color theme="1"/>
      <name val="Calibri"/>
    </font>
    <font>
      <sz val="11.0"/>
      <color theme="0"/>
      <name val="Calibri"/>
    </font>
    <font>
      <b/>
      <sz val="9.0"/>
      <color theme="1"/>
      <name val="Calibri"/>
    </font>
    <font>
      <b/>
      <sz val="9.0"/>
      <color theme="0"/>
      <name val="Calibri"/>
    </font>
    <font>
      <sz val="11.0"/>
      <color rgb="FF00B050"/>
      <name val="Calibri"/>
    </font>
    <font>
      <b/>
      <sz val="11.0"/>
      <color rgb="FF1F3864"/>
      <name val="Calibri"/>
    </font>
    <font>
      <sz val="11.0"/>
      <color rgb="FF00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/>
    <font>
      <sz val="11.0"/>
      <color rgb="FF0000FF"/>
      <name val="Calibri"/>
    </font>
    <font>
      <i/>
      <sz val="8.0"/>
      <color rgb="FF808080"/>
      <name val="Calibri"/>
    </font>
    <font>
      <sz val="11.0"/>
      <color rgb="FFC00000"/>
      <name val="Calibri"/>
    </font>
    <font>
      <sz val="11.0"/>
      <color rgb="FFBF8F00"/>
      <name val="Calibri"/>
    </font>
    <font>
      <i/>
      <sz val="10.0"/>
      <color rgb="FF808080"/>
      <name val="Calibri"/>
    </font>
    <font>
      <b/>
      <sz val="11.0"/>
      <color rgb="FFC00000"/>
      <name val="Calibri"/>
    </font>
    <font>
      <b/>
      <sz val="11.0"/>
      <color rgb="FFBF8F00"/>
      <name val="Calibri"/>
    </font>
    <font>
      <b/>
      <sz val="11.0"/>
      <color rgb="FF2F5496"/>
      <name val="Calibri"/>
    </font>
    <font>
      <b/>
      <sz val="14.0"/>
      <color rgb="FF002060"/>
      <name val="Calibri"/>
    </font>
    <font>
      <b/>
      <sz val="11.0"/>
      <color rgb="FF002060"/>
      <name val="Calibri"/>
    </font>
    <font>
      <b/>
      <sz val="10.0"/>
      <color theme="1"/>
      <name val="Calibri"/>
    </font>
    <font>
      <sz val="10.0"/>
      <color rgb="FF0000CC"/>
      <name val="Calibri"/>
    </font>
    <font>
      <sz val="10.0"/>
      <color theme="1"/>
      <name val="Calibri"/>
    </font>
    <font>
      <i/>
      <sz val="9.0"/>
      <color rgb="FF999999"/>
      <name val="Calibri"/>
    </font>
    <font>
      <i/>
      <sz val="11.0"/>
      <color theme="1"/>
      <name val="Calibri"/>
    </font>
    <font>
      <b/>
      <sz val="13.0"/>
      <color rgb="FF1F3864"/>
      <name val="Calibri"/>
    </font>
    <font>
      <b/>
      <i/>
      <sz val="11.0"/>
      <color theme="1"/>
      <name val="Calibri"/>
    </font>
    <font>
      <u/>
      <sz val="11.0"/>
      <color theme="1"/>
      <name val="Calibri"/>
    </font>
    <font>
      <i/>
      <sz val="9.0"/>
      <color rgb="FF666666"/>
      <name val="Calibri"/>
    </font>
    <font>
      <b/>
      <sz val="10.0"/>
      <color rgb="FFFFFFFF"/>
      <name val="Calibri"/>
    </font>
    <font>
      <sz val="10.0"/>
      <color rgb="FF00B050"/>
      <name val="Calibri"/>
    </font>
    <font>
      <b/>
      <sz val="11.0"/>
      <color theme="0"/>
      <name val="Calibri"/>
    </font>
    <font>
      <i/>
      <sz val="10.0"/>
      <color theme="1"/>
      <name val="Calibri"/>
    </font>
    <font>
      <b/>
      <sz val="10.0"/>
      <color rgb="FF1F3864"/>
      <name val="Calibri"/>
    </font>
    <font>
      <b/>
      <sz val="12.0"/>
      <color rgb="FF002060"/>
      <name val="Calibri"/>
    </font>
    <font>
      <b/>
      <sz val="12.0"/>
      <color theme="0"/>
      <name val="Calibri"/>
    </font>
    <font>
      <i/>
      <sz val="10.0"/>
      <color rgb="FF666666"/>
      <name val="Calibri"/>
    </font>
    <font>
      <b/>
      <i/>
      <sz val="10.0"/>
      <color rgb="FF666666"/>
      <name val="Calibri"/>
    </font>
    <font>
      <b/>
      <sz val="12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DE9D9"/>
        <bgColor rgb="FFFDE9D9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F2F4F8"/>
        <bgColor rgb="FFF2F4F8"/>
      </patternFill>
    </fill>
    <fill>
      <patternFill patternType="solid">
        <fgColor rgb="FF548235"/>
        <bgColor rgb="FF548235"/>
      </patternFill>
    </fill>
    <fill>
      <patternFill patternType="solid">
        <fgColor rgb="FFBFBFBF"/>
        <bgColor rgb="FFBFBFBF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E8EAF6"/>
        <bgColor rgb="FFE8EAF6"/>
      </patternFill>
    </fill>
    <fill>
      <patternFill patternType="solid">
        <fgColor rgb="FFFFF9C4"/>
        <bgColor rgb="FFFFF9C4"/>
      </patternFill>
    </fill>
  </fills>
  <borders count="26">
    <border/>
    <border>
      <left/>
      <right/>
      <top/>
      <bottom/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002060"/>
      </bottom>
    </border>
    <border>
      <bottom style="thin">
        <color rgb="FF1F386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2060"/>
      </bottom>
    </border>
    <border>
      <left/>
      <right style="thin">
        <color rgb="FFBFBFBF"/>
      </right>
      <top style="thin">
        <color rgb="FFBFBFBF"/>
      </top>
      <bottom style="medium">
        <color rgb="FF00206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ont="1"/>
    <xf borderId="0" fillId="0" fontId="5" numFmtId="0" xfId="0" applyFont="1"/>
    <xf borderId="0" fillId="0" fontId="6" numFmtId="3" xfId="0" applyFont="1" applyNumberFormat="1"/>
    <xf borderId="0" fillId="0" fontId="7" numFmtId="0" xfId="0" applyFont="1"/>
    <xf borderId="0" fillId="0" fontId="6" numFmtId="165" xfId="0" applyFont="1" applyNumberFormat="1"/>
    <xf borderId="0" fillId="0" fontId="6" numFmtId="166" xfId="0" applyFont="1" applyNumberFormat="1"/>
    <xf borderId="0" fillId="0" fontId="4" numFmtId="167" xfId="0" applyFont="1" applyNumberFormat="1"/>
    <xf borderId="0" fillId="0" fontId="6" numFmtId="1" xfId="0" applyFont="1" applyNumberFormat="1"/>
    <xf borderId="0" fillId="0" fontId="6" numFmtId="168" xfId="0" applyFont="1" applyNumberFormat="1"/>
    <xf borderId="0" fillId="0" fontId="6" numFmtId="10" xfId="0" applyFont="1" applyNumberFormat="1"/>
    <xf borderId="1" fillId="2" fontId="8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Font="1"/>
    <xf borderId="2" fillId="0" fontId="10" numFmtId="165" xfId="0" applyBorder="1" applyFont="1" applyNumberFormat="1"/>
    <xf borderId="0" fillId="0" fontId="10" numFmtId="165" xfId="0" applyFont="1" applyNumberFormat="1"/>
    <xf borderId="0" fillId="0" fontId="7" numFmtId="0" xfId="0" applyAlignment="1" applyFont="1">
      <alignment horizontal="left"/>
    </xf>
    <xf borderId="0" fillId="0" fontId="6" numFmtId="169" xfId="0" applyFont="1" applyNumberFormat="1"/>
    <xf borderId="0" fillId="0" fontId="11" numFmtId="166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3" numFmtId="0" xfId="0" applyFont="1"/>
    <xf borderId="0" fillId="0" fontId="14" numFmtId="0" xfId="0" applyAlignment="1" applyFont="1">
      <alignment horizontal="center"/>
    </xf>
    <xf borderId="0" fillId="0" fontId="6" numFmtId="3" xfId="0" applyAlignment="1" applyFont="1" applyNumberFormat="1">
      <alignment horizontal="center"/>
    </xf>
    <xf borderId="0" fillId="0" fontId="6" numFmtId="0" xfId="0" applyFont="1"/>
    <xf borderId="0" fillId="0" fontId="6" numFmtId="169" xfId="0" applyAlignment="1" applyFont="1" applyNumberFormat="1">
      <alignment horizontal="center"/>
    </xf>
    <xf borderId="0" fillId="0" fontId="6" numFmtId="9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6" numFmtId="9" xfId="0" applyFont="1" applyNumberFormat="1"/>
    <xf borderId="0" fillId="0" fontId="16" numFmtId="0" xfId="0" applyFont="1"/>
    <xf borderId="0" fillId="0" fontId="17" numFmtId="166" xfId="0" applyFont="1" applyNumberFormat="1"/>
    <xf borderId="0" fillId="0" fontId="17" numFmtId="170" xfId="0" applyFont="1" applyNumberFormat="1"/>
    <xf borderId="0" fillId="0" fontId="4" numFmtId="0" xfId="0" applyFont="1"/>
    <xf borderId="0" fillId="0" fontId="18" numFmtId="0" xfId="0" applyFont="1"/>
    <xf borderId="0" fillId="0" fontId="19" numFmtId="0" xfId="0" applyAlignment="1" applyFont="1">
      <alignment horizontal="center"/>
    </xf>
    <xf borderId="0" fillId="0" fontId="4" numFmtId="10" xfId="0" applyAlignment="1" applyFont="1" applyNumberFormat="1">
      <alignment horizontal="center"/>
    </xf>
    <xf borderId="0" fillId="0" fontId="12" numFmtId="0" xfId="0" applyAlignment="1" applyFont="1">
      <alignment horizontal="right"/>
    </xf>
    <xf borderId="3" fillId="0" fontId="10" numFmtId="0" xfId="0" applyAlignment="1" applyBorder="1" applyFont="1">
      <alignment horizontal="right" textRotation="90" vertical="center"/>
    </xf>
    <xf borderId="0" fillId="0" fontId="4" numFmtId="165" xfId="0" applyFont="1" applyNumberFormat="1"/>
    <xf borderId="4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3" fillId="0" fontId="20" numFmtId="0" xfId="0" applyBorder="1" applyFont="1"/>
    <xf borderId="6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3" fillId="0" fontId="4" numFmtId="0" xfId="0" applyAlignment="1" applyBorder="1" applyFont="1">
      <alignment horizontal="center"/>
    </xf>
    <xf borderId="0" fillId="0" fontId="21" numFmtId="165" xfId="0" applyFont="1" applyNumberFormat="1"/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0" fillId="0" fontId="4" numFmtId="171" xfId="0" applyFont="1" applyNumberFormat="1"/>
    <xf borderId="0" fillId="0" fontId="6" numFmtId="166" xfId="0" applyAlignment="1" applyFont="1" applyNumberFormat="1">
      <alignment horizontal="center"/>
    </xf>
    <xf borderId="0" fillId="0" fontId="1" numFmtId="0" xfId="0" applyFont="1"/>
    <xf borderId="0" fillId="0" fontId="22" numFmtId="0" xfId="0" applyFont="1"/>
    <xf borderId="1" fillId="2" fontId="8" numFmtId="0" xfId="0" applyBorder="1" applyFont="1"/>
    <xf borderId="1" fillId="3" fontId="8" numFmtId="0" xfId="0" applyAlignment="1" applyBorder="1" applyFill="1" applyFont="1">
      <alignment horizontal="center"/>
    </xf>
    <xf borderId="0" fillId="0" fontId="4" numFmtId="49" xfId="0" applyAlignment="1" applyFont="1" applyNumberFormat="1">
      <alignment horizontal="right"/>
    </xf>
    <xf borderId="0" fillId="0" fontId="4" numFmtId="3" xfId="0" applyFont="1" applyNumberFormat="1"/>
    <xf borderId="0" fillId="0" fontId="4" numFmtId="168" xfId="0" applyFont="1" applyNumberFormat="1"/>
    <xf borderId="0" fillId="0" fontId="23" numFmtId="0" xfId="0" applyAlignment="1" applyFont="1">
      <alignment horizontal="center"/>
    </xf>
    <xf borderId="0" fillId="0" fontId="4" numFmtId="1" xfId="0" applyAlignment="1" applyFont="1" applyNumberFormat="1">
      <alignment horizontal="center"/>
    </xf>
    <xf borderId="0" fillId="0" fontId="4" numFmtId="3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4" numFmtId="169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1" fillId="0" fontId="21" numFmtId="9" xfId="0" applyAlignment="1" applyBorder="1" applyFont="1" applyNumberFormat="1">
      <alignment horizontal="center"/>
    </xf>
    <xf borderId="0" fillId="0" fontId="4" numFmtId="17" xfId="0" applyFont="1" applyNumberFormat="1"/>
    <xf borderId="1" fillId="0" fontId="6" numFmtId="169" xfId="0" applyBorder="1" applyFont="1" applyNumberFormat="1"/>
    <xf borderId="0" fillId="0" fontId="24" numFmtId="0" xfId="0" applyAlignment="1" applyFont="1">
      <alignment horizontal="center"/>
    </xf>
    <xf borderId="0" fillId="0" fontId="6" numFmtId="1" xfId="0" applyAlignment="1" applyFont="1" applyNumberFormat="1">
      <alignment horizontal="center"/>
    </xf>
    <xf borderId="0" fillId="0" fontId="4" numFmtId="169" xfId="0" applyFont="1" applyNumberFormat="1"/>
    <xf borderId="10" fillId="0" fontId="10" numFmtId="3" xfId="0" applyBorder="1" applyFont="1" applyNumberFormat="1"/>
    <xf borderId="10" fillId="0" fontId="10" numFmtId="165" xfId="0" applyBorder="1" applyFont="1" applyNumberFormat="1"/>
    <xf borderId="0" fillId="0" fontId="11" numFmtId="172" xfId="0" applyAlignment="1" applyFont="1" applyNumberFormat="1">
      <alignment horizontal="center"/>
    </xf>
    <xf borderId="1" fillId="4" fontId="6" numFmtId="0" xfId="0" applyAlignment="1" applyBorder="1" applyFill="1" applyFont="1">
      <alignment horizontal="center"/>
    </xf>
    <xf borderId="0" fillId="0" fontId="25" numFmtId="0" xfId="0" applyAlignment="1" applyFont="1">
      <alignment horizontal="left"/>
    </xf>
    <xf borderId="2" fillId="0" fontId="10" numFmtId="3" xfId="0" applyBorder="1" applyFont="1" applyNumberFormat="1"/>
    <xf borderId="0" fillId="0" fontId="4" numFmtId="1" xfId="0" applyFont="1" applyNumberFormat="1"/>
    <xf borderId="0" fillId="0" fontId="4" numFmtId="15" xfId="0" applyFont="1" applyNumberFormat="1"/>
    <xf borderId="0" fillId="0" fontId="4" numFmtId="173" xfId="0" applyFont="1" applyNumberFormat="1"/>
    <xf borderId="0" fillId="0" fontId="26" numFmtId="0" xfId="0" applyFont="1"/>
    <xf borderId="0" fillId="0" fontId="4" numFmtId="174" xfId="0" applyFont="1" applyNumberFormat="1"/>
    <xf borderId="0" fillId="0" fontId="4" numFmtId="172" xfId="0" applyFont="1" applyNumberFormat="1"/>
    <xf borderId="0" fillId="0" fontId="27" numFmtId="0" xfId="0" applyFont="1"/>
    <xf borderId="0" fillId="0" fontId="28" numFmtId="0" xfId="0" applyFont="1"/>
    <xf borderId="0" fillId="0" fontId="29" numFmtId="0" xfId="0" applyFont="1"/>
    <xf borderId="11" fillId="0" fontId="30" numFmtId="0" xfId="0" applyBorder="1" applyFont="1"/>
    <xf borderId="11" fillId="0" fontId="20" numFmtId="0" xfId="0" applyBorder="1" applyFont="1"/>
    <xf borderId="0" fillId="0" fontId="31" numFmtId="0" xfId="0" applyFont="1"/>
    <xf borderId="0" fillId="0" fontId="32" numFmtId="0" xfId="0" applyFont="1"/>
    <xf borderId="0" fillId="0" fontId="5" numFmtId="164" xfId="0" applyFont="1" applyNumberFormat="1"/>
    <xf borderId="0" fillId="0" fontId="4" numFmtId="166" xfId="0" applyFont="1" applyNumberFormat="1"/>
    <xf borderId="0" fillId="0" fontId="4" numFmtId="2" xfId="0" applyFont="1" applyNumberFormat="1"/>
    <xf borderId="0" fillId="0" fontId="4" numFmtId="0" xfId="0" applyAlignment="1" applyFont="1">
      <alignment horizontal="right"/>
    </xf>
    <xf borderId="0" fillId="0" fontId="4" numFmtId="165" xfId="0" applyAlignment="1" applyFont="1" applyNumberFormat="1">
      <alignment horizontal="right"/>
    </xf>
    <xf borderId="0" fillId="0" fontId="4" numFmtId="166" xfId="0" applyAlignment="1" applyFont="1" applyNumberFormat="1">
      <alignment horizontal="right"/>
    </xf>
    <xf borderId="0" fillId="0" fontId="4" numFmtId="10" xfId="0" applyFont="1" applyNumberFormat="1"/>
    <xf borderId="0" fillId="0" fontId="4" numFmtId="175" xfId="0" applyFont="1" applyNumberFormat="1"/>
    <xf borderId="0" fillId="0" fontId="33" numFmtId="0" xfId="0" applyFont="1"/>
    <xf borderId="0" fillId="0" fontId="34" numFmtId="0" xfId="0" applyFont="1"/>
    <xf borderId="0" fillId="0" fontId="33" numFmtId="3" xfId="0" applyFont="1" applyNumberFormat="1"/>
    <xf borderId="0" fillId="0" fontId="33" numFmtId="169" xfId="0" applyFont="1" applyNumberFormat="1"/>
    <xf borderId="0" fillId="0" fontId="35" numFmtId="0" xfId="0" applyFont="1"/>
    <xf borderId="0" fillId="0" fontId="33" numFmtId="168" xfId="0" applyAlignment="1" applyFont="1" applyNumberFormat="1">
      <alignment horizontal="right"/>
    </xf>
    <xf borderId="0" fillId="0" fontId="36" numFmtId="0" xfId="0" applyFont="1"/>
    <xf borderId="1" fillId="2" fontId="3" numFmtId="176" xfId="0" applyAlignment="1" applyBorder="1" applyFont="1" applyNumberFormat="1">
      <alignment horizontal="right"/>
    </xf>
    <xf borderId="1" fillId="2" fontId="3" numFmtId="176" xfId="0" applyAlignment="1" applyBorder="1" applyFont="1" applyNumberFormat="1">
      <alignment horizontal="center"/>
    </xf>
    <xf borderId="1" fillId="2" fontId="3" numFmtId="1" xfId="0" applyBorder="1" applyFont="1" applyNumberFormat="1"/>
    <xf borderId="1" fillId="2" fontId="3" numFmtId="17" xfId="0" applyBorder="1" applyFont="1" applyNumberFormat="1"/>
    <xf borderId="0" fillId="0" fontId="37" numFmtId="166" xfId="0" applyFont="1" applyNumberFormat="1"/>
    <xf borderId="0" fillId="0" fontId="4" numFmtId="177" xfId="0" applyFont="1" applyNumberFormat="1"/>
    <xf borderId="0" fillId="0" fontId="10" numFmtId="177" xfId="0" applyFont="1" applyNumberFormat="1"/>
    <xf borderId="0" fillId="0" fontId="35" numFmtId="10" xfId="0" applyFont="1" applyNumberFormat="1"/>
    <xf borderId="0" fillId="0" fontId="35" numFmtId="177" xfId="0" applyFont="1" applyNumberFormat="1"/>
    <xf borderId="0" fillId="0" fontId="35" numFmtId="175" xfId="0" applyFont="1" applyNumberFormat="1"/>
    <xf borderId="0" fillId="0" fontId="38" numFmtId="0" xfId="0" applyFont="1"/>
    <xf borderId="0" fillId="0" fontId="4" numFmtId="0" xfId="0" applyAlignment="1" applyFont="1">
      <alignment horizontal="left"/>
    </xf>
    <xf borderId="0" fillId="0" fontId="4" numFmtId="10" xfId="0" applyAlignment="1" applyFont="1" applyNumberFormat="1">
      <alignment horizontal="right"/>
    </xf>
    <xf borderId="0" fillId="0" fontId="4" numFmtId="178" xfId="0" applyAlignment="1" applyFont="1" applyNumberFormat="1">
      <alignment horizontal="right"/>
    </xf>
    <xf borderId="0" fillId="0" fontId="35" numFmtId="166" xfId="0" applyFont="1" applyNumberFormat="1"/>
    <xf borderId="0" fillId="0" fontId="39" numFmtId="0" xfId="0" applyFont="1"/>
    <xf borderId="1" fillId="5" fontId="40" numFmtId="0" xfId="0" applyAlignment="1" applyBorder="1" applyFill="1" applyFont="1">
      <alignment horizontal="center" shrinkToFit="0" vertical="center" wrapText="1"/>
    </xf>
    <xf borderId="1" fillId="5" fontId="40" numFmtId="179" xfId="0" applyAlignment="1" applyBorder="1" applyFont="1" applyNumberFormat="1">
      <alignment horizontal="center" shrinkToFit="0" vertical="center" wrapText="1"/>
    </xf>
    <xf borderId="0" fillId="0" fontId="33" numFmtId="180" xfId="0" applyFont="1" applyNumberFormat="1"/>
    <xf borderId="0" fillId="0" fontId="33" numFmtId="1" xfId="0" applyAlignment="1" applyFont="1" applyNumberFormat="1">
      <alignment horizontal="center"/>
    </xf>
    <xf borderId="0" fillId="0" fontId="33" numFmtId="181" xfId="0" applyAlignment="1" applyFont="1" applyNumberFormat="1">
      <alignment horizontal="center"/>
    </xf>
    <xf borderId="1" fillId="6" fontId="4" numFmtId="182" xfId="0" applyBorder="1" applyFill="1" applyFont="1" applyNumberFormat="1"/>
    <xf borderId="0" fillId="0" fontId="4" numFmtId="182" xfId="0" applyFont="1" applyNumberFormat="1"/>
    <xf borderId="1" fillId="7" fontId="4" numFmtId="182" xfId="0" applyBorder="1" applyFill="1" applyFont="1" applyNumberFormat="1"/>
    <xf borderId="0" fillId="0" fontId="4" numFmtId="181" xfId="0" applyAlignment="1" applyFont="1" applyNumberFormat="1">
      <alignment horizontal="center"/>
    </xf>
    <xf borderId="11" fillId="0" fontId="30" numFmtId="1" xfId="0" applyAlignment="1" applyBorder="1" applyFont="1" applyNumberFormat="1">
      <alignment horizontal="center"/>
    </xf>
    <xf borderId="11" fillId="0" fontId="30" numFmtId="181" xfId="0" applyAlignment="1" applyBorder="1" applyFont="1" applyNumberFormat="1">
      <alignment horizontal="center"/>
    </xf>
    <xf borderId="1" fillId="8" fontId="4" numFmtId="182" xfId="0" applyBorder="1" applyFill="1" applyFont="1" applyNumberFormat="1"/>
    <xf borderId="0" fillId="0" fontId="41" numFmtId="9" xfId="0" applyFont="1" applyNumberFormat="1"/>
    <xf borderId="1" fillId="5" fontId="42" numFmtId="0" xfId="0" applyBorder="1" applyFont="1"/>
    <xf borderId="1" fillId="5" fontId="42" numFmtId="182" xfId="0" applyBorder="1" applyFont="1" applyNumberFormat="1"/>
    <xf borderId="0" fillId="0" fontId="43" numFmtId="0" xfId="0" applyFont="1"/>
    <xf borderId="1" fillId="2" fontId="40" numFmtId="0" xfId="0" applyBorder="1" applyFont="1"/>
    <xf borderId="1" fillId="2" fontId="40" numFmtId="176" xfId="0" applyAlignment="1" applyBorder="1" applyFont="1" applyNumberFormat="1">
      <alignment horizontal="right"/>
    </xf>
    <xf borderId="1" fillId="2" fontId="40" numFmtId="1" xfId="0" applyAlignment="1" applyBorder="1" applyFont="1" applyNumberFormat="1">
      <alignment horizontal="right"/>
    </xf>
    <xf borderId="1" fillId="2" fontId="40" numFmtId="17" xfId="0" applyAlignment="1" applyBorder="1" applyFont="1" applyNumberFormat="1">
      <alignment horizontal="right"/>
    </xf>
    <xf borderId="12" fillId="0" fontId="44" numFmtId="0" xfId="0" applyBorder="1" applyFont="1"/>
    <xf borderId="0" fillId="0" fontId="41" numFmtId="172" xfId="0" applyFont="1" applyNumberFormat="1"/>
    <xf borderId="0" fillId="0" fontId="33" numFmtId="172" xfId="0" applyFont="1" applyNumberFormat="1"/>
    <xf borderId="0" fillId="0" fontId="31" numFmtId="172" xfId="0" applyFont="1" applyNumberFormat="1"/>
    <xf borderId="0" fillId="0" fontId="43" numFmtId="172" xfId="0" applyFont="1" applyNumberFormat="1"/>
    <xf borderId="0" fillId="0" fontId="43" numFmtId="9" xfId="0" applyFont="1" applyNumberFormat="1"/>
    <xf borderId="0" fillId="0" fontId="43" numFmtId="166" xfId="0" applyFont="1" applyNumberFormat="1"/>
    <xf borderId="0" fillId="0" fontId="31" numFmtId="0" xfId="0" applyAlignment="1" applyFont="1">
      <alignment horizontal="center"/>
    </xf>
    <xf borderId="0" fillId="0" fontId="43" numFmtId="175" xfId="0" applyFont="1" applyNumberFormat="1"/>
    <xf borderId="0" fillId="0" fontId="33" numFmtId="4" xfId="0" applyFont="1" applyNumberFormat="1"/>
    <xf borderId="0" fillId="0" fontId="33" numFmtId="10" xfId="0" applyFont="1" applyNumberFormat="1"/>
    <xf borderId="0" fillId="0" fontId="45" numFmtId="0" xfId="0" applyFont="1"/>
    <xf borderId="1" fillId="9" fontId="45" numFmtId="0" xfId="0" applyAlignment="1" applyBorder="1" applyFill="1" applyFont="1">
      <alignment horizontal="center"/>
    </xf>
    <xf borderId="0" fillId="0" fontId="45" numFmtId="0" xfId="0" applyAlignment="1" applyFont="1">
      <alignment horizontal="center"/>
    </xf>
    <xf borderId="13" fillId="9" fontId="10" numFmtId="0" xfId="0" applyAlignment="1" applyBorder="1" applyFont="1">
      <alignment horizontal="center" shrinkToFit="0" vertical="top" wrapText="1"/>
    </xf>
    <xf borderId="1" fillId="10" fontId="46" numFmtId="0" xfId="0" applyAlignment="1" applyBorder="1" applyFill="1" applyFont="1">
      <alignment horizontal="center"/>
    </xf>
    <xf borderId="13" fillId="5" fontId="3" numFmtId="0" xfId="0" applyAlignment="1" applyBorder="1" applyFont="1">
      <alignment shrinkToFit="0" vertical="top" wrapText="1"/>
    </xf>
    <xf borderId="13" fillId="5" fontId="3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14" fillId="5" fontId="3" numFmtId="0" xfId="0" applyAlignment="1" applyBorder="1" applyFont="1">
      <alignment horizontal="center" shrinkToFit="0" vertical="top" wrapText="1"/>
    </xf>
    <xf borderId="15" fillId="0" fontId="10" numFmtId="0" xfId="0" applyAlignment="1" applyBorder="1" applyFont="1">
      <alignment shrinkToFit="0" vertical="top" wrapText="1"/>
    </xf>
    <xf borderId="16" fillId="0" fontId="4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15" fillId="0" fontId="4" numFmtId="0" xfId="0" applyAlignment="1" applyBorder="1" applyFont="1">
      <alignment horizontal="center" shrinkToFit="0" vertical="top" wrapText="1"/>
    </xf>
    <xf borderId="17" fillId="11" fontId="10" numFmtId="0" xfId="0" applyAlignment="1" applyBorder="1" applyFill="1" applyFont="1">
      <alignment shrinkToFit="0" vertical="top" wrapText="1"/>
    </xf>
    <xf borderId="18" fillId="11" fontId="4" numFmtId="0" xfId="0" applyAlignment="1" applyBorder="1" applyFont="1">
      <alignment horizontal="center" shrinkToFit="0" vertical="top" wrapText="1"/>
    </xf>
    <xf borderId="17" fillId="11" fontId="4" numFmtId="0" xfId="0" applyAlignment="1" applyBorder="1" applyFont="1">
      <alignment horizontal="center" shrinkToFit="0" vertical="top" wrapText="1"/>
    </xf>
    <xf borderId="17" fillId="0" fontId="10" numFmtId="0" xfId="0" applyAlignment="1" applyBorder="1" applyFont="1">
      <alignment shrinkToFit="0" vertical="top" wrapText="1"/>
    </xf>
    <xf borderId="19" fillId="0" fontId="4" numFmtId="0" xfId="0" applyAlignment="1" applyBorder="1" applyFont="1">
      <alignment horizontal="center" shrinkToFit="0" vertical="top" wrapText="1"/>
    </xf>
    <xf borderId="17" fillId="0" fontId="4" numFmtId="0" xfId="0" applyAlignment="1" applyBorder="1" applyFont="1">
      <alignment horizontal="center" shrinkToFit="0" vertical="top" wrapText="1"/>
    </xf>
    <xf borderId="18" fillId="11" fontId="4" numFmtId="175" xfId="0" applyAlignment="1" applyBorder="1" applyFont="1" applyNumberFormat="1">
      <alignment horizontal="center" shrinkToFit="0" vertical="top" wrapText="1"/>
    </xf>
    <xf borderId="17" fillId="11" fontId="4" numFmtId="175" xfId="0" applyAlignment="1" applyBorder="1" applyFont="1" applyNumberFormat="1">
      <alignment horizontal="center" shrinkToFit="0" vertical="top" wrapText="1"/>
    </xf>
    <xf borderId="18" fillId="11" fontId="4" numFmtId="10" xfId="0" applyAlignment="1" applyBorder="1" applyFont="1" applyNumberFormat="1">
      <alignment horizontal="center" shrinkToFit="0" vertical="top" wrapText="1"/>
    </xf>
    <xf borderId="18" fillId="11" fontId="4" numFmtId="178" xfId="0" applyAlignment="1" applyBorder="1" applyFont="1" applyNumberFormat="1">
      <alignment horizontal="center" shrinkToFit="0" vertical="top" wrapText="1"/>
    </xf>
    <xf borderId="19" fillId="0" fontId="4" numFmtId="178" xfId="0" applyAlignment="1" applyBorder="1" applyFont="1" applyNumberFormat="1">
      <alignment horizontal="center" shrinkToFit="0" vertical="top" wrapText="1"/>
    </xf>
    <xf borderId="0" fillId="0" fontId="4" numFmtId="166" xfId="0" applyAlignment="1" applyFont="1" applyNumberFormat="1">
      <alignment horizontal="center"/>
    </xf>
    <xf borderId="0" fillId="0" fontId="12" numFmtId="166" xfId="0" applyAlignment="1" applyFont="1" applyNumberFormat="1">
      <alignment horizontal="center"/>
    </xf>
    <xf borderId="0" fillId="0" fontId="4" numFmtId="175" xfId="0" applyAlignment="1" applyFont="1" applyNumberFormat="1">
      <alignment horizontal="center"/>
    </xf>
    <xf borderId="0" fillId="0" fontId="12" numFmtId="175" xfId="0" applyAlignment="1" applyFont="1" applyNumberFormat="1">
      <alignment horizontal="center"/>
    </xf>
    <xf borderId="0" fillId="0" fontId="4" numFmtId="1" xfId="0" applyAlignment="1" applyFont="1" applyNumberFormat="1">
      <alignment horizontal="right"/>
    </xf>
    <xf borderId="0" fillId="0" fontId="10" numFmtId="175" xfId="0" applyFont="1" applyNumberFormat="1"/>
    <xf borderId="1" fillId="12" fontId="3" numFmtId="0" xfId="0" applyBorder="1" applyFill="1" applyFont="1"/>
    <xf borderId="1" fillId="12" fontId="4" numFmtId="0" xfId="0" applyBorder="1" applyFont="1"/>
    <xf borderId="0" fillId="0" fontId="10" numFmtId="0" xfId="0" applyAlignment="1" applyFont="1">
      <alignment horizontal="center"/>
    </xf>
    <xf borderId="0" fillId="0" fontId="33" numFmtId="0" xfId="0" applyAlignment="1" applyFont="1">
      <alignment horizontal="center"/>
    </xf>
    <xf borderId="0" fillId="0" fontId="33" numFmtId="180" xfId="0" applyAlignment="1" applyFont="1" applyNumberFormat="1">
      <alignment horizontal="right"/>
    </xf>
    <xf borderId="0" fillId="0" fontId="33" numFmtId="183" xfId="0" applyAlignment="1" applyFont="1" applyNumberFormat="1">
      <alignment horizontal="right"/>
    </xf>
    <xf borderId="0" fillId="0" fontId="33" numFmtId="166" xfId="0" applyAlignment="1" applyFont="1" applyNumberFormat="1">
      <alignment horizontal="right"/>
    </xf>
    <xf borderId="0" fillId="0" fontId="47" numFmtId="0" xfId="0" applyFont="1"/>
    <xf borderId="0" fillId="0" fontId="33" numFmtId="0" xfId="0" applyAlignment="1" applyFont="1">
      <alignment horizontal="right"/>
    </xf>
    <xf borderId="20" fillId="13" fontId="31" numFmtId="0" xfId="0" applyBorder="1" applyFill="1" applyFont="1"/>
    <xf borderId="21" fillId="13" fontId="31" numFmtId="0" xfId="0" applyBorder="1" applyFont="1"/>
    <xf borderId="21" fillId="13" fontId="31" numFmtId="3" xfId="0" applyBorder="1" applyFont="1" applyNumberFormat="1"/>
    <xf borderId="21" fillId="13" fontId="31" numFmtId="180" xfId="0" applyBorder="1" applyFont="1" applyNumberFormat="1"/>
    <xf borderId="21" fillId="13" fontId="31" numFmtId="183" xfId="0" applyBorder="1" applyFont="1" applyNumberFormat="1"/>
    <xf borderId="21" fillId="13" fontId="31" numFmtId="166" xfId="0" applyBorder="1" applyFont="1" applyNumberFormat="1"/>
    <xf borderId="21" fillId="13" fontId="48" numFmtId="0" xfId="0" applyBorder="1" applyFont="1"/>
    <xf borderId="22" fillId="13" fontId="31" numFmtId="0" xfId="0" applyBorder="1" applyFont="1"/>
    <xf borderId="4" fillId="0" fontId="31" numFmtId="0" xfId="0" applyBorder="1" applyFont="1"/>
    <xf borderId="2" fillId="0" fontId="31" numFmtId="0" xfId="0" applyBorder="1" applyFont="1"/>
    <xf borderId="2" fillId="0" fontId="31" numFmtId="3" xfId="0" applyBorder="1" applyFont="1" applyNumberFormat="1"/>
    <xf borderId="2" fillId="0" fontId="31" numFmtId="180" xfId="0" applyBorder="1" applyFont="1" applyNumberFormat="1"/>
    <xf borderId="2" fillId="0" fontId="31" numFmtId="183" xfId="0" applyBorder="1" applyFont="1" applyNumberFormat="1"/>
    <xf borderId="2" fillId="0" fontId="31" numFmtId="170" xfId="0" applyBorder="1" applyFont="1" applyNumberFormat="1"/>
    <xf borderId="2" fillId="0" fontId="31" numFmtId="166" xfId="0" applyBorder="1" applyFont="1" applyNumberFormat="1"/>
    <xf borderId="2" fillId="0" fontId="48" numFmtId="0" xfId="0" applyBorder="1" applyFont="1"/>
    <xf borderId="5" fillId="0" fontId="31" numFmtId="0" xfId="0" applyBorder="1" applyFont="1"/>
    <xf borderId="23" fillId="0" fontId="31" numFmtId="0" xfId="0" applyBorder="1" applyFont="1"/>
    <xf borderId="10" fillId="0" fontId="31" numFmtId="0" xfId="0" applyBorder="1" applyFont="1"/>
    <xf borderId="10" fillId="0" fontId="31" numFmtId="3" xfId="0" applyBorder="1" applyFont="1" applyNumberFormat="1"/>
    <xf borderId="10" fillId="0" fontId="31" numFmtId="180" xfId="0" applyBorder="1" applyFont="1" applyNumberFormat="1"/>
    <xf borderId="10" fillId="0" fontId="31" numFmtId="183" xfId="0" applyBorder="1" applyFont="1" applyNumberFormat="1"/>
    <xf borderId="10" fillId="0" fontId="31" numFmtId="166" xfId="0" applyBorder="1" applyFont="1" applyNumberFormat="1"/>
    <xf borderId="10" fillId="0" fontId="48" numFmtId="0" xfId="0" applyBorder="1" applyFont="1"/>
    <xf borderId="24" fillId="0" fontId="31" numFmtId="0" xfId="0" applyBorder="1" applyFont="1"/>
    <xf borderId="1" fillId="14" fontId="33" numFmtId="0" xfId="0" applyBorder="1" applyFill="1" applyFont="1"/>
    <xf borderId="1" fillId="6" fontId="33" numFmtId="0" xfId="0" applyBorder="1" applyFont="1"/>
    <xf borderId="1" fillId="15" fontId="33" numFmtId="0" xfId="0" applyBorder="1" applyFill="1" applyFont="1"/>
    <xf borderId="1" fillId="14" fontId="33" numFmtId="3" xfId="0" applyBorder="1" applyFont="1" applyNumberFormat="1"/>
    <xf borderId="1" fillId="14" fontId="33" numFmtId="183" xfId="0" applyBorder="1" applyFont="1" applyNumberFormat="1"/>
    <xf borderId="1" fillId="14" fontId="33" numFmtId="10" xfId="0" applyAlignment="1" applyBorder="1" applyFont="1" applyNumberFormat="1">
      <alignment horizontal="right"/>
    </xf>
    <xf borderId="1" fillId="14" fontId="39" numFmtId="0" xfId="0" applyBorder="1" applyFont="1"/>
    <xf borderId="0" fillId="0" fontId="33" numFmtId="183" xfId="0" applyFont="1" applyNumberFormat="1"/>
    <xf borderId="0" fillId="0" fontId="33" numFmtId="10" xfId="0" applyAlignment="1" applyFont="1" applyNumberFormat="1">
      <alignment horizontal="right"/>
    </xf>
    <xf borderId="1" fillId="6" fontId="33" numFmtId="3" xfId="0" applyBorder="1" applyFont="1" applyNumberFormat="1"/>
    <xf borderId="1" fillId="6" fontId="33" numFmtId="183" xfId="0" applyBorder="1" applyFont="1" applyNumberFormat="1"/>
    <xf borderId="1" fillId="6" fontId="33" numFmtId="10" xfId="0" applyAlignment="1" applyBorder="1" applyFont="1" applyNumberFormat="1">
      <alignment horizontal="right"/>
    </xf>
    <xf borderId="1" fillId="6" fontId="39" numFmtId="0" xfId="0" applyBorder="1" applyFont="1"/>
    <xf borderId="1" fillId="16" fontId="33" numFmtId="0" xfId="0" applyBorder="1" applyFill="1" applyFont="1"/>
    <xf borderId="1" fillId="16" fontId="33" numFmtId="3" xfId="0" applyBorder="1" applyFont="1" applyNumberFormat="1"/>
    <xf borderId="1" fillId="16" fontId="33" numFmtId="183" xfId="0" applyBorder="1" applyFont="1" applyNumberFormat="1"/>
    <xf borderId="1" fillId="16" fontId="33" numFmtId="10" xfId="0" applyAlignment="1" applyBorder="1" applyFont="1" applyNumberFormat="1">
      <alignment horizontal="right"/>
    </xf>
    <xf borderId="1" fillId="16" fontId="39" numFmtId="0" xfId="0" applyBorder="1" applyFont="1"/>
    <xf borderId="1" fillId="16" fontId="33" numFmtId="0" xfId="0" applyAlignment="1" applyBorder="1" applyFont="1">
      <alignment horizontal="right"/>
    </xf>
    <xf borderId="1" fillId="16" fontId="33" numFmtId="183" xfId="0" applyAlignment="1" applyBorder="1" applyFont="1" applyNumberFormat="1">
      <alignment horizontal="right"/>
    </xf>
    <xf borderId="1" fillId="16" fontId="33" numFmtId="3" xfId="0" applyAlignment="1" applyBorder="1" applyFont="1" applyNumberFormat="1">
      <alignment horizontal="right"/>
    </xf>
    <xf borderId="1" fillId="15" fontId="33" numFmtId="3" xfId="0" applyBorder="1" applyFont="1" applyNumberFormat="1"/>
    <xf borderId="1" fillId="15" fontId="33" numFmtId="0" xfId="0" applyAlignment="1" applyBorder="1" applyFont="1">
      <alignment horizontal="right"/>
    </xf>
    <xf borderId="1" fillId="15" fontId="33" numFmtId="183" xfId="0" applyAlignment="1" applyBorder="1" applyFont="1" applyNumberFormat="1">
      <alignment horizontal="right"/>
    </xf>
    <xf borderId="1" fillId="15" fontId="33" numFmtId="10" xfId="0" applyAlignment="1" applyBorder="1" applyFont="1" applyNumberFormat="1">
      <alignment horizontal="right"/>
    </xf>
    <xf borderId="1" fillId="15" fontId="33" numFmtId="3" xfId="0" applyAlignment="1" applyBorder="1" applyFont="1" applyNumberFormat="1">
      <alignment horizontal="right"/>
    </xf>
    <xf borderId="1" fillId="15" fontId="39" numFmtId="0" xfId="0" applyBorder="1" applyFont="1"/>
    <xf borderId="1" fillId="17" fontId="33" numFmtId="0" xfId="0" applyBorder="1" applyFill="1" applyFont="1"/>
    <xf borderId="1" fillId="17" fontId="33" numFmtId="3" xfId="0" applyBorder="1" applyFont="1" applyNumberFormat="1"/>
    <xf borderId="1" fillId="17" fontId="33" numFmtId="0" xfId="0" applyAlignment="1" applyBorder="1" applyFont="1">
      <alignment horizontal="right"/>
    </xf>
    <xf borderId="1" fillId="17" fontId="33" numFmtId="10" xfId="0" applyAlignment="1" applyBorder="1" applyFont="1" applyNumberFormat="1">
      <alignment horizontal="right"/>
    </xf>
    <xf borderId="1" fillId="17" fontId="39" numFmtId="0" xfId="0" applyBorder="1" applyFont="1"/>
    <xf borderId="1" fillId="17" fontId="33" numFmtId="183" xfId="0" applyAlignment="1" applyBorder="1" applyFont="1" applyNumberFormat="1">
      <alignment horizontal="right"/>
    </xf>
    <xf borderId="1" fillId="17" fontId="33" numFmtId="3" xfId="0" applyAlignment="1" applyBorder="1" applyFont="1" applyNumberFormat="1">
      <alignment horizontal="right"/>
    </xf>
    <xf borderId="21" fillId="13" fontId="31" numFmtId="184" xfId="0" applyBorder="1" applyFont="1" applyNumberFormat="1"/>
    <xf borderId="10" fillId="0" fontId="31" numFmtId="184" xfId="0" applyBorder="1" applyFont="1" applyNumberFormat="1"/>
    <xf borderId="25" fillId="0" fontId="33" numFmtId="180" xfId="0" applyBorder="1" applyFont="1" applyNumberFormat="1"/>
    <xf borderId="1" fillId="14" fontId="33" numFmtId="180" xfId="0" applyBorder="1" applyFont="1" applyNumberFormat="1"/>
    <xf borderId="0" fillId="0" fontId="49" numFmtId="0" xfId="0" applyFont="1"/>
  </cellXfs>
  <cellStyles count="1">
    <cellStyle xfId="0" name="Normal" builtinId="0"/>
  </cellStyles>
  <dxfs count="5">
    <dxf>
      <font/>
      <fill>
        <patternFill patternType="solid">
          <fgColor rgb="FFFCE4EC"/>
          <bgColor rgb="FFFCE4EC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E8EAF6"/>
          <bgColor rgb="FFE8EAF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43"/>
    <col customWidth="1" min="2" max="2" width="17.29"/>
    <col customWidth="1" min="3" max="11" width="17.71"/>
    <col customWidth="1" min="12" max="26" width="8.71"/>
  </cols>
  <sheetData>
    <row r="1" ht="24.0" customHeight="1">
      <c r="A1" s="1" t="s">
        <v>0</v>
      </c>
    </row>
    <row r="2" ht="14.25" customHeight="1">
      <c r="A2" s="2" t="s">
        <v>1</v>
      </c>
      <c r="B2" s="2" t="s">
        <v>2</v>
      </c>
      <c r="C2" s="2"/>
      <c r="D2" s="2" t="s">
        <v>3</v>
      </c>
    </row>
    <row r="3" ht="14.25" customHeight="1"/>
    <row r="4" ht="14.25" customHeight="1">
      <c r="A4" s="3" t="s">
        <v>4</v>
      </c>
      <c r="B4" s="4"/>
      <c r="C4" s="4"/>
    </row>
    <row r="5" ht="14.25" customHeight="1">
      <c r="A5" s="5" t="s">
        <v>5</v>
      </c>
      <c r="B5" s="6"/>
      <c r="C5" s="7"/>
    </row>
    <row r="6" ht="14.25" customHeight="1">
      <c r="A6" s="5" t="s">
        <v>6</v>
      </c>
      <c r="B6" s="8"/>
      <c r="C6" s="7"/>
    </row>
    <row r="7" ht="14.25" customHeight="1">
      <c r="A7" s="5" t="s">
        <v>7</v>
      </c>
      <c r="B7" s="9"/>
      <c r="C7" s="7"/>
    </row>
    <row r="8" ht="14.25" customHeight="1">
      <c r="A8" s="5" t="s">
        <v>8</v>
      </c>
      <c r="B8" s="10"/>
      <c r="C8" s="7"/>
    </row>
    <row r="9" ht="14.25" customHeight="1">
      <c r="A9" s="5" t="s">
        <v>9</v>
      </c>
      <c r="B9" s="11"/>
    </row>
    <row r="10" ht="14.25" customHeight="1">
      <c r="A10" s="5" t="s">
        <v>10</v>
      </c>
      <c r="B10" s="6"/>
    </row>
    <row r="11" ht="14.25" customHeight="1">
      <c r="A11" s="5" t="s">
        <v>11</v>
      </c>
      <c r="B11" s="6"/>
      <c r="C11" s="7"/>
    </row>
    <row r="12" ht="14.25" customHeight="1">
      <c r="A12" s="5" t="s">
        <v>12</v>
      </c>
      <c r="B12" s="12"/>
      <c r="C12" s="7"/>
    </row>
    <row r="13" ht="14.25" customHeight="1"/>
    <row r="14" ht="14.25" customHeight="1">
      <c r="A14" s="3" t="s">
        <v>13</v>
      </c>
      <c r="B14" s="4"/>
      <c r="C14" s="4"/>
    </row>
    <row r="15" ht="14.25" customHeight="1">
      <c r="A15" s="5" t="s">
        <v>14</v>
      </c>
      <c r="B15" s="11"/>
      <c r="C15" s="7"/>
    </row>
    <row r="16" ht="14.25" customHeight="1">
      <c r="A16" s="5" t="s">
        <v>15</v>
      </c>
      <c r="B16" s="13"/>
    </row>
    <row r="17" ht="14.25" customHeight="1">
      <c r="A17" s="5" t="s">
        <v>16</v>
      </c>
      <c r="B17" s="9"/>
    </row>
    <row r="18" ht="14.25" customHeight="1"/>
    <row r="19" ht="14.25" customHeight="1">
      <c r="A19" s="3" t="s">
        <v>17</v>
      </c>
      <c r="B19" s="4"/>
      <c r="C19" s="4"/>
    </row>
    <row r="20" ht="14.25" customHeight="1">
      <c r="A20" s="5" t="s">
        <v>18</v>
      </c>
      <c r="B20" s="9"/>
      <c r="C20" s="7"/>
    </row>
    <row r="21" ht="14.25" customHeight="1">
      <c r="A21" s="5" t="s">
        <v>19</v>
      </c>
      <c r="B21" s="9"/>
    </row>
    <row r="22" ht="14.25" customHeight="1">
      <c r="A22" s="5" t="s">
        <v>20</v>
      </c>
      <c r="B22" s="9"/>
    </row>
    <row r="23" ht="14.25" customHeight="1">
      <c r="A23" s="5" t="s">
        <v>21</v>
      </c>
      <c r="B23" s="9"/>
    </row>
    <row r="24" ht="14.25" customHeight="1">
      <c r="A24" s="5" t="s">
        <v>22</v>
      </c>
      <c r="B24" s="9"/>
    </row>
    <row r="25" ht="14.25" customHeight="1">
      <c r="A25" s="5" t="s">
        <v>23</v>
      </c>
      <c r="B25" s="9"/>
    </row>
    <row r="26" ht="14.25" customHeight="1"/>
    <row r="27" ht="14.25" customHeight="1">
      <c r="A27" s="3" t="s">
        <v>24</v>
      </c>
      <c r="B27" s="4"/>
      <c r="C27" s="14" t="s">
        <v>25</v>
      </c>
    </row>
    <row r="28" ht="14.25" customHeight="1">
      <c r="A28" s="5" t="s">
        <v>26</v>
      </c>
      <c r="B28" s="8"/>
      <c r="C28" s="15"/>
    </row>
    <row r="29" ht="14.25" customHeight="1">
      <c r="A29" s="5" t="s">
        <v>27</v>
      </c>
      <c r="B29" s="8"/>
      <c r="C29" s="15"/>
    </row>
    <row r="30" ht="14.25" customHeight="1">
      <c r="A30" s="5" t="s">
        <v>28</v>
      </c>
      <c r="B30" s="8"/>
      <c r="C30" s="15"/>
    </row>
    <row r="31" ht="14.25" customHeight="1">
      <c r="A31" s="5" t="s">
        <v>29</v>
      </c>
      <c r="B31" s="8"/>
      <c r="C31" s="15"/>
    </row>
    <row r="32" ht="14.25" customHeight="1">
      <c r="A32" s="5" t="s">
        <v>30</v>
      </c>
      <c r="B32" s="8"/>
      <c r="C32" s="15"/>
    </row>
    <row r="33" ht="14.25" customHeight="1">
      <c r="A33" s="5" t="s">
        <v>31</v>
      </c>
      <c r="B33" s="8"/>
      <c r="C33" s="15"/>
    </row>
    <row r="34" ht="14.25" customHeight="1">
      <c r="A34" s="5" t="s">
        <v>32</v>
      </c>
      <c r="B34" s="8"/>
      <c r="C34" s="15"/>
    </row>
    <row r="35" ht="14.25" customHeight="1">
      <c r="A35" s="5" t="s">
        <v>33</v>
      </c>
      <c r="B35" s="8"/>
      <c r="C35" s="15"/>
    </row>
    <row r="36" ht="14.25" customHeight="1">
      <c r="A36" s="5" t="s">
        <v>34</v>
      </c>
      <c r="B36" s="8"/>
      <c r="C36" s="15"/>
    </row>
    <row r="37" ht="14.25" customHeight="1">
      <c r="A37" s="5" t="s">
        <v>35</v>
      </c>
      <c r="B37" s="8"/>
      <c r="C37" s="15"/>
    </row>
    <row r="38" ht="14.25" customHeight="1">
      <c r="A38" s="5" t="s">
        <v>36</v>
      </c>
      <c r="B38" s="8"/>
      <c r="C38" s="15"/>
    </row>
    <row r="39" ht="14.25" customHeight="1">
      <c r="A39" s="16" t="s">
        <v>37</v>
      </c>
      <c r="B39" s="17"/>
    </row>
    <row r="40" ht="14.25" customHeight="1">
      <c r="A40" s="16" t="s">
        <v>38</v>
      </c>
      <c r="B40" s="18"/>
      <c r="C40" s="19"/>
    </row>
    <row r="41" ht="14.25" customHeight="1">
      <c r="A41" s="5" t="s">
        <v>39</v>
      </c>
      <c r="B41" s="9"/>
    </row>
    <row r="42" ht="14.25" customHeight="1">
      <c r="A42" s="5" t="s">
        <v>40</v>
      </c>
      <c r="B42" s="20"/>
    </row>
    <row r="43" ht="14.25" customHeight="1">
      <c r="B43" s="20"/>
    </row>
    <row r="44" ht="14.25" customHeight="1">
      <c r="A44" s="3" t="s">
        <v>41</v>
      </c>
      <c r="B44" s="4"/>
      <c r="C44" s="14" t="s">
        <v>42</v>
      </c>
    </row>
    <row r="45" ht="14.25" customHeight="1">
      <c r="A45" s="5" t="s">
        <v>43</v>
      </c>
      <c r="B45" s="8"/>
      <c r="C45" s="21"/>
    </row>
    <row r="46" ht="14.25" customHeight="1">
      <c r="A46" s="5" t="s">
        <v>44</v>
      </c>
      <c r="B46" s="8"/>
      <c r="C46" s="21"/>
    </row>
    <row r="47" ht="14.25" customHeight="1">
      <c r="A47" s="5" t="s">
        <v>45</v>
      </c>
      <c r="B47" s="8"/>
      <c r="C47" s="22"/>
    </row>
    <row r="48" ht="24.0" customHeight="1"/>
    <row r="49" ht="14.25" customHeight="1">
      <c r="A49" s="3" t="s">
        <v>46</v>
      </c>
      <c r="B49" s="4"/>
      <c r="C49" s="4"/>
    </row>
    <row r="50" ht="14.25" customHeight="1">
      <c r="A50" s="5" t="s">
        <v>47</v>
      </c>
      <c r="B50" s="8"/>
    </row>
    <row r="51" ht="14.25" customHeight="1">
      <c r="A51" s="5" t="s">
        <v>48</v>
      </c>
      <c r="B51" s="9"/>
      <c r="C51" s="7"/>
    </row>
    <row r="52" ht="14.25" customHeight="1"/>
    <row r="53" ht="14.25" customHeight="1"/>
    <row r="54" ht="14.25" customHeight="1">
      <c r="A54" s="3" t="s">
        <v>49</v>
      </c>
      <c r="B54" s="4"/>
      <c r="C54" s="4"/>
      <c r="D54" s="4"/>
      <c r="E54" s="4"/>
      <c r="F54" s="4"/>
      <c r="G54" s="4"/>
      <c r="H54" s="4"/>
      <c r="I54" s="4"/>
      <c r="J54" s="4"/>
      <c r="K54" s="23"/>
      <c r="L54" s="5" t="s">
        <v>50</v>
      </c>
    </row>
    <row r="55" ht="14.25" customHeight="1">
      <c r="A55" s="24" t="s">
        <v>51</v>
      </c>
      <c r="B55" s="25" t="s">
        <v>52</v>
      </c>
      <c r="C55" s="24" t="s">
        <v>53</v>
      </c>
      <c r="D55" s="24" t="s">
        <v>54</v>
      </c>
      <c r="E55" s="24" t="s">
        <v>55</v>
      </c>
      <c r="F55" s="24" t="s">
        <v>56</v>
      </c>
      <c r="G55" s="24" t="s">
        <v>57</v>
      </c>
      <c r="H55" s="24" t="s">
        <v>58</v>
      </c>
      <c r="I55" s="24" t="s">
        <v>59</v>
      </c>
      <c r="J55" s="24" t="s">
        <v>60</v>
      </c>
      <c r="K55" s="26" t="s">
        <v>61</v>
      </c>
      <c r="L55" s="24"/>
    </row>
    <row r="56" ht="14.25" customHeight="1">
      <c r="A56" s="27"/>
      <c r="B56" s="28"/>
      <c r="C56" s="29"/>
      <c r="D56" s="30"/>
      <c r="E56" s="31"/>
      <c r="F56" s="32"/>
      <c r="G56" s="32"/>
      <c r="H56" s="30"/>
      <c r="I56" s="32"/>
      <c r="J56" s="32"/>
      <c r="K56" s="33">
        <v>7.0</v>
      </c>
      <c r="L56" s="32"/>
    </row>
    <row r="57" ht="14.25" customHeight="1">
      <c r="A57" s="27"/>
      <c r="B57" s="28"/>
      <c r="C57" s="29"/>
      <c r="D57" s="30"/>
      <c r="E57" s="31"/>
      <c r="F57" s="32"/>
      <c r="G57" s="32"/>
      <c r="H57" s="30"/>
      <c r="I57" s="32"/>
      <c r="J57" s="32"/>
      <c r="K57" s="33">
        <v>6.0</v>
      </c>
      <c r="L57" s="32"/>
    </row>
    <row r="58" ht="14.25" customHeight="1">
      <c r="A58" s="27"/>
      <c r="B58" s="28"/>
      <c r="C58" s="29"/>
      <c r="D58" s="30"/>
      <c r="E58" s="31"/>
      <c r="F58" s="32"/>
      <c r="G58" s="32"/>
      <c r="H58" s="30"/>
      <c r="I58" s="32"/>
      <c r="J58" s="32"/>
      <c r="K58" s="33">
        <v>5.0</v>
      </c>
      <c r="L58" s="32"/>
    </row>
    <row r="59" ht="14.25" customHeight="1">
      <c r="A59" s="27"/>
      <c r="B59" s="28"/>
      <c r="C59" s="29"/>
      <c r="D59" s="30"/>
      <c r="E59" s="31"/>
      <c r="F59" s="32"/>
      <c r="G59" s="32"/>
      <c r="H59" s="30"/>
      <c r="I59" s="32"/>
      <c r="J59" s="32"/>
      <c r="K59" s="33">
        <v>4.0</v>
      </c>
      <c r="L59" s="32"/>
    </row>
    <row r="60" ht="14.25" customHeight="1"/>
    <row r="61" ht="14.25" customHeight="1">
      <c r="A61" s="2"/>
    </row>
    <row r="62" ht="14.25" customHeight="1">
      <c r="A62" s="5" t="s">
        <v>62</v>
      </c>
      <c r="B62" s="34"/>
    </row>
    <row r="63" ht="14.25" customHeight="1">
      <c r="A63" s="5" t="s">
        <v>63</v>
      </c>
      <c r="B63" s="8"/>
      <c r="C63" s="7"/>
    </row>
    <row r="64" ht="14.25" customHeight="1">
      <c r="A64" s="5" t="s">
        <v>64</v>
      </c>
      <c r="B64" s="11"/>
    </row>
    <row r="65" ht="14.25" customHeight="1"/>
    <row r="66" ht="14.25" customHeight="1">
      <c r="A66" s="35" t="s">
        <v>65</v>
      </c>
    </row>
    <row r="67" ht="14.25" customHeight="1">
      <c r="A67" s="5" t="s">
        <v>66</v>
      </c>
      <c r="B67" s="9"/>
    </row>
    <row r="68" ht="14.25" customHeight="1">
      <c r="A68" s="5" t="s">
        <v>67</v>
      </c>
      <c r="B68" s="36"/>
    </row>
    <row r="69" ht="14.25" customHeight="1">
      <c r="A69" s="5" t="s">
        <v>68</v>
      </c>
      <c r="B69" s="9"/>
    </row>
    <row r="70" ht="14.25" customHeight="1">
      <c r="A70" s="5" t="s">
        <v>69</v>
      </c>
      <c r="B70" s="37"/>
      <c r="C70" s="38"/>
    </row>
    <row r="71" ht="14.25" customHeight="1">
      <c r="A71" s="5" t="s">
        <v>70</v>
      </c>
      <c r="B71" s="9"/>
    </row>
    <row r="72" ht="14.25" customHeight="1">
      <c r="A72" s="5" t="s">
        <v>71</v>
      </c>
      <c r="B72" s="9"/>
    </row>
    <row r="73" ht="14.25" customHeight="1">
      <c r="A73" s="5" t="s">
        <v>72</v>
      </c>
      <c r="B73" s="9"/>
    </row>
    <row r="74" ht="14.25" customHeight="1">
      <c r="A74" s="5" t="s">
        <v>73</v>
      </c>
      <c r="B74" s="36"/>
    </row>
    <row r="75" ht="14.25" customHeight="1"/>
    <row r="76" ht="14.25" customHeight="1"/>
    <row r="77" ht="14.25" customHeight="1">
      <c r="A77" s="3" t="s">
        <v>74</v>
      </c>
      <c r="B77" s="4"/>
      <c r="C77" s="4"/>
      <c r="D77" s="4"/>
      <c r="E77" s="4"/>
      <c r="F77" s="4"/>
      <c r="G77" s="4"/>
      <c r="H77" s="4"/>
      <c r="I77" s="4"/>
    </row>
    <row r="78" ht="14.25" customHeight="1"/>
    <row r="79" ht="14.25" customHeight="1">
      <c r="A79" s="16"/>
      <c r="B79" s="39" t="s">
        <v>75</v>
      </c>
    </row>
    <row r="80" ht="14.25" customHeight="1">
      <c r="A80" s="16"/>
      <c r="B80" s="16"/>
      <c r="C80" s="40" t="s">
        <v>15</v>
      </c>
    </row>
    <row r="81" ht="14.25" customHeight="1">
      <c r="C81" s="41"/>
      <c r="D81" s="41"/>
      <c r="E81" s="41"/>
      <c r="F81" s="41"/>
      <c r="G81" s="41"/>
    </row>
    <row r="82" ht="14.25" customHeight="1">
      <c r="B82" s="42" t="str">
        <f>TEXT('Property Cash Flow'!$B$72,"0.00%")&amp;" / "&amp;TEXT('Property Cash Flow'!$B$75,"0.00x")</f>
        <v>#NUM!</v>
      </c>
      <c r="C82" s="41"/>
      <c r="D82" s="41"/>
      <c r="E82" s="41"/>
      <c r="F82" s="41"/>
      <c r="G82" s="41"/>
    </row>
    <row r="83" ht="14.25" customHeight="1">
      <c r="A83" s="43" t="s">
        <v>6</v>
      </c>
      <c r="B83" s="44"/>
      <c r="C83" s="45"/>
      <c r="D83" s="46"/>
      <c r="E83" s="46"/>
      <c r="F83" s="46"/>
      <c r="G83" s="47"/>
    </row>
    <row r="84" ht="14.25" customHeight="1">
      <c r="A84" s="48"/>
      <c r="B84" s="44"/>
      <c r="C84" s="49"/>
      <c r="D84" s="50"/>
      <c r="E84" s="50"/>
      <c r="F84" s="50"/>
      <c r="G84" s="51"/>
    </row>
    <row r="85" ht="14.25" customHeight="1">
      <c r="A85" s="48"/>
      <c r="B85" s="44"/>
      <c r="C85" s="49"/>
      <c r="D85" s="50"/>
      <c r="E85" s="50"/>
      <c r="F85" s="50"/>
      <c r="G85" s="51"/>
    </row>
    <row r="86" ht="14.25" customHeight="1">
      <c r="A86" s="48"/>
      <c r="B86" s="44"/>
      <c r="C86" s="49"/>
      <c r="D86" s="50"/>
      <c r="E86" s="50"/>
      <c r="F86" s="50"/>
      <c r="G86" s="51"/>
    </row>
    <row r="87" ht="14.25" customHeight="1">
      <c r="A87" s="48"/>
      <c r="B87" s="52"/>
      <c r="C87" s="53"/>
      <c r="D87" s="54"/>
      <c r="E87" s="54"/>
      <c r="F87" s="54"/>
      <c r="G87" s="55"/>
    </row>
    <row r="88" ht="14.25" customHeight="1"/>
    <row r="89" ht="14.25" customHeight="1"/>
    <row r="90" ht="14.25" customHeight="1">
      <c r="A90" s="16"/>
      <c r="B90" s="39" t="s">
        <v>76</v>
      </c>
    </row>
    <row r="91" ht="14.25" customHeight="1">
      <c r="A91" s="16"/>
      <c r="B91" s="16"/>
      <c r="C91" s="40" t="s">
        <v>77</v>
      </c>
    </row>
    <row r="92" ht="14.25" customHeight="1">
      <c r="B92" s="42" t="str">
        <f>TEXT('Property Cash Flow'!$B$72,"0.00%")&amp;" / "&amp;TEXT('Property Cash Flow'!$B$75,"0.00x")</f>
        <v>#NUM!</v>
      </c>
      <c r="C92" s="41"/>
      <c r="D92" s="41"/>
      <c r="E92" s="41"/>
      <c r="F92" s="41"/>
      <c r="G92" s="41"/>
    </row>
    <row r="93" ht="14.25" customHeight="1">
      <c r="A93" s="43" t="s">
        <v>78</v>
      </c>
      <c r="B93" s="56">
        <v>0.0</v>
      </c>
      <c r="C93" s="45"/>
      <c r="D93" s="46"/>
      <c r="E93" s="46"/>
      <c r="F93" s="46"/>
      <c r="G93" s="47"/>
    </row>
    <row r="94" ht="14.25" customHeight="1">
      <c r="A94" s="48"/>
      <c r="B94" s="56">
        <v>3.0</v>
      </c>
      <c r="C94" s="49"/>
      <c r="D94" s="50"/>
      <c r="E94" s="50"/>
      <c r="F94" s="50"/>
      <c r="G94" s="51"/>
    </row>
    <row r="95" ht="14.25" customHeight="1">
      <c r="A95" s="48"/>
      <c r="B95" s="56">
        <v>6.0</v>
      </c>
      <c r="C95" s="49"/>
      <c r="D95" s="50"/>
      <c r="E95" s="50"/>
      <c r="F95" s="50"/>
      <c r="G95" s="51"/>
    </row>
    <row r="96" ht="14.25" customHeight="1">
      <c r="A96" s="48"/>
      <c r="B96" s="56">
        <v>9.0</v>
      </c>
      <c r="C96" s="53"/>
      <c r="D96" s="54"/>
      <c r="E96" s="54"/>
      <c r="F96" s="54"/>
      <c r="G96" s="55"/>
    </row>
    <row r="97" ht="14.25" customHeight="1"/>
    <row r="98" ht="14.25" customHeight="1"/>
    <row r="99" ht="14.25" customHeight="1">
      <c r="A99" s="16"/>
      <c r="B99" s="39" t="s">
        <v>79</v>
      </c>
    </row>
    <row r="100" ht="14.25" customHeight="1">
      <c r="A100" s="16"/>
      <c r="B100" s="16"/>
      <c r="C100" s="40" t="s">
        <v>80</v>
      </c>
    </row>
    <row r="101" ht="14.25" customHeight="1">
      <c r="C101" s="41"/>
      <c r="D101" s="41"/>
      <c r="E101" s="41"/>
      <c r="F101" s="41"/>
      <c r="G101" s="41"/>
      <c r="H101" s="41"/>
      <c r="I101" s="41"/>
      <c r="J101" s="41"/>
      <c r="K101" s="41"/>
    </row>
    <row r="102" ht="14.25" customHeight="1">
      <c r="B102" s="42" t="str">
        <f>TEXT('Property Cash Flow'!$B$72,"0.00%")&amp;" / "&amp;TEXT('Property Cash Flow'!$B$75,"0.00x")</f>
        <v>#NUM!</v>
      </c>
      <c r="C102" s="41"/>
      <c r="D102" s="41"/>
      <c r="E102" s="41"/>
      <c r="F102" s="41"/>
      <c r="G102" s="57"/>
      <c r="H102" s="41"/>
      <c r="I102" s="41"/>
      <c r="J102" s="41"/>
      <c r="K102" s="41"/>
    </row>
    <row r="103" ht="14.25" customHeight="1">
      <c r="A103" s="43" t="s">
        <v>6</v>
      </c>
      <c r="B103" s="44"/>
      <c r="C103" s="45"/>
      <c r="D103" s="46"/>
      <c r="E103" s="46"/>
      <c r="F103" s="46"/>
      <c r="G103" s="46"/>
      <c r="H103" s="46"/>
      <c r="I103" s="46"/>
      <c r="J103" s="46"/>
      <c r="K103" s="47"/>
    </row>
    <row r="104" ht="14.25" customHeight="1">
      <c r="A104" s="48"/>
      <c r="B104" s="44"/>
      <c r="C104" s="49"/>
      <c r="D104" s="50"/>
      <c r="E104" s="50"/>
      <c r="F104" s="50"/>
      <c r="G104" s="50"/>
      <c r="H104" s="50"/>
      <c r="I104" s="50"/>
      <c r="J104" s="50"/>
      <c r="K104" s="51"/>
    </row>
    <row r="105" ht="14.25" customHeight="1">
      <c r="A105" s="48"/>
      <c r="B105" s="44"/>
      <c r="C105" s="49"/>
      <c r="D105" s="50"/>
      <c r="E105" s="50"/>
      <c r="F105" s="50"/>
      <c r="G105" s="50"/>
      <c r="H105" s="50"/>
      <c r="I105" s="50"/>
      <c r="J105" s="50"/>
      <c r="K105" s="51"/>
    </row>
    <row r="106" ht="14.25" customHeight="1">
      <c r="A106" s="48"/>
      <c r="B106" s="44"/>
      <c r="C106" s="49"/>
      <c r="D106" s="50"/>
      <c r="E106" s="50"/>
      <c r="F106" s="50"/>
      <c r="G106" s="50"/>
      <c r="H106" s="50"/>
      <c r="I106" s="50"/>
      <c r="J106" s="50"/>
      <c r="K106" s="51"/>
    </row>
    <row r="107" ht="14.25" customHeight="1">
      <c r="A107" s="48"/>
      <c r="B107" s="52"/>
      <c r="C107" s="53"/>
      <c r="D107" s="54"/>
      <c r="E107" s="54"/>
      <c r="F107" s="54"/>
      <c r="G107" s="54"/>
      <c r="H107" s="54"/>
      <c r="I107" s="54"/>
      <c r="J107" s="54"/>
      <c r="K107" s="55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C80:G80"/>
    <mergeCell ref="A83:A87"/>
    <mergeCell ref="C91:G91"/>
    <mergeCell ref="A93:A96"/>
    <mergeCell ref="C100:K100"/>
    <mergeCell ref="A103:A10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71"/>
    <col customWidth="1" min="2" max="2" width="5.14"/>
    <col customWidth="1" min="3" max="3" width="30.0"/>
    <col customWidth="1" min="4" max="5" width="7.57"/>
    <col customWidth="1" min="6" max="8" width="13.14"/>
    <col customWidth="1" min="9" max="10" width="8.71"/>
    <col customWidth="1" min="11" max="12" width="12.71"/>
    <col customWidth="1" min="13" max="14" width="12.0"/>
    <col customWidth="1" min="15" max="22" width="10.86"/>
    <col customWidth="1" min="23" max="24" width="12.71"/>
    <col customWidth="1" min="25" max="25" width="14.57"/>
    <col customWidth="1" min="26" max="26" width="8.71"/>
  </cols>
  <sheetData>
    <row r="1" ht="24.0" customHeight="1">
      <c r="B1" s="58" t="s">
        <v>81</v>
      </c>
    </row>
    <row r="2" ht="14.25" customHeight="1">
      <c r="B2" s="2"/>
    </row>
    <row r="3" ht="14.25" customHeight="1">
      <c r="O3" s="59" t="s">
        <v>82</v>
      </c>
    </row>
    <row r="4" ht="14.25" customHeight="1">
      <c r="A4" s="14" t="s">
        <v>83</v>
      </c>
      <c r="B4" s="14" t="s">
        <v>84</v>
      </c>
      <c r="C4" s="60" t="s">
        <v>85</v>
      </c>
      <c r="D4" s="14" t="s">
        <v>86</v>
      </c>
      <c r="E4" s="14" t="s">
        <v>87</v>
      </c>
      <c r="F4" s="14" t="s">
        <v>88</v>
      </c>
      <c r="G4" s="14" t="s">
        <v>89</v>
      </c>
      <c r="H4" s="14" t="s">
        <v>90</v>
      </c>
      <c r="I4" s="14" t="s">
        <v>91</v>
      </c>
      <c r="J4" s="14" t="s">
        <v>92</v>
      </c>
      <c r="K4" s="14" t="s">
        <v>93</v>
      </c>
      <c r="L4" s="14" t="s">
        <v>94</v>
      </c>
      <c r="M4" s="14" t="s">
        <v>95</v>
      </c>
      <c r="N4" s="14" t="s">
        <v>96</v>
      </c>
      <c r="O4" s="61" t="s">
        <v>97</v>
      </c>
      <c r="P4" s="61" t="s">
        <v>98</v>
      </c>
      <c r="Q4" s="61" t="s">
        <v>99</v>
      </c>
      <c r="R4" s="61" t="s">
        <v>53</v>
      </c>
      <c r="S4" s="61" t="s">
        <v>100</v>
      </c>
      <c r="T4" s="61" t="s">
        <v>56</v>
      </c>
      <c r="U4" s="61" t="s">
        <v>58</v>
      </c>
      <c r="V4" s="61" t="s">
        <v>101</v>
      </c>
      <c r="W4" s="61" t="s">
        <v>54</v>
      </c>
      <c r="X4" s="61" t="s">
        <v>102</v>
      </c>
      <c r="Y4" s="61" t="s">
        <v>103</v>
      </c>
    </row>
    <row r="5" ht="14.25" customHeight="1">
      <c r="A5" s="5" t="str">
        <f t="shared" ref="A5:A32" si="1">RANK(F5,$F$5:$F$32)</f>
        <v>#N/A</v>
      </c>
      <c r="B5" s="5">
        <v>1.0</v>
      </c>
      <c r="C5" s="5" t="s">
        <v>104</v>
      </c>
      <c r="E5" s="62"/>
      <c r="F5" s="63"/>
      <c r="G5" s="20"/>
      <c r="H5" s="44"/>
      <c r="I5" s="9"/>
      <c r="J5" s="50"/>
      <c r="K5" s="64"/>
      <c r="L5" s="64"/>
      <c r="M5" s="50"/>
      <c r="N5" s="65"/>
      <c r="O5" s="66"/>
      <c r="P5" s="67"/>
      <c r="Q5" s="68"/>
      <c r="R5" s="69"/>
      <c r="S5" s="66"/>
      <c r="T5" s="69"/>
      <c r="U5" s="70"/>
      <c r="V5" s="66"/>
      <c r="W5" s="71"/>
      <c r="X5" s="69"/>
      <c r="Y5" s="72"/>
    </row>
    <row r="6" ht="14.25" customHeight="1">
      <c r="A6" s="5" t="str">
        <f t="shared" si="1"/>
        <v>#N/A</v>
      </c>
      <c r="B6" s="5">
        <v>2.0</v>
      </c>
      <c r="C6" s="5" t="s">
        <v>105</v>
      </c>
      <c r="F6" s="63"/>
      <c r="G6" s="20"/>
      <c r="H6" s="44"/>
      <c r="I6" s="9"/>
      <c r="J6" s="50"/>
      <c r="K6" s="64"/>
      <c r="L6" s="64"/>
      <c r="M6" s="50"/>
      <c r="N6" s="50"/>
      <c r="O6" s="66"/>
      <c r="P6" s="67"/>
      <c r="Q6" s="68"/>
      <c r="R6" s="69"/>
      <c r="S6" s="66"/>
      <c r="T6" s="69"/>
      <c r="U6" s="70"/>
      <c r="V6" s="66"/>
      <c r="W6" s="70"/>
      <c r="X6" s="69"/>
      <c r="Y6" s="72"/>
    </row>
    <row r="7" ht="14.25" customHeight="1">
      <c r="A7" s="5" t="str">
        <f t="shared" si="1"/>
        <v>#N/A</v>
      </c>
      <c r="B7" s="5">
        <v>3.0</v>
      </c>
      <c r="C7" s="5" t="s">
        <v>106</v>
      </c>
      <c r="F7" s="63"/>
      <c r="G7" s="20"/>
      <c r="H7" s="44"/>
      <c r="I7" s="9"/>
      <c r="J7" s="50"/>
      <c r="K7" s="64"/>
      <c r="L7" s="64"/>
      <c r="M7" s="50"/>
      <c r="N7" s="50"/>
      <c r="O7" s="66"/>
      <c r="P7" s="67"/>
      <c r="Q7" s="68"/>
      <c r="R7" s="69"/>
      <c r="S7" s="66"/>
      <c r="T7" s="69"/>
      <c r="U7" s="70"/>
      <c r="V7" s="66"/>
      <c r="W7" s="70"/>
      <c r="X7" s="69"/>
      <c r="Y7" s="72"/>
    </row>
    <row r="8" ht="14.25" customHeight="1">
      <c r="A8" s="5" t="str">
        <f t="shared" si="1"/>
        <v>#N/A</v>
      </c>
      <c r="B8" s="5">
        <v>4.0</v>
      </c>
      <c r="C8" s="5" t="s">
        <v>107</v>
      </c>
      <c r="F8" s="63"/>
      <c r="G8" s="20"/>
      <c r="H8" s="44"/>
      <c r="I8" s="9"/>
      <c r="J8" s="50"/>
      <c r="K8" s="64"/>
      <c r="L8" s="64"/>
      <c r="M8" s="50"/>
      <c r="N8" s="50"/>
      <c r="O8" s="66"/>
      <c r="P8" s="67"/>
      <c r="Q8" s="68"/>
      <c r="R8" s="69"/>
      <c r="S8" s="66"/>
      <c r="T8" s="69"/>
      <c r="U8" s="70"/>
      <c r="V8" s="66"/>
      <c r="W8" s="70"/>
      <c r="X8" s="69"/>
      <c r="Y8" s="72"/>
    </row>
    <row r="9" ht="14.25" customHeight="1">
      <c r="A9" s="5" t="str">
        <f t="shared" si="1"/>
        <v>#N/A</v>
      </c>
      <c r="B9" s="5">
        <v>5.0</v>
      </c>
      <c r="C9" s="5" t="s">
        <v>108</v>
      </c>
      <c r="F9" s="63"/>
      <c r="G9" s="20"/>
      <c r="H9" s="44"/>
      <c r="I9" s="9"/>
      <c r="J9" s="50"/>
      <c r="K9" s="64"/>
      <c r="L9" s="64"/>
      <c r="M9" s="50"/>
      <c r="N9" s="50"/>
      <c r="O9" s="66"/>
      <c r="P9" s="67"/>
      <c r="Q9" s="68"/>
      <c r="R9" s="69"/>
      <c r="S9" s="66"/>
      <c r="T9" s="69"/>
      <c r="U9" s="70"/>
      <c r="V9" s="66"/>
      <c r="W9" s="70"/>
      <c r="X9" s="69"/>
      <c r="Y9" s="72"/>
    </row>
    <row r="10" ht="14.25" customHeight="1">
      <c r="A10" s="5" t="str">
        <f t="shared" si="1"/>
        <v>#N/A</v>
      </c>
      <c r="B10" s="5">
        <v>6.0</v>
      </c>
      <c r="C10" s="5" t="s">
        <v>109</v>
      </c>
      <c r="F10" s="63"/>
      <c r="G10" s="73"/>
      <c r="H10" s="44"/>
      <c r="I10" s="9"/>
      <c r="J10" s="50"/>
      <c r="K10" s="64"/>
      <c r="L10" s="64"/>
      <c r="M10" s="50"/>
      <c r="N10" s="50"/>
      <c r="O10" s="66"/>
      <c r="P10" s="67"/>
      <c r="Q10" s="68"/>
      <c r="R10" s="69"/>
      <c r="S10" s="66"/>
      <c r="T10" s="69"/>
      <c r="U10" s="70"/>
      <c r="V10" s="66"/>
      <c r="W10" s="70"/>
      <c r="X10" s="69"/>
      <c r="Y10" s="72"/>
    </row>
    <row r="11" ht="14.25" customHeight="1">
      <c r="A11" s="5" t="str">
        <f t="shared" si="1"/>
        <v>#N/A</v>
      </c>
      <c r="B11" s="5">
        <v>7.0</v>
      </c>
      <c r="C11" s="5" t="s">
        <v>110</v>
      </c>
      <c r="F11" s="63"/>
      <c r="G11" s="20"/>
      <c r="H11" s="44"/>
      <c r="I11" s="9"/>
      <c r="J11" s="50"/>
      <c r="K11" s="64"/>
      <c r="L11" s="64"/>
      <c r="M11" s="50"/>
      <c r="N11" s="50"/>
      <c r="O11" s="66"/>
      <c r="P11" s="67"/>
      <c r="Q11" s="68"/>
      <c r="R11" s="69"/>
      <c r="S11" s="66"/>
      <c r="T11" s="69"/>
      <c r="U11" s="70"/>
      <c r="V11" s="66"/>
      <c r="W11" s="70"/>
      <c r="X11" s="69"/>
      <c r="Y11" s="72"/>
    </row>
    <row r="12" ht="14.25" customHeight="1">
      <c r="A12" s="5" t="str">
        <f t="shared" si="1"/>
        <v>#N/A</v>
      </c>
      <c r="B12" s="5">
        <v>8.0</v>
      </c>
      <c r="C12" s="5" t="s">
        <v>111</v>
      </c>
      <c r="F12" s="63"/>
      <c r="G12" s="20"/>
      <c r="H12" s="44"/>
      <c r="I12" s="9"/>
      <c r="J12" s="50"/>
      <c r="K12" s="64"/>
      <c r="L12" s="64"/>
      <c r="M12" s="50"/>
      <c r="N12" s="50"/>
      <c r="O12" s="66"/>
      <c r="P12" s="67"/>
      <c r="Q12" s="68"/>
      <c r="R12" s="69"/>
      <c r="S12" s="66"/>
      <c r="T12" s="69"/>
      <c r="U12" s="70"/>
      <c r="V12" s="66"/>
      <c r="W12" s="70"/>
      <c r="X12" s="69"/>
      <c r="Y12" s="72"/>
    </row>
    <row r="13" ht="14.25" customHeight="1">
      <c r="A13" s="5" t="str">
        <f t="shared" si="1"/>
        <v>#N/A</v>
      </c>
      <c r="B13" s="5">
        <v>9.0</v>
      </c>
      <c r="C13" s="5" t="s">
        <v>112</v>
      </c>
      <c r="F13" s="63"/>
      <c r="G13" s="20"/>
      <c r="H13" s="44"/>
      <c r="I13" s="9"/>
      <c r="J13" s="50"/>
      <c r="K13" s="64"/>
      <c r="L13" s="64"/>
      <c r="M13" s="50"/>
      <c r="N13" s="50"/>
      <c r="O13" s="66"/>
      <c r="P13" s="67"/>
      <c r="Q13" s="68"/>
      <c r="R13" s="69"/>
      <c r="S13" s="66"/>
      <c r="T13" s="69"/>
      <c r="U13" s="70"/>
      <c r="V13" s="66"/>
      <c r="W13" s="70"/>
      <c r="X13" s="69"/>
      <c r="Y13" s="72"/>
    </row>
    <row r="14" ht="14.25" customHeight="1">
      <c r="A14" s="5" t="str">
        <f t="shared" si="1"/>
        <v>#N/A</v>
      </c>
      <c r="B14" s="5">
        <v>10.0</v>
      </c>
      <c r="C14" s="5" t="s">
        <v>113</v>
      </c>
      <c r="F14" s="63"/>
      <c r="G14" s="20"/>
      <c r="H14" s="44"/>
      <c r="I14" s="9"/>
      <c r="J14" s="50"/>
      <c r="K14" s="64"/>
      <c r="L14" s="64"/>
      <c r="M14" s="50"/>
      <c r="N14" s="50"/>
      <c r="O14" s="66"/>
      <c r="P14" s="67"/>
      <c r="Q14" s="68"/>
      <c r="R14" s="69"/>
      <c r="S14" s="66"/>
      <c r="T14" s="69"/>
      <c r="U14" s="70"/>
      <c r="V14" s="66"/>
      <c r="W14" s="70"/>
      <c r="X14" s="69"/>
      <c r="Y14" s="72"/>
    </row>
    <row r="15" ht="14.25" customHeight="1">
      <c r="A15" s="5" t="str">
        <f t="shared" si="1"/>
        <v>#N/A</v>
      </c>
      <c r="B15" s="5">
        <v>11.0</v>
      </c>
      <c r="C15" s="5" t="s">
        <v>114</v>
      </c>
      <c r="F15" s="63"/>
      <c r="G15" s="20"/>
      <c r="H15" s="44"/>
      <c r="I15" s="9"/>
      <c r="J15" s="50"/>
      <c r="K15" s="64"/>
      <c r="L15" s="64"/>
      <c r="M15" s="50"/>
      <c r="N15" s="50"/>
      <c r="O15" s="66"/>
      <c r="P15" s="67"/>
      <c r="Q15" s="68"/>
      <c r="R15" s="69"/>
      <c r="S15" s="66"/>
      <c r="T15" s="69"/>
      <c r="U15" s="70"/>
      <c r="V15" s="66"/>
      <c r="W15" s="70"/>
      <c r="X15" s="69"/>
      <c r="Y15" s="72"/>
    </row>
    <row r="16" ht="14.25" customHeight="1">
      <c r="A16" s="5" t="str">
        <f t="shared" si="1"/>
        <v>#N/A</v>
      </c>
      <c r="B16" s="5">
        <v>12.0</v>
      </c>
      <c r="C16" s="5" t="s">
        <v>115</v>
      </c>
      <c r="F16" s="63"/>
      <c r="G16" s="20"/>
      <c r="H16" s="44"/>
      <c r="I16" s="9"/>
      <c r="J16" s="50"/>
      <c r="K16" s="64"/>
      <c r="L16" s="64"/>
      <c r="M16" s="50"/>
      <c r="N16" s="50"/>
      <c r="O16" s="66"/>
      <c r="P16" s="67"/>
      <c r="Q16" s="68"/>
      <c r="R16" s="69"/>
      <c r="S16" s="66"/>
      <c r="T16" s="69"/>
      <c r="U16" s="70"/>
      <c r="V16" s="66"/>
      <c r="W16" s="70"/>
      <c r="X16" s="69"/>
      <c r="Y16" s="72"/>
    </row>
    <row r="17" ht="14.25" customHeight="1">
      <c r="A17" s="5" t="str">
        <f t="shared" si="1"/>
        <v>#N/A</v>
      </c>
      <c r="B17" s="5">
        <v>13.0</v>
      </c>
      <c r="C17" s="5" t="s">
        <v>116</v>
      </c>
      <c r="F17" s="63"/>
      <c r="G17" s="20"/>
      <c r="H17" s="44"/>
      <c r="I17" s="9"/>
      <c r="J17" s="50"/>
      <c r="K17" s="64"/>
      <c r="L17" s="64"/>
      <c r="M17" s="50"/>
      <c r="N17" s="50"/>
      <c r="O17" s="66"/>
      <c r="P17" s="67"/>
      <c r="Q17" s="68"/>
      <c r="R17" s="69"/>
      <c r="S17" s="66"/>
      <c r="T17" s="69"/>
      <c r="U17" s="70"/>
      <c r="V17" s="66"/>
      <c r="W17" s="70"/>
      <c r="X17" s="69"/>
      <c r="Y17" s="72"/>
    </row>
    <row r="18" ht="14.25" customHeight="1">
      <c r="A18" s="5" t="str">
        <f t="shared" si="1"/>
        <v>#N/A</v>
      </c>
      <c r="B18" s="5">
        <v>14.0</v>
      </c>
      <c r="C18" s="5" t="s">
        <v>117</v>
      </c>
      <c r="F18" s="63"/>
      <c r="G18" s="20"/>
      <c r="H18" s="44"/>
      <c r="I18" s="9"/>
      <c r="J18" s="50"/>
      <c r="K18" s="64"/>
      <c r="L18" s="64"/>
      <c r="M18" s="50"/>
      <c r="N18" s="50"/>
      <c r="O18" s="66"/>
      <c r="P18" s="67"/>
      <c r="Q18" s="68"/>
      <c r="R18" s="69"/>
      <c r="S18" s="66"/>
      <c r="T18" s="69"/>
      <c r="U18" s="70"/>
      <c r="V18" s="66"/>
      <c r="W18" s="70"/>
      <c r="X18" s="69"/>
      <c r="Y18" s="72"/>
    </row>
    <row r="19" ht="14.25" customHeight="1">
      <c r="A19" s="5" t="str">
        <f t="shared" si="1"/>
        <v>#N/A</v>
      </c>
      <c r="B19" s="5">
        <v>15.0</v>
      </c>
      <c r="C19" s="5" t="s">
        <v>118</v>
      </c>
      <c r="F19" s="63"/>
      <c r="G19" s="20"/>
      <c r="H19" s="44"/>
      <c r="I19" s="9"/>
      <c r="J19" s="50"/>
      <c r="K19" s="64"/>
      <c r="L19" s="64"/>
      <c r="M19" s="50"/>
      <c r="N19" s="50"/>
      <c r="O19" s="66"/>
      <c r="P19" s="67"/>
      <c r="Q19" s="68"/>
      <c r="R19" s="69"/>
      <c r="S19" s="66"/>
      <c r="T19" s="69"/>
      <c r="U19" s="70"/>
      <c r="V19" s="66"/>
      <c r="W19" s="70"/>
      <c r="X19" s="69"/>
      <c r="Y19" s="72"/>
    </row>
    <row r="20" ht="14.25" customHeight="1">
      <c r="A20" s="5" t="str">
        <f t="shared" si="1"/>
        <v>#N/A</v>
      </c>
      <c r="B20" s="5">
        <v>16.0</v>
      </c>
      <c r="C20" s="5" t="s">
        <v>119</v>
      </c>
      <c r="F20" s="63"/>
      <c r="G20" s="20"/>
      <c r="H20" s="44"/>
      <c r="I20" s="9"/>
      <c r="J20" s="50"/>
      <c r="K20" s="64"/>
      <c r="L20" s="64"/>
      <c r="M20" s="50"/>
      <c r="N20" s="50"/>
      <c r="O20" s="66"/>
      <c r="P20" s="67"/>
      <c r="Q20" s="68"/>
      <c r="R20" s="69"/>
      <c r="S20" s="66"/>
      <c r="T20" s="69"/>
      <c r="U20" s="70"/>
      <c r="V20" s="66"/>
      <c r="W20" s="70"/>
      <c r="X20" s="69"/>
      <c r="Y20" s="72"/>
    </row>
    <row r="21" ht="14.25" customHeight="1">
      <c r="A21" s="5" t="str">
        <f t="shared" si="1"/>
        <v>#N/A</v>
      </c>
      <c r="B21" s="5">
        <v>17.0</v>
      </c>
      <c r="C21" s="5" t="s">
        <v>120</v>
      </c>
      <c r="F21" s="63"/>
      <c r="G21" s="20"/>
      <c r="H21" s="44"/>
      <c r="I21" s="9"/>
      <c r="J21" s="50"/>
      <c r="K21" s="64"/>
      <c r="L21" s="64"/>
      <c r="M21" s="50"/>
      <c r="N21" s="50"/>
      <c r="O21" s="66"/>
      <c r="P21" s="67"/>
      <c r="Q21" s="68"/>
      <c r="R21" s="69"/>
      <c r="S21" s="66"/>
      <c r="T21" s="69"/>
      <c r="U21" s="70"/>
      <c r="V21" s="66"/>
      <c r="W21" s="70"/>
      <c r="X21" s="69"/>
      <c r="Y21" s="72"/>
    </row>
    <row r="22" ht="14.25" customHeight="1">
      <c r="A22" s="5" t="str">
        <f t="shared" si="1"/>
        <v>#N/A</v>
      </c>
      <c r="B22" s="5">
        <v>18.0</v>
      </c>
      <c r="C22" s="5" t="s">
        <v>121</v>
      </c>
      <c r="F22" s="63"/>
      <c r="G22" s="20"/>
      <c r="H22" s="44"/>
      <c r="I22" s="9"/>
      <c r="J22" s="50"/>
      <c r="K22" s="64"/>
      <c r="L22" s="64"/>
      <c r="M22" s="50"/>
      <c r="N22" s="50"/>
      <c r="O22" s="66"/>
      <c r="P22" s="67"/>
      <c r="Q22" s="68"/>
      <c r="R22" s="69"/>
      <c r="S22" s="66"/>
      <c r="T22" s="69"/>
      <c r="U22" s="70"/>
      <c r="V22" s="66"/>
      <c r="W22" s="70"/>
      <c r="X22" s="69"/>
      <c r="Y22" s="72"/>
    </row>
    <row r="23" ht="14.25" customHeight="1">
      <c r="A23" s="5" t="str">
        <f t="shared" si="1"/>
        <v>#N/A</v>
      </c>
      <c r="B23" s="5">
        <v>19.0</v>
      </c>
      <c r="C23" s="5" t="s">
        <v>122</v>
      </c>
      <c r="F23" s="63"/>
      <c r="G23" s="20"/>
      <c r="H23" s="44"/>
      <c r="I23" s="9"/>
      <c r="J23" s="50"/>
      <c r="K23" s="64"/>
      <c r="L23" s="64"/>
      <c r="M23" s="50"/>
      <c r="N23" s="50"/>
      <c r="O23" s="66"/>
      <c r="P23" s="67"/>
      <c r="Q23" s="68"/>
      <c r="R23" s="69"/>
      <c r="S23" s="66"/>
      <c r="T23" s="69"/>
      <c r="U23" s="70"/>
      <c r="V23" s="66"/>
      <c r="W23" s="70"/>
      <c r="X23" s="69"/>
      <c r="Y23" s="72"/>
    </row>
    <row r="24" ht="14.25" customHeight="1">
      <c r="A24" s="5" t="str">
        <f t="shared" si="1"/>
        <v>#N/A</v>
      </c>
      <c r="B24" s="5">
        <v>20.0</v>
      </c>
      <c r="C24" s="5" t="s">
        <v>123</v>
      </c>
      <c r="F24" s="63"/>
      <c r="G24" s="20"/>
      <c r="H24" s="44"/>
      <c r="I24" s="9"/>
      <c r="J24" s="50"/>
      <c r="K24" s="64"/>
      <c r="L24" s="64"/>
      <c r="M24" s="50"/>
      <c r="N24" s="65"/>
      <c r="O24" s="66"/>
      <c r="P24" s="67"/>
      <c r="Q24" s="68"/>
      <c r="R24" s="69"/>
      <c r="S24" s="66"/>
      <c r="T24" s="69"/>
      <c r="U24" s="70"/>
      <c r="V24" s="66"/>
      <c r="W24" s="70"/>
      <c r="X24" s="69"/>
      <c r="Y24" s="72"/>
    </row>
    <row r="25" ht="14.25" customHeight="1">
      <c r="A25" s="5" t="str">
        <f t="shared" si="1"/>
        <v>#N/A</v>
      </c>
      <c r="B25" s="5">
        <v>21.0</v>
      </c>
      <c r="C25" s="5" t="s">
        <v>124</v>
      </c>
      <c r="F25" s="63"/>
      <c r="G25" s="20"/>
      <c r="H25" s="44"/>
      <c r="M25" s="50"/>
      <c r="N25" s="74"/>
      <c r="O25" s="75"/>
      <c r="P25" s="67"/>
      <c r="Q25" s="68"/>
      <c r="R25" s="69"/>
      <c r="S25" s="66"/>
      <c r="T25" s="69"/>
      <c r="U25" s="70"/>
      <c r="V25" s="66"/>
      <c r="W25" s="70"/>
      <c r="X25" s="69"/>
    </row>
    <row r="26" ht="14.25" customHeight="1">
      <c r="A26" s="5" t="str">
        <f t="shared" si="1"/>
        <v>#N/A</v>
      </c>
      <c r="B26" s="5">
        <v>22.0</v>
      </c>
      <c r="C26" s="5" t="s">
        <v>125</v>
      </c>
      <c r="F26" s="63"/>
      <c r="G26" s="20"/>
      <c r="H26" s="44"/>
      <c r="M26" s="50"/>
      <c r="N26" s="74"/>
      <c r="O26" s="75"/>
      <c r="P26" s="67"/>
      <c r="Q26" s="68"/>
      <c r="R26" s="69"/>
      <c r="S26" s="66"/>
      <c r="T26" s="69"/>
      <c r="U26" s="70"/>
      <c r="V26" s="66"/>
      <c r="W26" s="70"/>
      <c r="X26" s="69"/>
    </row>
    <row r="27" ht="14.25" customHeight="1">
      <c r="A27" s="5" t="str">
        <f t="shared" si="1"/>
        <v>#N/A</v>
      </c>
      <c r="B27" s="5">
        <v>23.0</v>
      </c>
      <c r="C27" s="5" t="s">
        <v>126</v>
      </c>
      <c r="F27" s="63"/>
      <c r="G27" s="20"/>
      <c r="H27" s="44"/>
      <c r="M27" s="50"/>
      <c r="N27" s="74"/>
      <c r="O27" s="75"/>
      <c r="P27" s="67"/>
      <c r="Q27" s="68"/>
      <c r="R27" s="69"/>
      <c r="S27" s="66"/>
      <c r="T27" s="69"/>
      <c r="U27" s="70"/>
      <c r="V27" s="66"/>
      <c r="W27" s="70"/>
      <c r="X27" s="69"/>
    </row>
    <row r="28" ht="14.25" customHeight="1">
      <c r="A28" s="5" t="str">
        <f t="shared" si="1"/>
        <v>#N/A</v>
      </c>
      <c r="B28" s="5">
        <v>24.0</v>
      </c>
      <c r="C28" s="5" t="s">
        <v>127</v>
      </c>
      <c r="F28" s="63"/>
      <c r="G28" s="20"/>
      <c r="H28" s="44"/>
      <c r="M28" s="50"/>
      <c r="N28" s="74"/>
      <c r="O28" s="75"/>
      <c r="P28" s="67"/>
      <c r="Q28" s="68"/>
      <c r="R28" s="69"/>
      <c r="S28" s="66"/>
      <c r="T28" s="69"/>
      <c r="U28" s="70"/>
      <c r="V28" s="66"/>
      <c r="W28" s="70"/>
      <c r="X28" s="69"/>
    </row>
    <row r="29" ht="14.25" customHeight="1">
      <c r="A29" s="5" t="str">
        <f t="shared" si="1"/>
        <v>#N/A</v>
      </c>
      <c r="B29" s="5">
        <v>25.0</v>
      </c>
      <c r="C29" s="5" t="s">
        <v>128</v>
      </c>
      <c r="F29" s="63"/>
      <c r="G29" s="20"/>
      <c r="H29" s="44"/>
      <c r="M29" s="50"/>
      <c r="N29" s="74"/>
      <c r="O29" s="75"/>
      <c r="P29" s="67"/>
      <c r="Q29" s="68"/>
      <c r="R29" s="69"/>
      <c r="S29" s="66"/>
      <c r="T29" s="69"/>
      <c r="U29" s="70"/>
      <c r="V29" s="66"/>
      <c r="W29" s="70"/>
      <c r="X29" s="69"/>
    </row>
    <row r="30" ht="14.25" customHeight="1">
      <c r="A30" s="5" t="str">
        <f t="shared" si="1"/>
        <v>#N/A</v>
      </c>
      <c r="B30" s="5">
        <v>26.0</v>
      </c>
      <c r="C30" s="5" t="s">
        <v>129</v>
      </c>
      <c r="F30" s="63"/>
      <c r="G30" s="20"/>
      <c r="H30" s="44"/>
      <c r="M30" s="50"/>
      <c r="N30" s="74"/>
      <c r="O30" s="75"/>
      <c r="P30" s="67"/>
      <c r="Q30" s="68"/>
      <c r="R30" s="69"/>
      <c r="S30" s="66"/>
      <c r="T30" s="69"/>
      <c r="U30" s="70"/>
      <c r="V30" s="66"/>
      <c r="W30" s="70"/>
      <c r="X30" s="69"/>
    </row>
    <row r="31" ht="14.25" customHeight="1">
      <c r="A31" s="5" t="str">
        <f t="shared" si="1"/>
        <v>#N/A</v>
      </c>
      <c r="B31" s="5">
        <v>27.0</v>
      </c>
      <c r="C31" s="5" t="s">
        <v>130</v>
      </c>
      <c r="F31" s="63"/>
      <c r="G31" s="20"/>
      <c r="H31" s="44"/>
      <c r="M31" s="50"/>
      <c r="N31" s="74"/>
      <c r="O31" s="75"/>
      <c r="P31" s="67"/>
      <c r="Q31" s="68"/>
      <c r="R31" s="69"/>
      <c r="S31" s="66"/>
      <c r="T31" s="69"/>
      <c r="U31" s="70"/>
      <c r="V31" s="66"/>
      <c r="W31" s="70"/>
      <c r="X31" s="69"/>
    </row>
    <row r="32" ht="14.25" customHeight="1">
      <c r="A32" s="5" t="str">
        <f t="shared" si="1"/>
        <v>#N/A</v>
      </c>
      <c r="B32" s="5">
        <v>28.0</v>
      </c>
      <c r="C32" s="5" t="s">
        <v>131</v>
      </c>
      <c r="F32" s="63"/>
      <c r="G32" s="20"/>
      <c r="H32" s="44"/>
      <c r="M32" s="50"/>
      <c r="N32" s="74"/>
      <c r="O32" s="75"/>
      <c r="P32" s="67"/>
      <c r="Q32" s="68"/>
      <c r="R32" s="69"/>
      <c r="S32" s="66"/>
      <c r="T32" s="69"/>
      <c r="U32" s="70"/>
      <c r="V32" s="66"/>
      <c r="W32" s="70"/>
      <c r="X32" s="69"/>
    </row>
    <row r="33" ht="14.25" customHeight="1">
      <c r="G33" s="76"/>
      <c r="X33" s="69"/>
    </row>
    <row r="34" ht="14.25" customHeight="1">
      <c r="B34" s="16" t="s">
        <v>132</v>
      </c>
      <c r="C34" s="7" t="s">
        <v>133</v>
      </c>
      <c r="F34" s="77">
        <f>SUM(F5:F32)</f>
        <v>0</v>
      </c>
      <c r="G34" s="76" t="str">
        <f>H34/F34</f>
        <v>#DIV/0!</v>
      </c>
      <c r="H34" s="78">
        <f>SUM(H5:H32)</f>
        <v>0</v>
      </c>
      <c r="L34" s="64" t="str">
        <f t="array" ref="L34">SUMPRODUCT((L5:L32)*(H5:H32)*(N5:N32&lt;&gt;"Vacant"))/H34</f>
        <v>#DIV/0!</v>
      </c>
      <c r="X34" s="69" t="str">
        <f>SUMPRODUCT(X5:X32,F5:F32)/F34</f>
        <v>#DIV/0!</v>
      </c>
    </row>
    <row r="35" ht="14.25" customHeight="1">
      <c r="X35" s="76"/>
    </row>
    <row r="36" ht="14.25" customHeight="1">
      <c r="B36" s="7" t="s">
        <v>134</v>
      </c>
      <c r="F36" s="79">
        <f>F34-BldgSF</f>
        <v>0</v>
      </c>
      <c r="G36" s="24" t="str">
        <f>IF(F36=0,"OK","CHECK")</f>
        <v>OK</v>
      </c>
    </row>
    <row r="37" ht="14.25" customHeight="1"/>
    <row r="38" ht="14.25" customHeight="1">
      <c r="B38" s="3" t="s">
        <v>135</v>
      </c>
      <c r="C38" s="3"/>
      <c r="D38" s="3"/>
      <c r="E38" s="3"/>
      <c r="F38" s="3"/>
      <c r="G38" s="3"/>
      <c r="H38" s="3"/>
      <c r="I38" s="3"/>
      <c r="J38" s="3"/>
      <c r="K38" s="3"/>
    </row>
    <row r="39" ht="14.25" customHeight="1"/>
    <row r="40" ht="14.25" customHeight="1">
      <c r="B40" s="24" t="s">
        <v>84</v>
      </c>
      <c r="C40" s="25" t="s">
        <v>86</v>
      </c>
      <c r="D40" s="24" t="s">
        <v>136</v>
      </c>
      <c r="F40" s="24" t="s">
        <v>88</v>
      </c>
      <c r="O40" s="24" t="s">
        <v>137</v>
      </c>
      <c r="T40" s="24" t="s">
        <v>138</v>
      </c>
      <c r="U40" s="24" t="s">
        <v>58</v>
      </c>
      <c r="V40" s="24" t="s">
        <v>101</v>
      </c>
      <c r="X40" s="24" t="s">
        <v>89</v>
      </c>
    </row>
    <row r="41" ht="14.25" customHeight="1">
      <c r="B41" s="5">
        <v>29.0</v>
      </c>
      <c r="C41" s="5" t="s">
        <v>139</v>
      </c>
      <c r="D41" s="5">
        <v>6.0</v>
      </c>
      <c r="F41" s="63"/>
      <c r="M41" s="32"/>
      <c r="N41" s="32"/>
      <c r="O41" s="80"/>
      <c r="P41" s="81" t="s">
        <v>140</v>
      </c>
      <c r="T41" s="69" t="str">
        <f>SpecTI</f>
        <v/>
      </c>
      <c r="U41" s="30"/>
      <c r="V41" s="32"/>
      <c r="X41" s="29"/>
    </row>
    <row r="42" ht="14.25" customHeight="1">
      <c r="B42" s="5">
        <v>30.0</v>
      </c>
      <c r="C42" s="5" t="s">
        <v>141</v>
      </c>
      <c r="D42" s="5">
        <v>6.0</v>
      </c>
      <c r="F42" s="63"/>
      <c r="M42" s="32"/>
      <c r="N42" s="32"/>
      <c r="O42" s="80"/>
      <c r="P42" s="81" t="s">
        <v>140</v>
      </c>
      <c r="T42" s="69" t="str">
        <f>SpecTI</f>
        <v/>
      </c>
      <c r="U42" s="30"/>
      <c r="V42" s="32"/>
      <c r="X42" s="29"/>
    </row>
    <row r="43" ht="14.25" customHeight="1">
      <c r="B43" s="5">
        <v>31.0</v>
      </c>
      <c r="C43" s="5" t="s">
        <v>142</v>
      </c>
      <c r="D43" s="5">
        <v>7.0</v>
      </c>
      <c r="F43" s="63"/>
      <c r="M43" s="32"/>
      <c r="N43" s="32"/>
      <c r="O43" s="80"/>
      <c r="P43" s="81" t="s">
        <v>140</v>
      </c>
      <c r="T43" s="69" t="str">
        <f>SpecTI</f>
        <v/>
      </c>
      <c r="U43" s="30"/>
      <c r="V43" s="32"/>
      <c r="X43" s="29"/>
    </row>
    <row r="44" ht="14.25" customHeight="1">
      <c r="B44" s="5">
        <v>32.0</v>
      </c>
      <c r="C44" s="5" t="s">
        <v>143</v>
      </c>
      <c r="D44" s="5">
        <v>7.0</v>
      </c>
      <c r="F44" s="63"/>
      <c r="M44" s="32"/>
      <c r="N44" s="32"/>
      <c r="O44" s="80"/>
      <c r="P44" s="81" t="s">
        <v>140</v>
      </c>
      <c r="T44" s="69" t="str">
        <f>SpecTI</f>
        <v/>
      </c>
      <c r="U44" s="30"/>
      <c r="V44" s="32"/>
      <c r="X44" s="29"/>
    </row>
    <row r="45" ht="14.25" customHeight="1">
      <c r="B45" s="5">
        <v>33.0</v>
      </c>
      <c r="C45" s="5" t="s">
        <v>144</v>
      </c>
      <c r="D45" s="5">
        <v>8.0</v>
      </c>
      <c r="F45" s="63"/>
      <c r="M45" s="32"/>
      <c r="N45" s="32"/>
      <c r="O45" s="80"/>
      <c r="P45" s="81" t="s">
        <v>140</v>
      </c>
      <c r="T45" s="69" t="str">
        <f>SpecTI</f>
        <v/>
      </c>
      <c r="U45" s="30"/>
      <c r="V45" s="32"/>
      <c r="X45" s="29"/>
    </row>
    <row r="46" ht="14.25" customHeight="1">
      <c r="B46" s="5">
        <v>34.0</v>
      </c>
      <c r="C46" s="5" t="s">
        <v>145</v>
      </c>
      <c r="D46" s="5">
        <v>8.0</v>
      </c>
      <c r="F46" s="63"/>
      <c r="M46" s="32"/>
      <c r="N46" s="32"/>
      <c r="O46" s="80"/>
      <c r="P46" s="81" t="s">
        <v>140</v>
      </c>
      <c r="T46" s="69" t="str">
        <f>SpecTI</f>
        <v/>
      </c>
      <c r="U46" s="30"/>
      <c r="V46" s="32"/>
      <c r="X46" s="29"/>
    </row>
    <row r="47" ht="14.25" customHeight="1">
      <c r="C47" s="7" t="s">
        <v>146</v>
      </c>
      <c r="F47" s="82">
        <f>SUM(F41:F46)</f>
        <v>0</v>
      </c>
      <c r="M47" s="38"/>
      <c r="N47" s="38"/>
      <c r="X47" s="76"/>
    </row>
    <row r="48" ht="14.25" customHeight="1">
      <c r="X48" s="76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Row="1"/>
  <cols>
    <col customWidth="1" min="1" max="1" width="27.29"/>
    <col customWidth="1" min="2" max="2" width="25.43"/>
    <col customWidth="1" min="3" max="3" width="1.86"/>
    <col customWidth="1" min="4" max="76" width="12.0"/>
  </cols>
  <sheetData>
    <row r="1" ht="14.25" customHeight="1">
      <c r="A1" s="58" t="s">
        <v>147</v>
      </c>
    </row>
    <row r="2" ht="14.25" customHeight="1"/>
    <row r="3" ht="14.25" customHeight="1">
      <c r="A3" s="16" t="s">
        <v>148</v>
      </c>
      <c r="D3" s="83">
        <v>0.0</v>
      </c>
      <c r="E3" s="83">
        <f t="shared" ref="E3:BX3" si="1">D3+1</f>
        <v>1</v>
      </c>
      <c r="F3" s="83">
        <f t="shared" si="1"/>
        <v>2</v>
      </c>
      <c r="G3" s="83">
        <f t="shared" si="1"/>
        <v>3</v>
      </c>
      <c r="H3" s="83">
        <f t="shared" si="1"/>
        <v>4</v>
      </c>
      <c r="I3" s="83">
        <f t="shared" si="1"/>
        <v>5</v>
      </c>
      <c r="J3" s="83">
        <f t="shared" si="1"/>
        <v>6</v>
      </c>
      <c r="K3" s="83">
        <f t="shared" si="1"/>
        <v>7</v>
      </c>
      <c r="L3" s="83">
        <f t="shared" si="1"/>
        <v>8</v>
      </c>
      <c r="M3" s="83">
        <f t="shared" si="1"/>
        <v>9</v>
      </c>
      <c r="N3" s="83">
        <f t="shared" si="1"/>
        <v>10</v>
      </c>
      <c r="O3" s="83">
        <f t="shared" si="1"/>
        <v>11</v>
      </c>
      <c r="P3" s="83">
        <f t="shared" si="1"/>
        <v>12</v>
      </c>
      <c r="Q3" s="83">
        <f t="shared" si="1"/>
        <v>13</v>
      </c>
      <c r="R3" s="83">
        <f t="shared" si="1"/>
        <v>14</v>
      </c>
      <c r="S3" s="83">
        <f t="shared" si="1"/>
        <v>15</v>
      </c>
      <c r="T3" s="83">
        <f t="shared" si="1"/>
        <v>16</v>
      </c>
      <c r="U3" s="83">
        <f t="shared" si="1"/>
        <v>17</v>
      </c>
      <c r="V3" s="83">
        <f t="shared" si="1"/>
        <v>18</v>
      </c>
      <c r="W3" s="83">
        <f t="shared" si="1"/>
        <v>19</v>
      </c>
      <c r="X3" s="83">
        <f t="shared" si="1"/>
        <v>20</v>
      </c>
      <c r="Y3" s="83">
        <f t="shared" si="1"/>
        <v>21</v>
      </c>
      <c r="Z3" s="83">
        <f t="shared" si="1"/>
        <v>22</v>
      </c>
      <c r="AA3" s="83">
        <f t="shared" si="1"/>
        <v>23</v>
      </c>
      <c r="AB3" s="83">
        <f t="shared" si="1"/>
        <v>24</v>
      </c>
      <c r="AC3" s="83">
        <f t="shared" si="1"/>
        <v>25</v>
      </c>
      <c r="AD3" s="83">
        <f t="shared" si="1"/>
        <v>26</v>
      </c>
      <c r="AE3" s="83">
        <f t="shared" si="1"/>
        <v>27</v>
      </c>
      <c r="AF3" s="83">
        <f t="shared" si="1"/>
        <v>28</v>
      </c>
      <c r="AG3" s="83">
        <f t="shared" si="1"/>
        <v>29</v>
      </c>
      <c r="AH3" s="83">
        <f t="shared" si="1"/>
        <v>30</v>
      </c>
      <c r="AI3" s="83">
        <f t="shared" si="1"/>
        <v>31</v>
      </c>
      <c r="AJ3" s="83">
        <f t="shared" si="1"/>
        <v>32</v>
      </c>
      <c r="AK3" s="83">
        <f t="shared" si="1"/>
        <v>33</v>
      </c>
      <c r="AL3" s="83">
        <f t="shared" si="1"/>
        <v>34</v>
      </c>
      <c r="AM3" s="83">
        <f t="shared" si="1"/>
        <v>35</v>
      </c>
      <c r="AN3" s="83">
        <f t="shared" si="1"/>
        <v>36</v>
      </c>
      <c r="AO3" s="83">
        <f t="shared" si="1"/>
        <v>37</v>
      </c>
      <c r="AP3" s="83">
        <f t="shared" si="1"/>
        <v>38</v>
      </c>
      <c r="AQ3" s="83">
        <f t="shared" si="1"/>
        <v>39</v>
      </c>
      <c r="AR3" s="83">
        <f t="shared" si="1"/>
        <v>40</v>
      </c>
      <c r="AS3" s="83">
        <f t="shared" si="1"/>
        <v>41</v>
      </c>
      <c r="AT3" s="83">
        <f t="shared" si="1"/>
        <v>42</v>
      </c>
      <c r="AU3" s="83">
        <f t="shared" si="1"/>
        <v>43</v>
      </c>
      <c r="AV3" s="83">
        <f t="shared" si="1"/>
        <v>44</v>
      </c>
      <c r="AW3" s="83">
        <f t="shared" si="1"/>
        <v>45</v>
      </c>
      <c r="AX3" s="83">
        <f t="shared" si="1"/>
        <v>46</v>
      </c>
      <c r="AY3" s="83">
        <f t="shared" si="1"/>
        <v>47</v>
      </c>
      <c r="AZ3" s="83">
        <f t="shared" si="1"/>
        <v>48</v>
      </c>
      <c r="BA3" s="83">
        <f t="shared" si="1"/>
        <v>49</v>
      </c>
      <c r="BB3" s="83">
        <f t="shared" si="1"/>
        <v>50</v>
      </c>
      <c r="BC3" s="83">
        <f t="shared" si="1"/>
        <v>51</v>
      </c>
      <c r="BD3" s="83">
        <f t="shared" si="1"/>
        <v>52</v>
      </c>
      <c r="BE3" s="83">
        <f t="shared" si="1"/>
        <v>53</v>
      </c>
      <c r="BF3" s="83">
        <f t="shared" si="1"/>
        <v>54</v>
      </c>
      <c r="BG3" s="83">
        <f t="shared" si="1"/>
        <v>55</v>
      </c>
      <c r="BH3" s="83">
        <f t="shared" si="1"/>
        <v>56</v>
      </c>
      <c r="BI3" s="83">
        <f t="shared" si="1"/>
        <v>57</v>
      </c>
      <c r="BJ3" s="83">
        <f t="shared" si="1"/>
        <v>58</v>
      </c>
      <c r="BK3" s="83">
        <f t="shared" si="1"/>
        <v>59</v>
      </c>
      <c r="BL3" s="83">
        <f t="shared" si="1"/>
        <v>60</v>
      </c>
      <c r="BM3" s="83">
        <f t="shared" si="1"/>
        <v>61</v>
      </c>
      <c r="BN3" s="83">
        <f t="shared" si="1"/>
        <v>62</v>
      </c>
      <c r="BO3" s="83">
        <f t="shared" si="1"/>
        <v>63</v>
      </c>
      <c r="BP3" s="83">
        <f t="shared" si="1"/>
        <v>64</v>
      </c>
      <c r="BQ3" s="83">
        <f t="shared" si="1"/>
        <v>65</v>
      </c>
      <c r="BR3" s="83">
        <f t="shared" si="1"/>
        <v>66</v>
      </c>
      <c r="BS3" s="83">
        <f t="shared" si="1"/>
        <v>67</v>
      </c>
      <c r="BT3" s="83">
        <f t="shared" si="1"/>
        <v>68</v>
      </c>
      <c r="BU3" s="83">
        <f t="shared" si="1"/>
        <v>69</v>
      </c>
      <c r="BV3" s="83">
        <f t="shared" si="1"/>
        <v>70</v>
      </c>
      <c r="BW3" s="83">
        <f t="shared" si="1"/>
        <v>71</v>
      </c>
      <c r="BX3" s="83">
        <f t="shared" si="1"/>
        <v>72</v>
      </c>
    </row>
    <row r="4" ht="14.25" customHeight="1">
      <c r="A4" s="16" t="s">
        <v>149</v>
      </c>
      <c r="D4" s="84">
        <f>EOMONTH(CloseDate,D3)</f>
        <v>1</v>
      </c>
      <c r="E4" s="84">
        <f>EOMONTH(CloseDate,E3)</f>
        <v>32</v>
      </c>
      <c r="F4" s="84">
        <f>EOMONTH(CloseDate,F3)</f>
        <v>60</v>
      </c>
      <c r="G4" s="84">
        <f>EOMONTH(CloseDate,G3)</f>
        <v>91</v>
      </c>
      <c r="H4" s="84">
        <f>EOMONTH(CloseDate,H3)</f>
        <v>121</v>
      </c>
      <c r="I4" s="84">
        <f>EOMONTH(CloseDate,I3)</f>
        <v>152</v>
      </c>
      <c r="J4" s="84">
        <f>EOMONTH(CloseDate,J3)</f>
        <v>182</v>
      </c>
      <c r="K4" s="84">
        <f>EOMONTH(CloseDate,K3)</f>
        <v>213</v>
      </c>
      <c r="L4" s="84">
        <f>EOMONTH(CloseDate,L3)</f>
        <v>244</v>
      </c>
      <c r="M4" s="84">
        <f>EOMONTH(CloseDate,M3)</f>
        <v>274</v>
      </c>
      <c r="N4" s="84">
        <f>EOMONTH(CloseDate,N3)</f>
        <v>305</v>
      </c>
      <c r="O4" s="84">
        <f>EOMONTH(CloseDate,O3)</f>
        <v>335</v>
      </c>
      <c r="P4" s="84">
        <f>EOMONTH(CloseDate,P3)</f>
        <v>366</v>
      </c>
      <c r="Q4" s="84">
        <f>EOMONTH(CloseDate,Q3)</f>
        <v>397</v>
      </c>
      <c r="R4" s="84">
        <f>EOMONTH(CloseDate,R3)</f>
        <v>425</v>
      </c>
      <c r="S4" s="84">
        <f>EOMONTH(CloseDate,S3)</f>
        <v>456</v>
      </c>
      <c r="T4" s="84">
        <f>EOMONTH(CloseDate,T3)</f>
        <v>486</v>
      </c>
      <c r="U4" s="84">
        <f>EOMONTH(CloseDate,U3)</f>
        <v>517</v>
      </c>
      <c r="V4" s="84">
        <f>EOMONTH(CloseDate,V3)</f>
        <v>547</v>
      </c>
      <c r="W4" s="84">
        <f>EOMONTH(CloseDate,W3)</f>
        <v>578</v>
      </c>
      <c r="X4" s="84">
        <f>EOMONTH(CloseDate,X3)</f>
        <v>609</v>
      </c>
      <c r="Y4" s="84">
        <f>EOMONTH(CloseDate,Y3)</f>
        <v>639</v>
      </c>
      <c r="Z4" s="84">
        <f>EOMONTH(CloseDate,Z3)</f>
        <v>670</v>
      </c>
      <c r="AA4" s="84">
        <f>EOMONTH(CloseDate,AA3)</f>
        <v>700</v>
      </c>
      <c r="AB4" s="84">
        <f>EOMONTH(CloseDate,AB3)</f>
        <v>731</v>
      </c>
      <c r="AC4" s="84">
        <f>EOMONTH(CloseDate,AC3)</f>
        <v>762</v>
      </c>
      <c r="AD4" s="84">
        <f>EOMONTH(CloseDate,AD3)</f>
        <v>790</v>
      </c>
      <c r="AE4" s="84">
        <f>EOMONTH(CloseDate,AE3)</f>
        <v>821</v>
      </c>
      <c r="AF4" s="84">
        <f>EOMONTH(CloseDate,AF3)</f>
        <v>851</v>
      </c>
      <c r="AG4" s="84">
        <f>EOMONTH(CloseDate,AG3)</f>
        <v>882</v>
      </c>
      <c r="AH4" s="84">
        <f>EOMONTH(CloseDate,AH3)</f>
        <v>912</v>
      </c>
      <c r="AI4" s="84">
        <f>EOMONTH(CloseDate,AI3)</f>
        <v>943</v>
      </c>
      <c r="AJ4" s="84">
        <f>EOMONTH(CloseDate,AJ3)</f>
        <v>974</v>
      </c>
      <c r="AK4" s="84">
        <f>EOMONTH(CloseDate,AK3)</f>
        <v>1004</v>
      </c>
      <c r="AL4" s="84">
        <f>EOMONTH(CloseDate,AL3)</f>
        <v>1035</v>
      </c>
      <c r="AM4" s="84">
        <f>EOMONTH(CloseDate,AM3)</f>
        <v>1065</v>
      </c>
      <c r="AN4" s="84">
        <f>EOMONTH(CloseDate,AN3)</f>
        <v>1096</v>
      </c>
      <c r="AO4" s="84">
        <f>EOMONTH(CloseDate,AO3)</f>
        <v>1127</v>
      </c>
      <c r="AP4" s="84">
        <f>EOMONTH(CloseDate,AP3)</f>
        <v>1155</v>
      </c>
      <c r="AQ4" s="84">
        <f>EOMONTH(CloseDate,AQ3)</f>
        <v>1186</v>
      </c>
      <c r="AR4" s="84">
        <f>EOMONTH(CloseDate,AR3)</f>
        <v>1216</v>
      </c>
      <c r="AS4" s="84">
        <f>EOMONTH(CloseDate,AS3)</f>
        <v>1247</v>
      </c>
      <c r="AT4" s="84">
        <f>EOMONTH(CloseDate,AT3)</f>
        <v>1277</v>
      </c>
      <c r="AU4" s="84">
        <f>EOMONTH(CloseDate,AU3)</f>
        <v>1308</v>
      </c>
      <c r="AV4" s="84">
        <f>EOMONTH(CloseDate,AV3)</f>
        <v>1339</v>
      </c>
      <c r="AW4" s="84">
        <f>EOMONTH(CloseDate,AW3)</f>
        <v>1369</v>
      </c>
      <c r="AX4" s="84">
        <f>EOMONTH(CloseDate,AX3)</f>
        <v>1400</v>
      </c>
      <c r="AY4" s="84">
        <f>EOMONTH(CloseDate,AY3)</f>
        <v>1430</v>
      </c>
      <c r="AZ4" s="84">
        <f>EOMONTH(CloseDate,AZ3)</f>
        <v>1461</v>
      </c>
      <c r="BA4" s="84">
        <f>EOMONTH(CloseDate,BA3)</f>
        <v>1492</v>
      </c>
      <c r="BB4" s="84">
        <f>EOMONTH(CloseDate,BB3)</f>
        <v>1521</v>
      </c>
      <c r="BC4" s="84">
        <f>EOMONTH(CloseDate,BC3)</f>
        <v>1552</v>
      </c>
      <c r="BD4" s="84">
        <f>EOMONTH(CloseDate,BD3)</f>
        <v>1582</v>
      </c>
      <c r="BE4" s="84">
        <f>EOMONTH(CloseDate,BE3)</f>
        <v>1613</v>
      </c>
      <c r="BF4" s="84">
        <f>EOMONTH(CloseDate,BF3)</f>
        <v>1643</v>
      </c>
      <c r="BG4" s="84">
        <f>EOMONTH(CloseDate,BG3)</f>
        <v>1674</v>
      </c>
      <c r="BH4" s="84">
        <f>EOMONTH(CloseDate,BH3)</f>
        <v>1705</v>
      </c>
      <c r="BI4" s="84">
        <f>EOMONTH(CloseDate,BI3)</f>
        <v>1735</v>
      </c>
      <c r="BJ4" s="84">
        <f>EOMONTH(CloseDate,BJ3)</f>
        <v>1766</v>
      </c>
      <c r="BK4" s="84">
        <f>EOMONTH(CloseDate,BK3)</f>
        <v>1796</v>
      </c>
      <c r="BL4" s="84">
        <f>EOMONTH(CloseDate,BL3)</f>
        <v>1827</v>
      </c>
      <c r="BM4" s="84">
        <f>EOMONTH(CloseDate,BM3)</f>
        <v>1858</v>
      </c>
      <c r="BN4" s="84">
        <f>EOMONTH(CloseDate,BN3)</f>
        <v>1886</v>
      </c>
      <c r="BO4" s="84">
        <f>EOMONTH(CloseDate,BO3)</f>
        <v>1917</v>
      </c>
      <c r="BP4" s="84">
        <f>EOMONTH(CloseDate,BP3)</f>
        <v>1947</v>
      </c>
      <c r="BQ4" s="84">
        <f>EOMONTH(CloseDate,BQ3)</f>
        <v>1978</v>
      </c>
      <c r="BR4" s="84">
        <f>EOMONTH(CloseDate,BR3)</f>
        <v>2008</v>
      </c>
      <c r="BS4" s="84">
        <f>EOMONTH(CloseDate,BS3)</f>
        <v>2039</v>
      </c>
      <c r="BT4" s="84">
        <f>EOMONTH(CloseDate,BT3)</f>
        <v>2070</v>
      </c>
      <c r="BU4" s="84">
        <f>EOMONTH(CloseDate,BU3)</f>
        <v>2100</v>
      </c>
      <c r="BV4" s="84">
        <f>EOMONTH(CloseDate,BV3)</f>
        <v>2131</v>
      </c>
      <c r="BW4" s="84">
        <f>EOMONTH(CloseDate,BW3)</f>
        <v>2161</v>
      </c>
      <c r="BX4" s="84">
        <f>EOMONTH(CloseDate,BX3)</f>
        <v>2192</v>
      </c>
    </row>
    <row r="5" ht="14.25" customHeight="1">
      <c r="A5" s="16" t="s">
        <v>150</v>
      </c>
      <c r="D5" s="83">
        <f t="shared" ref="D5:BX5" si="2">INT((D3-1)/12)+1</f>
        <v>0</v>
      </c>
      <c r="E5" s="83">
        <f t="shared" si="2"/>
        <v>1</v>
      </c>
      <c r="F5" s="83">
        <f t="shared" si="2"/>
        <v>1</v>
      </c>
      <c r="G5" s="83">
        <f t="shared" si="2"/>
        <v>1</v>
      </c>
      <c r="H5" s="83">
        <f t="shared" si="2"/>
        <v>1</v>
      </c>
      <c r="I5" s="83">
        <f t="shared" si="2"/>
        <v>1</v>
      </c>
      <c r="J5" s="83">
        <f t="shared" si="2"/>
        <v>1</v>
      </c>
      <c r="K5" s="83">
        <f t="shared" si="2"/>
        <v>1</v>
      </c>
      <c r="L5" s="83">
        <f t="shared" si="2"/>
        <v>1</v>
      </c>
      <c r="M5" s="83">
        <f t="shared" si="2"/>
        <v>1</v>
      </c>
      <c r="N5" s="83">
        <f t="shared" si="2"/>
        <v>1</v>
      </c>
      <c r="O5" s="83">
        <f t="shared" si="2"/>
        <v>1</v>
      </c>
      <c r="P5" s="83">
        <f t="shared" si="2"/>
        <v>1</v>
      </c>
      <c r="Q5" s="83">
        <f t="shared" si="2"/>
        <v>2</v>
      </c>
      <c r="R5" s="83">
        <f t="shared" si="2"/>
        <v>2</v>
      </c>
      <c r="S5" s="83">
        <f t="shared" si="2"/>
        <v>2</v>
      </c>
      <c r="T5" s="83">
        <f t="shared" si="2"/>
        <v>2</v>
      </c>
      <c r="U5" s="83">
        <f t="shared" si="2"/>
        <v>2</v>
      </c>
      <c r="V5" s="83">
        <f t="shared" si="2"/>
        <v>2</v>
      </c>
      <c r="W5" s="83">
        <f t="shared" si="2"/>
        <v>2</v>
      </c>
      <c r="X5" s="83">
        <f t="shared" si="2"/>
        <v>2</v>
      </c>
      <c r="Y5" s="83">
        <f t="shared" si="2"/>
        <v>2</v>
      </c>
      <c r="Z5" s="83">
        <f t="shared" si="2"/>
        <v>2</v>
      </c>
      <c r="AA5" s="83">
        <f t="shared" si="2"/>
        <v>2</v>
      </c>
      <c r="AB5" s="83">
        <f t="shared" si="2"/>
        <v>2</v>
      </c>
      <c r="AC5" s="83">
        <f t="shared" si="2"/>
        <v>3</v>
      </c>
      <c r="AD5" s="83">
        <f t="shared" si="2"/>
        <v>3</v>
      </c>
      <c r="AE5" s="83">
        <f t="shared" si="2"/>
        <v>3</v>
      </c>
      <c r="AF5" s="83">
        <f t="shared" si="2"/>
        <v>3</v>
      </c>
      <c r="AG5" s="83">
        <f t="shared" si="2"/>
        <v>3</v>
      </c>
      <c r="AH5" s="83">
        <f t="shared" si="2"/>
        <v>3</v>
      </c>
      <c r="AI5" s="83">
        <f t="shared" si="2"/>
        <v>3</v>
      </c>
      <c r="AJ5" s="83">
        <f t="shared" si="2"/>
        <v>3</v>
      </c>
      <c r="AK5" s="83">
        <f t="shared" si="2"/>
        <v>3</v>
      </c>
      <c r="AL5" s="83">
        <f t="shared" si="2"/>
        <v>3</v>
      </c>
      <c r="AM5" s="83">
        <f t="shared" si="2"/>
        <v>3</v>
      </c>
      <c r="AN5" s="83">
        <f t="shared" si="2"/>
        <v>3</v>
      </c>
      <c r="AO5" s="83">
        <f t="shared" si="2"/>
        <v>4</v>
      </c>
      <c r="AP5" s="83">
        <f t="shared" si="2"/>
        <v>4</v>
      </c>
      <c r="AQ5" s="83">
        <f t="shared" si="2"/>
        <v>4</v>
      </c>
      <c r="AR5" s="83">
        <f t="shared" si="2"/>
        <v>4</v>
      </c>
      <c r="AS5" s="83">
        <f t="shared" si="2"/>
        <v>4</v>
      </c>
      <c r="AT5" s="83">
        <f t="shared" si="2"/>
        <v>4</v>
      </c>
      <c r="AU5" s="83">
        <f t="shared" si="2"/>
        <v>4</v>
      </c>
      <c r="AV5" s="83">
        <f t="shared" si="2"/>
        <v>4</v>
      </c>
      <c r="AW5" s="83">
        <f t="shared" si="2"/>
        <v>4</v>
      </c>
      <c r="AX5" s="83">
        <f t="shared" si="2"/>
        <v>4</v>
      </c>
      <c r="AY5" s="83">
        <f t="shared" si="2"/>
        <v>4</v>
      </c>
      <c r="AZ5" s="83">
        <f t="shared" si="2"/>
        <v>4</v>
      </c>
      <c r="BA5" s="83">
        <f t="shared" si="2"/>
        <v>5</v>
      </c>
      <c r="BB5" s="83">
        <f t="shared" si="2"/>
        <v>5</v>
      </c>
      <c r="BC5" s="83">
        <f t="shared" si="2"/>
        <v>5</v>
      </c>
      <c r="BD5" s="83">
        <f t="shared" si="2"/>
        <v>5</v>
      </c>
      <c r="BE5" s="83">
        <f t="shared" si="2"/>
        <v>5</v>
      </c>
      <c r="BF5" s="83">
        <f t="shared" si="2"/>
        <v>5</v>
      </c>
      <c r="BG5" s="83">
        <f t="shared" si="2"/>
        <v>5</v>
      </c>
      <c r="BH5" s="83">
        <f t="shared" si="2"/>
        <v>5</v>
      </c>
      <c r="BI5" s="83">
        <f t="shared" si="2"/>
        <v>5</v>
      </c>
      <c r="BJ5" s="83">
        <f t="shared" si="2"/>
        <v>5</v>
      </c>
      <c r="BK5" s="83">
        <f t="shared" si="2"/>
        <v>5</v>
      </c>
      <c r="BL5" s="83">
        <f t="shared" si="2"/>
        <v>5</v>
      </c>
      <c r="BM5" s="83">
        <f t="shared" si="2"/>
        <v>6</v>
      </c>
      <c r="BN5" s="83">
        <f t="shared" si="2"/>
        <v>6</v>
      </c>
      <c r="BO5" s="83">
        <f t="shared" si="2"/>
        <v>6</v>
      </c>
      <c r="BP5" s="83">
        <f t="shared" si="2"/>
        <v>6</v>
      </c>
      <c r="BQ5" s="83">
        <f t="shared" si="2"/>
        <v>6</v>
      </c>
      <c r="BR5" s="83">
        <f t="shared" si="2"/>
        <v>6</v>
      </c>
      <c r="BS5" s="83">
        <f t="shared" si="2"/>
        <v>6</v>
      </c>
      <c r="BT5" s="83">
        <f t="shared" si="2"/>
        <v>6</v>
      </c>
      <c r="BU5" s="83">
        <f t="shared" si="2"/>
        <v>6</v>
      </c>
      <c r="BV5" s="83">
        <f t="shared" si="2"/>
        <v>6</v>
      </c>
      <c r="BW5" s="83">
        <f t="shared" si="2"/>
        <v>6</v>
      </c>
      <c r="BX5" s="83">
        <f t="shared" si="2"/>
        <v>6</v>
      </c>
    </row>
    <row r="6" ht="14.25" customHeight="1">
      <c r="A6" s="16" t="s">
        <v>151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</row>
    <row r="7" ht="14.25" customHeight="1" outlineLevel="1">
      <c r="A7" s="16" t="s">
        <v>152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</row>
    <row r="8" ht="14.25" customHeight="1" outlineLevel="1"/>
    <row r="9" ht="14.25" customHeight="1" outlineLevel="1">
      <c r="A9" s="86" t="str">
        <f>'Rent Roll'!C5</f>
        <v>Meridian Financial Group</v>
      </c>
      <c r="B9" s="87" t="str">
        <f t="array" ref="B9">INDEX('Rent Roll'!$F$5:$F$46,MATCH('Rent Roll Calc'!A9,'Rent Roll'!$C$5:$C$46,0))</f>
        <v/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</row>
    <row r="10" ht="14.25" customHeight="1" outlineLevel="1">
      <c r="A10" s="16"/>
      <c r="B10" s="5" t="s">
        <v>153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</row>
    <row r="11" ht="14.25" customHeight="1" outlineLevel="1">
      <c r="A11" s="16"/>
      <c r="B11" s="5" t="s">
        <v>154</v>
      </c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</row>
    <row r="12" ht="14.25" customHeight="1" outlineLevel="1">
      <c r="A12" s="16"/>
      <c r="B12" s="5" t="s">
        <v>155</v>
      </c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</row>
    <row r="13" ht="14.25" customHeight="1" outlineLevel="1">
      <c r="A13" s="16"/>
      <c r="B13" s="5" t="s">
        <v>156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</row>
    <row r="14" ht="14.25" customHeight="1" outlineLevel="1">
      <c r="B14" s="5" t="s">
        <v>157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</row>
    <row r="15" ht="14.25" customHeight="1" outlineLevel="1">
      <c r="B15" s="5" t="s">
        <v>158</v>
      </c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</row>
    <row r="16" ht="14.25" customHeight="1" outlineLevel="1">
      <c r="B16" s="5" t="s">
        <v>159</v>
      </c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</row>
    <row r="17" ht="14.25" customHeight="1" outlineLevel="1">
      <c r="B17" s="5" t="s">
        <v>160</v>
      </c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</row>
    <row r="18" ht="14.25" customHeight="1">
      <c r="B18" s="5" t="s">
        <v>161</v>
      </c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</row>
    <row r="19" ht="14.25" customHeight="1">
      <c r="A19" s="16" t="str">
        <f>'Rent Roll'!C6</f>
        <v>Southeast Regional Health</v>
      </c>
      <c r="B19" s="87" t="str">
        <f t="array" ref="B19">INDEX('Rent Roll'!$F$5:$F$46,MATCH('Rent Roll Calc'!A19,'Rent Roll'!$C$5:$C$46,0))</f>
        <v/>
      </c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</row>
    <row r="20" ht="14.25" hidden="1" customHeight="1" outlineLevel="1">
      <c r="B20" s="5" t="s">
        <v>153</v>
      </c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</row>
    <row r="21" ht="14.25" hidden="1" customHeight="1" outlineLevel="1">
      <c r="B21" s="5" t="s">
        <v>154</v>
      </c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</row>
    <row r="22" ht="14.25" hidden="1" customHeight="1" outlineLevel="1">
      <c r="B22" s="5" t="s">
        <v>155</v>
      </c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</row>
    <row r="23" ht="14.25" hidden="1" customHeight="1" outlineLevel="1">
      <c r="B23" s="5" t="s">
        <v>156</v>
      </c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</row>
    <row r="24" ht="14.25" hidden="1" customHeight="1" outlineLevel="1">
      <c r="B24" s="5" t="s">
        <v>157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</row>
    <row r="25" ht="14.25" hidden="1" customHeight="1" outlineLevel="1">
      <c r="B25" s="5" t="s">
        <v>158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</row>
    <row r="26" ht="14.25" hidden="1" customHeight="1" outlineLevel="1">
      <c r="B26" s="5" t="s">
        <v>159</v>
      </c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</row>
    <row r="27" ht="14.25" hidden="1" customHeight="1" outlineLevel="1">
      <c r="B27" s="5" t="s">
        <v>160</v>
      </c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</row>
    <row r="28" ht="14.25" hidden="1" customHeight="1" outlineLevel="1">
      <c r="B28" s="5" t="s">
        <v>161</v>
      </c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</row>
    <row r="29" ht="14.25" hidden="1" customHeight="1" outlineLevel="1">
      <c r="A29" s="16" t="str">
        <f>'Rent Roll'!C7</f>
        <v>Carter &amp; Associates Law</v>
      </c>
      <c r="B29" s="87" t="str">
        <f t="array" ref="B29">INDEX('Rent Roll'!$F$5:$F$46,MATCH('Rent Roll Calc'!A29,'Rent Roll'!$C$5:$C$46,0))</f>
        <v/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</row>
    <row r="30" ht="14.25" hidden="1" customHeight="1" outlineLevel="1">
      <c r="B30" s="5" t="s">
        <v>153</v>
      </c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</row>
    <row r="31" ht="14.25" customHeight="1" collapsed="1">
      <c r="B31" s="5" t="s">
        <v>154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</row>
    <row r="32" ht="14.25" customHeight="1">
      <c r="B32" s="5" t="s">
        <v>155</v>
      </c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</row>
    <row r="33" ht="14.25" hidden="1" customHeight="1" outlineLevel="1">
      <c r="B33" s="5" t="s">
        <v>156</v>
      </c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</row>
    <row r="34" ht="14.25" hidden="1" customHeight="1" outlineLevel="1">
      <c r="B34" s="5" t="s">
        <v>157</v>
      </c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</row>
    <row r="35" ht="14.25" hidden="1" customHeight="1" outlineLevel="1">
      <c r="B35" s="5" t="s">
        <v>158</v>
      </c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</row>
    <row r="36" ht="14.25" hidden="1" customHeight="1" outlineLevel="1">
      <c r="B36" s="5" t="s">
        <v>159</v>
      </c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</row>
    <row r="37" ht="14.25" hidden="1" customHeight="1" outlineLevel="1">
      <c r="B37" s="5" t="s">
        <v>160</v>
      </c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</row>
    <row r="38" ht="14.25" hidden="1" customHeight="1" outlineLevel="1">
      <c r="B38" s="5" t="s">
        <v>161</v>
      </c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</row>
    <row r="39" ht="14.25" hidden="1" customHeight="1" outlineLevel="1">
      <c r="A39" s="16" t="str">
        <f>'Rent Roll'!C8</f>
        <v>Pinnacle Wealth Advisors</v>
      </c>
      <c r="B39" s="87" t="str">
        <f t="array" ref="B39">INDEX('Rent Roll'!$F$5:$F$46,MATCH('Rent Roll Calc'!A39,'Rent Roll'!$C$5:$C$46,0))</f>
        <v/>
      </c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</row>
    <row r="40" ht="14.25" hidden="1" customHeight="1" outlineLevel="1">
      <c r="B40" s="5" t="s">
        <v>153</v>
      </c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</row>
    <row r="41" ht="14.25" hidden="1" customHeight="1" outlineLevel="1">
      <c r="B41" s="5" t="s">
        <v>154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</row>
    <row r="42" ht="14.25" hidden="1" customHeight="1" outlineLevel="1">
      <c r="B42" s="5" t="s">
        <v>155</v>
      </c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</row>
    <row r="43" ht="14.25" hidden="1" customHeight="1" outlineLevel="1">
      <c r="B43" s="5" t="s">
        <v>156</v>
      </c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</row>
    <row r="44" ht="14.25" customHeight="1" collapsed="1">
      <c r="B44" s="5" t="s">
        <v>157</v>
      </c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</row>
    <row r="45" ht="14.25" customHeight="1">
      <c r="B45" s="5" t="s">
        <v>158</v>
      </c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</row>
    <row r="46" ht="14.25" hidden="1" customHeight="1" outlineLevel="1">
      <c r="B46" s="5" t="s">
        <v>159</v>
      </c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</row>
    <row r="47" ht="14.25" hidden="1" customHeight="1" outlineLevel="1">
      <c r="B47" s="5" t="s">
        <v>160</v>
      </c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</row>
    <row r="48" ht="14.25" hidden="1" customHeight="1" outlineLevel="1">
      <c r="B48" s="5" t="s">
        <v>161</v>
      </c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</row>
    <row r="49" ht="14.25" hidden="1" customHeight="1" outlineLevel="1">
      <c r="A49" s="16" t="str">
        <f>'Rent Roll'!C9</f>
        <v>TechBridge Solutions</v>
      </c>
      <c r="B49" s="87" t="str">
        <f t="array" ref="B49">INDEX('Rent Roll'!$F$5:$F$46,MATCH('Rent Roll Calc'!A49,'Rent Roll'!$C$5:$C$46,0))</f>
        <v/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</row>
    <row r="50" ht="14.25" hidden="1" customHeight="1" outlineLevel="1">
      <c r="B50" s="5" t="s">
        <v>153</v>
      </c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</row>
    <row r="51" ht="14.25" hidden="1" customHeight="1" outlineLevel="1">
      <c r="B51" s="5" t="s">
        <v>154</v>
      </c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</row>
    <row r="52" ht="14.25" hidden="1" customHeight="1" outlineLevel="1">
      <c r="B52" s="5" t="s">
        <v>155</v>
      </c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</row>
    <row r="53" ht="14.25" hidden="1" customHeight="1" outlineLevel="1">
      <c r="B53" s="5" t="s">
        <v>156</v>
      </c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</row>
    <row r="54" ht="14.25" hidden="1" customHeight="1" outlineLevel="1">
      <c r="B54" s="5" t="s">
        <v>157</v>
      </c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</row>
    <row r="55" ht="14.25" hidden="1" customHeight="1" outlineLevel="1">
      <c r="B55" s="5" t="s">
        <v>158</v>
      </c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</row>
    <row r="56" ht="14.25" hidden="1" customHeight="1" outlineLevel="1">
      <c r="B56" s="5" t="s">
        <v>159</v>
      </c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</row>
    <row r="57" ht="14.25" customHeight="1" collapsed="1">
      <c r="B57" s="5" t="s">
        <v>160</v>
      </c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</row>
    <row r="58" ht="14.25" customHeight="1">
      <c r="B58" s="5" t="s">
        <v>161</v>
      </c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</row>
    <row r="59" ht="14.25" hidden="1" customHeight="1" outlineLevel="1">
      <c r="A59" s="16" t="str">
        <f>'Rent Roll'!C10</f>
        <v>Brightpath Insurance</v>
      </c>
      <c r="B59" s="87" t="str">
        <f t="array" ref="B59">INDEX('Rent Roll'!$F$5:$F$46,MATCH('Rent Roll Calc'!A59,'Rent Roll'!$C$5:$C$46,0))</f>
        <v/>
      </c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</row>
    <row r="60" ht="14.25" hidden="1" customHeight="1" outlineLevel="1">
      <c r="B60" s="5" t="s">
        <v>153</v>
      </c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</row>
    <row r="61" ht="14.25" hidden="1" customHeight="1" outlineLevel="1">
      <c r="B61" s="5" t="s">
        <v>154</v>
      </c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</row>
    <row r="62" ht="14.25" hidden="1" customHeight="1" outlineLevel="1">
      <c r="B62" s="5" t="s">
        <v>155</v>
      </c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</row>
    <row r="63" ht="14.25" hidden="1" customHeight="1" outlineLevel="1">
      <c r="B63" s="5" t="s">
        <v>156</v>
      </c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</row>
    <row r="64" ht="14.25" hidden="1" customHeight="1" outlineLevel="1">
      <c r="B64" s="5" t="s">
        <v>157</v>
      </c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</row>
    <row r="65" ht="14.25" hidden="1" customHeight="1" outlineLevel="1">
      <c r="B65" s="5" t="s">
        <v>158</v>
      </c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</row>
    <row r="66" ht="14.25" hidden="1" customHeight="1" outlineLevel="1">
      <c r="B66" s="5" t="s">
        <v>159</v>
      </c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</row>
    <row r="67" ht="14.25" hidden="1" customHeight="1" outlineLevel="1">
      <c r="B67" s="5" t="s">
        <v>160</v>
      </c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</row>
    <row r="68" ht="14.25" hidden="1" customHeight="1" outlineLevel="1">
      <c r="B68" s="5" t="s">
        <v>161</v>
      </c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</row>
    <row r="69" ht="14.25" hidden="1" customHeight="1" outlineLevel="1">
      <c r="A69" s="16" t="str">
        <f>'Rent Roll'!C11</f>
        <v>Caldwell Consulting Group</v>
      </c>
      <c r="B69" s="87" t="str">
        <f t="array" ref="B69">INDEX('Rent Roll'!$F$5:$F$46,MATCH('Rent Roll Calc'!A69,'Rent Roll'!$C$5:$C$46,0))</f>
        <v/>
      </c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</row>
    <row r="70" ht="14.25" customHeight="1" collapsed="1">
      <c r="B70" s="5" t="s">
        <v>153</v>
      </c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</row>
    <row r="71" ht="14.25" customHeight="1">
      <c r="B71" s="5" t="s">
        <v>154</v>
      </c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</row>
    <row r="72" ht="14.25" hidden="1" customHeight="1" outlineLevel="1">
      <c r="B72" s="5" t="s">
        <v>155</v>
      </c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</row>
    <row r="73" ht="14.25" hidden="1" customHeight="1" outlineLevel="1">
      <c r="B73" s="5" t="s">
        <v>156</v>
      </c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</row>
    <row r="74" ht="14.25" hidden="1" customHeight="1" outlineLevel="1">
      <c r="B74" s="5" t="s">
        <v>157</v>
      </c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</row>
    <row r="75" ht="14.25" hidden="1" customHeight="1" outlineLevel="1">
      <c r="B75" s="5" t="s">
        <v>158</v>
      </c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</row>
    <row r="76" ht="14.25" hidden="1" customHeight="1" outlineLevel="1">
      <c r="B76" s="5" t="s">
        <v>159</v>
      </c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</row>
    <row r="77" ht="14.25" hidden="1" customHeight="1" outlineLevel="1">
      <c r="B77" s="5" t="s">
        <v>160</v>
      </c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</row>
    <row r="78" ht="14.25" hidden="1" customHeight="1" outlineLevel="1">
      <c r="B78" s="5" t="s">
        <v>161</v>
      </c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</row>
    <row r="79" ht="14.25" hidden="1" customHeight="1" outlineLevel="1">
      <c r="A79" s="16" t="str">
        <f>'Rent Roll'!C12</f>
        <v>Queen City Accounting</v>
      </c>
      <c r="B79" s="87" t="str">
        <f t="array" ref="B79">INDEX('Rent Roll'!$F$5:$F$46,MATCH('Rent Roll Calc'!A79,'Rent Roll'!$C$5:$C$46,0))</f>
        <v/>
      </c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</row>
    <row r="80" ht="14.25" hidden="1" customHeight="1" outlineLevel="1">
      <c r="B80" s="5" t="s">
        <v>153</v>
      </c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</row>
    <row r="81" ht="14.25" hidden="1" customHeight="1" outlineLevel="1">
      <c r="B81" s="5" t="s">
        <v>154</v>
      </c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</row>
    <row r="82" ht="14.25" hidden="1" customHeight="1" outlineLevel="1">
      <c r="B82" s="5" t="s">
        <v>155</v>
      </c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</row>
    <row r="83" ht="14.25" customHeight="1" collapsed="1">
      <c r="B83" s="5" t="s">
        <v>156</v>
      </c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</row>
    <row r="84" ht="14.25" customHeight="1">
      <c r="B84" s="5" t="s">
        <v>157</v>
      </c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</row>
    <row r="85" ht="14.25" hidden="1" customHeight="1" outlineLevel="1">
      <c r="B85" s="5" t="s">
        <v>158</v>
      </c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</row>
    <row r="86" ht="14.25" hidden="1" customHeight="1" outlineLevel="1">
      <c r="B86" s="5" t="s">
        <v>159</v>
      </c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</row>
    <row r="87" ht="14.25" hidden="1" customHeight="1" outlineLevel="1">
      <c r="B87" s="5" t="s">
        <v>160</v>
      </c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</row>
    <row r="88" ht="14.25" hidden="1" customHeight="1" outlineLevel="1">
      <c r="B88" s="5" t="s">
        <v>161</v>
      </c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</row>
    <row r="89" ht="14.25" hidden="1" customHeight="1" outlineLevel="1">
      <c r="A89" s="16" t="str">
        <f>'Rent Roll'!C13</f>
        <v>Monarch Marketing Group</v>
      </c>
      <c r="B89" s="87" t="str">
        <f t="array" ref="B89">INDEX('Rent Roll'!$F$5:$F$46,MATCH('Rent Roll Calc'!A89,'Rent Roll'!$C$5:$C$46,0))</f>
        <v/>
      </c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</row>
    <row r="90" ht="14.25" hidden="1" customHeight="1" outlineLevel="1">
      <c r="B90" s="5" t="s">
        <v>153</v>
      </c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</row>
    <row r="91" ht="14.25" hidden="1" customHeight="1" outlineLevel="1">
      <c r="B91" s="5" t="s">
        <v>154</v>
      </c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</row>
    <row r="92" ht="14.25" hidden="1" customHeight="1" outlineLevel="1">
      <c r="B92" s="5" t="s">
        <v>155</v>
      </c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</row>
    <row r="93" ht="14.25" hidden="1" customHeight="1" outlineLevel="1">
      <c r="B93" s="5" t="s">
        <v>156</v>
      </c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</row>
    <row r="94" ht="14.25" hidden="1" customHeight="1" outlineLevel="1">
      <c r="B94" s="5" t="s">
        <v>157</v>
      </c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</row>
    <row r="95" ht="14.25" hidden="1" customHeight="1" outlineLevel="1">
      <c r="B95" s="5" t="s">
        <v>158</v>
      </c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</row>
    <row r="96" ht="14.25" customHeight="1" collapsed="1">
      <c r="B96" s="5" t="s">
        <v>159</v>
      </c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</row>
    <row r="97" ht="14.25" customHeight="1">
      <c r="B97" s="5" t="s">
        <v>160</v>
      </c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</row>
    <row r="98" ht="14.25" hidden="1" customHeight="1" outlineLevel="1">
      <c r="B98" s="5" t="s">
        <v>161</v>
      </c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</row>
    <row r="99" ht="14.25" hidden="1" customHeight="1" outlineLevel="1">
      <c r="A99" s="16" t="str">
        <f>'Rent Roll'!C14</f>
        <v>Davidson &amp; Reed Architects</v>
      </c>
      <c r="B99" s="87" t="str">
        <f t="array" ref="B99">INDEX('Rent Roll'!$F$5:$F$46,MATCH('Rent Roll Calc'!A99,'Rent Roll'!$C$5:$C$46,0))</f>
        <v/>
      </c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</row>
    <row r="100" ht="14.25" hidden="1" customHeight="1" outlineLevel="1">
      <c r="B100" s="5" t="s">
        <v>153</v>
      </c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</row>
    <row r="101" ht="14.25" hidden="1" customHeight="1" outlineLevel="1">
      <c r="B101" s="5" t="s">
        <v>154</v>
      </c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</row>
    <row r="102" ht="14.25" hidden="1" customHeight="1" outlineLevel="1">
      <c r="B102" s="5" t="s">
        <v>155</v>
      </c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</row>
    <row r="103" ht="14.25" hidden="1" customHeight="1" outlineLevel="1">
      <c r="B103" s="5" t="s">
        <v>156</v>
      </c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</row>
    <row r="104" ht="14.25" hidden="1" customHeight="1" outlineLevel="1">
      <c r="B104" s="5" t="s">
        <v>157</v>
      </c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</row>
    <row r="105" ht="14.25" hidden="1" customHeight="1" outlineLevel="1">
      <c r="B105" s="5" t="s">
        <v>158</v>
      </c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</row>
    <row r="106" ht="14.25" hidden="1" customHeight="1" outlineLevel="1">
      <c r="B106" s="5" t="s">
        <v>159</v>
      </c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</row>
    <row r="107" ht="14.25" hidden="1" customHeight="1" outlineLevel="1">
      <c r="B107" s="5" t="s">
        <v>160</v>
      </c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</row>
    <row r="108" ht="14.25" hidden="1" customHeight="1" outlineLevel="1">
      <c r="B108" s="5" t="s">
        <v>161</v>
      </c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</row>
    <row r="109" ht="14.25" customHeight="1" collapsed="1">
      <c r="A109" s="16" t="str">
        <f>'Rent Roll'!C15</f>
        <v>Greenway Environmental</v>
      </c>
      <c r="B109" s="87" t="str">
        <f t="array" ref="B109">INDEX('Rent Roll'!$F$5:$F$46,MATCH('Rent Roll Calc'!A109,'Rent Roll'!$C$5:$C$46,0))</f>
        <v/>
      </c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</row>
    <row r="110" ht="14.25" customHeight="1">
      <c r="B110" s="5" t="s">
        <v>153</v>
      </c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</row>
    <row r="111" ht="14.25" hidden="1" customHeight="1" outlineLevel="1">
      <c r="B111" s="5" t="s">
        <v>154</v>
      </c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</row>
    <row r="112" ht="14.25" hidden="1" customHeight="1" outlineLevel="1">
      <c r="B112" s="5" t="s">
        <v>155</v>
      </c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</row>
    <row r="113" ht="14.25" hidden="1" customHeight="1" outlineLevel="1">
      <c r="B113" s="5" t="s">
        <v>156</v>
      </c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</row>
    <row r="114" ht="14.25" hidden="1" customHeight="1" outlineLevel="1">
      <c r="B114" s="5" t="s">
        <v>157</v>
      </c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</row>
    <row r="115" ht="14.25" hidden="1" customHeight="1" outlineLevel="1">
      <c r="B115" s="5" t="s">
        <v>158</v>
      </c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</row>
    <row r="116" ht="14.25" hidden="1" customHeight="1" outlineLevel="1">
      <c r="B116" s="5" t="s">
        <v>159</v>
      </c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</row>
    <row r="117" ht="14.25" hidden="1" customHeight="1" outlineLevel="1">
      <c r="B117" s="5" t="s">
        <v>160</v>
      </c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</row>
    <row r="118" ht="14.25" hidden="1" customHeight="1" outlineLevel="1">
      <c r="B118" s="5" t="s">
        <v>161</v>
      </c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</row>
    <row r="119" ht="14.25" hidden="1" customHeight="1" outlineLevel="1">
      <c r="A119" s="16" t="str">
        <f>'Rent Roll'!C16</f>
        <v>Trellis HR Solutions</v>
      </c>
      <c r="B119" s="87" t="str">
        <f t="array" ref="B119">INDEX('Rent Roll'!$F$5:$F$46,MATCH('Rent Roll Calc'!A119,'Rent Roll'!$C$5:$C$46,0))</f>
        <v/>
      </c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</row>
    <row r="120" ht="14.25" hidden="1" customHeight="1" outlineLevel="1">
      <c r="B120" s="5" t="s">
        <v>153</v>
      </c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</row>
    <row r="121" ht="14.25" hidden="1" customHeight="1" outlineLevel="1">
      <c r="B121" s="5" t="s">
        <v>154</v>
      </c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</row>
    <row r="122" ht="14.25" customHeight="1" collapsed="1">
      <c r="B122" s="5" t="s">
        <v>155</v>
      </c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</row>
    <row r="123" ht="14.25" customHeight="1">
      <c r="B123" s="5" t="s">
        <v>156</v>
      </c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</row>
    <row r="124" ht="14.25" hidden="1" customHeight="1" outlineLevel="1">
      <c r="B124" s="5" t="s">
        <v>157</v>
      </c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</row>
    <row r="125" ht="14.25" hidden="1" customHeight="1" outlineLevel="1">
      <c r="B125" s="5" t="s">
        <v>158</v>
      </c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</row>
    <row r="126" ht="14.25" hidden="1" customHeight="1" outlineLevel="1">
      <c r="B126" s="5" t="s">
        <v>159</v>
      </c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</row>
    <row r="127" ht="14.25" hidden="1" customHeight="1" outlineLevel="1">
      <c r="B127" s="5" t="s">
        <v>160</v>
      </c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</row>
    <row r="128" ht="14.25" hidden="1" customHeight="1" outlineLevel="1">
      <c r="B128" s="5" t="s">
        <v>161</v>
      </c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</row>
    <row r="129" ht="14.25" hidden="1" customHeight="1" outlineLevel="1">
      <c r="A129" s="16" t="str">
        <f>'Rent Roll'!C17</f>
        <v>Summit Digital Media</v>
      </c>
      <c r="B129" s="87" t="str">
        <f t="array" ref="B129">INDEX('Rent Roll'!$F$5:$F$46,MATCH('Rent Roll Calc'!A129,'Rent Roll'!$C$5:$C$46,0))</f>
        <v/>
      </c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</row>
    <row r="130" ht="14.25" hidden="1" customHeight="1" outlineLevel="1">
      <c r="B130" s="5" t="s">
        <v>153</v>
      </c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</row>
    <row r="131" ht="14.25" hidden="1" customHeight="1" outlineLevel="1">
      <c r="B131" s="5" t="s">
        <v>154</v>
      </c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</row>
    <row r="132" ht="14.25" hidden="1" customHeight="1" outlineLevel="1">
      <c r="B132" s="5" t="s">
        <v>155</v>
      </c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</row>
    <row r="133" ht="14.25" hidden="1" customHeight="1" outlineLevel="1">
      <c r="B133" s="5" t="s">
        <v>156</v>
      </c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</row>
    <row r="134" ht="14.25" hidden="1" customHeight="1" outlineLevel="1">
      <c r="B134" s="5" t="s">
        <v>157</v>
      </c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</row>
    <row r="135" ht="14.25" customHeight="1" collapsed="1">
      <c r="B135" s="5" t="s">
        <v>158</v>
      </c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</row>
    <row r="136" ht="14.25" customHeight="1">
      <c r="B136" s="5" t="s">
        <v>159</v>
      </c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</row>
    <row r="137" ht="14.25" hidden="1" customHeight="1" outlineLevel="1">
      <c r="B137" s="5" t="s">
        <v>160</v>
      </c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</row>
    <row r="138" ht="14.25" hidden="1" customHeight="1" outlineLevel="1">
      <c r="B138" s="5" t="s">
        <v>161</v>
      </c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</row>
    <row r="139" ht="14.25" hidden="1" customHeight="1" outlineLevel="1">
      <c r="A139" s="16" t="str">
        <f>'Rent Roll'!C18</f>
        <v>Lakeview Financial Planning</v>
      </c>
      <c r="B139" s="87" t="str">
        <f t="array" ref="B139">INDEX('Rent Roll'!$F$5:$F$46,MATCH('Rent Roll Calc'!A139,'Rent Roll'!$C$5:$C$46,0))</f>
        <v/>
      </c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</row>
    <row r="140" ht="14.25" hidden="1" customHeight="1" outlineLevel="1">
      <c r="B140" s="5" t="s">
        <v>153</v>
      </c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</row>
    <row r="141" ht="14.25" hidden="1" customHeight="1" outlineLevel="1">
      <c r="B141" s="5" t="s">
        <v>154</v>
      </c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</row>
    <row r="142" ht="14.25" hidden="1" customHeight="1" outlineLevel="1">
      <c r="B142" s="5" t="s">
        <v>155</v>
      </c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</row>
    <row r="143" ht="14.25" hidden="1" customHeight="1" outlineLevel="1">
      <c r="B143" s="5" t="s">
        <v>156</v>
      </c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</row>
    <row r="144" ht="14.25" hidden="1" customHeight="1" outlineLevel="1">
      <c r="B144" s="5" t="s">
        <v>157</v>
      </c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</row>
    <row r="145" ht="14.25" hidden="1" customHeight="1" outlineLevel="1">
      <c r="B145" s="5" t="s">
        <v>158</v>
      </c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</row>
    <row r="146" ht="14.25" hidden="1" customHeight="1" outlineLevel="1">
      <c r="B146" s="5" t="s">
        <v>159</v>
      </c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</row>
    <row r="147" ht="14.25" hidden="1" customHeight="1" outlineLevel="1">
      <c r="B147" s="5" t="s">
        <v>160</v>
      </c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</row>
    <row r="148" ht="14.25" customHeight="1" collapsed="1">
      <c r="B148" s="5" t="s">
        <v>161</v>
      </c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</row>
    <row r="149" ht="14.25" customHeight="1">
      <c r="A149" s="16" t="str">
        <f>'Rent Roll'!C19</f>
        <v>Cornerstone Title Services</v>
      </c>
      <c r="B149" s="87" t="str">
        <f t="array" ref="B149">INDEX('Rent Roll'!$F$5:$F$46,MATCH('Rent Roll Calc'!A149,'Rent Roll'!$C$5:$C$46,0))</f>
        <v/>
      </c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</row>
    <row r="150" ht="14.25" customHeight="1" outlineLevel="1">
      <c r="B150" s="5" t="s">
        <v>153</v>
      </c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</row>
    <row r="151" ht="14.25" customHeight="1" outlineLevel="1">
      <c r="B151" s="5" t="s">
        <v>154</v>
      </c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</row>
    <row r="152" ht="14.25" customHeight="1" outlineLevel="1">
      <c r="B152" s="5" t="s">
        <v>155</v>
      </c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</row>
    <row r="153" ht="14.25" customHeight="1" outlineLevel="1">
      <c r="B153" s="5" t="s">
        <v>156</v>
      </c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</row>
    <row r="154" ht="14.25" customHeight="1" outlineLevel="1">
      <c r="B154" s="5" t="s">
        <v>157</v>
      </c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</row>
    <row r="155" ht="14.25" customHeight="1" outlineLevel="1">
      <c r="B155" s="5" t="s">
        <v>158</v>
      </c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</row>
    <row r="156" ht="14.25" customHeight="1" outlineLevel="1">
      <c r="B156" s="5" t="s">
        <v>159</v>
      </c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</row>
    <row r="157" ht="14.25" customHeight="1" outlineLevel="1">
      <c r="B157" s="5" t="s">
        <v>160</v>
      </c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</row>
    <row r="158" ht="14.25" customHeight="1" outlineLevel="1">
      <c r="B158" s="5" t="s">
        <v>161</v>
      </c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</row>
    <row r="159" ht="14.25" customHeight="1" outlineLevel="1">
      <c r="A159" s="16" t="str">
        <f>'Rent Roll'!C20</f>
        <v>Appalachian Wealth Mgmt</v>
      </c>
      <c r="B159" s="87" t="str">
        <f t="array" ref="B159">INDEX('Rent Roll'!$F$5:$F$46,MATCH('Rent Roll Calc'!A159,'Rent Roll'!$C$5:$C$46,0))</f>
        <v/>
      </c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</row>
    <row r="160" ht="14.25" customHeight="1" outlineLevel="1">
      <c r="B160" s="5" t="s">
        <v>153</v>
      </c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</row>
    <row r="161" ht="14.25" customHeight="1">
      <c r="B161" s="5" t="s">
        <v>154</v>
      </c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</row>
    <row r="162" ht="14.25" customHeight="1">
      <c r="B162" s="5" t="s">
        <v>155</v>
      </c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</row>
    <row r="163" ht="14.25" customHeight="1" outlineLevel="1">
      <c r="B163" s="5" t="s">
        <v>156</v>
      </c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</row>
    <row r="164" ht="14.25" customHeight="1" outlineLevel="1">
      <c r="B164" s="5" t="s">
        <v>157</v>
      </c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</row>
    <row r="165" ht="14.25" customHeight="1" outlineLevel="1">
      <c r="B165" s="5" t="s">
        <v>158</v>
      </c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</row>
    <row r="166" ht="14.25" customHeight="1" outlineLevel="1">
      <c r="B166" s="5" t="s">
        <v>159</v>
      </c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</row>
    <row r="167" ht="14.25" customHeight="1" outlineLevel="1">
      <c r="B167" s="5" t="s">
        <v>160</v>
      </c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</row>
    <row r="168" ht="14.25" customHeight="1" outlineLevel="1">
      <c r="B168" s="5" t="s">
        <v>161</v>
      </c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</row>
    <row r="169" ht="14.25" customHeight="1" outlineLevel="1">
      <c r="A169" s="16" t="str">
        <f>'Rent Roll'!C21</f>
        <v>Blue Ridge Legal Services</v>
      </c>
      <c r="B169" s="87" t="str">
        <f t="array" ref="B169">INDEX('Rent Roll'!$F$5:$F$46,MATCH('Rent Roll Calc'!A169,'Rent Roll'!$C$5:$C$46,0))</f>
        <v/>
      </c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</row>
    <row r="170" ht="14.25" customHeight="1" outlineLevel="1">
      <c r="B170" s="5" t="s">
        <v>153</v>
      </c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</row>
    <row r="171" ht="14.25" customHeight="1" outlineLevel="1">
      <c r="B171" s="5" t="s">
        <v>154</v>
      </c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</row>
    <row r="172" ht="14.25" customHeight="1" outlineLevel="1">
      <c r="B172" s="5" t="s">
        <v>155</v>
      </c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</row>
    <row r="173" ht="14.25" customHeight="1" outlineLevel="1">
      <c r="B173" s="5" t="s">
        <v>156</v>
      </c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</row>
    <row r="174" ht="14.25" customHeight="1">
      <c r="B174" s="5" t="s">
        <v>157</v>
      </c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</row>
    <row r="175" ht="14.25" customHeight="1">
      <c r="B175" s="5" t="s">
        <v>158</v>
      </c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</row>
    <row r="176" ht="14.25" customHeight="1" outlineLevel="1">
      <c r="B176" s="5" t="s">
        <v>159</v>
      </c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</row>
    <row r="177" ht="14.25" customHeight="1" outlineLevel="1">
      <c r="B177" s="5" t="s">
        <v>160</v>
      </c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</row>
    <row r="178" ht="14.25" customHeight="1" outlineLevel="1">
      <c r="B178" s="5" t="s">
        <v>161</v>
      </c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</row>
    <row r="179" ht="14.25" customHeight="1" outlineLevel="1">
      <c r="A179" s="16" t="str">
        <f>'Rent Roll'!C22</f>
        <v>Magnolia Event Planning</v>
      </c>
      <c r="B179" s="87" t="str">
        <f t="array" ref="B179">INDEX('Rent Roll'!$F$5:$F$46,MATCH('Rent Roll Calc'!A179,'Rent Roll'!$C$5:$C$46,0))</f>
        <v/>
      </c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</row>
    <row r="180" ht="14.25" customHeight="1" outlineLevel="1">
      <c r="B180" s="5" t="s">
        <v>153</v>
      </c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</row>
    <row r="181" ht="14.25" customHeight="1" outlineLevel="1">
      <c r="B181" s="5" t="s">
        <v>154</v>
      </c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</row>
    <row r="182" ht="14.25" customHeight="1" outlineLevel="1">
      <c r="B182" s="5" t="s">
        <v>155</v>
      </c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</row>
    <row r="183" ht="14.25" customHeight="1" outlineLevel="1">
      <c r="B183" s="5" t="s">
        <v>156</v>
      </c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</row>
    <row r="184" ht="14.25" customHeight="1" outlineLevel="1">
      <c r="B184" s="5" t="s">
        <v>157</v>
      </c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</row>
    <row r="185" ht="14.25" customHeight="1" outlineLevel="1">
      <c r="B185" s="5" t="s">
        <v>158</v>
      </c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</row>
    <row r="186" ht="14.25" customHeight="1" outlineLevel="1">
      <c r="B186" s="5" t="s">
        <v>159</v>
      </c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</row>
    <row r="187" ht="14.25" customHeight="1">
      <c r="B187" s="5" t="s">
        <v>160</v>
      </c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</row>
    <row r="188" ht="14.25" customHeight="1">
      <c r="B188" s="5" t="s">
        <v>161</v>
      </c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</row>
    <row r="189" ht="14.25" customHeight="1" outlineLevel="1">
      <c r="A189" s="16" t="str">
        <f>'Rent Roll'!C23</f>
        <v>Horizon Physical Therapy</v>
      </c>
      <c r="B189" s="87" t="str">
        <f t="array" ref="B189">INDEX('Rent Roll'!$F$5:$F$46,MATCH('Rent Roll Calc'!A189,'Rent Roll'!$C$5:$C$46,0))</f>
        <v/>
      </c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</row>
    <row r="190" ht="14.25" customHeight="1" outlineLevel="1">
      <c r="B190" s="5" t="s">
        <v>153</v>
      </c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</row>
    <row r="191" ht="14.25" customHeight="1" outlineLevel="1">
      <c r="B191" s="5" t="s">
        <v>154</v>
      </c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</row>
    <row r="192" ht="14.25" customHeight="1" outlineLevel="1">
      <c r="B192" s="5" t="s">
        <v>155</v>
      </c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</row>
    <row r="193" ht="14.25" customHeight="1" outlineLevel="1">
      <c r="B193" s="5" t="s">
        <v>156</v>
      </c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</row>
    <row r="194" ht="14.25" customHeight="1" outlineLevel="1">
      <c r="B194" s="5" t="s">
        <v>157</v>
      </c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</row>
    <row r="195" ht="14.25" customHeight="1" outlineLevel="1">
      <c r="B195" s="5" t="s">
        <v>158</v>
      </c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</row>
    <row r="196" ht="14.25" customHeight="1" outlineLevel="1">
      <c r="B196" s="5" t="s">
        <v>159</v>
      </c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</row>
    <row r="197" ht="14.25" customHeight="1" outlineLevel="1">
      <c r="B197" s="5" t="s">
        <v>160</v>
      </c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</row>
    <row r="198" ht="14.25" customHeight="1" outlineLevel="1">
      <c r="B198" s="5" t="s">
        <v>161</v>
      </c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</row>
    <row r="199" ht="14.25" customHeight="1" outlineLevel="1">
      <c r="A199" s="86" t="str">
        <f>'Rent Roll'!C24</f>
        <v>SouthPark Dental Associates</v>
      </c>
      <c r="B199" s="87" t="str">
        <f t="array" ref="B199">INDEX('Rent Roll'!$F$5:$F$46,MATCH('Rent Roll Calc'!A199,'Rent Roll'!$C$5:$C$46,0))</f>
        <v/>
      </c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</row>
    <row r="200" ht="14.25" customHeight="1">
      <c r="B200" s="5" t="s">
        <v>153</v>
      </c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</row>
    <row r="201" ht="14.25" customHeight="1">
      <c r="B201" s="5" t="s">
        <v>154</v>
      </c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88"/>
      <c r="BJ201" s="88"/>
      <c r="BK201" s="88"/>
      <c r="BL201" s="88"/>
      <c r="BM201" s="88"/>
      <c r="BN201" s="88"/>
      <c r="BO201" s="88"/>
      <c r="BP201" s="88"/>
      <c r="BQ201" s="88"/>
      <c r="BR201" s="88"/>
      <c r="BS201" s="88"/>
      <c r="BT201" s="88"/>
      <c r="BU201" s="88"/>
      <c r="BV201" s="88"/>
      <c r="BW201" s="88"/>
      <c r="BX201" s="88"/>
    </row>
    <row r="202" ht="14.25" customHeight="1" outlineLevel="1">
      <c r="B202" s="5" t="s">
        <v>155</v>
      </c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</row>
    <row r="203" ht="14.25" customHeight="1" outlineLevel="1">
      <c r="B203" s="5" t="s">
        <v>156</v>
      </c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8"/>
      <c r="BF203" s="88"/>
      <c r="BG203" s="88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</row>
    <row r="204" ht="14.25" customHeight="1" outlineLevel="1">
      <c r="B204" s="5" t="s">
        <v>157</v>
      </c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</row>
    <row r="205" ht="14.25" customHeight="1" outlineLevel="1">
      <c r="B205" s="5" t="s">
        <v>158</v>
      </c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</row>
    <row r="206" ht="14.25" customHeight="1" outlineLevel="1">
      <c r="B206" s="5" t="s">
        <v>159</v>
      </c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</row>
    <row r="207" ht="14.25" customHeight="1" outlineLevel="1">
      <c r="B207" s="5" t="s">
        <v>160</v>
      </c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  <c r="BL207" s="88"/>
      <c r="BM207" s="88"/>
      <c r="BN207" s="88"/>
      <c r="BO207" s="88"/>
      <c r="BP207" s="88"/>
      <c r="BQ207" s="88"/>
      <c r="BR207" s="88"/>
      <c r="BS207" s="88"/>
      <c r="BT207" s="88"/>
      <c r="BU207" s="88"/>
      <c r="BV207" s="88"/>
      <c r="BW207" s="88"/>
      <c r="BX207" s="88"/>
    </row>
    <row r="208" ht="14.25" customHeight="1" outlineLevel="1">
      <c r="B208" s="5" t="s">
        <v>161</v>
      </c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8"/>
      <c r="BF208" s="88"/>
      <c r="BG208" s="88"/>
      <c r="BH208" s="88"/>
      <c r="BI208" s="88"/>
      <c r="BJ208" s="88"/>
      <c r="BK208" s="88"/>
      <c r="BL208" s="88"/>
      <c r="BM208" s="88"/>
      <c r="BN208" s="88"/>
      <c r="BO208" s="88"/>
      <c r="BP208" s="88"/>
      <c r="BQ208" s="88"/>
      <c r="BR208" s="88"/>
      <c r="BS208" s="88"/>
      <c r="BT208" s="88"/>
      <c r="BU208" s="88"/>
      <c r="BV208" s="88"/>
      <c r="BW208" s="88"/>
      <c r="BX208" s="88"/>
    </row>
    <row r="209" ht="14.25" customHeight="1" outlineLevel="1">
      <c r="A209" s="89" t="str">
        <f>'Rent Roll'!C25</f>
        <v>Vacant — Suite 130</v>
      </c>
      <c r="B209" s="87" t="str">
        <f t="array" ref="B209">INDEX('Rent Roll'!$F$5:$F$46,MATCH('Rent Roll Calc'!A209,'Rent Roll'!$C$5:$C$46,0))</f>
        <v/>
      </c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  <c r="BL209" s="88"/>
      <c r="BM209" s="88"/>
      <c r="BN209" s="88"/>
      <c r="BO209" s="88"/>
      <c r="BP209" s="88"/>
      <c r="BQ209" s="88"/>
      <c r="BR209" s="88"/>
      <c r="BS209" s="88"/>
      <c r="BT209" s="88"/>
      <c r="BU209" s="88"/>
      <c r="BV209" s="88"/>
      <c r="BW209" s="88"/>
      <c r="BX209" s="88"/>
    </row>
    <row r="210" ht="14.25" customHeight="1" outlineLevel="1">
      <c r="B210" s="5" t="s">
        <v>153</v>
      </c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</row>
    <row r="211" ht="14.25" customHeight="1" outlineLevel="1">
      <c r="B211" s="5" t="s">
        <v>154</v>
      </c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</row>
    <row r="212" ht="14.25" customHeight="1" outlineLevel="1">
      <c r="B212" s="5" t="s">
        <v>155</v>
      </c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8"/>
      <c r="BF212" s="88"/>
      <c r="BG212" s="88"/>
      <c r="BH212" s="88"/>
      <c r="BI212" s="88"/>
      <c r="BJ212" s="88"/>
      <c r="BK212" s="88"/>
      <c r="BL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</row>
    <row r="213" ht="14.25" customHeight="1">
      <c r="B213" s="5" t="s">
        <v>156</v>
      </c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88"/>
      <c r="BQ213" s="88"/>
      <c r="BR213" s="88"/>
      <c r="BS213" s="88"/>
      <c r="BT213" s="88"/>
      <c r="BU213" s="88"/>
      <c r="BV213" s="88"/>
      <c r="BW213" s="88"/>
      <c r="BX213" s="88"/>
    </row>
    <row r="214" ht="14.25" customHeight="1">
      <c r="B214" s="5" t="s">
        <v>157</v>
      </c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  <c r="BF214" s="88"/>
      <c r="BG214" s="88"/>
      <c r="BH214" s="88"/>
      <c r="BI214" s="88"/>
      <c r="BJ214" s="88"/>
      <c r="BK214" s="88"/>
      <c r="BL214" s="88"/>
      <c r="BM214" s="88"/>
      <c r="BN214" s="88"/>
      <c r="BO214" s="88"/>
      <c r="BP214" s="88"/>
      <c r="BQ214" s="88"/>
      <c r="BR214" s="88"/>
      <c r="BS214" s="88"/>
      <c r="BT214" s="88"/>
      <c r="BU214" s="88"/>
      <c r="BV214" s="88"/>
      <c r="BW214" s="88"/>
      <c r="BX214" s="88"/>
    </row>
    <row r="215" ht="14.25" hidden="1" customHeight="1" outlineLevel="1">
      <c r="B215" s="5" t="s">
        <v>158</v>
      </c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</row>
    <row r="216" ht="14.25" hidden="1" customHeight="1" outlineLevel="1">
      <c r="B216" s="5" t="s">
        <v>159</v>
      </c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</row>
    <row r="217" ht="14.25" hidden="1" customHeight="1" outlineLevel="1">
      <c r="B217" s="5" t="s">
        <v>160</v>
      </c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</row>
    <row r="218" ht="14.25" hidden="1" customHeight="1" outlineLevel="1">
      <c r="B218" s="5" t="s">
        <v>161</v>
      </c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</row>
    <row r="219" ht="14.25" hidden="1" customHeight="1" outlineLevel="1">
      <c r="A219" s="89" t="str">
        <f>'Rent Roll'!C26</f>
        <v>Vacant — Suite 250</v>
      </c>
      <c r="B219" s="87" t="str">
        <f t="array" ref="B219">INDEX('Rent Roll'!$F$5:$F$46,MATCH('Rent Roll Calc'!A219,'Rent Roll'!$C$5:$C$46,0))</f>
        <v/>
      </c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</row>
    <row r="220" ht="14.25" hidden="1" customHeight="1" outlineLevel="1">
      <c r="B220" s="5" t="s">
        <v>153</v>
      </c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</row>
    <row r="221" ht="14.25" hidden="1" customHeight="1" outlineLevel="1">
      <c r="B221" s="5" t="s">
        <v>154</v>
      </c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  <c r="BL221" s="88"/>
      <c r="BM221" s="88"/>
      <c r="BN221" s="88"/>
      <c r="BO221" s="88"/>
      <c r="BP221" s="88"/>
      <c r="BQ221" s="88"/>
      <c r="BR221" s="88"/>
      <c r="BS221" s="88"/>
      <c r="BT221" s="88"/>
      <c r="BU221" s="88"/>
      <c r="BV221" s="88"/>
      <c r="BW221" s="88"/>
      <c r="BX221" s="88"/>
    </row>
    <row r="222" ht="14.25" hidden="1" customHeight="1" outlineLevel="1">
      <c r="B222" s="5" t="s">
        <v>155</v>
      </c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</row>
    <row r="223" ht="14.25" hidden="1" customHeight="1" outlineLevel="1">
      <c r="B223" s="5" t="s">
        <v>156</v>
      </c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  <c r="BL223" s="88"/>
      <c r="BM223" s="88"/>
      <c r="BN223" s="88"/>
      <c r="BO223" s="88"/>
      <c r="BP223" s="88"/>
      <c r="BQ223" s="88"/>
      <c r="BR223" s="88"/>
      <c r="BS223" s="88"/>
      <c r="BT223" s="88"/>
      <c r="BU223" s="88"/>
      <c r="BV223" s="88"/>
      <c r="BW223" s="88"/>
      <c r="BX223" s="88"/>
    </row>
    <row r="224" ht="14.25" hidden="1" customHeight="1" outlineLevel="1">
      <c r="B224" s="5" t="s">
        <v>157</v>
      </c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</row>
    <row r="225" ht="14.25" hidden="1" customHeight="1" outlineLevel="1">
      <c r="B225" s="5" t="s">
        <v>158</v>
      </c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</row>
    <row r="226" ht="14.25" customHeight="1" collapsed="1">
      <c r="B226" s="5" t="s">
        <v>159</v>
      </c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8"/>
      <c r="BF226" s="88"/>
      <c r="BG226" s="88"/>
      <c r="BH226" s="8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</row>
    <row r="227" ht="14.25" customHeight="1">
      <c r="B227" s="5" t="s">
        <v>160</v>
      </c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  <c r="BL227" s="88"/>
      <c r="BM227" s="88"/>
      <c r="BN227" s="88"/>
      <c r="BO227" s="88"/>
      <c r="BP227" s="88"/>
      <c r="BQ227" s="88"/>
      <c r="BR227" s="88"/>
      <c r="BS227" s="88"/>
      <c r="BT227" s="88"/>
      <c r="BU227" s="88"/>
      <c r="BV227" s="88"/>
      <c r="BW227" s="88"/>
      <c r="BX227" s="88"/>
    </row>
    <row r="228" ht="14.25" hidden="1" customHeight="1" outlineLevel="1">
      <c r="B228" s="5" t="s">
        <v>161</v>
      </c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  <c r="BN228" s="88"/>
      <c r="BO228" s="88"/>
      <c r="BP228" s="88"/>
      <c r="BQ228" s="88"/>
      <c r="BR228" s="88"/>
      <c r="BS228" s="88"/>
      <c r="BT228" s="88"/>
      <c r="BU228" s="88"/>
      <c r="BV228" s="88"/>
      <c r="BW228" s="88"/>
      <c r="BX228" s="88"/>
    </row>
    <row r="229" ht="14.25" hidden="1" customHeight="1" outlineLevel="1">
      <c r="A229" s="89" t="str">
        <f>'Rent Roll'!C27</f>
        <v>Vacant — Suite 360</v>
      </c>
      <c r="B229" s="87" t="str">
        <f t="array" ref="B229">INDEX('Rent Roll'!$F$5:$F$46,MATCH('Rent Roll Calc'!A229,'Rent Roll'!$C$5:$C$46,0))</f>
        <v/>
      </c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</row>
    <row r="230" ht="14.25" hidden="1" customHeight="1" outlineLevel="1">
      <c r="B230" s="5" t="s">
        <v>153</v>
      </c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  <c r="BE230" s="88"/>
      <c r="BF230" s="88"/>
      <c r="BG230" s="8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</row>
    <row r="231" ht="14.25" hidden="1" customHeight="1" outlineLevel="1">
      <c r="B231" s="5" t="s">
        <v>154</v>
      </c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  <c r="BG231" s="88"/>
      <c r="BH231" s="88"/>
      <c r="BI231" s="88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</row>
    <row r="232" ht="14.25" hidden="1" customHeight="1" outlineLevel="1">
      <c r="B232" s="5" t="s">
        <v>155</v>
      </c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</row>
    <row r="233" ht="14.25" hidden="1" customHeight="1" outlineLevel="1">
      <c r="B233" s="5" t="s">
        <v>156</v>
      </c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  <c r="BE233" s="88"/>
      <c r="BF233" s="88"/>
      <c r="BG233" s="88"/>
      <c r="BH233" s="88"/>
      <c r="BI233" s="88"/>
      <c r="BJ233" s="88"/>
      <c r="BK233" s="88"/>
      <c r="BL233" s="88"/>
      <c r="BM233" s="88"/>
      <c r="BN233" s="88"/>
      <c r="BO233" s="88"/>
      <c r="BP233" s="88"/>
      <c r="BQ233" s="88"/>
      <c r="BR233" s="88"/>
      <c r="BS233" s="88"/>
      <c r="BT233" s="88"/>
      <c r="BU233" s="88"/>
      <c r="BV233" s="88"/>
      <c r="BW233" s="88"/>
      <c r="BX233" s="88"/>
    </row>
    <row r="234" ht="14.25" hidden="1" customHeight="1" outlineLevel="1">
      <c r="B234" s="5" t="s">
        <v>157</v>
      </c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  <c r="BE234" s="88"/>
      <c r="BF234" s="88"/>
      <c r="BG234" s="88"/>
      <c r="BH234" s="88"/>
      <c r="BI234" s="88"/>
      <c r="BJ234" s="88"/>
      <c r="BK234" s="88"/>
      <c r="BL234" s="88"/>
      <c r="BM234" s="88"/>
      <c r="BN234" s="88"/>
      <c r="BO234" s="88"/>
      <c r="BP234" s="88"/>
      <c r="BQ234" s="88"/>
      <c r="BR234" s="88"/>
      <c r="BS234" s="88"/>
      <c r="BT234" s="88"/>
      <c r="BU234" s="88"/>
      <c r="BV234" s="88"/>
      <c r="BW234" s="88"/>
      <c r="BX234" s="88"/>
    </row>
    <row r="235" ht="14.25" hidden="1" customHeight="1" outlineLevel="1">
      <c r="B235" s="5" t="s">
        <v>158</v>
      </c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88"/>
      <c r="BU235" s="88"/>
      <c r="BV235" s="88"/>
      <c r="BW235" s="88"/>
      <c r="BX235" s="88"/>
    </row>
    <row r="236" ht="14.25" hidden="1" customHeight="1" outlineLevel="1">
      <c r="B236" s="5" t="s">
        <v>159</v>
      </c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88"/>
      <c r="BK236" s="88"/>
      <c r="BL236" s="88"/>
      <c r="BM236" s="88"/>
      <c r="BN236" s="88"/>
      <c r="BO236" s="88"/>
      <c r="BP236" s="88"/>
      <c r="BQ236" s="88"/>
      <c r="BR236" s="88"/>
      <c r="BS236" s="88"/>
      <c r="BT236" s="88"/>
      <c r="BU236" s="88"/>
      <c r="BV236" s="88"/>
      <c r="BW236" s="88"/>
      <c r="BX236" s="88"/>
    </row>
    <row r="237" ht="14.25" hidden="1" customHeight="1" outlineLevel="1">
      <c r="B237" s="5" t="s">
        <v>160</v>
      </c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88"/>
      <c r="BM237" s="88"/>
      <c r="BN237" s="88"/>
      <c r="BO237" s="88"/>
      <c r="BP237" s="88"/>
      <c r="BQ237" s="88"/>
      <c r="BR237" s="88"/>
      <c r="BS237" s="88"/>
      <c r="BT237" s="88"/>
      <c r="BU237" s="88"/>
      <c r="BV237" s="88"/>
      <c r="BW237" s="88"/>
      <c r="BX237" s="88"/>
    </row>
    <row r="238" ht="14.25" hidden="1" customHeight="1" outlineLevel="1">
      <c r="B238" s="5" t="s">
        <v>161</v>
      </c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88"/>
      <c r="BL238" s="88"/>
      <c r="BM238" s="88"/>
      <c r="BN238" s="88"/>
      <c r="BO238" s="88"/>
      <c r="BP238" s="88"/>
      <c r="BQ238" s="88"/>
      <c r="BR238" s="88"/>
      <c r="BS238" s="88"/>
      <c r="BT238" s="88"/>
      <c r="BU238" s="88"/>
      <c r="BV238" s="88"/>
      <c r="BW238" s="88"/>
      <c r="BX238" s="88"/>
    </row>
    <row r="239" ht="14.25" customHeight="1" collapsed="1">
      <c r="A239" s="89" t="str">
        <f>'Rent Roll'!C28</f>
        <v>Vacant — Suite 450</v>
      </c>
      <c r="B239" s="87" t="str">
        <f t="array" ref="B239">INDEX('Rent Roll'!$F$5:$F$46,MATCH('Rent Roll Calc'!A239,'Rent Roll'!$C$5:$C$46,0))</f>
        <v/>
      </c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L239" s="88"/>
      <c r="BM239" s="88"/>
      <c r="BN239" s="88"/>
      <c r="BO239" s="88"/>
      <c r="BP239" s="88"/>
      <c r="BQ239" s="88"/>
      <c r="BR239" s="88"/>
      <c r="BS239" s="88"/>
      <c r="BT239" s="88"/>
      <c r="BU239" s="88"/>
      <c r="BV239" s="88"/>
      <c r="BW239" s="88"/>
      <c r="BX239" s="88"/>
    </row>
    <row r="240" ht="14.25" customHeight="1">
      <c r="B240" s="5" t="s">
        <v>153</v>
      </c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L240" s="88"/>
      <c r="BM240" s="88"/>
      <c r="BN240" s="88"/>
      <c r="BO240" s="88"/>
      <c r="BP240" s="88"/>
      <c r="BQ240" s="88"/>
      <c r="BR240" s="88"/>
      <c r="BS240" s="88"/>
      <c r="BT240" s="88"/>
      <c r="BU240" s="88"/>
      <c r="BV240" s="88"/>
      <c r="BW240" s="88"/>
      <c r="BX240" s="88"/>
    </row>
    <row r="241" ht="14.25" hidden="1" customHeight="1" outlineLevel="1">
      <c r="B241" s="5" t="s">
        <v>154</v>
      </c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L241" s="88"/>
      <c r="BM241" s="8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</row>
    <row r="242" ht="14.25" hidden="1" customHeight="1" outlineLevel="1">
      <c r="B242" s="5" t="s">
        <v>155</v>
      </c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  <c r="BE242" s="88"/>
      <c r="BF242" s="88"/>
      <c r="BG242" s="88"/>
      <c r="BH242" s="88"/>
      <c r="BI242" s="88"/>
      <c r="BJ242" s="88"/>
      <c r="BK242" s="88"/>
      <c r="BL242" s="88"/>
      <c r="BM242" s="88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</row>
    <row r="243" ht="14.25" hidden="1" customHeight="1" outlineLevel="1">
      <c r="B243" s="5" t="s">
        <v>156</v>
      </c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  <c r="BE243" s="88"/>
      <c r="BF243" s="88"/>
      <c r="BG243" s="88"/>
      <c r="BH243" s="88"/>
      <c r="BI243" s="88"/>
      <c r="BJ243" s="88"/>
      <c r="BK243" s="88"/>
      <c r="BL243" s="88"/>
      <c r="BM243" s="88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</row>
    <row r="244" ht="14.25" hidden="1" customHeight="1" outlineLevel="1">
      <c r="B244" s="5" t="s">
        <v>157</v>
      </c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88"/>
      <c r="BR244" s="88"/>
      <c r="BS244" s="88"/>
      <c r="BT244" s="88"/>
      <c r="BU244" s="88"/>
      <c r="BV244" s="88"/>
      <c r="BW244" s="88"/>
      <c r="BX244" s="88"/>
    </row>
    <row r="245" ht="14.25" hidden="1" customHeight="1" outlineLevel="1">
      <c r="B245" s="5" t="s">
        <v>158</v>
      </c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</row>
    <row r="246" ht="14.25" hidden="1" customHeight="1" outlineLevel="1">
      <c r="B246" s="5" t="s">
        <v>159</v>
      </c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  <c r="BC246" s="88"/>
      <c r="BD246" s="88"/>
      <c r="BE246" s="88"/>
      <c r="BF246" s="88"/>
      <c r="BG246" s="88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88"/>
      <c r="BT246" s="88"/>
      <c r="BU246" s="88"/>
      <c r="BV246" s="88"/>
      <c r="BW246" s="88"/>
      <c r="BX246" s="88"/>
    </row>
    <row r="247" ht="14.25" hidden="1" customHeight="1" outlineLevel="1">
      <c r="B247" s="5" t="s">
        <v>160</v>
      </c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88"/>
      <c r="BP247" s="88"/>
      <c r="BQ247" s="88"/>
      <c r="BR247" s="88"/>
      <c r="BS247" s="88"/>
      <c r="BT247" s="88"/>
      <c r="BU247" s="88"/>
      <c r="BV247" s="88"/>
      <c r="BW247" s="88"/>
      <c r="BX247" s="88"/>
    </row>
    <row r="248" ht="14.25" hidden="1" customHeight="1" outlineLevel="1">
      <c r="B248" s="5" t="s">
        <v>161</v>
      </c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  <c r="BE248" s="88"/>
      <c r="BF248" s="88"/>
      <c r="BG248" s="88"/>
      <c r="BH248" s="88"/>
      <c r="BI248" s="88"/>
      <c r="BJ248" s="88"/>
      <c r="BK248" s="88"/>
      <c r="BL248" s="88"/>
      <c r="BM248" s="88"/>
      <c r="BN248" s="88"/>
      <c r="BO248" s="88"/>
      <c r="BP248" s="88"/>
      <c r="BQ248" s="88"/>
      <c r="BR248" s="88"/>
      <c r="BS248" s="88"/>
      <c r="BT248" s="88"/>
      <c r="BU248" s="88"/>
      <c r="BV248" s="88"/>
      <c r="BW248" s="88"/>
      <c r="BX248" s="88"/>
    </row>
    <row r="249" ht="14.25" hidden="1" customHeight="1" outlineLevel="1">
      <c r="A249" s="89" t="str">
        <f>'Rent Roll'!C29</f>
        <v>Vacant — Suite 460</v>
      </c>
      <c r="B249" s="87" t="str">
        <f t="array" ref="B249">INDEX('Rent Roll'!$F$5:$F$46,MATCH('Rent Roll Calc'!A249,'Rent Roll'!$C$5:$C$46,0))</f>
        <v/>
      </c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  <c r="BE249" s="88"/>
      <c r="BF249" s="88"/>
      <c r="BG249" s="88"/>
      <c r="BH249" s="88"/>
      <c r="BI249" s="88"/>
      <c r="BJ249" s="88"/>
      <c r="BK249" s="88"/>
      <c r="BL249" s="88"/>
      <c r="BM249" s="88"/>
      <c r="BN249" s="88"/>
      <c r="BO249" s="88"/>
      <c r="BP249" s="88"/>
      <c r="BQ249" s="88"/>
      <c r="BR249" s="88"/>
      <c r="BS249" s="88"/>
      <c r="BT249" s="88"/>
      <c r="BU249" s="88"/>
      <c r="BV249" s="88"/>
      <c r="BW249" s="88"/>
      <c r="BX249" s="88"/>
    </row>
    <row r="250" ht="14.25" hidden="1" customHeight="1" outlineLevel="1">
      <c r="B250" s="5" t="s">
        <v>153</v>
      </c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  <c r="BN250" s="88"/>
      <c r="BO250" s="88"/>
      <c r="BP250" s="88"/>
      <c r="BQ250" s="88"/>
      <c r="BR250" s="88"/>
      <c r="BS250" s="88"/>
      <c r="BT250" s="88"/>
      <c r="BU250" s="88"/>
      <c r="BV250" s="88"/>
      <c r="BW250" s="88"/>
      <c r="BX250" s="88"/>
    </row>
    <row r="251" ht="14.25" hidden="1" customHeight="1" outlineLevel="1">
      <c r="B251" s="5" t="s">
        <v>154</v>
      </c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  <c r="BL251" s="88"/>
      <c r="BM251" s="88"/>
      <c r="BN251" s="88"/>
      <c r="BO251" s="88"/>
      <c r="BP251" s="88"/>
      <c r="BQ251" s="88"/>
      <c r="BR251" s="88"/>
      <c r="BS251" s="88"/>
      <c r="BT251" s="88"/>
      <c r="BU251" s="88"/>
      <c r="BV251" s="88"/>
      <c r="BW251" s="88"/>
      <c r="BX251" s="88"/>
    </row>
    <row r="252" ht="14.25" customHeight="1" collapsed="1">
      <c r="B252" s="5" t="s">
        <v>155</v>
      </c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88"/>
      <c r="BN252" s="88"/>
      <c r="BO252" s="88"/>
      <c r="BP252" s="88"/>
      <c r="BQ252" s="88"/>
      <c r="BR252" s="88"/>
      <c r="BS252" s="88"/>
      <c r="BT252" s="88"/>
      <c r="BU252" s="88"/>
      <c r="BV252" s="88"/>
      <c r="BW252" s="88"/>
      <c r="BX252" s="88"/>
    </row>
    <row r="253" ht="14.25" customHeight="1">
      <c r="B253" s="5" t="s">
        <v>156</v>
      </c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  <c r="BC253" s="88"/>
      <c r="BD253" s="88"/>
      <c r="BE253" s="88"/>
      <c r="BF253" s="88"/>
      <c r="BG253" s="88"/>
      <c r="BH253" s="88"/>
      <c r="BI253" s="88"/>
      <c r="BJ253" s="88"/>
      <c r="BK253" s="88"/>
      <c r="BL253" s="88"/>
      <c r="BM253" s="88"/>
      <c r="BN253" s="88"/>
      <c r="BO253" s="88"/>
      <c r="BP253" s="88"/>
      <c r="BQ253" s="88"/>
      <c r="BR253" s="88"/>
      <c r="BS253" s="88"/>
      <c r="BT253" s="88"/>
      <c r="BU253" s="88"/>
      <c r="BV253" s="88"/>
      <c r="BW253" s="88"/>
      <c r="BX253" s="88"/>
    </row>
    <row r="254" ht="14.25" hidden="1" customHeight="1" outlineLevel="1">
      <c r="B254" s="5" t="s">
        <v>157</v>
      </c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  <c r="BC254" s="88"/>
      <c r="BD254" s="88"/>
      <c r="BE254" s="88"/>
      <c r="BF254" s="88"/>
      <c r="BG254" s="88"/>
      <c r="BH254" s="88"/>
      <c r="BI254" s="88"/>
      <c r="BJ254" s="88"/>
      <c r="BK254" s="88"/>
      <c r="BL254" s="88"/>
      <c r="BM254" s="88"/>
      <c r="BN254" s="88"/>
      <c r="BO254" s="88"/>
      <c r="BP254" s="88"/>
      <c r="BQ254" s="88"/>
      <c r="BR254" s="88"/>
      <c r="BS254" s="88"/>
      <c r="BT254" s="88"/>
      <c r="BU254" s="88"/>
      <c r="BV254" s="88"/>
      <c r="BW254" s="88"/>
      <c r="BX254" s="88"/>
    </row>
    <row r="255" ht="14.25" hidden="1" customHeight="1" outlineLevel="1">
      <c r="B255" s="5" t="s">
        <v>158</v>
      </c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  <c r="BC255" s="88"/>
      <c r="BD255" s="88"/>
      <c r="BE255" s="88"/>
      <c r="BF255" s="88"/>
      <c r="BG255" s="88"/>
      <c r="BH255" s="88"/>
      <c r="BI255" s="88"/>
      <c r="BJ255" s="88"/>
      <c r="BK255" s="88"/>
      <c r="BL255" s="88"/>
      <c r="BM255" s="88"/>
      <c r="BN255" s="88"/>
      <c r="BO255" s="88"/>
      <c r="BP255" s="88"/>
      <c r="BQ255" s="88"/>
      <c r="BR255" s="88"/>
      <c r="BS255" s="88"/>
      <c r="BT255" s="88"/>
      <c r="BU255" s="88"/>
      <c r="BV255" s="88"/>
      <c r="BW255" s="88"/>
      <c r="BX255" s="88"/>
    </row>
    <row r="256" ht="14.25" hidden="1" customHeight="1" outlineLevel="1">
      <c r="B256" s="5" t="s">
        <v>159</v>
      </c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  <c r="BC256" s="88"/>
      <c r="BD256" s="88"/>
      <c r="BE256" s="88"/>
      <c r="BF256" s="88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88"/>
      <c r="BR256" s="88"/>
      <c r="BS256" s="88"/>
      <c r="BT256" s="88"/>
      <c r="BU256" s="88"/>
      <c r="BV256" s="88"/>
      <c r="BW256" s="88"/>
      <c r="BX256" s="88"/>
    </row>
    <row r="257" ht="14.25" hidden="1" customHeight="1" outlineLevel="1">
      <c r="B257" s="5" t="s">
        <v>160</v>
      </c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  <c r="BU257" s="88"/>
      <c r="BV257" s="88"/>
      <c r="BW257" s="88"/>
      <c r="BX257" s="88"/>
    </row>
    <row r="258" ht="14.25" hidden="1" customHeight="1" outlineLevel="1">
      <c r="B258" s="5" t="s">
        <v>161</v>
      </c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88"/>
      <c r="BT258" s="88"/>
      <c r="BU258" s="88"/>
      <c r="BV258" s="88"/>
      <c r="BW258" s="88"/>
      <c r="BX258" s="88"/>
    </row>
    <row r="259" ht="14.25" hidden="1" customHeight="1" outlineLevel="1">
      <c r="A259" s="89" t="str">
        <f>'Rent Roll'!C30</f>
        <v>Vacant — Suite 540</v>
      </c>
      <c r="B259" s="87" t="str">
        <f t="array" ref="B259">INDEX('Rent Roll'!$F$5:$F$46,MATCH('Rent Roll Calc'!A259,'Rent Roll'!$C$5:$C$46,0))</f>
        <v/>
      </c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</row>
    <row r="260" ht="14.25" hidden="1" customHeight="1" outlineLevel="1">
      <c r="B260" s="5" t="s">
        <v>153</v>
      </c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  <c r="BE260" s="88"/>
      <c r="BF260" s="88"/>
      <c r="BG260" s="88"/>
      <c r="BH260" s="88"/>
      <c r="BI260" s="88"/>
      <c r="BJ260" s="88"/>
      <c r="BK260" s="88"/>
      <c r="BL260" s="88"/>
      <c r="BM260" s="88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</row>
    <row r="261" ht="14.25" hidden="1" customHeight="1" outlineLevel="1">
      <c r="B261" s="5" t="s">
        <v>154</v>
      </c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  <c r="BG261" s="88"/>
      <c r="BH261" s="88"/>
      <c r="BI261" s="8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</row>
    <row r="262" ht="14.25" hidden="1" customHeight="1" outlineLevel="1">
      <c r="B262" s="5" t="s">
        <v>155</v>
      </c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88"/>
      <c r="BO262" s="88"/>
      <c r="BP262" s="88"/>
      <c r="BQ262" s="88"/>
      <c r="BR262" s="88"/>
      <c r="BS262" s="88"/>
      <c r="BT262" s="88"/>
      <c r="BU262" s="88"/>
      <c r="BV262" s="88"/>
      <c r="BW262" s="88"/>
      <c r="BX262" s="88"/>
    </row>
    <row r="263" ht="14.25" hidden="1" customHeight="1" outlineLevel="1">
      <c r="B263" s="5" t="s">
        <v>156</v>
      </c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  <c r="BL263" s="88"/>
      <c r="BM263" s="88"/>
      <c r="BN263" s="88"/>
      <c r="BO263" s="88"/>
      <c r="BP263" s="88"/>
      <c r="BQ263" s="88"/>
      <c r="BR263" s="88"/>
      <c r="BS263" s="88"/>
      <c r="BT263" s="88"/>
      <c r="BU263" s="88"/>
      <c r="BV263" s="88"/>
      <c r="BW263" s="88"/>
      <c r="BX263" s="88"/>
    </row>
    <row r="264" ht="14.25" hidden="1" customHeight="1" outlineLevel="1">
      <c r="B264" s="5" t="s">
        <v>157</v>
      </c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  <c r="BL264" s="88"/>
      <c r="BM264" s="88"/>
      <c r="BN264" s="88"/>
      <c r="BO264" s="88"/>
      <c r="BP264" s="88"/>
      <c r="BQ264" s="88"/>
      <c r="BR264" s="88"/>
      <c r="BS264" s="88"/>
      <c r="BT264" s="88"/>
      <c r="BU264" s="88"/>
      <c r="BV264" s="88"/>
      <c r="BW264" s="88"/>
      <c r="BX264" s="88"/>
    </row>
    <row r="265" ht="14.25" customHeight="1" collapsed="1">
      <c r="B265" s="5" t="s">
        <v>158</v>
      </c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  <c r="BL265" s="88"/>
      <c r="BM265" s="88"/>
      <c r="BN265" s="88"/>
      <c r="BO265" s="88"/>
      <c r="BP265" s="88"/>
      <c r="BQ265" s="88"/>
      <c r="BR265" s="88"/>
      <c r="BS265" s="88"/>
      <c r="BT265" s="88"/>
      <c r="BU265" s="88"/>
      <c r="BV265" s="88"/>
      <c r="BW265" s="88"/>
      <c r="BX265" s="88"/>
    </row>
    <row r="266" ht="14.25" customHeight="1">
      <c r="B266" s="5" t="s">
        <v>159</v>
      </c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88"/>
      <c r="BW266" s="88"/>
      <c r="BX266" s="88"/>
    </row>
    <row r="267" ht="14.25" hidden="1" customHeight="1" outlineLevel="1">
      <c r="B267" s="5" t="s">
        <v>160</v>
      </c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  <c r="BE267" s="88"/>
      <c r="BF267" s="88"/>
      <c r="BG267" s="88"/>
      <c r="BH267" s="8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88"/>
      <c r="BT267" s="88"/>
      <c r="BU267" s="88"/>
      <c r="BV267" s="88"/>
      <c r="BW267" s="88"/>
      <c r="BX267" s="88"/>
    </row>
    <row r="268" ht="14.25" hidden="1" customHeight="1" outlineLevel="1">
      <c r="B268" s="5" t="s">
        <v>161</v>
      </c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88"/>
      <c r="BX268" s="88"/>
    </row>
    <row r="269" ht="14.25" hidden="1" customHeight="1" outlineLevel="1">
      <c r="A269" s="89" t="str">
        <f>'Rent Roll'!C31</f>
        <v>Vacant — Suite 550</v>
      </c>
      <c r="B269" s="87" t="str">
        <f t="array" ref="B269">INDEX('Rent Roll'!$F$5:$F$46,MATCH('Rent Roll Calc'!A269,'Rent Roll'!$C$5:$C$46,0))</f>
        <v/>
      </c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88"/>
      <c r="BL269" s="88"/>
      <c r="BM269" s="88"/>
      <c r="BN269" s="88"/>
      <c r="BO269" s="88"/>
      <c r="BP269" s="88"/>
      <c r="BQ269" s="88"/>
      <c r="BR269" s="88"/>
      <c r="BS269" s="88"/>
      <c r="BT269" s="88"/>
      <c r="BU269" s="88"/>
      <c r="BV269" s="88"/>
      <c r="BW269" s="88"/>
      <c r="BX269" s="88"/>
    </row>
    <row r="270" ht="14.25" hidden="1" customHeight="1" outlineLevel="1">
      <c r="B270" s="5" t="s">
        <v>153</v>
      </c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  <c r="BE270" s="88"/>
      <c r="BF270" s="88"/>
      <c r="BG270" s="88"/>
      <c r="BH270" s="88"/>
      <c r="BI270" s="88"/>
      <c r="BJ270" s="88"/>
      <c r="BK270" s="88"/>
      <c r="BL270" s="88"/>
      <c r="BM270" s="88"/>
      <c r="BN270" s="88"/>
      <c r="BO270" s="88"/>
      <c r="BP270" s="88"/>
      <c r="BQ270" s="88"/>
      <c r="BR270" s="88"/>
      <c r="BS270" s="88"/>
      <c r="BT270" s="88"/>
      <c r="BU270" s="88"/>
      <c r="BV270" s="88"/>
      <c r="BW270" s="88"/>
      <c r="BX270" s="88"/>
    </row>
    <row r="271" ht="14.25" hidden="1" customHeight="1" outlineLevel="1">
      <c r="B271" s="5" t="s">
        <v>154</v>
      </c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88"/>
      <c r="BK271" s="88"/>
      <c r="BL271" s="88"/>
      <c r="BM271" s="88"/>
      <c r="BN271" s="88"/>
      <c r="BO271" s="88"/>
      <c r="BP271" s="88"/>
      <c r="BQ271" s="88"/>
      <c r="BR271" s="88"/>
      <c r="BS271" s="88"/>
      <c r="BT271" s="88"/>
      <c r="BU271" s="88"/>
      <c r="BV271" s="88"/>
      <c r="BW271" s="88"/>
      <c r="BX271" s="88"/>
    </row>
    <row r="272" ht="14.25" hidden="1" customHeight="1" outlineLevel="1">
      <c r="B272" s="5" t="s">
        <v>155</v>
      </c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</row>
    <row r="273" ht="14.25" hidden="1" customHeight="1" outlineLevel="1">
      <c r="B273" s="5" t="s">
        <v>156</v>
      </c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88"/>
      <c r="BH273" s="88"/>
      <c r="BI273" s="88"/>
      <c r="BJ273" s="88"/>
      <c r="BK273" s="88"/>
      <c r="BL273" s="88"/>
      <c r="BM273" s="88"/>
      <c r="BN273" s="88"/>
      <c r="BO273" s="88"/>
      <c r="BP273" s="88"/>
      <c r="BQ273" s="88"/>
      <c r="BR273" s="88"/>
      <c r="BS273" s="88"/>
      <c r="BT273" s="88"/>
      <c r="BU273" s="88"/>
      <c r="BV273" s="88"/>
      <c r="BW273" s="88"/>
      <c r="BX273" s="88"/>
    </row>
    <row r="274" ht="14.25" hidden="1" customHeight="1" outlineLevel="1">
      <c r="B274" s="5" t="s">
        <v>157</v>
      </c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88"/>
      <c r="BG274" s="88"/>
      <c r="BH274" s="88"/>
      <c r="BI274" s="88"/>
      <c r="BJ274" s="88"/>
      <c r="BK274" s="88"/>
      <c r="BL274" s="88"/>
      <c r="BM274" s="88"/>
      <c r="BN274" s="88"/>
      <c r="BO274" s="88"/>
      <c r="BP274" s="88"/>
      <c r="BQ274" s="88"/>
      <c r="BR274" s="88"/>
      <c r="BS274" s="88"/>
      <c r="BT274" s="88"/>
      <c r="BU274" s="88"/>
      <c r="BV274" s="88"/>
      <c r="BW274" s="88"/>
      <c r="BX274" s="88"/>
    </row>
    <row r="275" ht="14.25" hidden="1" customHeight="1" outlineLevel="1">
      <c r="B275" s="5" t="s">
        <v>158</v>
      </c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  <c r="BE275" s="88"/>
      <c r="BF275" s="88"/>
      <c r="BG275" s="88"/>
      <c r="BH275" s="88"/>
      <c r="BI275" s="88"/>
      <c r="BJ275" s="88"/>
      <c r="BK275" s="88"/>
      <c r="BL275" s="88"/>
      <c r="BM275" s="88"/>
      <c r="BN275" s="88"/>
      <c r="BO275" s="88"/>
      <c r="BP275" s="88"/>
      <c r="BQ275" s="88"/>
      <c r="BR275" s="88"/>
      <c r="BS275" s="88"/>
      <c r="BT275" s="88"/>
      <c r="BU275" s="88"/>
      <c r="BV275" s="88"/>
      <c r="BW275" s="88"/>
      <c r="BX275" s="88"/>
    </row>
    <row r="276" ht="14.25" hidden="1" customHeight="1" outlineLevel="1">
      <c r="B276" s="5" t="s">
        <v>159</v>
      </c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</row>
    <row r="277" ht="14.25" hidden="1" customHeight="1" outlineLevel="1">
      <c r="B277" s="5" t="s">
        <v>160</v>
      </c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  <c r="BE277" s="88"/>
      <c r="BF277" s="88"/>
      <c r="BG277" s="88"/>
      <c r="BH277" s="88"/>
      <c r="BI277" s="88"/>
      <c r="BJ277" s="88"/>
      <c r="BK277" s="88"/>
      <c r="BL277" s="88"/>
      <c r="BM277" s="88"/>
      <c r="BN277" s="88"/>
      <c r="BO277" s="88"/>
      <c r="BP277" s="88"/>
      <c r="BQ277" s="88"/>
      <c r="BR277" s="88"/>
      <c r="BS277" s="88"/>
      <c r="BT277" s="88"/>
      <c r="BU277" s="88"/>
      <c r="BV277" s="88"/>
      <c r="BW277" s="88"/>
      <c r="BX277" s="88"/>
    </row>
    <row r="278" ht="14.25" customHeight="1" collapsed="1">
      <c r="B278" s="5" t="s">
        <v>161</v>
      </c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88"/>
      <c r="BG278" s="88"/>
      <c r="BH278" s="88"/>
      <c r="BI278" s="88"/>
      <c r="BJ278" s="88"/>
      <c r="BK278" s="88"/>
      <c r="BL278" s="88"/>
      <c r="BM278" s="88"/>
      <c r="BN278" s="88"/>
      <c r="BO278" s="88"/>
      <c r="BP278" s="88"/>
      <c r="BQ278" s="88"/>
      <c r="BR278" s="88"/>
      <c r="BS278" s="88"/>
      <c r="BT278" s="88"/>
      <c r="BU278" s="88"/>
      <c r="BV278" s="88"/>
      <c r="BW278" s="88"/>
      <c r="BX278" s="88"/>
    </row>
    <row r="279" ht="14.25" customHeight="1">
      <c r="A279" s="89" t="str">
        <f>'Rent Roll'!C32</f>
        <v>Vacant — Suite 830</v>
      </c>
      <c r="B279" s="87" t="str">
        <f t="array" ref="B279">INDEX('Rent Roll'!$F$5:$F$46,MATCH('Rent Roll Calc'!A279,'Rent Roll'!$C$5:$C$46,0))</f>
        <v/>
      </c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88"/>
      <c r="BG279" s="88"/>
      <c r="BH279" s="88"/>
      <c r="BI279" s="88"/>
      <c r="BJ279" s="88"/>
      <c r="BK279" s="88"/>
      <c r="BL279" s="88"/>
      <c r="BM279" s="88"/>
      <c r="BN279" s="88"/>
      <c r="BO279" s="88"/>
      <c r="BP279" s="88"/>
      <c r="BQ279" s="88"/>
      <c r="BR279" s="88"/>
      <c r="BS279" s="88"/>
      <c r="BT279" s="88"/>
      <c r="BU279" s="88"/>
      <c r="BV279" s="88"/>
      <c r="BW279" s="88"/>
      <c r="BX279" s="88"/>
    </row>
    <row r="280" ht="14.25" customHeight="1" outlineLevel="1">
      <c r="B280" s="5" t="s">
        <v>153</v>
      </c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  <c r="BE280" s="88"/>
      <c r="BF280" s="88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</row>
    <row r="281" ht="14.25" customHeight="1" outlineLevel="1">
      <c r="B281" s="5" t="s">
        <v>154</v>
      </c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88"/>
      <c r="BM281" s="88"/>
      <c r="BN281" s="88"/>
      <c r="BO281" s="88"/>
      <c r="BP281" s="88"/>
      <c r="BQ281" s="88"/>
      <c r="BR281" s="88"/>
      <c r="BS281" s="88"/>
      <c r="BT281" s="88"/>
      <c r="BU281" s="88"/>
      <c r="BV281" s="88"/>
      <c r="BW281" s="88"/>
      <c r="BX281" s="88"/>
    </row>
    <row r="282" ht="14.25" customHeight="1" outlineLevel="1">
      <c r="B282" s="5" t="s">
        <v>155</v>
      </c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88"/>
      <c r="BR282" s="88"/>
      <c r="BS282" s="88"/>
      <c r="BT282" s="88"/>
      <c r="BU282" s="88"/>
      <c r="BV282" s="88"/>
      <c r="BW282" s="88"/>
      <c r="BX282" s="88"/>
    </row>
    <row r="283" ht="14.25" customHeight="1" outlineLevel="1">
      <c r="B283" s="5" t="s">
        <v>156</v>
      </c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88"/>
      <c r="BG283" s="88"/>
      <c r="BH283" s="88"/>
      <c r="BI283" s="88"/>
      <c r="BJ283" s="88"/>
      <c r="BK283" s="88"/>
      <c r="BL283" s="88"/>
      <c r="BM283" s="88"/>
      <c r="BN283" s="88"/>
      <c r="BO283" s="88"/>
      <c r="BP283" s="88"/>
      <c r="BQ283" s="88"/>
      <c r="BR283" s="88"/>
      <c r="BS283" s="88"/>
      <c r="BT283" s="88"/>
      <c r="BU283" s="88"/>
      <c r="BV283" s="88"/>
      <c r="BW283" s="88"/>
      <c r="BX283" s="88"/>
    </row>
    <row r="284" ht="14.25" customHeight="1" outlineLevel="1">
      <c r="B284" s="5" t="s">
        <v>157</v>
      </c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  <c r="BE284" s="88"/>
      <c r="BF284" s="88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88"/>
      <c r="BR284" s="88"/>
      <c r="BS284" s="88"/>
      <c r="BT284" s="88"/>
      <c r="BU284" s="88"/>
      <c r="BV284" s="88"/>
      <c r="BW284" s="88"/>
      <c r="BX284" s="88"/>
    </row>
    <row r="285" ht="14.25" customHeight="1" outlineLevel="1">
      <c r="B285" s="5" t="s">
        <v>158</v>
      </c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  <c r="BE285" s="88"/>
      <c r="BF285" s="88"/>
      <c r="BG285" s="88"/>
      <c r="BH285" s="88"/>
      <c r="BI285" s="88"/>
      <c r="BJ285" s="88"/>
      <c r="BK285" s="88"/>
      <c r="BL285" s="88"/>
      <c r="BM285" s="88"/>
      <c r="BN285" s="88"/>
      <c r="BO285" s="88"/>
      <c r="BP285" s="88"/>
      <c r="BQ285" s="88"/>
      <c r="BR285" s="88"/>
      <c r="BS285" s="88"/>
      <c r="BT285" s="88"/>
      <c r="BU285" s="88"/>
      <c r="BV285" s="88"/>
      <c r="BW285" s="88"/>
      <c r="BX285" s="88"/>
    </row>
    <row r="286" ht="14.25" customHeight="1" outlineLevel="1">
      <c r="B286" s="5" t="s">
        <v>159</v>
      </c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</row>
    <row r="287" ht="14.25" customHeight="1" outlineLevel="1">
      <c r="B287" s="5" t="s">
        <v>160</v>
      </c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88"/>
      <c r="BV287" s="88"/>
      <c r="BW287" s="88"/>
      <c r="BX287" s="88"/>
    </row>
    <row r="288" ht="14.25" customHeight="1" outlineLevel="1">
      <c r="B288" s="5" t="s">
        <v>161</v>
      </c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88"/>
      <c r="BT288" s="88"/>
      <c r="BU288" s="88"/>
      <c r="BV288" s="88"/>
      <c r="BW288" s="88"/>
      <c r="BX288" s="88"/>
    </row>
    <row r="289" ht="14.25" customHeight="1" outlineLevel="1">
      <c r="A289" s="90" t="str">
        <f>'Rent Roll'!C41</f>
        <v>Suite 610</v>
      </c>
      <c r="B289" s="87" t="str">
        <f t="array" ref="B289">INDEX('Rent Roll'!$F$5:$F$46,MATCH('Rent Roll Calc'!A289,'Rent Roll'!$C$5:$C$46,0))</f>
        <v/>
      </c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  <c r="BE289" s="88"/>
      <c r="BF289" s="88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88"/>
      <c r="BS289" s="88"/>
      <c r="BT289" s="88"/>
      <c r="BU289" s="88"/>
      <c r="BV289" s="88"/>
      <c r="BW289" s="88"/>
      <c r="BX289" s="88"/>
    </row>
    <row r="290" ht="14.25" customHeight="1" outlineLevel="1">
      <c r="B290" s="5" t="s">
        <v>162</v>
      </c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  <c r="BE290" s="88"/>
      <c r="BF290" s="88"/>
      <c r="BG290" s="88"/>
      <c r="BH290" s="88"/>
      <c r="BI290" s="88"/>
      <c r="BJ290" s="88"/>
      <c r="BK290" s="88"/>
      <c r="BL290" s="88"/>
      <c r="BM290" s="88"/>
      <c r="BN290" s="88"/>
      <c r="BO290" s="88"/>
      <c r="BP290" s="88"/>
      <c r="BQ290" s="88"/>
      <c r="BR290" s="88"/>
      <c r="BS290" s="88"/>
      <c r="BT290" s="88"/>
      <c r="BU290" s="88"/>
      <c r="BV290" s="88"/>
      <c r="BW290" s="88"/>
      <c r="BX290" s="88"/>
    </row>
    <row r="291" ht="14.25" customHeight="1">
      <c r="B291" s="5" t="s">
        <v>154</v>
      </c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  <c r="BE291" s="88"/>
      <c r="BF291" s="88"/>
      <c r="BG291" s="88"/>
      <c r="BH291" s="88"/>
      <c r="BI291" s="88"/>
      <c r="BJ291" s="88"/>
      <c r="BK291" s="88"/>
      <c r="BL291" s="88"/>
      <c r="BM291" s="88"/>
      <c r="BN291" s="88"/>
      <c r="BO291" s="88"/>
      <c r="BP291" s="88"/>
      <c r="BQ291" s="88"/>
      <c r="BR291" s="88"/>
      <c r="BS291" s="88"/>
      <c r="BT291" s="88"/>
      <c r="BU291" s="88"/>
      <c r="BV291" s="88"/>
      <c r="BW291" s="88"/>
      <c r="BX291" s="88"/>
    </row>
    <row r="292" ht="14.25" customHeight="1">
      <c r="B292" s="5" t="s">
        <v>155</v>
      </c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  <c r="BI292" s="88"/>
      <c r="BJ292" s="88"/>
      <c r="BK292" s="88"/>
      <c r="BL292" s="88"/>
      <c r="BM292" s="88"/>
      <c r="BN292" s="88"/>
      <c r="BO292" s="88"/>
      <c r="BP292" s="88"/>
      <c r="BQ292" s="88"/>
      <c r="BR292" s="88"/>
      <c r="BS292" s="88"/>
      <c r="BT292" s="88"/>
      <c r="BU292" s="88"/>
      <c r="BV292" s="88"/>
      <c r="BW292" s="88"/>
      <c r="BX292" s="88"/>
    </row>
    <row r="293" ht="14.25" customHeight="1" outlineLevel="1">
      <c r="B293" s="5" t="s">
        <v>156</v>
      </c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88"/>
      <c r="BP293" s="88"/>
      <c r="BQ293" s="88"/>
      <c r="BR293" s="88"/>
      <c r="BS293" s="88"/>
      <c r="BT293" s="88"/>
      <c r="BU293" s="88"/>
      <c r="BV293" s="88"/>
      <c r="BW293" s="88"/>
      <c r="BX293" s="88"/>
    </row>
    <row r="294" ht="14.25" customHeight="1" outlineLevel="1">
      <c r="B294" s="5" t="s">
        <v>157</v>
      </c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</row>
    <row r="295" ht="14.25" customHeight="1" outlineLevel="1">
      <c r="B295" s="5" t="s">
        <v>158</v>
      </c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  <c r="BE295" s="88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88"/>
      <c r="BU295" s="88"/>
      <c r="BV295" s="88"/>
      <c r="BW295" s="88"/>
      <c r="BX295" s="88"/>
    </row>
    <row r="296" ht="14.25" customHeight="1" outlineLevel="1">
      <c r="B296" s="5" t="s">
        <v>159</v>
      </c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  <c r="BE296" s="88"/>
      <c r="BF296" s="88"/>
      <c r="BG296" s="88"/>
      <c r="BH296" s="88"/>
      <c r="BI296" s="88"/>
      <c r="BJ296" s="88"/>
      <c r="BK296" s="88"/>
      <c r="BL296" s="88"/>
      <c r="BM296" s="88"/>
      <c r="BN296" s="88"/>
      <c r="BO296" s="88"/>
      <c r="BP296" s="88"/>
      <c r="BQ296" s="88"/>
      <c r="BR296" s="88"/>
      <c r="BS296" s="88"/>
      <c r="BT296" s="88"/>
      <c r="BU296" s="88"/>
      <c r="BV296" s="88"/>
      <c r="BW296" s="88"/>
      <c r="BX296" s="88"/>
    </row>
    <row r="297" ht="14.25" customHeight="1" outlineLevel="1">
      <c r="B297" s="5" t="s">
        <v>160</v>
      </c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  <c r="BE297" s="88"/>
      <c r="BF297" s="88"/>
      <c r="BG297" s="8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88"/>
      <c r="BS297" s="88"/>
      <c r="BT297" s="88"/>
      <c r="BU297" s="88"/>
      <c r="BV297" s="88"/>
      <c r="BW297" s="88"/>
      <c r="BX297" s="88"/>
    </row>
    <row r="298" ht="14.25" customHeight="1" outlineLevel="1">
      <c r="B298" s="5" t="s">
        <v>161</v>
      </c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  <c r="BE298" s="88"/>
      <c r="BF298" s="88"/>
      <c r="BG298" s="88"/>
      <c r="BH298" s="88"/>
      <c r="BI298" s="88"/>
      <c r="BJ298" s="88"/>
      <c r="BK298" s="88"/>
      <c r="BL298" s="88"/>
      <c r="BM298" s="88"/>
      <c r="BN298" s="88"/>
      <c r="BO298" s="88"/>
      <c r="BP298" s="88"/>
      <c r="BQ298" s="88"/>
      <c r="BR298" s="88"/>
      <c r="BS298" s="88"/>
      <c r="BT298" s="88"/>
      <c r="BU298" s="88"/>
      <c r="BV298" s="88"/>
      <c r="BW298" s="88"/>
      <c r="BX298" s="88"/>
    </row>
    <row r="299" ht="14.25" customHeight="1" outlineLevel="1">
      <c r="A299" s="90" t="str">
        <f>'Rent Roll'!C42</f>
        <v>Suite 620</v>
      </c>
      <c r="B299" s="87" t="str">
        <f t="array" ref="B299">INDEX('Rent Roll'!$F$5:$F$46,MATCH('Rent Roll Calc'!A299,'Rent Roll'!$C$5:$C$46,0))</f>
        <v/>
      </c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  <c r="BL299" s="88"/>
      <c r="BM299" s="88"/>
      <c r="BN299" s="88"/>
      <c r="BO299" s="88"/>
      <c r="BP299" s="88"/>
      <c r="BQ299" s="88"/>
      <c r="BR299" s="88"/>
      <c r="BS299" s="88"/>
      <c r="BT299" s="88"/>
      <c r="BU299" s="88"/>
      <c r="BV299" s="88"/>
      <c r="BW299" s="88"/>
      <c r="BX299" s="88"/>
    </row>
    <row r="300" ht="14.25" customHeight="1" outlineLevel="1">
      <c r="B300" s="5" t="s">
        <v>162</v>
      </c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  <c r="BE300" s="88"/>
      <c r="BF300" s="88"/>
      <c r="BG300" s="88"/>
      <c r="BH300" s="88"/>
      <c r="BI300" s="88"/>
      <c r="BJ300" s="88"/>
      <c r="BK300" s="88"/>
      <c r="BL300" s="88"/>
      <c r="BM300" s="88"/>
      <c r="BN300" s="88"/>
      <c r="BO300" s="88"/>
      <c r="BP300" s="88"/>
      <c r="BQ300" s="88"/>
      <c r="BR300" s="88"/>
      <c r="BS300" s="88"/>
      <c r="BT300" s="88"/>
      <c r="BU300" s="88"/>
      <c r="BV300" s="88"/>
      <c r="BW300" s="88"/>
      <c r="BX300" s="88"/>
    </row>
    <row r="301" ht="14.25" customHeight="1" outlineLevel="1">
      <c r="B301" s="5" t="s">
        <v>154</v>
      </c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  <c r="BE301" s="88"/>
      <c r="BF301" s="88"/>
      <c r="BG301" s="88"/>
      <c r="BH301" s="88"/>
      <c r="BI301" s="88"/>
      <c r="BJ301" s="88"/>
      <c r="BK301" s="88"/>
      <c r="BL301" s="88"/>
      <c r="BM301" s="88"/>
      <c r="BN301" s="88"/>
      <c r="BO301" s="88"/>
      <c r="BP301" s="88"/>
      <c r="BQ301" s="88"/>
      <c r="BR301" s="88"/>
      <c r="BS301" s="88"/>
      <c r="BT301" s="88"/>
      <c r="BU301" s="88"/>
      <c r="BV301" s="88"/>
      <c r="BW301" s="88"/>
      <c r="BX301" s="88"/>
    </row>
    <row r="302" ht="14.25" customHeight="1" outlineLevel="1">
      <c r="B302" s="5" t="s">
        <v>155</v>
      </c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  <c r="BE302" s="88"/>
      <c r="BF302" s="88"/>
      <c r="BG302" s="88"/>
      <c r="BH302" s="88"/>
      <c r="BI302" s="88"/>
      <c r="BJ302" s="88"/>
      <c r="BK302" s="88"/>
      <c r="BL302" s="88"/>
      <c r="BM302" s="88"/>
      <c r="BN302" s="88"/>
      <c r="BO302" s="88"/>
      <c r="BP302" s="88"/>
      <c r="BQ302" s="88"/>
      <c r="BR302" s="88"/>
      <c r="BS302" s="88"/>
      <c r="BT302" s="88"/>
      <c r="BU302" s="88"/>
      <c r="BV302" s="88"/>
      <c r="BW302" s="88"/>
      <c r="BX302" s="88"/>
    </row>
    <row r="303" ht="14.25" customHeight="1" outlineLevel="1">
      <c r="B303" s="5" t="s">
        <v>156</v>
      </c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  <c r="BU303" s="88"/>
      <c r="BV303" s="88"/>
      <c r="BW303" s="88"/>
      <c r="BX303" s="88"/>
    </row>
    <row r="304" ht="14.25" customHeight="1">
      <c r="B304" s="5" t="s">
        <v>157</v>
      </c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  <c r="BL304" s="88"/>
      <c r="BM304" s="88"/>
      <c r="BN304" s="88"/>
      <c r="BO304" s="88"/>
      <c r="BP304" s="88"/>
      <c r="BQ304" s="88"/>
      <c r="BR304" s="88"/>
      <c r="BS304" s="88"/>
      <c r="BT304" s="88"/>
      <c r="BU304" s="88"/>
      <c r="BV304" s="88"/>
      <c r="BW304" s="88"/>
      <c r="BX304" s="88"/>
    </row>
    <row r="305" ht="14.25" customHeight="1">
      <c r="B305" s="5" t="s">
        <v>158</v>
      </c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  <c r="BE305" s="88"/>
      <c r="BF305" s="88"/>
      <c r="BG305" s="88"/>
      <c r="BH305" s="88"/>
      <c r="BI305" s="88"/>
      <c r="BJ305" s="88"/>
      <c r="BK305" s="88"/>
      <c r="BL305" s="88"/>
      <c r="BM305" s="88"/>
      <c r="BN305" s="88"/>
      <c r="BO305" s="88"/>
      <c r="BP305" s="88"/>
      <c r="BQ305" s="88"/>
      <c r="BR305" s="88"/>
      <c r="BS305" s="88"/>
      <c r="BT305" s="88"/>
      <c r="BU305" s="88"/>
      <c r="BV305" s="88"/>
      <c r="BW305" s="88"/>
      <c r="BX305" s="88"/>
    </row>
    <row r="306" ht="14.25" customHeight="1" outlineLevel="1">
      <c r="B306" s="5" t="s">
        <v>159</v>
      </c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  <c r="BL306" s="88"/>
      <c r="BM306" s="88"/>
      <c r="BN306" s="88"/>
      <c r="BO306" s="88"/>
      <c r="BP306" s="88"/>
      <c r="BQ306" s="88"/>
      <c r="BR306" s="88"/>
      <c r="BS306" s="88"/>
      <c r="BT306" s="88"/>
      <c r="BU306" s="88"/>
      <c r="BV306" s="88"/>
      <c r="BW306" s="88"/>
      <c r="BX306" s="88"/>
    </row>
    <row r="307" ht="14.25" customHeight="1" outlineLevel="1">
      <c r="B307" s="5" t="s">
        <v>160</v>
      </c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  <c r="BE307" s="88"/>
      <c r="BF307" s="88"/>
      <c r="BG307" s="88"/>
      <c r="BH307" s="88"/>
      <c r="BI307" s="88"/>
      <c r="BJ307" s="88"/>
      <c r="BK307" s="88"/>
      <c r="BL307" s="88"/>
      <c r="BM307" s="88"/>
      <c r="BN307" s="88"/>
      <c r="BO307" s="88"/>
      <c r="BP307" s="88"/>
      <c r="BQ307" s="88"/>
      <c r="BR307" s="88"/>
      <c r="BS307" s="88"/>
      <c r="BT307" s="88"/>
      <c r="BU307" s="88"/>
      <c r="BV307" s="88"/>
      <c r="BW307" s="88"/>
      <c r="BX307" s="88"/>
    </row>
    <row r="308" ht="14.25" customHeight="1" outlineLevel="1">
      <c r="B308" s="5" t="s">
        <v>161</v>
      </c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88"/>
      <c r="BG308" s="88"/>
      <c r="BH308" s="88"/>
      <c r="BI308" s="88"/>
      <c r="BJ308" s="88"/>
      <c r="BK308" s="88"/>
      <c r="BL308" s="88"/>
      <c r="BM308" s="88"/>
      <c r="BN308" s="88"/>
      <c r="BO308" s="88"/>
      <c r="BP308" s="88"/>
      <c r="BQ308" s="88"/>
      <c r="BR308" s="88"/>
      <c r="BS308" s="88"/>
      <c r="BT308" s="88"/>
      <c r="BU308" s="88"/>
      <c r="BV308" s="88"/>
      <c r="BW308" s="88"/>
      <c r="BX308" s="88"/>
    </row>
    <row r="309" ht="14.25" customHeight="1" outlineLevel="1">
      <c r="A309" s="90" t="str">
        <f>'Rent Roll'!C43</f>
        <v>Suite 710</v>
      </c>
      <c r="B309" s="87" t="str">
        <f t="array" ref="B309">INDEX('Rent Roll'!$F$5:$F$46,MATCH('Rent Roll Calc'!A309,'Rent Roll'!$C$5:$C$46,0))</f>
        <v/>
      </c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  <c r="BE309" s="88"/>
      <c r="BF309" s="88"/>
      <c r="BG309" s="88"/>
      <c r="BH309" s="88"/>
      <c r="BI309" s="88"/>
      <c r="BJ309" s="88"/>
      <c r="BK309" s="88"/>
      <c r="BL309" s="88"/>
      <c r="BM309" s="88"/>
      <c r="BN309" s="88"/>
      <c r="BO309" s="88"/>
      <c r="BP309" s="88"/>
      <c r="BQ309" s="88"/>
      <c r="BR309" s="88"/>
      <c r="BS309" s="88"/>
      <c r="BT309" s="88"/>
      <c r="BU309" s="88"/>
      <c r="BV309" s="88"/>
      <c r="BW309" s="88"/>
      <c r="BX309" s="88"/>
    </row>
    <row r="310" ht="14.25" customHeight="1" outlineLevel="1">
      <c r="B310" s="5" t="s">
        <v>162</v>
      </c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  <c r="BL310" s="88"/>
      <c r="BM310" s="88"/>
      <c r="BN310" s="88"/>
      <c r="BO310" s="88"/>
      <c r="BP310" s="88"/>
      <c r="BQ310" s="88"/>
      <c r="BR310" s="88"/>
      <c r="BS310" s="88"/>
      <c r="BT310" s="88"/>
      <c r="BU310" s="88"/>
      <c r="BV310" s="88"/>
      <c r="BW310" s="88"/>
      <c r="BX310" s="88"/>
    </row>
    <row r="311" ht="14.25" customHeight="1" outlineLevel="1">
      <c r="B311" s="5" t="s">
        <v>154</v>
      </c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  <c r="BE311" s="88"/>
      <c r="BF311" s="88"/>
      <c r="BG311" s="88"/>
      <c r="BH311" s="88"/>
      <c r="BI311" s="88"/>
      <c r="BJ311" s="88"/>
      <c r="BK311" s="88"/>
      <c r="BL311" s="88"/>
      <c r="BM311" s="88"/>
      <c r="BN311" s="88"/>
      <c r="BO311" s="88"/>
      <c r="BP311" s="88"/>
      <c r="BQ311" s="88"/>
      <c r="BR311" s="88"/>
      <c r="BS311" s="88"/>
      <c r="BT311" s="88"/>
      <c r="BU311" s="88"/>
      <c r="BV311" s="88"/>
      <c r="BW311" s="88"/>
      <c r="BX311" s="88"/>
    </row>
    <row r="312" ht="14.25" customHeight="1" outlineLevel="1">
      <c r="B312" s="5" t="s">
        <v>155</v>
      </c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  <c r="BE312" s="88"/>
      <c r="BF312" s="88"/>
      <c r="BG312" s="88"/>
      <c r="BH312" s="88"/>
      <c r="BI312" s="88"/>
      <c r="BJ312" s="88"/>
      <c r="BK312" s="88"/>
      <c r="BL312" s="88"/>
      <c r="BM312" s="88"/>
      <c r="BN312" s="88"/>
      <c r="BO312" s="88"/>
      <c r="BP312" s="88"/>
      <c r="BQ312" s="88"/>
      <c r="BR312" s="88"/>
      <c r="BS312" s="88"/>
      <c r="BT312" s="88"/>
      <c r="BU312" s="88"/>
      <c r="BV312" s="88"/>
      <c r="BW312" s="88"/>
      <c r="BX312" s="88"/>
    </row>
    <row r="313" ht="14.25" customHeight="1" outlineLevel="1">
      <c r="B313" s="5" t="s">
        <v>156</v>
      </c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  <c r="BE313" s="88"/>
      <c r="BF313" s="88"/>
      <c r="BG313" s="88"/>
      <c r="BH313" s="88"/>
      <c r="BI313" s="88"/>
      <c r="BJ313" s="88"/>
      <c r="BK313" s="88"/>
      <c r="BL313" s="88"/>
      <c r="BM313" s="88"/>
      <c r="BN313" s="88"/>
      <c r="BO313" s="88"/>
      <c r="BP313" s="88"/>
      <c r="BQ313" s="88"/>
      <c r="BR313" s="88"/>
      <c r="BS313" s="88"/>
      <c r="BT313" s="88"/>
      <c r="BU313" s="88"/>
      <c r="BV313" s="88"/>
      <c r="BW313" s="88"/>
      <c r="BX313" s="88"/>
    </row>
    <row r="314" ht="14.25" customHeight="1" outlineLevel="1">
      <c r="B314" s="5" t="s">
        <v>157</v>
      </c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  <c r="BE314" s="88"/>
      <c r="BF314" s="88"/>
      <c r="BG314" s="88"/>
      <c r="BH314" s="88"/>
      <c r="BI314" s="88"/>
      <c r="BJ314" s="88"/>
      <c r="BK314" s="88"/>
      <c r="BL314" s="88"/>
      <c r="BM314" s="88"/>
      <c r="BN314" s="88"/>
      <c r="BO314" s="88"/>
      <c r="BP314" s="88"/>
      <c r="BQ314" s="88"/>
      <c r="BR314" s="88"/>
      <c r="BS314" s="88"/>
      <c r="BT314" s="88"/>
      <c r="BU314" s="88"/>
      <c r="BV314" s="88"/>
      <c r="BW314" s="88"/>
      <c r="BX314" s="88"/>
    </row>
    <row r="315" ht="14.25" customHeight="1" outlineLevel="1">
      <c r="B315" s="5" t="s">
        <v>158</v>
      </c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  <c r="BE315" s="88"/>
      <c r="BF315" s="88"/>
      <c r="BG315" s="88"/>
      <c r="BH315" s="88"/>
      <c r="BI315" s="88"/>
      <c r="BJ315" s="88"/>
      <c r="BK315" s="88"/>
      <c r="BL315" s="88"/>
      <c r="BM315" s="88"/>
      <c r="BN315" s="88"/>
      <c r="BO315" s="88"/>
      <c r="BP315" s="88"/>
      <c r="BQ315" s="88"/>
      <c r="BR315" s="88"/>
      <c r="BS315" s="88"/>
      <c r="BT315" s="88"/>
      <c r="BU315" s="88"/>
      <c r="BV315" s="88"/>
      <c r="BW315" s="88"/>
      <c r="BX315" s="88"/>
    </row>
    <row r="316" ht="14.25" customHeight="1" outlineLevel="1">
      <c r="B316" s="5" t="s">
        <v>159</v>
      </c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  <c r="BE316" s="88"/>
      <c r="BF316" s="88"/>
      <c r="BG316" s="88"/>
      <c r="BH316" s="88"/>
      <c r="BI316" s="88"/>
      <c r="BJ316" s="88"/>
      <c r="BK316" s="88"/>
      <c r="BL316" s="88"/>
      <c r="BM316" s="88"/>
      <c r="BN316" s="88"/>
      <c r="BO316" s="88"/>
      <c r="BP316" s="88"/>
      <c r="BQ316" s="88"/>
      <c r="BR316" s="88"/>
      <c r="BS316" s="88"/>
      <c r="BT316" s="88"/>
      <c r="BU316" s="88"/>
      <c r="BV316" s="88"/>
      <c r="BW316" s="88"/>
      <c r="BX316" s="88"/>
    </row>
    <row r="317" ht="14.25" customHeight="1">
      <c r="B317" s="5" t="s">
        <v>160</v>
      </c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  <c r="BE317" s="88"/>
      <c r="BF317" s="88"/>
      <c r="BG317" s="88"/>
      <c r="BH317" s="88"/>
      <c r="BI317" s="88"/>
      <c r="BJ317" s="88"/>
      <c r="BK317" s="88"/>
      <c r="BL317" s="88"/>
      <c r="BM317" s="88"/>
      <c r="BN317" s="88"/>
      <c r="BO317" s="88"/>
      <c r="BP317" s="88"/>
      <c r="BQ317" s="88"/>
      <c r="BR317" s="88"/>
      <c r="BS317" s="88"/>
      <c r="BT317" s="88"/>
      <c r="BU317" s="88"/>
      <c r="BV317" s="88"/>
      <c r="BW317" s="88"/>
      <c r="BX317" s="88"/>
    </row>
    <row r="318" ht="14.25" customHeight="1">
      <c r="B318" s="5" t="s">
        <v>161</v>
      </c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  <c r="BE318" s="88"/>
      <c r="BF318" s="88"/>
      <c r="BG318" s="88"/>
      <c r="BH318" s="88"/>
      <c r="BI318" s="88"/>
      <c r="BJ318" s="88"/>
      <c r="BK318" s="88"/>
      <c r="BL318" s="88"/>
      <c r="BM318" s="88"/>
      <c r="BN318" s="88"/>
      <c r="BO318" s="88"/>
      <c r="BP318" s="88"/>
      <c r="BQ318" s="88"/>
      <c r="BR318" s="88"/>
      <c r="BS318" s="88"/>
      <c r="BT318" s="88"/>
      <c r="BU318" s="88"/>
      <c r="BV318" s="88"/>
      <c r="BW318" s="88"/>
      <c r="BX318" s="88"/>
    </row>
    <row r="319" ht="14.25" customHeight="1" outlineLevel="1">
      <c r="A319" s="90" t="str">
        <f>'Rent Roll'!C44</f>
        <v>Suite 720</v>
      </c>
      <c r="B319" s="87" t="str">
        <f t="array" ref="B319">INDEX('Rent Roll'!$F$5:$F$46,MATCH('Rent Roll Calc'!A319,'Rent Roll'!$C$5:$C$46,0))</f>
        <v/>
      </c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  <c r="BE319" s="88"/>
      <c r="BF319" s="88"/>
      <c r="BG319" s="88"/>
      <c r="BH319" s="88"/>
      <c r="BI319" s="88"/>
      <c r="BJ319" s="88"/>
      <c r="BK319" s="88"/>
      <c r="BL319" s="88"/>
      <c r="BM319" s="88"/>
      <c r="BN319" s="88"/>
      <c r="BO319" s="88"/>
      <c r="BP319" s="88"/>
      <c r="BQ319" s="88"/>
      <c r="BR319" s="88"/>
      <c r="BS319" s="88"/>
      <c r="BT319" s="88"/>
      <c r="BU319" s="88"/>
      <c r="BV319" s="88"/>
      <c r="BW319" s="88"/>
      <c r="BX319" s="88"/>
    </row>
    <row r="320" ht="14.25" customHeight="1" outlineLevel="1">
      <c r="B320" s="5" t="s">
        <v>162</v>
      </c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  <c r="BE320" s="88"/>
      <c r="BF320" s="88"/>
      <c r="BG320" s="88"/>
      <c r="BH320" s="88"/>
      <c r="BI320" s="88"/>
      <c r="BJ320" s="88"/>
      <c r="BK320" s="88"/>
      <c r="BL320" s="88"/>
      <c r="BM320" s="88"/>
      <c r="BN320" s="88"/>
      <c r="BO320" s="88"/>
      <c r="BP320" s="88"/>
      <c r="BQ320" s="88"/>
      <c r="BR320" s="88"/>
      <c r="BS320" s="88"/>
      <c r="BT320" s="88"/>
      <c r="BU320" s="88"/>
      <c r="BV320" s="88"/>
      <c r="BW320" s="88"/>
      <c r="BX320" s="88"/>
    </row>
    <row r="321" ht="14.25" customHeight="1" outlineLevel="1">
      <c r="B321" s="5" t="s">
        <v>154</v>
      </c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  <c r="BE321" s="88"/>
      <c r="BF321" s="88"/>
      <c r="BG321" s="88"/>
      <c r="BH321" s="88"/>
      <c r="BI321" s="88"/>
      <c r="BJ321" s="88"/>
      <c r="BK321" s="88"/>
      <c r="BL321" s="88"/>
      <c r="BM321" s="88"/>
      <c r="BN321" s="88"/>
      <c r="BO321" s="88"/>
      <c r="BP321" s="88"/>
      <c r="BQ321" s="88"/>
      <c r="BR321" s="88"/>
      <c r="BS321" s="88"/>
      <c r="BT321" s="88"/>
      <c r="BU321" s="88"/>
      <c r="BV321" s="88"/>
      <c r="BW321" s="88"/>
      <c r="BX321" s="88"/>
    </row>
    <row r="322" ht="14.25" customHeight="1" outlineLevel="1">
      <c r="B322" s="5" t="s">
        <v>155</v>
      </c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  <c r="BE322" s="88"/>
      <c r="BF322" s="88"/>
      <c r="BG322" s="88"/>
      <c r="BH322" s="88"/>
      <c r="BI322" s="88"/>
      <c r="BJ322" s="88"/>
      <c r="BK322" s="88"/>
      <c r="BL322" s="88"/>
      <c r="BM322" s="88"/>
      <c r="BN322" s="88"/>
      <c r="BO322" s="88"/>
      <c r="BP322" s="88"/>
      <c r="BQ322" s="88"/>
      <c r="BR322" s="88"/>
      <c r="BS322" s="88"/>
      <c r="BT322" s="88"/>
      <c r="BU322" s="88"/>
      <c r="BV322" s="88"/>
      <c r="BW322" s="88"/>
      <c r="BX322" s="88"/>
    </row>
    <row r="323" ht="14.25" customHeight="1" outlineLevel="1">
      <c r="B323" s="5" t="s">
        <v>156</v>
      </c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  <c r="BE323" s="88"/>
      <c r="BF323" s="88"/>
      <c r="BG323" s="88"/>
      <c r="BH323" s="88"/>
      <c r="BI323" s="88"/>
      <c r="BJ323" s="88"/>
      <c r="BK323" s="88"/>
      <c r="BL323" s="88"/>
      <c r="BM323" s="88"/>
      <c r="BN323" s="88"/>
      <c r="BO323" s="88"/>
      <c r="BP323" s="88"/>
      <c r="BQ323" s="88"/>
      <c r="BR323" s="88"/>
      <c r="BS323" s="88"/>
      <c r="BT323" s="88"/>
      <c r="BU323" s="88"/>
      <c r="BV323" s="88"/>
      <c r="BW323" s="88"/>
      <c r="BX323" s="88"/>
    </row>
    <row r="324" ht="14.25" customHeight="1" outlineLevel="1">
      <c r="B324" s="5" t="s">
        <v>157</v>
      </c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  <c r="BE324" s="88"/>
      <c r="BF324" s="88"/>
      <c r="BG324" s="88"/>
      <c r="BH324" s="88"/>
      <c r="BI324" s="88"/>
      <c r="BJ324" s="88"/>
      <c r="BK324" s="88"/>
      <c r="BL324" s="88"/>
      <c r="BM324" s="88"/>
      <c r="BN324" s="88"/>
      <c r="BO324" s="88"/>
      <c r="BP324" s="88"/>
      <c r="BQ324" s="88"/>
      <c r="BR324" s="88"/>
      <c r="BS324" s="88"/>
      <c r="BT324" s="88"/>
      <c r="BU324" s="88"/>
      <c r="BV324" s="88"/>
      <c r="BW324" s="88"/>
      <c r="BX324" s="88"/>
    </row>
    <row r="325" ht="14.25" customHeight="1" outlineLevel="1">
      <c r="B325" s="5" t="s">
        <v>158</v>
      </c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  <c r="BE325" s="88"/>
      <c r="BF325" s="88"/>
      <c r="BG325" s="88"/>
      <c r="BH325" s="88"/>
      <c r="BI325" s="88"/>
      <c r="BJ325" s="88"/>
      <c r="BK325" s="88"/>
      <c r="BL325" s="88"/>
      <c r="BM325" s="88"/>
      <c r="BN325" s="88"/>
      <c r="BO325" s="88"/>
      <c r="BP325" s="88"/>
      <c r="BQ325" s="88"/>
      <c r="BR325" s="88"/>
      <c r="BS325" s="88"/>
      <c r="BT325" s="88"/>
      <c r="BU325" s="88"/>
      <c r="BV325" s="88"/>
      <c r="BW325" s="88"/>
      <c r="BX325" s="88"/>
    </row>
    <row r="326" ht="14.25" customHeight="1" outlineLevel="1">
      <c r="B326" s="5" t="s">
        <v>159</v>
      </c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  <c r="BE326" s="88"/>
      <c r="BF326" s="88"/>
      <c r="BG326" s="88"/>
      <c r="BH326" s="88"/>
      <c r="BI326" s="88"/>
      <c r="BJ326" s="88"/>
      <c r="BK326" s="88"/>
      <c r="BL326" s="88"/>
      <c r="BM326" s="88"/>
      <c r="BN326" s="88"/>
      <c r="BO326" s="88"/>
      <c r="BP326" s="88"/>
      <c r="BQ326" s="88"/>
      <c r="BR326" s="88"/>
      <c r="BS326" s="88"/>
      <c r="BT326" s="88"/>
      <c r="BU326" s="88"/>
      <c r="BV326" s="88"/>
      <c r="BW326" s="88"/>
      <c r="BX326" s="88"/>
    </row>
    <row r="327" ht="14.25" customHeight="1" outlineLevel="1">
      <c r="B327" s="5" t="s">
        <v>160</v>
      </c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  <c r="BE327" s="88"/>
      <c r="BF327" s="88"/>
      <c r="BG327" s="88"/>
      <c r="BH327" s="88"/>
      <c r="BI327" s="88"/>
      <c r="BJ327" s="88"/>
      <c r="BK327" s="88"/>
      <c r="BL327" s="88"/>
      <c r="BM327" s="88"/>
      <c r="BN327" s="88"/>
      <c r="BO327" s="88"/>
      <c r="BP327" s="88"/>
      <c r="BQ327" s="88"/>
      <c r="BR327" s="88"/>
      <c r="BS327" s="88"/>
      <c r="BT327" s="88"/>
      <c r="BU327" s="88"/>
      <c r="BV327" s="88"/>
      <c r="BW327" s="88"/>
      <c r="BX327" s="88"/>
    </row>
    <row r="328" ht="14.25" customHeight="1" outlineLevel="1">
      <c r="B328" s="5" t="s">
        <v>161</v>
      </c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  <c r="BE328" s="88"/>
      <c r="BF328" s="88"/>
      <c r="BG328" s="88"/>
      <c r="BH328" s="88"/>
      <c r="BI328" s="88"/>
      <c r="BJ328" s="88"/>
      <c r="BK328" s="88"/>
      <c r="BL328" s="88"/>
      <c r="BM328" s="88"/>
      <c r="BN328" s="88"/>
      <c r="BO328" s="88"/>
      <c r="BP328" s="88"/>
      <c r="BQ328" s="88"/>
      <c r="BR328" s="88"/>
      <c r="BS328" s="88"/>
      <c r="BT328" s="88"/>
      <c r="BU328" s="88"/>
      <c r="BV328" s="88"/>
      <c r="BW328" s="88"/>
      <c r="BX328" s="88"/>
    </row>
    <row r="329" ht="14.25" customHeight="1" outlineLevel="1">
      <c r="A329" s="90" t="str">
        <f>'Rent Roll'!C45</f>
        <v>Suite 810</v>
      </c>
      <c r="B329" s="87" t="str">
        <f t="array" ref="B329">INDEX('Rent Roll'!$F$5:$F$46,MATCH('Rent Roll Calc'!A329,'Rent Roll'!$C$5:$C$46,0))</f>
        <v/>
      </c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  <c r="BE329" s="88"/>
      <c r="BF329" s="88"/>
      <c r="BG329" s="88"/>
      <c r="BH329" s="88"/>
      <c r="BI329" s="88"/>
      <c r="BJ329" s="88"/>
      <c r="BK329" s="88"/>
      <c r="BL329" s="88"/>
      <c r="BM329" s="88"/>
      <c r="BN329" s="88"/>
      <c r="BO329" s="88"/>
      <c r="BP329" s="88"/>
      <c r="BQ329" s="88"/>
      <c r="BR329" s="88"/>
      <c r="BS329" s="88"/>
      <c r="BT329" s="88"/>
      <c r="BU329" s="88"/>
      <c r="BV329" s="88"/>
      <c r="BW329" s="88"/>
      <c r="BX329" s="88"/>
    </row>
    <row r="330" ht="14.25" customHeight="1">
      <c r="B330" s="5" t="s">
        <v>162</v>
      </c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  <c r="BE330" s="88"/>
      <c r="BF330" s="88"/>
      <c r="BG330" s="88"/>
      <c r="BH330" s="88"/>
      <c r="BI330" s="88"/>
      <c r="BJ330" s="88"/>
      <c r="BK330" s="88"/>
      <c r="BL330" s="88"/>
      <c r="BM330" s="88"/>
      <c r="BN330" s="88"/>
      <c r="BO330" s="88"/>
      <c r="BP330" s="88"/>
      <c r="BQ330" s="88"/>
      <c r="BR330" s="88"/>
      <c r="BS330" s="88"/>
      <c r="BT330" s="88"/>
      <c r="BU330" s="88"/>
      <c r="BV330" s="88"/>
      <c r="BW330" s="88"/>
      <c r="BX330" s="88"/>
    </row>
    <row r="331" ht="14.25" customHeight="1">
      <c r="B331" s="5" t="s">
        <v>154</v>
      </c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  <c r="BE331" s="88"/>
      <c r="BF331" s="88"/>
      <c r="BG331" s="88"/>
      <c r="BH331" s="88"/>
      <c r="BI331" s="88"/>
      <c r="BJ331" s="88"/>
      <c r="BK331" s="88"/>
      <c r="BL331" s="88"/>
      <c r="BM331" s="88"/>
      <c r="BN331" s="88"/>
      <c r="BO331" s="88"/>
      <c r="BP331" s="88"/>
      <c r="BQ331" s="88"/>
      <c r="BR331" s="88"/>
      <c r="BS331" s="88"/>
      <c r="BT331" s="88"/>
      <c r="BU331" s="88"/>
      <c r="BV331" s="88"/>
      <c r="BW331" s="88"/>
      <c r="BX331" s="88"/>
    </row>
    <row r="332" ht="14.25" hidden="1" customHeight="1" outlineLevel="1">
      <c r="B332" s="5" t="s">
        <v>155</v>
      </c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  <c r="BE332" s="88"/>
      <c r="BF332" s="88"/>
      <c r="BG332" s="88"/>
      <c r="BH332" s="88"/>
      <c r="BI332" s="88"/>
      <c r="BJ332" s="88"/>
      <c r="BK332" s="88"/>
      <c r="BL332" s="88"/>
      <c r="BM332" s="88"/>
      <c r="BN332" s="88"/>
      <c r="BO332" s="88"/>
      <c r="BP332" s="88"/>
      <c r="BQ332" s="88"/>
      <c r="BR332" s="88"/>
      <c r="BS332" s="88"/>
      <c r="BT332" s="88"/>
      <c r="BU332" s="88"/>
      <c r="BV332" s="88"/>
      <c r="BW332" s="88"/>
      <c r="BX332" s="88"/>
    </row>
    <row r="333" ht="14.25" hidden="1" customHeight="1" outlineLevel="1">
      <c r="B333" s="5" t="s">
        <v>156</v>
      </c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  <c r="BE333" s="88"/>
      <c r="BF333" s="88"/>
      <c r="BG333" s="88"/>
      <c r="BH333" s="88"/>
      <c r="BI333" s="88"/>
      <c r="BJ333" s="88"/>
      <c r="BK333" s="88"/>
      <c r="BL333" s="88"/>
      <c r="BM333" s="88"/>
      <c r="BN333" s="88"/>
      <c r="BO333" s="88"/>
      <c r="BP333" s="88"/>
      <c r="BQ333" s="88"/>
      <c r="BR333" s="88"/>
      <c r="BS333" s="88"/>
      <c r="BT333" s="88"/>
      <c r="BU333" s="88"/>
      <c r="BV333" s="88"/>
      <c r="BW333" s="88"/>
      <c r="BX333" s="88"/>
    </row>
    <row r="334" ht="14.25" hidden="1" customHeight="1" outlineLevel="1">
      <c r="B334" s="5" t="s">
        <v>157</v>
      </c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8"/>
      <c r="BF334" s="88"/>
      <c r="BG334" s="88"/>
      <c r="BH334" s="88"/>
      <c r="BI334" s="88"/>
      <c r="BJ334" s="88"/>
      <c r="BK334" s="88"/>
      <c r="BL334" s="88"/>
      <c r="BM334" s="88"/>
      <c r="BN334" s="88"/>
      <c r="BO334" s="88"/>
      <c r="BP334" s="88"/>
      <c r="BQ334" s="88"/>
      <c r="BR334" s="88"/>
      <c r="BS334" s="88"/>
      <c r="BT334" s="88"/>
      <c r="BU334" s="88"/>
      <c r="BV334" s="88"/>
      <c r="BW334" s="88"/>
      <c r="BX334" s="88"/>
    </row>
    <row r="335" ht="14.25" hidden="1" customHeight="1" outlineLevel="1">
      <c r="B335" s="5" t="s">
        <v>158</v>
      </c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8"/>
      <c r="BF335" s="88"/>
      <c r="BG335" s="88"/>
      <c r="BH335" s="88"/>
      <c r="BI335" s="88"/>
      <c r="BJ335" s="88"/>
      <c r="BK335" s="88"/>
      <c r="BL335" s="88"/>
      <c r="BM335" s="88"/>
      <c r="BN335" s="88"/>
      <c r="BO335" s="88"/>
      <c r="BP335" s="88"/>
      <c r="BQ335" s="88"/>
      <c r="BR335" s="88"/>
      <c r="BS335" s="88"/>
      <c r="BT335" s="88"/>
      <c r="BU335" s="88"/>
      <c r="BV335" s="88"/>
      <c r="BW335" s="88"/>
      <c r="BX335" s="88"/>
    </row>
    <row r="336" ht="14.25" hidden="1" customHeight="1" outlineLevel="1">
      <c r="B336" s="5" t="s">
        <v>159</v>
      </c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  <c r="BE336" s="88"/>
      <c r="BF336" s="88"/>
      <c r="BG336" s="88"/>
      <c r="BH336" s="88"/>
      <c r="BI336" s="88"/>
      <c r="BJ336" s="88"/>
      <c r="BK336" s="88"/>
      <c r="BL336" s="88"/>
      <c r="BM336" s="88"/>
      <c r="BN336" s="88"/>
      <c r="BO336" s="88"/>
      <c r="BP336" s="88"/>
      <c r="BQ336" s="88"/>
      <c r="BR336" s="88"/>
      <c r="BS336" s="88"/>
      <c r="BT336" s="88"/>
      <c r="BU336" s="88"/>
      <c r="BV336" s="88"/>
      <c r="BW336" s="88"/>
      <c r="BX336" s="88"/>
    </row>
    <row r="337" ht="14.25" hidden="1" customHeight="1" outlineLevel="1">
      <c r="B337" s="5" t="s">
        <v>160</v>
      </c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  <c r="BE337" s="88"/>
      <c r="BF337" s="88"/>
      <c r="BG337" s="88"/>
      <c r="BH337" s="88"/>
      <c r="BI337" s="88"/>
      <c r="BJ337" s="88"/>
      <c r="BK337" s="88"/>
      <c r="BL337" s="88"/>
      <c r="BM337" s="88"/>
      <c r="BN337" s="88"/>
      <c r="BO337" s="88"/>
      <c r="BP337" s="88"/>
      <c r="BQ337" s="88"/>
      <c r="BR337" s="88"/>
      <c r="BS337" s="88"/>
      <c r="BT337" s="88"/>
      <c r="BU337" s="88"/>
      <c r="BV337" s="88"/>
      <c r="BW337" s="88"/>
      <c r="BX337" s="88"/>
    </row>
    <row r="338" ht="14.25" hidden="1" customHeight="1" outlineLevel="1">
      <c r="B338" s="5" t="s">
        <v>161</v>
      </c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</row>
    <row r="339" ht="14.25" hidden="1" customHeight="1" outlineLevel="1">
      <c r="A339" s="90" t="str">
        <f>'Rent Roll'!C46</f>
        <v>Suite 820</v>
      </c>
      <c r="B339" s="87" t="str">
        <f t="array" ref="B339">INDEX('Rent Roll'!$F$5:$F$46,MATCH('Rent Roll Calc'!A339,'Rent Roll'!$C$5:$C$46,0))</f>
        <v/>
      </c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  <c r="BC339" s="88"/>
      <c r="BD339" s="88"/>
      <c r="BE339" s="88"/>
      <c r="BF339" s="88"/>
      <c r="BG339" s="88"/>
      <c r="BH339" s="88"/>
      <c r="BI339" s="88"/>
      <c r="BJ339" s="88"/>
      <c r="BK339" s="88"/>
      <c r="BL339" s="88"/>
      <c r="BM339" s="88"/>
      <c r="BN339" s="88"/>
      <c r="BO339" s="88"/>
      <c r="BP339" s="88"/>
      <c r="BQ339" s="88"/>
      <c r="BR339" s="88"/>
      <c r="BS339" s="88"/>
      <c r="BT339" s="88"/>
      <c r="BU339" s="88"/>
      <c r="BV339" s="88"/>
      <c r="BW339" s="88"/>
      <c r="BX339" s="88"/>
    </row>
    <row r="340" ht="14.25" hidden="1" customHeight="1" outlineLevel="1">
      <c r="B340" s="5" t="s">
        <v>162</v>
      </c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  <c r="BE340" s="88"/>
      <c r="BF340" s="88"/>
      <c r="BG340" s="88"/>
      <c r="BH340" s="88"/>
      <c r="BI340" s="88"/>
      <c r="BJ340" s="88"/>
      <c r="BK340" s="88"/>
      <c r="BL340" s="88"/>
      <c r="BM340" s="88"/>
      <c r="BN340" s="88"/>
      <c r="BO340" s="88"/>
      <c r="BP340" s="88"/>
      <c r="BQ340" s="88"/>
      <c r="BR340" s="88"/>
      <c r="BS340" s="88"/>
      <c r="BT340" s="88"/>
      <c r="BU340" s="88"/>
      <c r="BV340" s="88"/>
      <c r="BW340" s="88"/>
      <c r="BX340" s="88"/>
    </row>
    <row r="341" ht="14.25" hidden="1" customHeight="1" outlineLevel="1">
      <c r="B341" s="5" t="s">
        <v>154</v>
      </c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  <c r="BC341" s="88"/>
      <c r="BD341" s="88"/>
      <c r="BE341" s="88"/>
      <c r="BF341" s="88"/>
      <c r="BG341" s="88"/>
      <c r="BH341" s="88"/>
      <c r="BI341" s="88"/>
      <c r="BJ341" s="88"/>
      <c r="BK341" s="88"/>
      <c r="BL341" s="88"/>
      <c r="BM341" s="88"/>
      <c r="BN341" s="88"/>
      <c r="BO341" s="88"/>
      <c r="BP341" s="88"/>
      <c r="BQ341" s="88"/>
      <c r="BR341" s="88"/>
      <c r="BS341" s="88"/>
      <c r="BT341" s="88"/>
      <c r="BU341" s="88"/>
      <c r="BV341" s="88"/>
      <c r="BW341" s="88"/>
      <c r="BX341" s="88"/>
    </row>
    <row r="342" ht="14.25" hidden="1" customHeight="1" outlineLevel="1">
      <c r="B342" s="5" t="s">
        <v>155</v>
      </c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  <c r="BU342" s="88"/>
      <c r="BV342" s="88"/>
      <c r="BW342" s="88"/>
      <c r="BX342" s="88"/>
    </row>
    <row r="343" ht="14.25" customHeight="1" collapsed="1">
      <c r="B343" s="5" t="s">
        <v>156</v>
      </c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  <c r="BC343" s="88"/>
      <c r="BD343" s="88"/>
      <c r="BE343" s="88"/>
      <c r="BF343" s="88"/>
      <c r="BG343" s="88"/>
      <c r="BH343" s="88"/>
      <c r="BI343" s="88"/>
      <c r="BJ343" s="88"/>
      <c r="BK343" s="88"/>
      <c r="BL343" s="88"/>
      <c r="BM343" s="88"/>
      <c r="BN343" s="88"/>
      <c r="BO343" s="88"/>
      <c r="BP343" s="88"/>
      <c r="BQ343" s="88"/>
      <c r="BR343" s="88"/>
      <c r="BS343" s="88"/>
      <c r="BT343" s="88"/>
      <c r="BU343" s="88"/>
      <c r="BV343" s="88"/>
      <c r="BW343" s="88"/>
      <c r="BX343" s="88"/>
    </row>
    <row r="344" ht="14.25" customHeight="1">
      <c r="B344" s="5" t="s">
        <v>157</v>
      </c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  <c r="BE344" s="88"/>
      <c r="BF344" s="88"/>
      <c r="BG344" s="88"/>
      <c r="BH344" s="88"/>
      <c r="BI344" s="88"/>
      <c r="BJ344" s="88"/>
      <c r="BK344" s="88"/>
      <c r="BL344" s="88"/>
      <c r="BM344" s="88"/>
      <c r="BN344" s="88"/>
      <c r="BO344" s="88"/>
      <c r="BP344" s="88"/>
      <c r="BQ344" s="88"/>
      <c r="BR344" s="88"/>
      <c r="BS344" s="88"/>
      <c r="BT344" s="88"/>
      <c r="BU344" s="88"/>
      <c r="BV344" s="88"/>
      <c r="BW344" s="88"/>
      <c r="BX344" s="88"/>
    </row>
    <row r="345" ht="14.25" customHeight="1">
      <c r="B345" s="5" t="s">
        <v>158</v>
      </c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  <c r="BC345" s="88"/>
      <c r="BD345" s="88"/>
      <c r="BE345" s="88"/>
      <c r="BF345" s="88"/>
      <c r="BG345" s="88"/>
      <c r="BH345" s="88"/>
      <c r="BI345" s="88"/>
      <c r="BJ345" s="88"/>
      <c r="BK345" s="88"/>
      <c r="BL345" s="88"/>
      <c r="BM345" s="88"/>
      <c r="BN345" s="88"/>
      <c r="BO345" s="88"/>
      <c r="BP345" s="88"/>
      <c r="BQ345" s="88"/>
      <c r="BR345" s="88"/>
      <c r="BS345" s="88"/>
      <c r="BT345" s="88"/>
      <c r="BU345" s="88"/>
      <c r="BV345" s="88"/>
      <c r="BW345" s="88"/>
      <c r="BX345" s="88"/>
    </row>
    <row r="346" ht="14.25" customHeight="1">
      <c r="B346" s="5" t="s">
        <v>159</v>
      </c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  <c r="BC346" s="88"/>
      <c r="BD346" s="88"/>
      <c r="BE346" s="88"/>
      <c r="BF346" s="88"/>
      <c r="BG346" s="88"/>
      <c r="BH346" s="88"/>
      <c r="BI346" s="88"/>
      <c r="BJ346" s="88"/>
      <c r="BK346" s="88"/>
      <c r="BL346" s="88"/>
      <c r="BM346" s="88"/>
      <c r="BN346" s="88"/>
      <c r="BO346" s="88"/>
      <c r="BP346" s="88"/>
      <c r="BQ346" s="88"/>
      <c r="BR346" s="88"/>
      <c r="BS346" s="88"/>
      <c r="BT346" s="88"/>
      <c r="BU346" s="88"/>
      <c r="BV346" s="88"/>
      <c r="BW346" s="88"/>
      <c r="BX346" s="88"/>
    </row>
    <row r="347" ht="14.25" customHeight="1">
      <c r="B347" s="5" t="s">
        <v>160</v>
      </c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  <c r="BE347" s="88"/>
      <c r="BF347" s="88"/>
      <c r="BG347" s="88"/>
      <c r="BH347" s="88"/>
      <c r="BI347" s="88"/>
      <c r="BJ347" s="88"/>
      <c r="BK347" s="88"/>
      <c r="BL347" s="88"/>
      <c r="BM347" s="88"/>
      <c r="BN347" s="88"/>
      <c r="BO347" s="88"/>
      <c r="BP347" s="88"/>
      <c r="BQ347" s="88"/>
      <c r="BR347" s="88"/>
      <c r="BS347" s="88"/>
      <c r="BT347" s="88"/>
      <c r="BU347" s="88"/>
      <c r="BV347" s="88"/>
      <c r="BW347" s="88"/>
      <c r="BX347" s="88"/>
    </row>
    <row r="348" ht="14.25" customHeight="1">
      <c r="B348" s="5" t="s">
        <v>161</v>
      </c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  <c r="BC348" s="88"/>
      <c r="BD348" s="88"/>
      <c r="BE348" s="88"/>
      <c r="BF348" s="88"/>
      <c r="BG348" s="88"/>
      <c r="BH348" s="88"/>
      <c r="BI348" s="88"/>
      <c r="BJ348" s="88"/>
      <c r="BK348" s="88"/>
      <c r="BL348" s="88"/>
      <c r="BM348" s="88"/>
      <c r="BN348" s="88"/>
      <c r="BO348" s="88"/>
      <c r="BP348" s="88"/>
      <c r="BQ348" s="88"/>
      <c r="BR348" s="88"/>
      <c r="BS348" s="88"/>
      <c r="BT348" s="88"/>
      <c r="BU348" s="88"/>
      <c r="BV348" s="88"/>
      <c r="BW348" s="88"/>
      <c r="BX348" s="88"/>
    </row>
    <row r="349" ht="14.25" customHeight="1">
      <c r="B349" s="16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  <c r="BC349" s="88"/>
      <c r="BD349" s="88"/>
      <c r="BE349" s="88"/>
      <c r="BF349" s="88"/>
      <c r="BG349" s="88"/>
      <c r="BH349" s="88"/>
      <c r="BI349" s="88"/>
      <c r="BJ349" s="88"/>
      <c r="BK349" s="88"/>
      <c r="BL349" s="88"/>
      <c r="BM349" s="88"/>
      <c r="BN349" s="88"/>
      <c r="BO349" s="88"/>
      <c r="BP349" s="88"/>
      <c r="BQ349" s="88"/>
      <c r="BR349" s="88"/>
      <c r="BS349" s="88"/>
      <c r="BT349" s="88"/>
      <c r="BU349" s="88"/>
      <c r="BV349" s="88"/>
      <c r="BW349" s="88"/>
      <c r="BX349" s="88"/>
    </row>
    <row r="350" ht="14.25" customHeight="1"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  <c r="BC350" s="88"/>
      <c r="BD350" s="88"/>
      <c r="BE350" s="88"/>
      <c r="BF350" s="88"/>
      <c r="BG350" s="88"/>
      <c r="BH350" s="88"/>
      <c r="BI350" s="88"/>
      <c r="BJ350" s="88"/>
      <c r="BK350" s="88"/>
      <c r="BL350" s="88"/>
      <c r="BM350" s="88"/>
      <c r="BN350" s="88"/>
      <c r="BO350" s="88"/>
      <c r="BP350" s="88"/>
      <c r="BQ350" s="88"/>
      <c r="BR350" s="88"/>
      <c r="BS350" s="88"/>
      <c r="BT350" s="88"/>
      <c r="BU350" s="88"/>
      <c r="BV350" s="88"/>
      <c r="BW350" s="88"/>
      <c r="BX350" s="88"/>
    </row>
    <row r="351" ht="14.25" customHeight="1">
      <c r="A351" s="35" t="s">
        <v>163</v>
      </c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  <c r="BC351" s="88"/>
      <c r="BD351" s="88"/>
      <c r="BE351" s="88"/>
      <c r="BF351" s="88"/>
      <c r="BG351" s="88"/>
      <c r="BH351" s="88"/>
      <c r="BI351" s="88"/>
      <c r="BJ351" s="88"/>
      <c r="BK351" s="88"/>
      <c r="BL351" s="88"/>
      <c r="BM351" s="88"/>
      <c r="BN351" s="88"/>
      <c r="BO351" s="88"/>
      <c r="BP351" s="88"/>
      <c r="BQ351" s="88"/>
      <c r="BR351" s="88"/>
      <c r="BS351" s="88"/>
      <c r="BT351" s="88"/>
      <c r="BU351" s="88"/>
      <c r="BV351" s="88"/>
      <c r="BW351" s="88"/>
      <c r="BX351" s="88"/>
    </row>
    <row r="352" ht="14.25" customHeight="1">
      <c r="B352" s="16" t="s">
        <v>154</v>
      </c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  <c r="BE352" s="88"/>
      <c r="BF352" s="88"/>
      <c r="BG352" s="88"/>
      <c r="BH352" s="88"/>
      <c r="BI352" s="88"/>
      <c r="BJ352" s="88"/>
      <c r="BK352" s="88"/>
      <c r="BL352" s="88"/>
      <c r="BM352" s="88"/>
      <c r="BN352" s="88"/>
      <c r="BO352" s="88"/>
      <c r="BP352" s="88"/>
      <c r="BQ352" s="88"/>
      <c r="BR352" s="88"/>
      <c r="BS352" s="88"/>
      <c r="BT352" s="88"/>
      <c r="BU352" s="88"/>
      <c r="BV352" s="88"/>
      <c r="BW352" s="88"/>
      <c r="BX352" s="88"/>
    </row>
    <row r="353" ht="14.25" customHeight="1">
      <c r="B353" s="16" t="s">
        <v>156</v>
      </c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  <c r="BC353" s="88"/>
      <c r="BD353" s="88"/>
      <c r="BE353" s="88"/>
      <c r="BF353" s="88"/>
      <c r="BG353" s="88"/>
      <c r="BH353" s="88"/>
      <c r="BI353" s="88"/>
      <c r="BJ353" s="88"/>
      <c r="BK353" s="88"/>
      <c r="BL353" s="88"/>
      <c r="BM353" s="88"/>
      <c r="BN353" s="88"/>
      <c r="BO353" s="88"/>
      <c r="BP353" s="88"/>
      <c r="BQ353" s="88"/>
      <c r="BR353" s="88"/>
      <c r="BS353" s="88"/>
      <c r="BT353" s="88"/>
      <c r="BU353" s="88"/>
      <c r="BV353" s="88"/>
      <c r="BW353" s="88"/>
      <c r="BX353" s="88"/>
    </row>
    <row r="354" ht="14.25" customHeight="1">
      <c r="B354" s="16" t="s">
        <v>157</v>
      </c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  <c r="BC354" s="88"/>
      <c r="BD354" s="88"/>
      <c r="BE354" s="88"/>
      <c r="BF354" s="88"/>
      <c r="BG354" s="88"/>
      <c r="BH354" s="88"/>
      <c r="BI354" s="88"/>
      <c r="BJ354" s="88"/>
      <c r="BK354" s="88"/>
      <c r="BL354" s="88"/>
      <c r="BM354" s="88"/>
      <c r="BN354" s="88"/>
      <c r="BO354" s="88"/>
      <c r="BP354" s="88"/>
      <c r="BQ354" s="88"/>
      <c r="BR354" s="88"/>
      <c r="BS354" s="88"/>
      <c r="BT354" s="88"/>
      <c r="BU354" s="88"/>
      <c r="BV354" s="88"/>
      <c r="BW354" s="88"/>
      <c r="BX354" s="88"/>
    </row>
    <row r="355" ht="14.25" customHeight="1">
      <c r="B355" s="16" t="s">
        <v>158</v>
      </c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  <c r="BC355" s="88"/>
      <c r="BD355" s="88"/>
      <c r="BE355" s="88"/>
      <c r="BF355" s="88"/>
      <c r="BG355" s="88"/>
      <c r="BH355" s="88"/>
      <c r="BI355" s="88"/>
      <c r="BJ355" s="88"/>
      <c r="BK355" s="88"/>
      <c r="BL355" s="88"/>
      <c r="BM355" s="88"/>
      <c r="BN355" s="88"/>
      <c r="BO355" s="88"/>
      <c r="BP355" s="88"/>
      <c r="BQ355" s="88"/>
      <c r="BR355" s="88"/>
      <c r="BS355" s="88"/>
      <c r="BT355" s="88"/>
      <c r="BU355" s="88"/>
      <c r="BV355" s="88"/>
      <c r="BW355" s="88"/>
      <c r="BX355" s="88"/>
    </row>
    <row r="356" ht="14.25" customHeight="1">
      <c r="B356" s="16" t="s">
        <v>159</v>
      </c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  <c r="BE356" s="88"/>
      <c r="BF356" s="88"/>
      <c r="BG356" s="88"/>
      <c r="BH356" s="88"/>
      <c r="BI356" s="88"/>
      <c r="BJ356" s="88"/>
      <c r="BK356" s="88"/>
      <c r="BL356" s="88"/>
      <c r="BM356" s="88"/>
      <c r="BN356" s="88"/>
      <c r="BO356" s="88"/>
      <c r="BP356" s="88"/>
      <c r="BQ356" s="88"/>
      <c r="BR356" s="88"/>
      <c r="BS356" s="88"/>
      <c r="BT356" s="88"/>
      <c r="BU356" s="88"/>
      <c r="BV356" s="88"/>
      <c r="BW356" s="88"/>
      <c r="BX356" s="88"/>
    </row>
    <row r="357" ht="14.25" customHeight="1">
      <c r="A357" s="16"/>
      <c r="B357" s="16" t="s">
        <v>160</v>
      </c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  <c r="BC357" s="88"/>
      <c r="BD357" s="88"/>
      <c r="BE357" s="88"/>
      <c r="BF357" s="88"/>
      <c r="BG357" s="88"/>
      <c r="BH357" s="88"/>
      <c r="BI357" s="88"/>
      <c r="BJ357" s="88"/>
      <c r="BK357" s="88"/>
      <c r="BL357" s="88"/>
      <c r="BM357" s="88"/>
      <c r="BN357" s="88"/>
      <c r="BO357" s="88"/>
      <c r="BP357" s="88"/>
      <c r="BQ357" s="88"/>
      <c r="BR357" s="88"/>
      <c r="BS357" s="88"/>
      <c r="BT357" s="88"/>
      <c r="BU357" s="88"/>
      <c r="BV357" s="88"/>
      <c r="BW357" s="88"/>
      <c r="BX357" s="88"/>
    </row>
    <row r="358" ht="14.25" customHeight="1">
      <c r="A358" s="16"/>
      <c r="B358" s="16" t="s">
        <v>161</v>
      </c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  <c r="BE358" s="88"/>
      <c r="BF358" s="88"/>
      <c r="BG358" s="88"/>
      <c r="BH358" s="88"/>
      <c r="BI358" s="88"/>
      <c r="BJ358" s="88"/>
      <c r="BK358" s="88"/>
      <c r="BL358" s="88"/>
      <c r="BM358" s="88"/>
      <c r="BN358" s="88"/>
      <c r="BO358" s="88"/>
      <c r="BP358" s="88"/>
      <c r="BQ358" s="88"/>
      <c r="BR358" s="88"/>
      <c r="BS358" s="88"/>
      <c r="BT358" s="88"/>
      <c r="BU358" s="88"/>
      <c r="BV358" s="88"/>
      <c r="BW358" s="88"/>
      <c r="BX358" s="88"/>
    </row>
    <row r="359" ht="14.25" customHeight="1">
      <c r="B359" s="16" t="s">
        <v>164</v>
      </c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</row>
    <row r="360" ht="14.25" customHeight="1">
      <c r="K360" s="87"/>
      <c r="O360" s="87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3" width="22.0"/>
    <col customWidth="1" min="4" max="4" width="32.86"/>
    <col customWidth="1" min="5" max="26" width="8.71"/>
  </cols>
  <sheetData>
    <row r="1" ht="14.25" customHeight="1">
      <c r="A1" s="91" t="s">
        <v>165</v>
      </c>
    </row>
    <row r="2" ht="14.25" customHeight="1"/>
    <row r="3" ht="14.25" customHeight="1">
      <c r="A3" s="92" t="s">
        <v>166</v>
      </c>
      <c r="B3" s="93"/>
      <c r="C3" s="93"/>
      <c r="D3" s="93"/>
    </row>
    <row r="4" ht="14.25" customHeight="1">
      <c r="A4" s="94" t="s">
        <v>167</v>
      </c>
      <c r="B4" s="95" t="s">
        <v>168</v>
      </c>
      <c r="D4" s="96" t="str">
        <f>Assumptions!A1</f>
        <v>SouthPark Centre</v>
      </c>
    </row>
    <row r="5" ht="14.25" customHeight="1">
      <c r="A5" s="94" t="s">
        <v>169</v>
      </c>
      <c r="B5" s="95" t="s">
        <v>168</v>
      </c>
      <c r="D5" s="5" t="str">
        <f>Assumptions!A2</f>
        <v>4800 Sharon Road, Charlotte, NC 2821</v>
      </c>
    </row>
    <row r="6" ht="14.25" customHeight="1">
      <c r="A6" s="94" t="s">
        <v>170</v>
      </c>
      <c r="B6" s="95" t="s">
        <v>168</v>
      </c>
      <c r="D6" s="5" t="str">
        <f>'Rental Comp Analysis'!C3</f>
        <v/>
      </c>
    </row>
    <row r="7" ht="14.25" customHeight="1">
      <c r="A7" s="94" t="s">
        <v>171</v>
      </c>
      <c r="B7" s="95" t="s">
        <v>168</v>
      </c>
      <c r="D7" s="63" t="str">
        <f>BldgSF</f>
        <v/>
      </c>
    </row>
    <row r="8" ht="14.25" customHeight="1">
      <c r="A8" s="94" t="s">
        <v>9</v>
      </c>
      <c r="B8" s="95" t="s">
        <v>168</v>
      </c>
      <c r="E8" s="19" t="s">
        <v>172</v>
      </c>
    </row>
    <row r="9" ht="14.25" customHeight="1">
      <c r="A9" s="94" t="s">
        <v>173</v>
      </c>
      <c r="B9" s="95" t="s">
        <v>168</v>
      </c>
      <c r="E9" s="19" t="s">
        <v>172</v>
      </c>
    </row>
    <row r="10" ht="14.25" customHeight="1">
      <c r="A10" s="94" t="s">
        <v>6</v>
      </c>
      <c r="B10" s="95" t="s">
        <v>168</v>
      </c>
      <c r="D10" s="44"/>
    </row>
    <row r="11" ht="14.25" customHeight="1">
      <c r="A11" s="94" t="s">
        <v>174</v>
      </c>
      <c r="B11" s="95" t="s">
        <v>168</v>
      </c>
      <c r="D11" s="44"/>
    </row>
    <row r="12" ht="14.25" customHeight="1">
      <c r="A12" s="94" t="s">
        <v>175</v>
      </c>
      <c r="B12" s="95" t="s">
        <v>168</v>
      </c>
      <c r="D12" s="97"/>
    </row>
    <row r="13" ht="14.25" customHeight="1">
      <c r="A13" s="94" t="s">
        <v>176</v>
      </c>
      <c r="B13" s="95" t="s">
        <v>168</v>
      </c>
      <c r="D13" s="97"/>
    </row>
    <row r="14" ht="14.25" customHeight="1">
      <c r="A14" s="94" t="s">
        <v>177</v>
      </c>
      <c r="B14" s="95" t="s">
        <v>168</v>
      </c>
    </row>
    <row r="15" ht="14.25" customHeight="1">
      <c r="A15" s="94" t="s">
        <v>178</v>
      </c>
      <c r="B15" s="95" t="s">
        <v>168</v>
      </c>
      <c r="D15" s="98"/>
    </row>
    <row r="16" ht="14.25" customHeight="1">
      <c r="A16" s="94" t="s">
        <v>179</v>
      </c>
      <c r="B16" s="95" t="s">
        <v>168</v>
      </c>
    </row>
    <row r="17" ht="14.25" customHeight="1">
      <c r="A17" s="94" t="s">
        <v>180</v>
      </c>
      <c r="B17" s="95" t="s">
        <v>168</v>
      </c>
      <c r="D17" s="63"/>
    </row>
    <row r="18" ht="14.25" customHeight="1"/>
    <row r="19" ht="14.25" customHeight="1">
      <c r="A19" s="92" t="s">
        <v>181</v>
      </c>
      <c r="B19" s="93"/>
      <c r="C19" s="93"/>
      <c r="D19" s="93"/>
    </row>
    <row r="20" ht="14.25" customHeight="1">
      <c r="A20" s="94" t="s">
        <v>182</v>
      </c>
      <c r="B20" s="95" t="s">
        <v>168</v>
      </c>
    </row>
    <row r="21" ht="14.25" customHeight="1">
      <c r="A21" s="94" t="s">
        <v>183</v>
      </c>
      <c r="B21" s="95" t="s">
        <v>168</v>
      </c>
    </row>
    <row r="22" ht="14.25" customHeight="1">
      <c r="A22" s="94" t="s">
        <v>184</v>
      </c>
      <c r="B22" s="95" t="s">
        <v>168</v>
      </c>
    </row>
    <row r="23" ht="14.25" customHeight="1">
      <c r="A23" s="94" t="s">
        <v>185</v>
      </c>
      <c r="B23" s="95" t="s">
        <v>168</v>
      </c>
    </row>
    <row r="24" ht="14.25" customHeight="1">
      <c r="A24" s="94" t="s">
        <v>186</v>
      </c>
      <c r="B24" s="95" t="s">
        <v>168</v>
      </c>
    </row>
    <row r="25" ht="14.25" customHeight="1"/>
    <row r="26" ht="14.25" customHeight="1">
      <c r="A26" s="92" t="s">
        <v>187</v>
      </c>
      <c r="B26" s="93"/>
      <c r="C26" s="93"/>
      <c r="D26" s="93"/>
    </row>
    <row r="27" ht="14.25" customHeight="1">
      <c r="A27" s="94" t="s">
        <v>188</v>
      </c>
      <c r="B27" s="95" t="s">
        <v>168</v>
      </c>
      <c r="D27" s="98" t="str">
        <f>D15</f>
        <v/>
      </c>
    </row>
    <row r="28" ht="14.25" customHeight="1">
      <c r="A28" s="94" t="s">
        <v>189</v>
      </c>
      <c r="B28" s="95" t="s">
        <v>168</v>
      </c>
      <c r="D28" s="97"/>
    </row>
    <row r="29" ht="14.25" customHeight="1">
      <c r="A29" s="94" t="s">
        <v>190</v>
      </c>
      <c r="B29" s="95" t="s">
        <v>168</v>
      </c>
      <c r="D29" s="63" t="str">
        <f>D17</f>
        <v/>
      </c>
    </row>
    <row r="30" ht="14.25" customHeight="1">
      <c r="A30" s="94" t="s">
        <v>191</v>
      </c>
      <c r="B30" s="95" t="s">
        <v>168</v>
      </c>
      <c r="D30" s="76"/>
    </row>
    <row r="31" ht="14.25" customHeight="1">
      <c r="A31" s="94" t="s">
        <v>192</v>
      </c>
      <c r="B31" s="95" t="s">
        <v>168</v>
      </c>
      <c r="D31" s="76"/>
    </row>
    <row r="32" ht="14.25" customHeight="1"/>
    <row r="33" ht="14.25" customHeight="1">
      <c r="A33" s="92" t="s">
        <v>193</v>
      </c>
      <c r="B33" s="93"/>
      <c r="C33" s="93"/>
      <c r="D33" s="93"/>
    </row>
    <row r="34" ht="14.25" customHeight="1">
      <c r="A34" s="94" t="s">
        <v>194</v>
      </c>
      <c r="B34" s="95" t="s">
        <v>168</v>
      </c>
      <c r="D34" s="44"/>
    </row>
    <row r="35" ht="14.25" customHeight="1">
      <c r="A35" s="94" t="s">
        <v>195</v>
      </c>
      <c r="B35" s="95" t="s">
        <v>168</v>
      </c>
      <c r="D35" s="44"/>
      <c r="E35" s="44"/>
    </row>
    <row r="36" ht="14.25" customHeight="1">
      <c r="A36" s="94" t="s">
        <v>196</v>
      </c>
      <c r="B36" s="95" t="s">
        <v>168</v>
      </c>
      <c r="D36" s="44"/>
    </row>
    <row r="37" ht="14.25" customHeight="1">
      <c r="A37" s="94" t="s">
        <v>197</v>
      </c>
      <c r="B37" s="95" t="s">
        <v>168</v>
      </c>
      <c r="D37" s="44"/>
    </row>
    <row r="38" ht="14.25" customHeight="1">
      <c r="A38" s="94" t="s">
        <v>198</v>
      </c>
      <c r="B38" s="95" t="s">
        <v>168</v>
      </c>
      <c r="D38" s="44"/>
    </row>
    <row r="39" ht="14.25" customHeight="1">
      <c r="A39" s="94" t="s">
        <v>199</v>
      </c>
      <c r="B39" s="95" t="s">
        <v>168</v>
      </c>
      <c r="D39" s="97"/>
    </row>
    <row r="40" ht="14.25" customHeight="1"/>
    <row r="41" ht="14.25" customHeight="1">
      <c r="A41" s="92" t="s">
        <v>200</v>
      </c>
      <c r="B41" s="93"/>
      <c r="C41" s="93"/>
      <c r="D41" s="93"/>
    </row>
    <row r="42" ht="14.25" customHeight="1">
      <c r="A42" s="94" t="s">
        <v>201</v>
      </c>
      <c r="B42" s="95" t="s">
        <v>168</v>
      </c>
    </row>
    <row r="43" ht="14.25" customHeight="1">
      <c r="A43" s="94" t="s">
        <v>202</v>
      </c>
      <c r="B43" s="95" t="s">
        <v>168</v>
      </c>
    </row>
    <row r="44" ht="14.25" customHeight="1">
      <c r="A44" s="94" t="s">
        <v>203</v>
      </c>
      <c r="B44" s="95" t="s">
        <v>168</v>
      </c>
      <c r="D44" s="99"/>
    </row>
    <row r="45" ht="14.25" customHeight="1">
      <c r="A45" s="94" t="s">
        <v>204</v>
      </c>
      <c r="B45" s="95" t="s">
        <v>168</v>
      </c>
      <c r="D45" s="100"/>
    </row>
    <row r="46" ht="14.25" customHeight="1">
      <c r="A46" s="94" t="s">
        <v>205</v>
      </c>
      <c r="B46" s="95" t="s">
        <v>168</v>
      </c>
      <c r="D46" s="101"/>
    </row>
    <row r="47" ht="14.25" customHeight="1">
      <c r="A47" s="94" t="s">
        <v>206</v>
      </c>
      <c r="B47" s="95" t="s">
        <v>168</v>
      </c>
      <c r="D47" s="99"/>
    </row>
    <row r="48" ht="14.25" customHeight="1">
      <c r="A48" s="94" t="s">
        <v>207</v>
      </c>
      <c r="B48" s="95" t="s">
        <v>168</v>
      </c>
    </row>
    <row r="49" ht="14.25" customHeight="1">
      <c r="A49" s="94" t="s">
        <v>208</v>
      </c>
      <c r="B49" s="95" t="s">
        <v>168</v>
      </c>
    </row>
    <row r="50" ht="14.25" customHeight="1">
      <c r="A50" s="94" t="s">
        <v>209</v>
      </c>
      <c r="B50" s="95" t="s">
        <v>168</v>
      </c>
    </row>
    <row r="51" ht="14.25" customHeight="1">
      <c r="A51" s="94" t="s">
        <v>210</v>
      </c>
      <c r="B51" s="95" t="s">
        <v>168</v>
      </c>
    </row>
    <row r="52" ht="14.25" customHeight="1">
      <c r="A52" s="94" t="s">
        <v>211</v>
      </c>
      <c r="B52" s="95" t="s">
        <v>168</v>
      </c>
      <c r="D52" s="99"/>
    </row>
    <row r="53" ht="14.25" customHeight="1"/>
    <row r="54" ht="14.25" customHeight="1">
      <c r="A54" s="92" t="s">
        <v>212</v>
      </c>
      <c r="B54" s="93"/>
      <c r="C54" s="93"/>
      <c r="D54" s="93"/>
    </row>
    <row r="55" ht="14.25" customHeight="1">
      <c r="A55" s="94" t="s">
        <v>213</v>
      </c>
      <c r="B55" s="95" t="s">
        <v>168</v>
      </c>
    </row>
    <row r="56" ht="14.25" customHeight="1">
      <c r="A56" s="94" t="s">
        <v>214</v>
      </c>
      <c r="B56" s="95" t="s">
        <v>168</v>
      </c>
      <c r="D56" s="100"/>
    </row>
    <row r="57" ht="14.25" customHeight="1">
      <c r="A57" s="94" t="s">
        <v>215</v>
      </c>
      <c r="B57" s="95" t="s">
        <v>168</v>
      </c>
    </row>
    <row r="58" ht="14.25" customHeight="1">
      <c r="A58" s="94" t="s">
        <v>216</v>
      </c>
      <c r="B58" s="95" t="s">
        <v>168</v>
      </c>
    </row>
    <row r="59" ht="14.25" customHeight="1"/>
    <row r="60" ht="14.25" customHeight="1">
      <c r="A60" s="92" t="s">
        <v>217</v>
      </c>
      <c r="B60" s="93"/>
      <c r="C60" s="93"/>
      <c r="D60" s="93"/>
    </row>
    <row r="61" ht="14.25" customHeight="1">
      <c r="A61" s="94" t="s">
        <v>218</v>
      </c>
      <c r="B61" s="95" t="s">
        <v>168</v>
      </c>
      <c r="D61" s="5" t="str">
        <f>Assumptions!C67</f>
        <v/>
      </c>
    </row>
    <row r="62" ht="14.25" customHeight="1">
      <c r="A62" s="94" t="s">
        <v>219</v>
      </c>
      <c r="B62" s="95" t="s">
        <v>168</v>
      </c>
      <c r="D62" s="97" t="str">
        <f>Assumptions!B69</f>
        <v/>
      </c>
    </row>
    <row r="63" ht="14.25" customHeight="1">
      <c r="A63" s="94" t="s">
        <v>220</v>
      </c>
      <c r="B63" s="95" t="s">
        <v>168</v>
      </c>
    </row>
    <row r="64" ht="14.25" customHeight="1">
      <c r="A64" s="94" t="s">
        <v>221</v>
      </c>
      <c r="B64" s="95" t="s">
        <v>168</v>
      </c>
      <c r="D64" s="102"/>
    </row>
    <row r="65" ht="14.25" customHeight="1">
      <c r="A65" s="94" t="s">
        <v>222</v>
      </c>
      <c r="B65" s="95" t="s">
        <v>168</v>
      </c>
      <c r="D65" s="102"/>
    </row>
    <row r="66" ht="14.25" customHeight="1">
      <c r="A66" s="94" t="s">
        <v>223</v>
      </c>
      <c r="B66" s="95" t="s">
        <v>168</v>
      </c>
      <c r="D66" s="103"/>
    </row>
    <row r="67" ht="14.25" customHeight="1">
      <c r="A67" s="94" t="s">
        <v>224</v>
      </c>
      <c r="B67" s="95" t="s">
        <v>168</v>
      </c>
      <c r="D67" s="103"/>
    </row>
    <row r="68" ht="14.25" customHeight="1">
      <c r="A68" s="94" t="s">
        <v>225</v>
      </c>
      <c r="B68" s="95" t="s">
        <v>168</v>
      </c>
      <c r="D68" s="102"/>
    </row>
    <row r="69" ht="14.25" customHeight="1"/>
    <row r="70" ht="14.25" customHeight="1">
      <c r="A70" s="92" t="s">
        <v>226</v>
      </c>
      <c r="B70" s="93"/>
      <c r="C70" s="93"/>
      <c r="D70" s="93"/>
    </row>
    <row r="71" ht="14.25" customHeight="1">
      <c r="A71" s="94" t="s">
        <v>227</v>
      </c>
      <c r="B71" s="95" t="s">
        <v>168</v>
      </c>
    </row>
    <row r="72" ht="14.25" customHeight="1">
      <c r="A72" s="94" t="s">
        <v>228</v>
      </c>
      <c r="B72" s="95" t="s">
        <v>168</v>
      </c>
    </row>
    <row r="73" ht="14.25" customHeight="1">
      <c r="A73" s="94" t="s">
        <v>229</v>
      </c>
      <c r="B73" s="95" t="s">
        <v>168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3:D3"/>
    <mergeCell ref="A19:D19"/>
    <mergeCell ref="A26:D26"/>
    <mergeCell ref="A33:D33"/>
    <mergeCell ref="A41:D41"/>
    <mergeCell ref="A54:D54"/>
    <mergeCell ref="A60:D60"/>
    <mergeCell ref="A70:D7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4.14"/>
    <col customWidth="1" min="3" max="3" width="30.0"/>
    <col customWidth="1" min="4" max="26" width="8.71"/>
  </cols>
  <sheetData>
    <row r="1" ht="14.25" customHeight="1">
      <c r="A1" s="91" t="s">
        <v>230</v>
      </c>
    </row>
    <row r="2" ht="14.25" customHeight="1"/>
    <row r="3" ht="14.25" customHeight="1">
      <c r="A3" s="94" t="s">
        <v>231</v>
      </c>
    </row>
    <row r="4" ht="14.25" customHeight="1"/>
    <row r="5" ht="14.25" customHeight="1">
      <c r="A5" s="92" t="s">
        <v>232</v>
      </c>
      <c r="B5" s="93"/>
      <c r="C5" s="93"/>
    </row>
    <row r="6" ht="14.25" customHeight="1">
      <c r="A6" s="94" t="s">
        <v>233</v>
      </c>
      <c r="B6" s="104"/>
      <c r="C6" s="105" t="s">
        <v>168</v>
      </c>
    </row>
    <row r="7" ht="14.25" customHeight="1">
      <c r="A7" s="94" t="s">
        <v>234</v>
      </c>
      <c r="B7" s="104"/>
      <c r="C7" s="105" t="s">
        <v>168</v>
      </c>
    </row>
    <row r="8" ht="14.25" customHeight="1">
      <c r="A8" s="94" t="s">
        <v>235</v>
      </c>
      <c r="B8" s="106" t="str">
        <f>BldgSF</f>
        <v/>
      </c>
      <c r="C8" s="105" t="s">
        <v>168</v>
      </c>
    </row>
    <row r="9" ht="14.25" customHeight="1">
      <c r="A9" s="94" t="s">
        <v>168</v>
      </c>
      <c r="B9" s="104" t="s">
        <v>168</v>
      </c>
      <c r="C9" s="105" t="s">
        <v>168</v>
      </c>
    </row>
    <row r="10" ht="14.25" customHeight="1">
      <c r="A10" s="92" t="s">
        <v>236</v>
      </c>
      <c r="B10" s="93"/>
      <c r="C10" s="93"/>
    </row>
    <row r="11" ht="14.25" customHeight="1">
      <c r="A11" s="94" t="s">
        <v>237</v>
      </c>
      <c r="B11" s="104"/>
      <c r="C11" s="105"/>
    </row>
    <row r="12" ht="14.25" customHeight="1">
      <c r="A12" s="94" t="s">
        <v>238</v>
      </c>
      <c r="B12" s="107"/>
      <c r="C12" s="105"/>
    </row>
    <row r="13" ht="14.25" customHeight="1">
      <c r="A13" s="94" t="s">
        <v>239</v>
      </c>
      <c r="B13" s="107"/>
      <c r="C13" s="105"/>
      <c r="D13" s="108"/>
    </row>
    <row r="14" ht="14.25" customHeight="1">
      <c r="A14" s="94" t="s">
        <v>240</v>
      </c>
      <c r="B14" s="104"/>
      <c r="C14" s="105"/>
      <c r="D14" s="108"/>
    </row>
    <row r="15" ht="14.25" customHeight="1">
      <c r="A15" s="94" t="s">
        <v>241</v>
      </c>
      <c r="B15" s="104"/>
      <c r="C15" s="105"/>
      <c r="D15" s="108"/>
    </row>
    <row r="16" ht="14.25" customHeight="1">
      <c r="A16" s="94" t="s">
        <v>242</v>
      </c>
      <c r="B16" s="109" t="str">
        <f>CloseDate</f>
        <v/>
      </c>
      <c r="C16" s="105" t="s">
        <v>168</v>
      </c>
    </row>
    <row r="17" ht="14.25" customHeight="1">
      <c r="A17" s="94" t="s">
        <v>168</v>
      </c>
      <c r="B17" s="104" t="s">
        <v>168</v>
      </c>
      <c r="C17" s="105" t="s">
        <v>168</v>
      </c>
    </row>
    <row r="18" ht="14.25" customHeight="1">
      <c r="A18" s="92" t="s">
        <v>243</v>
      </c>
      <c r="B18" s="93"/>
      <c r="C18" s="93"/>
    </row>
    <row r="19" ht="14.25" customHeight="1">
      <c r="A19" s="94" t="s">
        <v>244</v>
      </c>
      <c r="B19" s="104"/>
      <c r="C19" s="105"/>
      <c r="D19" s="108"/>
    </row>
    <row r="20" ht="14.25" customHeight="1">
      <c r="A20" s="94" t="s">
        <v>245</v>
      </c>
      <c r="B20" s="104"/>
      <c r="C20" s="105"/>
      <c r="D20" s="108"/>
    </row>
    <row r="21" ht="14.25" customHeight="1">
      <c r="A21" s="94" t="s">
        <v>246</v>
      </c>
      <c r="B21" s="104"/>
      <c r="C21" s="105"/>
      <c r="D21" s="108"/>
    </row>
    <row r="22" ht="14.25" customHeight="1">
      <c r="A22" s="94" t="s">
        <v>247</v>
      </c>
      <c r="B22" s="104"/>
      <c r="C22" s="105"/>
      <c r="D22" s="108"/>
    </row>
    <row r="23" ht="14.25" customHeight="1">
      <c r="A23" s="94" t="s">
        <v>248</v>
      </c>
      <c r="B23" s="104"/>
      <c r="C23" s="105"/>
      <c r="D23" s="108"/>
    </row>
    <row r="24" ht="14.25" customHeight="1">
      <c r="A24" s="94" t="s">
        <v>249</v>
      </c>
      <c r="B24" s="104"/>
      <c r="C24" s="105"/>
      <c r="D24" s="108"/>
    </row>
    <row r="25" ht="14.25" customHeight="1">
      <c r="A25" s="94" t="s">
        <v>168</v>
      </c>
      <c r="B25" s="104" t="s">
        <v>168</v>
      </c>
      <c r="C25" s="105" t="s">
        <v>168</v>
      </c>
    </row>
    <row r="26" ht="14.25" customHeight="1">
      <c r="A26" s="92" t="s">
        <v>250</v>
      </c>
      <c r="B26" s="93"/>
      <c r="C26" s="93"/>
    </row>
    <row r="27" ht="14.25" customHeight="1">
      <c r="A27" s="94" t="s">
        <v>251</v>
      </c>
      <c r="B27" s="104"/>
      <c r="C27" s="105"/>
      <c r="D27" s="108"/>
    </row>
    <row r="28" ht="14.25" customHeight="1">
      <c r="A28" s="94" t="s">
        <v>168</v>
      </c>
      <c r="B28" s="104" t="s">
        <v>168</v>
      </c>
      <c r="C28" s="105" t="s">
        <v>168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5:C5"/>
    <mergeCell ref="A10:C10"/>
    <mergeCell ref="A18:C18"/>
    <mergeCell ref="A26:C2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29.14"/>
    <col customWidth="1" min="2" max="2" width="17.43"/>
    <col customWidth="1" min="3" max="3" width="8.71"/>
    <col customWidth="1" min="4" max="4" width="12.86"/>
    <col customWidth="1" min="5" max="8" width="11.71"/>
    <col customWidth="1" min="9" max="9" width="12.86"/>
    <col customWidth="1" min="10" max="10" width="11.71"/>
    <col customWidth="1" min="11" max="11" width="8.71"/>
    <col customWidth="1" min="12" max="84" width="12.86"/>
    <col customWidth="1" min="85" max="86" width="8.71"/>
  </cols>
  <sheetData>
    <row r="1" ht="14.25" customHeight="1">
      <c r="A1" s="110" t="s">
        <v>252</v>
      </c>
    </row>
    <row r="2" ht="14.25" customHeight="1">
      <c r="A2" s="5" t="s">
        <v>253</v>
      </c>
    </row>
    <row r="3" ht="14.25" customHeight="1">
      <c r="A3" s="3" t="s">
        <v>254</v>
      </c>
      <c r="B3" s="3"/>
      <c r="C3" s="3"/>
      <c r="D3" s="111">
        <v>0.0</v>
      </c>
      <c r="E3" s="111">
        <f t="shared" ref="E3:J3" si="1">D3+1</f>
        <v>1</v>
      </c>
      <c r="F3" s="111">
        <f t="shared" si="1"/>
        <v>2</v>
      </c>
      <c r="G3" s="111">
        <f t="shared" si="1"/>
        <v>3</v>
      </c>
      <c r="H3" s="111">
        <f t="shared" si="1"/>
        <v>4</v>
      </c>
      <c r="I3" s="111">
        <f t="shared" si="1"/>
        <v>5</v>
      </c>
      <c r="J3" s="111">
        <f t="shared" si="1"/>
        <v>6</v>
      </c>
      <c r="K3" s="112"/>
      <c r="L3" s="111">
        <f t="shared" ref="L3:CF3" si="2">INT((L4-1)/12)+1</f>
        <v>0</v>
      </c>
      <c r="M3" s="111">
        <f t="shared" si="2"/>
        <v>1</v>
      </c>
      <c r="N3" s="111">
        <f t="shared" si="2"/>
        <v>1</v>
      </c>
      <c r="O3" s="111">
        <f t="shared" si="2"/>
        <v>1</v>
      </c>
      <c r="P3" s="111">
        <f t="shared" si="2"/>
        <v>1</v>
      </c>
      <c r="Q3" s="111">
        <f t="shared" si="2"/>
        <v>1</v>
      </c>
      <c r="R3" s="111">
        <f t="shared" si="2"/>
        <v>1</v>
      </c>
      <c r="S3" s="111">
        <f t="shared" si="2"/>
        <v>1</v>
      </c>
      <c r="T3" s="111">
        <f t="shared" si="2"/>
        <v>1</v>
      </c>
      <c r="U3" s="111">
        <f t="shared" si="2"/>
        <v>1</v>
      </c>
      <c r="V3" s="111">
        <f t="shared" si="2"/>
        <v>1</v>
      </c>
      <c r="W3" s="111">
        <f t="shared" si="2"/>
        <v>1</v>
      </c>
      <c r="X3" s="111">
        <f t="shared" si="2"/>
        <v>1</v>
      </c>
      <c r="Y3" s="111">
        <f t="shared" si="2"/>
        <v>2</v>
      </c>
      <c r="Z3" s="111">
        <f t="shared" si="2"/>
        <v>2</v>
      </c>
      <c r="AA3" s="111">
        <f t="shared" si="2"/>
        <v>2</v>
      </c>
      <c r="AB3" s="111">
        <f t="shared" si="2"/>
        <v>2</v>
      </c>
      <c r="AC3" s="111">
        <f t="shared" si="2"/>
        <v>2</v>
      </c>
      <c r="AD3" s="111">
        <f t="shared" si="2"/>
        <v>2</v>
      </c>
      <c r="AE3" s="111">
        <f t="shared" si="2"/>
        <v>2</v>
      </c>
      <c r="AF3" s="111">
        <f t="shared" si="2"/>
        <v>2</v>
      </c>
      <c r="AG3" s="111">
        <f t="shared" si="2"/>
        <v>2</v>
      </c>
      <c r="AH3" s="111">
        <f t="shared" si="2"/>
        <v>2</v>
      </c>
      <c r="AI3" s="111">
        <f t="shared" si="2"/>
        <v>2</v>
      </c>
      <c r="AJ3" s="111">
        <f t="shared" si="2"/>
        <v>2</v>
      </c>
      <c r="AK3" s="111">
        <f t="shared" si="2"/>
        <v>3</v>
      </c>
      <c r="AL3" s="111">
        <f t="shared" si="2"/>
        <v>3</v>
      </c>
      <c r="AM3" s="111">
        <f t="shared" si="2"/>
        <v>3</v>
      </c>
      <c r="AN3" s="111">
        <f t="shared" si="2"/>
        <v>3</v>
      </c>
      <c r="AO3" s="111">
        <f t="shared" si="2"/>
        <v>3</v>
      </c>
      <c r="AP3" s="111">
        <f t="shared" si="2"/>
        <v>3</v>
      </c>
      <c r="AQ3" s="111">
        <f t="shared" si="2"/>
        <v>3</v>
      </c>
      <c r="AR3" s="111">
        <f t="shared" si="2"/>
        <v>3</v>
      </c>
      <c r="AS3" s="111">
        <f t="shared" si="2"/>
        <v>3</v>
      </c>
      <c r="AT3" s="111">
        <f t="shared" si="2"/>
        <v>3</v>
      </c>
      <c r="AU3" s="111">
        <f t="shared" si="2"/>
        <v>3</v>
      </c>
      <c r="AV3" s="111">
        <f t="shared" si="2"/>
        <v>3</v>
      </c>
      <c r="AW3" s="111">
        <f t="shared" si="2"/>
        <v>4</v>
      </c>
      <c r="AX3" s="111">
        <f t="shared" si="2"/>
        <v>4</v>
      </c>
      <c r="AY3" s="111">
        <f t="shared" si="2"/>
        <v>4</v>
      </c>
      <c r="AZ3" s="111">
        <f t="shared" si="2"/>
        <v>4</v>
      </c>
      <c r="BA3" s="111">
        <f t="shared" si="2"/>
        <v>4</v>
      </c>
      <c r="BB3" s="111">
        <f t="shared" si="2"/>
        <v>4</v>
      </c>
      <c r="BC3" s="111">
        <f t="shared" si="2"/>
        <v>4</v>
      </c>
      <c r="BD3" s="111">
        <f t="shared" si="2"/>
        <v>4</v>
      </c>
      <c r="BE3" s="111">
        <f t="shared" si="2"/>
        <v>4</v>
      </c>
      <c r="BF3" s="111">
        <f t="shared" si="2"/>
        <v>4</v>
      </c>
      <c r="BG3" s="111">
        <f t="shared" si="2"/>
        <v>4</v>
      </c>
      <c r="BH3" s="111">
        <f t="shared" si="2"/>
        <v>4</v>
      </c>
      <c r="BI3" s="111">
        <f t="shared" si="2"/>
        <v>5</v>
      </c>
      <c r="BJ3" s="111">
        <f t="shared" si="2"/>
        <v>5</v>
      </c>
      <c r="BK3" s="111">
        <f t="shared" si="2"/>
        <v>5</v>
      </c>
      <c r="BL3" s="111">
        <f t="shared" si="2"/>
        <v>5</v>
      </c>
      <c r="BM3" s="111">
        <f t="shared" si="2"/>
        <v>5</v>
      </c>
      <c r="BN3" s="111">
        <f t="shared" si="2"/>
        <v>5</v>
      </c>
      <c r="BO3" s="111">
        <f t="shared" si="2"/>
        <v>5</v>
      </c>
      <c r="BP3" s="111">
        <f t="shared" si="2"/>
        <v>5</v>
      </c>
      <c r="BQ3" s="111">
        <f t="shared" si="2"/>
        <v>5</v>
      </c>
      <c r="BR3" s="111">
        <f t="shared" si="2"/>
        <v>5</v>
      </c>
      <c r="BS3" s="111">
        <f t="shared" si="2"/>
        <v>5</v>
      </c>
      <c r="BT3" s="111">
        <f t="shared" si="2"/>
        <v>5</v>
      </c>
      <c r="BU3" s="111">
        <f t="shared" si="2"/>
        <v>6</v>
      </c>
      <c r="BV3" s="111">
        <f t="shared" si="2"/>
        <v>6</v>
      </c>
      <c r="BW3" s="111">
        <f t="shared" si="2"/>
        <v>6</v>
      </c>
      <c r="BX3" s="111">
        <f t="shared" si="2"/>
        <v>6</v>
      </c>
      <c r="BY3" s="111">
        <f t="shared" si="2"/>
        <v>6</v>
      </c>
      <c r="BZ3" s="111">
        <f t="shared" si="2"/>
        <v>6</v>
      </c>
      <c r="CA3" s="111">
        <f t="shared" si="2"/>
        <v>6</v>
      </c>
      <c r="CB3" s="111">
        <f t="shared" si="2"/>
        <v>6</v>
      </c>
      <c r="CC3" s="111">
        <f t="shared" si="2"/>
        <v>6</v>
      </c>
      <c r="CD3" s="111">
        <f t="shared" si="2"/>
        <v>6</v>
      </c>
      <c r="CE3" s="111">
        <f t="shared" si="2"/>
        <v>6</v>
      </c>
      <c r="CF3" s="111">
        <f t="shared" si="2"/>
        <v>6</v>
      </c>
    </row>
    <row r="4" ht="14.25" customHeight="1">
      <c r="A4" s="3" t="s">
        <v>148</v>
      </c>
      <c r="B4" s="3"/>
      <c r="C4" s="3"/>
      <c r="D4" s="113">
        <v>0.0</v>
      </c>
      <c r="E4" s="113">
        <f t="shared" ref="E4:J4" si="3">D4+12</f>
        <v>12</v>
      </c>
      <c r="F4" s="113">
        <f t="shared" si="3"/>
        <v>24</v>
      </c>
      <c r="G4" s="113">
        <f t="shared" si="3"/>
        <v>36</v>
      </c>
      <c r="H4" s="113">
        <f t="shared" si="3"/>
        <v>48</v>
      </c>
      <c r="I4" s="113">
        <f t="shared" si="3"/>
        <v>60</v>
      </c>
      <c r="J4" s="113">
        <f t="shared" si="3"/>
        <v>72</v>
      </c>
      <c r="K4" s="3"/>
      <c r="L4" s="113">
        <f>'Rent Roll Calc'!D3</f>
        <v>0</v>
      </c>
      <c r="M4" s="113">
        <f>'Rent Roll Calc'!E3</f>
        <v>1</v>
      </c>
      <c r="N4" s="113">
        <f>'Rent Roll Calc'!F3</f>
        <v>2</v>
      </c>
      <c r="O4" s="113">
        <f>'Rent Roll Calc'!G3</f>
        <v>3</v>
      </c>
      <c r="P4" s="113">
        <f>'Rent Roll Calc'!H3</f>
        <v>4</v>
      </c>
      <c r="Q4" s="113">
        <f>'Rent Roll Calc'!I3</f>
        <v>5</v>
      </c>
      <c r="R4" s="113">
        <f>'Rent Roll Calc'!J3</f>
        <v>6</v>
      </c>
      <c r="S4" s="113">
        <f>'Rent Roll Calc'!K3</f>
        <v>7</v>
      </c>
      <c r="T4" s="113">
        <f>'Rent Roll Calc'!L3</f>
        <v>8</v>
      </c>
      <c r="U4" s="113">
        <f>'Rent Roll Calc'!M3</f>
        <v>9</v>
      </c>
      <c r="V4" s="113">
        <f>'Rent Roll Calc'!N3</f>
        <v>10</v>
      </c>
      <c r="W4" s="113">
        <f>'Rent Roll Calc'!O3</f>
        <v>11</v>
      </c>
      <c r="X4" s="113">
        <f>'Rent Roll Calc'!P3</f>
        <v>12</v>
      </c>
      <c r="Y4" s="113">
        <f>'Rent Roll Calc'!Q3</f>
        <v>13</v>
      </c>
      <c r="Z4" s="113">
        <f>'Rent Roll Calc'!R3</f>
        <v>14</v>
      </c>
      <c r="AA4" s="113">
        <f>'Rent Roll Calc'!S3</f>
        <v>15</v>
      </c>
      <c r="AB4" s="113">
        <f>'Rent Roll Calc'!T3</f>
        <v>16</v>
      </c>
      <c r="AC4" s="113">
        <f>'Rent Roll Calc'!U3</f>
        <v>17</v>
      </c>
      <c r="AD4" s="113">
        <f>'Rent Roll Calc'!V3</f>
        <v>18</v>
      </c>
      <c r="AE4" s="113">
        <f>'Rent Roll Calc'!W3</f>
        <v>19</v>
      </c>
      <c r="AF4" s="113">
        <f>'Rent Roll Calc'!X3</f>
        <v>20</v>
      </c>
      <c r="AG4" s="113">
        <f>'Rent Roll Calc'!Y3</f>
        <v>21</v>
      </c>
      <c r="AH4" s="113">
        <f>'Rent Roll Calc'!Z3</f>
        <v>22</v>
      </c>
      <c r="AI4" s="113">
        <f>'Rent Roll Calc'!AA3</f>
        <v>23</v>
      </c>
      <c r="AJ4" s="113">
        <f>'Rent Roll Calc'!AB3</f>
        <v>24</v>
      </c>
      <c r="AK4" s="113">
        <f>'Rent Roll Calc'!AC3</f>
        <v>25</v>
      </c>
      <c r="AL4" s="113">
        <f>'Rent Roll Calc'!AD3</f>
        <v>26</v>
      </c>
      <c r="AM4" s="113">
        <f>'Rent Roll Calc'!AE3</f>
        <v>27</v>
      </c>
      <c r="AN4" s="113">
        <f>'Rent Roll Calc'!AF3</f>
        <v>28</v>
      </c>
      <c r="AO4" s="113">
        <f>'Rent Roll Calc'!AG3</f>
        <v>29</v>
      </c>
      <c r="AP4" s="113">
        <f>'Rent Roll Calc'!AH3</f>
        <v>30</v>
      </c>
      <c r="AQ4" s="113">
        <f>'Rent Roll Calc'!AI3</f>
        <v>31</v>
      </c>
      <c r="AR4" s="113">
        <f>'Rent Roll Calc'!AJ3</f>
        <v>32</v>
      </c>
      <c r="AS4" s="113">
        <f>'Rent Roll Calc'!AK3</f>
        <v>33</v>
      </c>
      <c r="AT4" s="113">
        <f>'Rent Roll Calc'!AL3</f>
        <v>34</v>
      </c>
      <c r="AU4" s="113">
        <f>'Rent Roll Calc'!AM3</f>
        <v>35</v>
      </c>
      <c r="AV4" s="113">
        <f>'Rent Roll Calc'!AN3</f>
        <v>36</v>
      </c>
      <c r="AW4" s="113">
        <f>'Rent Roll Calc'!AO3</f>
        <v>37</v>
      </c>
      <c r="AX4" s="113">
        <f>'Rent Roll Calc'!AP3</f>
        <v>38</v>
      </c>
      <c r="AY4" s="113">
        <f>'Rent Roll Calc'!AQ3</f>
        <v>39</v>
      </c>
      <c r="AZ4" s="113">
        <f>'Rent Roll Calc'!AR3</f>
        <v>40</v>
      </c>
      <c r="BA4" s="113">
        <f>'Rent Roll Calc'!AS3</f>
        <v>41</v>
      </c>
      <c r="BB4" s="113">
        <f>'Rent Roll Calc'!AT3</f>
        <v>42</v>
      </c>
      <c r="BC4" s="113">
        <f>'Rent Roll Calc'!AU3</f>
        <v>43</v>
      </c>
      <c r="BD4" s="113">
        <f>'Rent Roll Calc'!AV3</f>
        <v>44</v>
      </c>
      <c r="BE4" s="113">
        <f>'Rent Roll Calc'!AW3</f>
        <v>45</v>
      </c>
      <c r="BF4" s="113">
        <f>'Rent Roll Calc'!AX3</f>
        <v>46</v>
      </c>
      <c r="BG4" s="113">
        <f>'Rent Roll Calc'!AY3</f>
        <v>47</v>
      </c>
      <c r="BH4" s="113">
        <f>'Rent Roll Calc'!AZ3</f>
        <v>48</v>
      </c>
      <c r="BI4" s="113">
        <f>'Rent Roll Calc'!BA3</f>
        <v>49</v>
      </c>
      <c r="BJ4" s="113">
        <f>'Rent Roll Calc'!BB3</f>
        <v>50</v>
      </c>
      <c r="BK4" s="113">
        <f>'Rent Roll Calc'!BC3</f>
        <v>51</v>
      </c>
      <c r="BL4" s="113">
        <f>'Rent Roll Calc'!BD3</f>
        <v>52</v>
      </c>
      <c r="BM4" s="113">
        <f>'Rent Roll Calc'!BE3</f>
        <v>53</v>
      </c>
      <c r="BN4" s="113">
        <f>'Rent Roll Calc'!BF3</f>
        <v>54</v>
      </c>
      <c r="BO4" s="113">
        <f>'Rent Roll Calc'!BG3</f>
        <v>55</v>
      </c>
      <c r="BP4" s="113">
        <f>'Rent Roll Calc'!BH3</f>
        <v>56</v>
      </c>
      <c r="BQ4" s="113">
        <f>'Rent Roll Calc'!BI3</f>
        <v>57</v>
      </c>
      <c r="BR4" s="113">
        <f>'Rent Roll Calc'!BJ3</f>
        <v>58</v>
      </c>
      <c r="BS4" s="113">
        <f>'Rent Roll Calc'!BK3</f>
        <v>59</v>
      </c>
      <c r="BT4" s="113">
        <f>'Rent Roll Calc'!BL3</f>
        <v>60</v>
      </c>
      <c r="BU4" s="113">
        <f>'Rent Roll Calc'!BM3</f>
        <v>61</v>
      </c>
      <c r="BV4" s="113">
        <f>'Rent Roll Calc'!BN3</f>
        <v>62</v>
      </c>
      <c r="BW4" s="113">
        <f>'Rent Roll Calc'!BO3</f>
        <v>63</v>
      </c>
      <c r="BX4" s="113">
        <f>'Rent Roll Calc'!BP3</f>
        <v>64</v>
      </c>
      <c r="BY4" s="113">
        <f>'Rent Roll Calc'!BQ3</f>
        <v>65</v>
      </c>
      <c r="BZ4" s="113">
        <f>'Rent Roll Calc'!BR3</f>
        <v>66</v>
      </c>
      <c r="CA4" s="113">
        <f>'Rent Roll Calc'!BS3</f>
        <v>67</v>
      </c>
      <c r="CB4" s="113">
        <f>'Rent Roll Calc'!BT3</f>
        <v>68</v>
      </c>
      <c r="CC4" s="113">
        <f>'Rent Roll Calc'!BU3</f>
        <v>69</v>
      </c>
      <c r="CD4" s="113">
        <f>'Rent Roll Calc'!BV3</f>
        <v>70</v>
      </c>
      <c r="CE4" s="113">
        <f>'Rent Roll Calc'!BW3</f>
        <v>71</v>
      </c>
      <c r="CF4" s="113">
        <f>'Rent Roll Calc'!BX3</f>
        <v>72</v>
      </c>
    </row>
    <row r="5" ht="14.25" customHeight="1">
      <c r="A5" s="3" t="s">
        <v>149</v>
      </c>
      <c r="B5" s="3"/>
      <c r="C5" s="3"/>
      <c r="D5" s="114">
        <f>+EOMONTH(CloseDate,0)</f>
        <v>1</v>
      </c>
      <c r="E5" s="114">
        <f t="shared" ref="E5:J5" si="4">EOMONTH(D5,12)</f>
        <v>366</v>
      </c>
      <c r="F5" s="114">
        <f t="shared" si="4"/>
        <v>731</v>
      </c>
      <c r="G5" s="114">
        <f t="shared" si="4"/>
        <v>1096</v>
      </c>
      <c r="H5" s="114">
        <f t="shared" si="4"/>
        <v>1461</v>
      </c>
      <c r="I5" s="114">
        <f t="shared" si="4"/>
        <v>1827</v>
      </c>
      <c r="J5" s="114">
        <f t="shared" si="4"/>
        <v>2192</v>
      </c>
      <c r="K5" s="3"/>
      <c r="L5" s="114">
        <f>'Rent Roll Calc'!D4</f>
        <v>1</v>
      </c>
      <c r="M5" s="114">
        <f>'Rent Roll Calc'!E4</f>
        <v>32</v>
      </c>
      <c r="N5" s="114">
        <f>'Rent Roll Calc'!F4</f>
        <v>60</v>
      </c>
      <c r="O5" s="114">
        <f>'Rent Roll Calc'!G4</f>
        <v>91</v>
      </c>
      <c r="P5" s="114">
        <f>'Rent Roll Calc'!H4</f>
        <v>121</v>
      </c>
      <c r="Q5" s="114">
        <f>'Rent Roll Calc'!I4</f>
        <v>152</v>
      </c>
      <c r="R5" s="114">
        <f>'Rent Roll Calc'!J4</f>
        <v>182</v>
      </c>
      <c r="S5" s="114">
        <f>'Rent Roll Calc'!K4</f>
        <v>213</v>
      </c>
      <c r="T5" s="114">
        <f>'Rent Roll Calc'!L4</f>
        <v>244</v>
      </c>
      <c r="U5" s="114">
        <f>'Rent Roll Calc'!M4</f>
        <v>274</v>
      </c>
      <c r="V5" s="114">
        <f>'Rent Roll Calc'!N4</f>
        <v>305</v>
      </c>
      <c r="W5" s="114">
        <f>'Rent Roll Calc'!O4</f>
        <v>335</v>
      </c>
      <c r="X5" s="114">
        <f>'Rent Roll Calc'!P4</f>
        <v>366</v>
      </c>
      <c r="Y5" s="114">
        <f>'Rent Roll Calc'!Q4</f>
        <v>397</v>
      </c>
      <c r="Z5" s="114">
        <f>'Rent Roll Calc'!R4</f>
        <v>425</v>
      </c>
      <c r="AA5" s="114">
        <f>'Rent Roll Calc'!S4</f>
        <v>456</v>
      </c>
      <c r="AB5" s="114">
        <f>'Rent Roll Calc'!T4</f>
        <v>486</v>
      </c>
      <c r="AC5" s="114">
        <f>'Rent Roll Calc'!U4</f>
        <v>517</v>
      </c>
      <c r="AD5" s="114">
        <f>'Rent Roll Calc'!V4</f>
        <v>547</v>
      </c>
      <c r="AE5" s="114">
        <f>'Rent Roll Calc'!W4</f>
        <v>578</v>
      </c>
      <c r="AF5" s="114">
        <f>'Rent Roll Calc'!X4</f>
        <v>609</v>
      </c>
      <c r="AG5" s="114">
        <f>'Rent Roll Calc'!Y4</f>
        <v>639</v>
      </c>
      <c r="AH5" s="114">
        <f>'Rent Roll Calc'!Z4</f>
        <v>670</v>
      </c>
      <c r="AI5" s="114">
        <f>'Rent Roll Calc'!AA4</f>
        <v>700</v>
      </c>
      <c r="AJ5" s="114">
        <f>'Rent Roll Calc'!AB4</f>
        <v>731</v>
      </c>
      <c r="AK5" s="114">
        <f>'Rent Roll Calc'!AC4</f>
        <v>762</v>
      </c>
      <c r="AL5" s="114">
        <f>'Rent Roll Calc'!AD4</f>
        <v>790</v>
      </c>
      <c r="AM5" s="114">
        <f>'Rent Roll Calc'!AE4</f>
        <v>821</v>
      </c>
      <c r="AN5" s="114">
        <f>'Rent Roll Calc'!AF4</f>
        <v>851</v>
      </c>
      <c r="AO5" s="114">
        <f>'Rent Roll Calc'!AG4</f>
        <v>882</v>
      </c>
      <c r="AP5" s="114">
        <f>'Rent Roll Calc'!AH4</f>
        <v>912</v>
      </c>
      <c r="AQ5" s="114">
        <f>'Rent Roll Calc'!AI4</f>
        <v>943</v>
      </c>
      <c r="AR5" s="114">
        <f>'Rent Roll Calc'!AJ4</f>
        <v>974</v>
      </c>
      <c r="AS5" s="114">
        <f>'Rent Roll Calc'!AK4</f>
        <v>1004</v>
      </c>
      <c r="AT5" s="114">
        <f>'Rent Roll Calc'!AL4</f>
        <v>1035</v>
      </c>
      <c r="AU5" s="114">
        <f>'Rent Roll Calc'!AM4</f>
        <v>1065</v>
      </c>
      <c r="AV5" s="114">
        <f>'Rent Roll Calc'!AN4</f>
        <v>1096</v>
      </c>
      <c r="AW5" s="114">
        <f>'Rent Roll Calc'!AO4</f>
        <v>1127</v>
      </c>
      <c r="AX5" s="114">
        <f>'Rent Roll Calc'!AP4</f>
        <v>1155</v>
      </c>
      <c r="AY5" s="114">
        <f>'Rent Roll Calc'!AQ4</f>
        <v>1186</v>
      </c>
      <c r="AZ5" s="114">
        <f>'Rent Roll Calc'!AR4</f>
        <v>1216</v>
      </c>
      <c r="BA5" s="114">
        <f>'Rent Roll Calc'!AS4</f>
        <v>1247</v>
      </c>
      <c r="BB5" s="114">
        <f>'Rent Roll Calc'!AT4</f>
        <v>1277</v>
      </c>
      <c r="BC5" s="114">
        <f>'Rent Roll Calc'!AU4</f>
        <v>1308</v>
      </c>
      <c r="BD5" s="114">
        <f>'Rent Roll Calc'!AV4</f>
        <v>1339</v>
      </c>
      <c r="BE5" s="114">
        <f>'Rent Roll Calc'!AW4</f>
        <v>1369</v>
      </c>
      <c r="BF5" s="114">
        <f>'Rent Roll Calc'!AX4</f>
        <v>1400</v>
      </c>
      <c r="BG5" s="114">
        <f>'Rent Roll Calc'!AY4</f>
        <v>1430</v>
      </c>
      <c r="BH5" s="114">
        <f>'Rent Roll Calc'!AZ4</f>
        <v>1461</v>
      </c>
      <c r="BI5" s="114">
        <f>'Rent Roll Calc'!BA4</f>
        <v>1492</v>
      </c>
      <c r="BJ5" s="114">
        <f>'Rent Roll Calc'!BB4</f>
        <v>1521</v>
      </c>
      <c r="BK5" s="114">
        <f>'Rent Roll Calc'!BC4</f>
        <v>1552</v>
      </c>
      <c r="BL5" s="114">
        <f>'Rent Roll Calc'!BD4</f>
        <v>1582</v>
      </c>
      <c r="BM5" s="114">
        <f>'Rent Roll Calc'!BE4</f>
        <v>1613</v>
      </c>
      <c r="BN5" s="114">
        <f>'Rent Roll Calc'!BF4</f>
        <v>1643</v>
      </c>
      <c r="BO5" s="114">
        <f>'Rent Roll Calc'!BG4</f>
        <v>1674</v>
      </c>
      <c r="BP5" s="114">
        <f>'Rent Roll Calc'!BH4</f>
        <v>1705</v>
      </c>
      <c r="BQ5" s="114">
        <f>'Rent Roll Calc'!BI4</f>
        <v>1735</v>
      </c>
      <c r="BR5" s="114">
        <f>'Rent Roll Calc'!BJ4</f>
        <v>1766</v>
      </c>
      <c r="BS5" s="114">
        <f>'Rent Roll Calc'!BK4</f>
        <v>1796</v>
      </c>
      <c r="BT5" s="114">
        <f>'Rent Roll Calc'!BL4</f>
        <v>1827</v>
      </c>
      <c r="BU5" s="114">
        <f>'Rent Roll Calc'!BM4</f>
        <v>1858</v>
      </c>
      <c r="BV5" s="114">
        <f>'Rent Roll Calc'!BN4</f>
        <v>1886</v>
      </c>
      <c r="BW5" s="114">
        <f>'Rent Roll Calc'!BO4</f>
        <v>1917</v>
      </c>
      <c r="BX5" s="114">
        <f>'Rent Roll Calc'!BP4</f>
        <v>1947</v>
      </c>
      <c r="BY5" s="114">
        <f>'Rent Roll Calc'!BQ4</f>
        <v>1978</v>
      </c>
      <c r="BZ5" s="114">
        <f>'Rent Roll Calc'!BR4</f>
        <v>2008</v>
      </c>
      <c r="CA5" s="114">
        <f>'Rent Roll Calc'!BS4</f>
        <v>2039</v>
      </c>
      <c r="CB5" s="114">
        <f>'Rent Roll Calc'!BT4</f>
        <v>2070</v>
      </c>
      <c r="CC5" s="114">
        <f>'Rent Roll Calc'!BU4</f>
        <v>2100</v>
      </c>
      <c r="CD5" s="114">
        <f>'Rent Roll Calc'!BV4</f>
        <v>2131</v>
      </c>
      <c r="CE5" s="114">
        <f>'Rent Roll Calc'!BW4</f>
        <v>2161</v>
      </c>
      <c r="CF5" s="114">
        <f>'Rent Roll Calc'!BX4</f>
        <v>2192</v>
      </c>
    </row>
    <row r="6" ht="14.25" customHeight="1">
      <c r="A6" s="16" t="s">
        <v>255</v>
      </c>
      <c r="D6" s="97"/>
      <c r="E6" s="97"/>
      <c r="F6" s="97"/>
      <c r="G6" s="97"/>
      <c r="H6" s="97"/>
      <c r="I6" s="97"/>
      <c r="J6" s="97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</row>
    <row r="7" ht="14.25" customHeight="1"/>
    <row r="8" ht="14.25" customHeight="1">
      <c r="A8" s="5" t="s">
        <v>256</v>
      </c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</row>
    <row r="9" ht="14.25" customHeight="1">
      <c r="A9" s="5" t="s">
        <v>257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</row>
    <row r="10" ht="14.25" customHeight="1">
      <c r="A10" s="16" t="s">
        <v>258</v>
      </c>
      <c r="B10" s="16"/>
      <c r="C10" s="16"/>
      <c r="D10" s="117"/>
      <c r="E10" s="117"/>
      <c r="F10" s="117"/>
      <c r="G10" s="117"/>
      <c r="H10" s="117"/>
      <c r="I10" s="117"/>
      <c r="J10" s="117"/>
      <c r="K10" s="116"/>
      <c r="L10" s="116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</row>
    <row r="11" ht="14.25" customHeight="1"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</row>
    <row r="12" ht="14.25" customHeight="1">
      <c r="A12" s="5" t="s">
        <v>259</v>
      </c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</row>
    <row r="13" ht="14.25" customHeight="1">
      <c r="A13" s="5" t="s">
        <v>260</v>
      </c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</row>
    <row r="14" ht="14.25" customHeight="1">
      <c r="A14" s="16" t="s">
        <v>261</v>
      </c>
      <c r="B14" s="16"/>
      <c r="C14" s="16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117"/>
      <c r="BS14" s="117"/>
      <c r="BT14" s="117"/>
      <c r="BU14" s="117"/>
      <c r="BV14" s="117"/>
      <c r="BW14" s="117"/>
      <c r="BX14" s="117"/>
      <c r="BY14" s="117"/>
      <c r="BZ14" s="117"/>
      <c r="CA14" s="117"/>
      <c r="CB14" s="117"/>
      <c r="CC14" s="117"/>
      <c r="CD14" s="117"/>
      <c r="CE14" s="117"/>
      <c r="CF14" s="117"/>
      <c r="CG14" s="16"/>
      <c r="CH14" s="16"/>
    </row>
    <row r="15" ht="14.25" customHeight="1"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</row>
    <row r="16" ht="14.25" customHeight="1">
      <c r="A16" s="5" t="s">
        <v>262</v>
      </c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</row>
    <row r="17" ht="14.25" customHeight="1">
      <c r="A17" s="5" t="s">
        <v>263</v>
      </c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</row>
    <row r="18" ht="14.25" customHeight="1">
      <c r="A18" s="5" t="s">
        <v>264</v>
      </c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</row>
    <row r="19" ht="14.25" customHeight="1">
      <c r="A19" s="16" t="s">
        <v>265</v>
      </c>
      <c r="B19" s="16"/>
      <c r="C19" s="16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7"/>
      <c r="CG19" s="16"/>
      <c r="CH19" s="16"/>
    </row>
    <row r="20" ht="14.25" customHeight="1"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</row>
    <row r="21" ht="14.25" customHeight="1">
      <c r="A21" s="5" t="s">
        <v>266</v>
      </c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</row>
    <row r="22" ht="14.25" customHeight="1">
      <c r="A22" s="5" t="s">
        <v>267</v>
      </c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</row>
    <row r="23" ht="14.25" customHeight="1">
      <c r="A23" s="5" t="s">
        <v>268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</row>
    <row r="24" ht="14.25" customHeight="1">
      <c r="A24" s="5" t="s">
        <v>269</v>
      </c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</row>
    <row r="25" ht="14.25" customHeight="1">
      <c r="A25" s="16" t="s">
        <v>270</v>
      </c>
      <c r="B25" s="16"/>
      <c r="C25" s="16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  <c r="BU25" s="117"/>
      <c r="BV25" s="117"/>
      <c r="BW25" s="117"/>
      <c r="BX25" s="117"/>
      <c r="BY25" s="117"/>
      <c r="BZ25" s="117"/>
      <c r="CA25" s="117"/>
      <c r="CB25" s="117"/>
      <c r="CC25" s="117"/>
      <c r="CD25" s="117"/>
      <c r="CE25" s="117"/>
      <c r="CF25" s="117"/>
    </row>
    <row r="26" ht="14.25" customHeight="1"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</row>
    <row r="27" ht="14.25" customHeight="1">
      <c r="A27" s="16" t="s">
        <v>271</v>
      </c>
      <c r="B27" s="16"/>
      <c r="C27" s="16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6"/>
      <c r="CH27" s="16"/>
    </row>
    <row r="28" ht="14.25" customHeight="1"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</row>
    <row r="29" ht="14.25" customHeight="1">
      <c r="A29" s="16" t="s">
        <v>272</v>
      </c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</row>
    <row r="30" ht="14.25" customHeight="1">
      <c r="A30" s="5" t="s">
        <v>273</v>
      </c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</row>
    <row r="31" ht="14.25" customHeight="1">
      <c r="A31" s="16" t="s">
        <v>274</v>
      </c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</row>
    <row r="32" ht="14.25" customHeight="1">
      <c r="A32" s="5" t="s">
        <v>275</v>
      </c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</row>
    <row r="33" ht="14.25" customHeight="1"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  <c r="CF33" s="116"/>
    </row>
    <row r="34" ht="14.25" customHeight="1">
      <c r="A34" s="16" t="s">
        <v>276</v>
      </c>
      <c r="D34" s="117"/>
      <c r="E34" s="117"/>
      <c r="F34" s="117"/>
      <c r="G34" s="117"/>
      <c r="H34" s="117"/>
      <c r="I34" s="117"/>
      <c r="J34" s="117"/>
      <c r="K34" s="116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</row>
    <row r="35" ht="14.25" customHeight="1">
      <c r="A35" s="108" t="s">
        <v>277</v>
      </c>
      <c r="B35" s="118" t="str">
        <f>XIRR(L34:CF34,$L$5:$CF$5)</f>
        <v>#NUM!</v>
      </c>
      <c r="C35" s="108"/>
      <c r="D35" s="119"/>
      <c r="E35" s="119"/>
      <c r="F35" s="119"/>
      <c r="G35" s="119"/>
      <c r="H35" s="119"/>
      <c r="I35" s="119"/>
      <c r="J35" s="119"/>
      <c r="K35" s="119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  <c r="CF35" s="116"/>
    </row>
    <row r="36" ht="14.25" customHeight="1">
      <c r="A36" s="108" t="s">
        <v>278</v>
      </c>
      <c r="B36"/>
      <c r="C36" s="108"/>
      <c r="D36" s="119"/>
      <c r="E36" s="119"/>
      <c r="F36" s="119"/>
      <c r="G36" s="119"/>
      <c r="H36" s="119"/>
      <c r="I36" s="119"/>
      <c r="J36" s="119"/>
      <c r="K36" s="119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</row>
    <row r="37" ht="14.25" customHeight="1">
      <c r="A37" s="108" t="s">
        <v>279</v>
      </c>
      <c r="B37"/>
      <c r="C37" s="108"/>
      <c r="D37" s="119"/>
      <c r="E37" s="119"/>
      <c r="F37" s="119"/>
      <c r="G37" s="119"/>
      <c r="H37" s="119"/>
      <c r="I37" s="119"/>
      <c r="J37" s="119"/>
      <c r="K37" s="119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</row>
    <row r="38" ht="14.25" customHeight="1">
      <c r="A38" s="108" t="s">
        <v>280</v>
      </c>
      <c r="B38" s="120" t="str">
        <f>B37/B36+1</f>
        <v>#DIV/0!</v>
      </c>
      <c r="C38" s="108"/>
      <c r="D38" s="119"/>
      <c r="E38" s="119"/>
      <c r="F38" s="119"/>
      <c r="G38" s="119"/>
      <c r="H38" s="119"/>
      <c r="I38" s="119"/>
      <c r="J38" s="119"/>
      <c r="K38" s="119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</row>
    <row r="39" ht="14.25" customHeight="1"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</row>
    <row r="40" ht="14.25" customHeight="1"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</row>
    <row r="41" ht="14.25" customHeight="1">
      <c r="A41" s="16" t="s">
        <v>281</v>
      </c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</row>
    <row r="42" ht="14.25" customHeight="1">
      <c r="A42" s="121" t="s">
        <v>282</v>
      </c>
      <c r="B42" s="99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</row>
    <row r="43" ht="14.25" customHeight="1">
      <c r="A43" s="16" t="s">
        <v>283</v>
      </c>
      <c r="B43" s="99"/>
      <c r="D43" s="117"/>
      <c r="E43" s="117"/>
      <c r="F43" s="117"/>
      <c r="G43" s="117"/>
      <c r="H43" s="117"/>
      <c r="I43" s="117"/>
      <c r="J43" s="117"/>
      <c r="K43" s="116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A43" s="117"/>
      <c r="CB43" s="117"/>
      <c r="CC43" s="117"/>
      <c r="CD43" s="117"/>
      <c r="CE43" s="117"/>
      <c r="CF43" s="117"/>
    </row>
    <row r="44" ht="14.25" customHeight="1">
      <c r="A44" s="122" t="s">
        <v>284</v>
      </c>
      <c r="B44" s="99" t="str">
        <f>'Leverage Options'!B10</f>
        <v/>
      </c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  <c r="CE44" s="116"/>
      <c r="CF44" s="116"/>
    </row>
    <row r="45" ht="14.25" customHeight="1">
      <c r="A45" s="122" t="s">
        <v>285</v>
      </c>
      <c r="B45" s="99" t="str">
        <f>'Leverage Options'!B9</f>
        <v/>
      </c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</row>
    <row r="46" ht="14.25" customHeight="1">
      <c r="A46" s="122" t="s">
        <v>286</v>
      </c>
      <c r="B46" s="99" t="s">
        <v>287</v>
      </c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</row>
    <row r="47" ht="14.25" customHeight="1">
      <c r="A47" s="122" t="s">
        <v>288</v>
      </c>
      <c r="B47" s="99" t="str">
        <f>'Leverage Options'!B13</f>
        <v/>
      </c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  <c r="CE47" s="116"/>
      <c r="CF47" s="116"/>
    </row>
    <row r="48" ht="14.25" customHeight="1">
      <c r="A48" s="16" t="s">
        <v>289</v>
      </c>
      <c r="B48" s="99"/>
      <c r="D48" s="117"/>
      <c r="E48" s="117"/>
      <c r="F48" s="117"/>
      <c r="G48" s="117"/>
      <c r="H48" s="117"/>
      <c r="I48" s="117"/>
      <c r="J48" s="117"/>
      <c r="K48" s="116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117"/>
      <c r="BT48" s="117"/>
      <c r="BU48" s="117"/>
      <c r="BV48" s="117"/>
      <c r="BW48" s="117"/>
      <c r="BX48" s="117"/>
      <c r="BY48" s="117"/>
      <c r="BZ48" s="117"/>
      <c r="CA48" s="117"/>
      <c r="CB48" s="117"/>
      <c r="CC48" s="117"/>
      <c r="CD48" s="117"/>
      <c r="CE48" s="117"/>
      <c r="CF48" s="117"/>
    </row>
    <row r="49" ht="14.25" customHeight="1">
      <c r="B49" s="99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</row>
    <row r="50" ht="14.25" customHeight="1">
      <c r="A50" s="5" t="s">
        <v>290</v>
      </c>
      <c r="B50" s="99" t="s">
        <v>287</v>
      </c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</row>
    <row r="51" ht="14.25" customHeight="1">
      <c r="A51" s="5" t="s">
        <v>291</v>
      </c>
      <c r="B51" s="123" t="str">
        <f>'Leverage Options'!B14</f>
        <v/>
      </c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</row>
    <row r="52" ht="14.25" customHeight="1">
      <c r="A52" s="5" t="s">
        <v>292</v>
      </c>
      <c r="B52" s="99" t="str">
        <f>'Leverage Options'!$B$20</f>
        <v/>
      </c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</row>
    <row r="53" ht="14.25" customHeight="1">
      <c r="B53" s="99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  <c r="BO53" s="116"/>
      <c r="BP53" s="116"/>
      <c r="BQ53" s="116"/>
      <c r="BR53" s="116"/>
      <c r="BS53" s="116"/>
      <c r="BT53" s="116"/>
      <c r="BU53" s="116"/>
      <c r="BV53" s="116"/>
      <c r="BW53" s="116"/>
      <c r="BX53" s="116"/>
      <c r="BY53" s="116"/>
      <c r="BZ53" s="116"/>
      <c r="CA53" s="116"/>
      <c r="CB53" s="116"/>
      <c r="CC53" s="116"/>
      <c r="CD53" s="116"/>
      <c r="CE53" s="116"/>
      <c r="CF53" s="116"/>
    </row>
    <row r="54" ht="14.25" customHeight="1">
      <c r="A54" s="16" t="s">
        <v>293</v>
      </c>
      <c r="B54" s="99"/>
      <c r="D54" s="117"/>
      <c r="E54" s="117"/>
      <c r="F54" s="117"/>
      <c r="G54" s="117"/>
      <c r="H54" s="117"/>
      <c r="I54" s="117"/>
      <c r="J54" s="117"/>
      <c r="K54" s="116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7"/>
      <c r="CD54" s="117"/>
      <c r="CE54" s="117"/>
      <c r="CF54" s="117"/>
    </row>
    <row r="55" ht="14.25" customHeight="1">
      <c r="A55" s="16"/>
      <c r="B55" s="99"/>
      <c r="D55" s="117"/>
      <c r="E55" s="117"/>
      <c r="F55" s="117"/>
      <c r="G55" s="117"/>
      <c r="H55" s="117"/>
      <c r="I55" s="117"/>
      <c r="J55" s="117"/>
      <c r="K55" s="116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7"/>
      <c r="CD55" s="117"/>
      <c r="CE55" s="117"/>
      <c r="CF55" s="117"/>
    </row>
    <row r="56" ht="14.25" customHeight="1">
      <c r="A56" s="16"/>
      <c r="B56" s="99"/>
      <c r="D56" s="117"/>
      <c r="E56" s="117"/>
      <c r="F56" s="117"/>
      <c r="G56" s="117"/>
      <c r="H56" s="117"/>
      <c r="I56" s="117"/>
      <c r="J56" s="117"/>
      <c r="K56" s="116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7"/>
      <c r="CD56" s="117"/>
      <c r="CE56" s="117"/>
      <c r="CF56" s="117"/>
    </row>
    <row r="57" ht="14.25" customHeight="1">
      <c r="B57" s="99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</row>
    <row r="58" ht="14.25" customHeight="1">
      <c r="A58" s="121" t="s">
        <v>294</v>
      </c>
      <c r="B58" s="99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</row>
    <row r="59" ht="14.25" customHeight="1">
      <c r="A59" s="16" t="s">
        <v>283</v>
      </c>
      <c r="B59" s="99"/>
      <c r="D59" s="117"/>
      <c r="E59" s="117"/>
      <c r="F59" s="117"/>
      <c r="G59" s="117"/>
      <c r="H59" s="117"/>
      <c r="I59" s="117"/>
      <c r="J59" s="117"/>
      <c r="K59" s="116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7"/>
      <c r="CC59" s="117"/>
      <c r="CD59" s="117"/>
      <c r="CE59" s="117"/>
      <c r="CF59" s="117"/>
    </row>
    <row r="60" ht="14.25" customHeight="1">
      <c r="A60" s="122" t="s">
        <v>284</v>
      </c>
      <c r="B60" s="116">
        <f>MIN('Leverage Options'!B27,'Leverage Options'!B28)</f>
        <v>0</v>
      </c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  <c r="CE60" s="116"/>
      <c r="CF60" s="116"/>
    </row>
    <row r="61" ht="14.25" customHeight="1">
      <c r="A61" s="122" t="s">
        <v>286</v>
      </c>
      <c r="B61" s="124" t="str">
        <f>'Leverage Options'!B16</f>
        <v/>
      </c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/>
      <c r="BK61" s="116"/>
      <c r="BL61" s="116"/>
      <c r="BM61" s="116"/>
      <c r="BN61" s="116"/>
      <c r="BO61" s="116"/>
      <c r="BP61" s="116"/>
      <c r="BQ61" s="116"/>
      <c r="BR61" s="116"/>
      <c r="BS61" s="116"/>
      <c r="BT61" s="116"/>
      <c r="BU61" s="116"/>
      <c r="BV61" s="116"/>
      <c r="BW61" s="116"/>
      <c r="BX61" s="116"/>
      <c r="BY61" s="116"/>
      <c r="BZ61" s="116"/>
      <c r="CA61" s="116"/>
      <c r="CB61" s="116"/>
      <c r="CC61" s="116"/>
      <c r="CD61" s="116"/>
      <c r="CE61" s="116"/>
      <c r="CF61" s="116"/>
      <c r="CH61" s="63"/>
    </row>
    <row r="62" ht="14.25" customHeight="1">
      <c r="A62" s="122" t="s">
        <v>288</v>
      </c>
      <c r="B62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</row>
    <row r="63" ht="14.25" customHeight="1">
      <c r="A63" s="16" t="s">
        <v>289</v>
      </c>
      <c r="B63" s="99"/>
      <c r="D63" s="117"/>
      <c r="E63" s="117"/>
      <c r="F63" s="117"/>
      <c r="G63" s="117"/>
      <c r="H63" s="117"/>
      <c r="I63" s="117"/>
      <c r="J63" s="117"/>
      <c r="K63" s="116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17"/>
      <c r="BF63" s="11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117"/>
      <c r="BS63" s="117"/>
      <c r="BT63" s="117"/>
      <c r="BU63" s="117"/>
      <c r="BV63" s="117"/>
      <c r="BW63" s="117"/>
      <c r="BX63" s="117"/>
      <c r="BY63" s="117"/>
      <c r="BZ63" s="117"/>
      <c r="CA63" s="117"/>
      <c r="CB63" s="117"/>
      <c r="CC63" s="117"/>
      <c r="CD63" s="117"/>
      <c r="CE63" s="117"/>
      <c r="CF63" s="117"/>
    </row>
    <row r="64" ht="14.25" customHeight="1">
      <c r="B64" s="99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</row>
    <row r="65" ht="14.25" customHeight="1">
      <c r="A65" s="5" t="s">
        <v>290</v>
      </c>
      <c r="B65" s="99" t="str">
        <f>'Leverage Options'!B9</f>
        <v/>
      </c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</row>
    <row r="66" ht="14.25" customHeight="1">
      <c r="B66" s="99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</row>
    <row r="67" ht="14.25" customHeight="1">
      <c r="A67" s="16" t="s">
        <v>295</v>
      </c>
      <c r="B67" s="99"/>
      <c r="D67" s="117"/>
      <c r="E67" s="117"/>
      <c r="F67" s="117"/>
      <c r="G67" s="117"/>
      <c r="H67" s="117"/>
      <c r="I67" s="117"/>
      <c r="J67" s="117"/>
      <c r="K67" s="116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7"/>
      <c r="CC67" s="117"/>
      <c r="CD67" s="117"/>
      <c r="CE67" s="117"/>
      <c r="CF67" s="117"/>
    </row>
    <row r="68" ht="14.25" customHeight="1"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</row>
    <row r="69" ht="14.25" customHeight="1">
      <c r="A69" s="16" t="s">
        <v>296</v>
      </c>
      <c r="D69" s="117"/>
      <c r="E69" s="117"/>
      <c r="F69" s="117"/>
      <c r="G69" s="117"/>
      <c r="H69" s="117"/>
      <c r="I69" s="117"/>
      <c r="J69" s="117"/>
      <c r="K69" s="116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17"/>
      <c r="BG69" s="11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  <c r="BR69" s="117"/>
      <c r="BS69" s="117"/>
      <c r="BT69" s="117"/>
      <c r="BU69" s="117"/>
      <c r="BV69" s="117"/>
      <c r="BW69" s="117"/>
      <c r="BX69" s="117"/>
      <c r="BY69" s="117"/>
      <c r="BZ69" s="117"/>
      <c r="CA69" s="117"/>
      <c r="CB69" s="117"/>
      <c r="CC69" s="117"/>
      <c r="CD69" s="117"/>
      <c r="CE69" s="117"/>
      <c r="CF69" s="117"/>
    </row>
    <row r="70" ht="14.25" customHeight="1"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</row>
    <row r="71" ht="14.25" customHeight="1">
      <c r="A71" s="16" t="s">
        <v>297</v>
      </c>
      <c r="D71" s="117"/>
      <c r="E71" s="117"/>
      <c r="F71" s="117"/>
      <c r="G71" s="117"/>
      <c r="H71" s="117"/>
      <c r="I71" s="117"/>
      <c r="J71" s="117"/>
      <c r="K71" s="116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  <c r="BG71" s="117"/>
      <c r="BH71" s="117"/>
      <c r="BI71" s="117"/>
      <c r="BJ71" s="117"/>
      <c r="BK71" s="117"/>
      <c r="BL71" s="117"/>
      <c r="BM71" s="117"/>
      <c r="BN71" s="117"/>
      <c r="BO71" s="117"/>
      <c r="BP71" s="117"/>
      <c r="BQ71" s="117"/>
      <c r="BR71" s="117"/>
      <c r="BS71" s="117"/>
      <c r="BT71" s="117"/>
      <c r="BU71" s="117"/>
      <c r="BV71" s="117"/>
      <c r="BW71" s="117"/>
      <c r="BX71" s="117"/>
      <c r="BY71" s="117"/>
      <c r="BZ71" s="117"/>
      <c r="CA71" s="117"/>
      <c r="CB71" s="117"/>
      <c r="CC71" s="117"/>
      <c r="CD71" s="117"/>
      <c r="CE71" s="117"/>
      <c r="CF71" s="117"/>
    </row>
    <row r="72" ht="14.25" customHeight="1">
      <c r="A72" s="108" t="s">
        <v>277</v>
      </c>
      <c r="B72" s="125" t="str">
        <f>XIRR(L71:CF71,$L$5:$CF$5)</f>
        <v>#NUM!</v>
      </c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</row>
    <row r="73" ht="14.25" customHeight="1">
      <c r="A73" s="108" t="s">
        <v>278</v>
      </c>
      <c r="B73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</row>
    <row r="74" ht="14.25" customHeight="1">
      <c r="A74" s="108" t="s">
        <v>279</v>
      </c>
      <c r="B74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</row>
    <row r="75" ht="14.25" customHeight="1">
      <c r="A75" s="108" t="s">
        <v>280</v>
      </c>
      <c r="B75" s="120" t="str">
        <f>B74/B73+1</f>
        <v>#DIV/0!</v>
      </c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  <c r="CE75" s="116"/>
      <c r="CF75" s="116"/>
    </row>
    <row r="76" ht="14.25" customHeight="1"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16"/>
    </row>
    <row r="77" ht="14.25" customHeight="1"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  <c r="CE77" s="116"/>
      <c r="CF77" s="116"/>
    </row>
    <row r="78" ht="14.25" customHeight="1"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16"/>
    </row>
    <row r="79" ht="14.25" customHeight="1"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16"/>
    </row>
    <row r="80" ht="14.25" customHeight="1"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116"/>
      <c r="CE80" s="116"/>
      <c r="CF80" s="116"/>
    </row>
    <row r="81" ht="14.25" customHeight="1"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</row>
    <row r="82" ht="14.25" customHeight="1">
      <c r="A82" s="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</row>
    <row r="83" ht="14.25" customHeight="1"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16"/>
    </row>
    <row r="84" ht="14.25" customHeight="1"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  <c r="CB84" s="116"/>
      <c r="CC84" s="116"/>
      <c r="CD84" s="116"/>
      <c r="CE84" s="116"/>
      <c r="CF84" s="116"/>
    </row>
    <row r="85" ht="14.25" customHeight="1"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  <c r="CE85" s="116"/>
      <c r="CF85" s="116"/>
    </row>
    <row r="86" ht="14.25" customHeight="1"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  <c r="CE86" s="116"/>
      <c r="CF86" s="116"/>
    </row>
    <row r="87" ht="14.25" customHeight="1"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/>
      <c r="BK87" s="116"/>
      <c r="BL87" s="116"/>
      <c r="BM87" s="116"/>
      <c r="BN87" s="116"/>
      <c r="BO87" s="116"/>
      <c r="BP87" s="116"/>
      <c r="BQ87" s="116"/>
      <c r="BR87" s="116"/>
      <c r="BS87" s="116"/>
      <c r="BT87" s="116"/>
      <c r="BU87" s="116"/>
      <c r="BV87" s="116"/>
      <c r="BW87" s="116"/>
      <c r="BX87" s="116"/>
      <c r="BY87" s="116"/>
      <c r="BZ87" s="116"/>
      <c r="CA87" s="116"/>
      <c r="CB87" s="116"/>
      <c r="CC87" s="116"/>
      <c r="CD87" s="116"/>
      <c r="CE87" s="116"/>
      <c r="CF87" s="116"/>
    </row>
    <row r="88" ht="14.25" customHeight="1"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</row>
    <row r="89" ht="14.25" customHeight="1"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  <c r="AU89" s="116"/>
      <c r="AV89" s="116"/>
      <c r="AW89" s="116"/>
      <c r="AX89" s="116"/>
      <c r="AY89" s="116"/>
      <c r="AZ89" s="116"/>
      <c r="BA89" s="116"/>
      <c r="BB89" s="116"/>
      <c r="BC89" s="116"/>
      <c r="BD89" s="116"/>
      <c r="BE89" s="116"/>
      <c r="BF89" s="116"/>
      <c r="BG89" s="116"/>
      <c r="BH89" s="116"/>
      <c r="BI89" s="116"/>
      <c r="BJ89" s="116"/>
      <c r="BK89" s="116"/>
      <c r="BL89" s="116"/>
      <c r="BM89" s="116"/>
      <c r="BN89" s="116"/>
      <c r="BO89" s="116"/>
      <c r="BP89" s="116"/>
      <c r="BQ89" s="116"/>
      <c r="BR89" s="116"/>
      <c r="BS89" s="116"/>
      <c r="BT89" s="116"/>
      <c r="BU89" s="116"/>
      <c r="BV89" s="116"/>
      <c r="BW89" s="116"/>
      <c r="BX89" s="116"/>
      <c r="BY89" s="116"/>
      <c r="BZ89" s="116"/>
      <c r="CA89" s="116"/>
      <c r="CB89" s="116"/>
      <c r="CC89" s="116"/>
      <c r="CD89" s="116"/>
      <c r="CE89" s="116"/>
      <c r="CF89" s="116"/>
    </row>
    <row r="90" ht="14.25" customHeight="1"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  <c r="AU90" s="116"/>
      <c r="AV90" s="116"/>
      <c r="AW90" s="116"/>
      <c r="AX90" s="116"/>
      <c r="AY90" s="116"/>
      <c r="AZ90" s="116"/>
      <c r="BA90" s="116"/>
      <c r="BB90" s="116"/>
      <c r="BC90" s="116"/>
      <c r="BD90" s="116"/>
      <c r="BE90" s="116"/>
      <c r="BF90" s="116"/>
      <c r="BG90" s="116"/>
      <c r="BH90" s="116"/>
      <c r="BI90" s="116"/>
      <c r="BJ90" s="116"/>
      <c r="BK90" s="116"/>
      <c r="BL90" s="116"/>
      <c r="BM90" s="116"/>
      <c r="BN90" s="116"/>
      <c r="BO90" s="116"/>
      <c r="BP90" s="116"/>
      <c r="BQ90" s="116"/>
      <c r="BR90" s="116"/>
      <c r="BS90" s="116"/>
      <c r="BT90" s="116"/>
      <c r="BU90" s="116"/>
      <c r="BV90" s="116"/>
      <c r="BW90" s="116"/>
      <c r="BX90" s="116"/>
      <c r="BY90" s="116"/>
      <c r="BZ90" s="116"/>
      <c r="CA90" s="116"/>
      <c r="CB90" s="116"/>
      <c r="CC90" s="116"/>
      <c r="CD90" s="116"/>
      <c r="CE90" s="116"/>
      <c r="CF90" s="116"/>
    </row>
    <row r="91" ht="14.25" customHeight="1"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  <c r="AU91" s="116"/>
      <c r="AV91" s="116"/>
      <c r="AW91" s="116"/>
      <c r="AX91" s="116"/>
      <c r="AY91" s="116"/>
      <c r="AZ91" s="116"/>
      <c r="BA91" s="116"/>
      <c r="BB91" s="116"/>
      <c r="BC91" s="116"/>
      <c r="BD91" s="116"/>
      <c r="BE91" s="116"/>
      <c r="BF91" s="116"/>
      <c r="BG91" s="116"/>
      <c r="BH91" s="116"/>
      <c r="BI91" s="116"/>
      <c r="BJ91" s="116"/>
      <c r="BK91" s="116"/>
      <c r="BL91" s="116"/>
      <c r="BM91" s="116"/>
      <c r="BN91" s="116"/>
      <c r="BO91" s="116"/>
      <c r="BP91" s="116"/>
      <c r="BQ91" s="116"/>
      <c r="BR91" s="116"/>
      <c r="BS91" s="116"/>
      <c r="BT91" s="116"/>
      <c r="BU91" s="116"/>
      <c r="BV91" s="116"/>
      <c r="BW91" s="116"/>
      <c r="BX91" s="116"/>
      <c r="BY91" s="116"/>
      <c r="BZ91" s="116"/>
      <c r="CA91" s="116"/>
      <c r="CB91" s="116"/>
      <c r="CC91" s="116"/>
      <c r="CD91" s="116"/>
      <c r="CE91" s="116"/>
      <c r="CF91" s="116"/>
    </row>
    <row r="92" ht="14.25" customHeight="1"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116"/>
      <c r="AV92" s="116"/>
      <c r="AW92" s="116"/>
      <c r="AX92" s="116"/>
      <c r="AY92" s="116"/>
      <c r="AZ92" s="116"/>
      <c r="BA92" s="116"/>
      <c r="BB92" s="116"/>
      <c r="BC92" s="116"/>
      <c r="BD92" s="116"/>
      <c r="BE92" s="116"/>
      <c r="BF92" s="116"/>
      <c r="BG92" s="116"/>
      <c r="BH92" s="116"/>
      <c r="BI92" s="116"/>
      <c r="BJ92" s="116"/>
      <c r="BK92" s="116"/>
      <c r="BL92" s="116"/>
      <c r="BM92" s="116"/>
      <c r="BN92" s="116"/>
      <c r="BO92" s="116"/>
      <c r="BP92" s="116"/>
      <c r="BQ92" s="116"/>
      <c r="BR92" s="116"/>
      <c r="BS92" s="116"/>
      <c r="BT92" s="116"/>
      <c r="BU92" s="116"/>
      <c r="BV92" s="116"/>
      <c r="BW92" s="116"/>
      <c r="BX92" s="116"/>
      <c r="BY92" s="116"/>
      <c r="BZ92" s="116"/>
      <c r="CA92" s="116"/>
      <c r="CB92" s="116"/>
      <c r="CC92" s="116"/>
      <c r="CD92" s="116"/>
      <c r="CE92" s="116"/>
      <c r="CF92" s="116"/>
    </row>
    <row r="93" ht="14.25" customHeight="1"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16"/>
      <c r="BD93" s="116"/>
      <c r="BE93" s="116"/>
      <c r="BF93" s="116"/>
      <c r="BG93" s="116"/>
      <c r="BH93" s="116"/>
      <c r="BI93" s="116"/>
      <c r="BJ93" s="116"/>
      <c r="BK93" s="116"/>
      <c r="BL93" s="116"/>
      <c r="BM93" s="116"/>
      <c r="BN93" s="116"/>
      <c r="BO93" s="116"/>
      <c r="BP93" s="116"/>
      <c r="BQ93" s="116"/>
      <c r="BR93" s="116"/>
      <c r="BS93" s="116"/>
      <c r="BT93" s="116"/>
      <c r="BU93" s="116"/>
      <c r="BV93" s="116"/>
      <c r="BW93" s="116"/>
      <c r="BX93" s="116"/>
      <c r="BY93" s="116"/>
      <c r="BZ93" s="116"/>
      <c r="CA93" s="116"/>
      <c r="CB93" s="116"/>
      <c r="CC93" s="116"/>
      <c r="CD93" s="116"/>
      <c r="CE93" s="116"/>
      <c r="CF93" s="116"/>
    </row>
    <row r="94" ht="14.25" customHeight="1"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6"/>
      <c r="BL94" s="116"/>
      <c r="BM94" s="116"/>
      <c r="BN94" s="116"/>
      <c r="BO94" s="116"/>
      <c r="BP94" s="116"/>
      <c r="BQ94" s="116"/>
      <c r="BR94" s="116"/>
      <c r="BS94" s="116"/>
      <c r="BT94" s="116"/>
      <c r="BU94" s="116"/>
      <c r="BV94" s="116"/>
      <c r="BW94" s="116"/>
      <c r="BX94" s="116"/>
      <c r="BY94" s="116"/>
      <c r="BZ94" s="116"/>
      <c r="CA94" s="116"/>
      <c r="CB94" s="116"/>
      <c r="CC94" s="116"/>
      <c r="CD94" s="116"/>
      <c r="CE94" s="116"/>
      <c r="CF94" s="116"/>
    </row>
    <row r="95" ht="14.25" customHeight="1"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16"/>
      <c r="AX95" s="116"/>
      <c r="AY95" s="116"/>
      <c r="AZ95" s="116"/>
      <c r="BA95" s="116"/>
      <c r="BB95" s="116"/>
      <c r="BC95" s="116"/>
      <c r="BD95" s="116"/>
      <c r="BE95" s="116"/>
      <c r="BF95" s="116"/>
      <c r="BG95" s="116"/>
      <c r="BH95" s="116"/>
      <c r="BI95" s="116"/>
      <c r="BJ95" s="116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  <c r="CE95" s="116"/>
      <c r="CF95" s="116"/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20.0"/>
    <col customWidth="1" min="3" max="3" width="10.0"/>
    <col customWidth="1" min="4" max="4" width="14.0"/>
    <col customWidth="1" min="5" max="22" width="7.71"/>
    <col customWidth="1" min="23" max="26" width="8.71"/>
  </cols>
  <sheetData>
    <row r="1" ht="14.25" customHeight="1">
      <c r="A1" s="91" t="s">
        <v>298</v>
      </c>
    </row>
    <row r="2" ht="14.25" customHeight="1">
      <c r="A2" s="126" t="s">
        <v>299</v>
      </c>
    </row>
    <row r="3" ht="14.25" customHeight="1">
      <c r="A3" s="126" t="s">
        <v>300</v>
      </c>
    </row>
    <row r="4" ht="14.25" customHeight="1">
      <c r="A4" s="126" t="s">
        <v>301</v>
      </c>
    </row>
    <row r="5" ht="14.25" customHeight="1"/>
    <row r="6" ht="14.25" customHeight="1">
      <c r="A6" s="127" t="s">
        <v>302</v>
      </c>
      <c r="B6" s="127" t="s">
        <v>303</v>
      </c>
      <c r="C6" s="127" t="s">
        <v>304</v>
      </c>
      <c r="D6" s="127" t="s">
        <v>305</v>
      </c>
      <c r="E6" s="128">
        <v>1.0</v>
      </c>
      <c r="F6" s="128">
        <v>2.0</v>
      </c>
      <c r="G6" s="128">
        <v>3.0</v>
      </c>
      <c r="H6" s="128">
        <v>4.0</v>
      </c>
      <c r="I6" s="128">
        <v>5.0</v>
      </c>
      <c r="J6" s="128">
        <v>6.0</v>
      </c>
      <c r="K6" s="128">
        <v>7.0</v>
      </c>
      <c r="L6" s="128">
        <v>8.0</v>
      </c>
      <c r="M6" s="128">
        <v>9.0</v>
      </c>
      <c r="N6" s="128">
        <v>10.0</v>
      </c>
      <c r="O6" s="128">
        <v>11.0</v>
      </c>
      <c r="P6" s="128">
        <v>12.0</v>
      </c>
      <c r="Q6" s="128">
        <v>13.0</v>
      </c>
      <c r="R6" s="128">
        <v>14.0</v>
      </c>
      <c r="S6" s="128">
        <v>15.0</v>
      </c>
      <c r="T6" s="128">
        <v>16.0</v>
      </c>
      <c r="U6" s="128">
        <v>17.0</v>
      </c>
      <c r="V6" s="128">
        <v>18.0</v>
      </c>
    </row>
    <row r="7" ht="14.25" customHeight="1">
      <c r="A7" s="92" t="s">
        <v>306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</row>
    <row r="8" ht="14.25" customHeight="1">
      <c r="A8" s="104" t="s">
        <v>307</v>
      </c>
      <c r="B8" s="129"/>
      <c r="C8" s="130"/>
      <c r="D8" s="131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X8" s="132"/>
    </row>
    <row r="9" ht="14.25" customHeight="1">
      <c r="A9" s="104" t="s">
        <v>308</v>
      </c>
      <c r="B9" s="129"/>
      <c r="C9" s="130"/>
      <c r="D9" s="131"/>
      <c r="E9" s="133"/>
      <c r="F9" s="134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X9" s="132"/>
    </row>
    <row r="10" ht="14.25" customHeight="1">
      <c r="A10" s="104" t="s">
        <v>309</v>
      </c>
      <c r="B10" s="129"/>
      <c r="C10" s="130"/>
      <c r="D10" s="131"/>
      <c r="E10" s="133"/>
      <c r="F10" s="133"/>
      <c r="G10" s="134"/>
      <c r="H10" s="134"/>
      <c r="I10" s="134"/>
      <c r="J10" s="134"/>
      <c r="K10" s="134"/>
      <c r="L10" s="134"/>
      <c r="M10" s="134"/>
      <c r="N10" s="134"/>
      <c r="O10" s="133"/>
      <c r="P10" s="133"/>
      <c r="Q10" s="133"/>
      <c r="R10" s="133"/>
      <c r="S10" s="133"/>
      <c r="T10" s="133"/>
      <c r="U10" s="133"/>
      <c r="V10" s="133"/>
      <c r="X10" s="132"/>
    </row>
    <row r="11" ht="14.25" customHeight="1">
      <c r="A11" s="104" t="s">
        <v>310</v>
      </c>
      <c r="B11" s="129"/>
      <c r="C11" s="130"/>
      <c r="D11" s="131"/>
      <c r="E11" s="133"/>
      <c r="F11" s="133"/>
      <c r="G11" s="134"/>
      <c r="H11" s="134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X11" s="132"/>
    </row>
    <row r="12" ht="14.25" customHeight="1">
      <c r="A12" s="104" t="s">
        <v>311</v>
      </c>
      <c r="B12" s="129"/>
      <c r="C12" s="130"/>
      <c r="D12" s="131"/>
      <c r="E12" s="133"/>
      <c r="F12" s="133"/>
      <c r="G12" s="133"/>
      <c r="H12" s="134"/>
      <c r="I12" s="134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X12" s="132"/>
    </row>
    <row r="13" ht="14.25" customHeight="1">
      <c r="A13" s="104" t="s">
        <v>312</v>
      </c>
      <c r="B13" s="129"/>
      <c r="C13" s="130"/>
      <c r="D13" s="131"/>
      <c r="E13" s="133"/>
      <c r="F13" s="133"/>
      <c r="G13" s="133"/>
      <c r="H13" s="133"/>
      <c r="I13" s="134"/>
      <c r="J13" s="134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X13" s="132"/>
    </row>
    <row r="14" ht="14.25" customHeight="1">
      <c r="A14" s="104" t="s">
        <v>313</v>
      </c>
      <c r="B14" s="129"/>
      <c r="C14" s="130"/>
      <c r="D14" s="131"/>
      <c r="E14" s="133"/>
      <c r="F14" s="133"/>
      <c r="G14" s="133"/>
      <c r="H14" s="133"/>
      <c r="I14" s="133"/>
      <c r="J14" s="134"/>
      <c r="K14" s="134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X14" s="132"/>
    </row>
    <row r="15" ht="14.25" customHeight="1">
      <c r="A15" s="104" t="s">
        <v>314</v>
      </c>
      <c r="B15" s="129"/>
      <c r="C15" s="130"/>
      <c r="D15" s="131"/>
      <c r="E15" s="133"/>
      <c r="F15" s="133"/>
      <c r="G15" s="133"/>
      <c r="H15" s="133"/>
      <c r="I15" s="133"/>
      <c r="J15" s="133"/>
      <c r="K15" s="134"/>
      <c r="L15" s="134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X15" s="132"/>
    </row>
    <row r="16" ht="14.25" customHeight="1">
      <c r="A16" s="104" t="s">
        <v>315</v>
      </c>
      <c r="B16" s="129"/>
      <c r="C16" s="130"/>
      <c r="D16" s="131"/>
      <c r="E16" s="133"/>
      <c r="F16" s="133"/>
      <c r="G16" s="134"/>
      <c r="H16" s="134"/>
      <c r="I16" s="134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X16" s="132"/>
    </row>
    <row r="17" ht="14.25" customHeight="1">
      <c r="A17" s="104" t="s">
        <v>316</v>
      </c>
      <c r="B17" s="129"/>
      <c r="C17" s="130"/>
      <c r="D17" s="131"/>
      <c r="E17" s="133"/>
      <c r="F17" s="133"/>
      <c r="G17" s="133"/>
      <c r="H17" s="133"/>
      <c r="I17" s="134"/>
      <c r="J17" s="134"/>
      <c r="K17" s="134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X17" s="132"/>
    </row>
    <row r="18" ht="14.25" customHeight="1">
      <c r="A18" s="104" t="s">
        <v>317</v>
      </c>
      <c r="B18" s="129"/>
      <c r="C18" s="130"/>
      <c r="D18" s="131"/>
      <c r="E18" s="133"/>
      <c r="F18" s="133"/>
      <c r="G18" s="133"/>
      <c r="H18" s="133"/>
      <c r="I18" s="133"/>
      <c r="J18" s="133"/>
      <c r="K18" s="134"/>
      <c r="L18" s="134"/>
      <c r="M18" s="134"/>
      <c r="N18" s="133"/>
      <c r="O18" s="133"/>
      <c r="P18" s="133"/>
      <c r="Q18" s="133"/>
      <c r="R18" s="133"/>
      <c r="S18" s="133"/>
      <c r="T18" s="133"/>
      <c r="U18" s="133"/>
      <c r="V18" s="133"/>
      <c r="X18" s="132"/>
    </row>
    <row r="19" ht="14.25" customHeight="1">
      <c r="A19" s="104" t="s">
        <v>318</v>
      </c>
      <c r="B19" s="129"/>
      <c r="C19" s="130"/>
      <c r="D19" s="131"/>
      <c r="E19" s="133"/>
      <c r="F19" s="133"/>
      <c r="G19" s="133"/>
      <c r="H19" s="133"/>
      <c r="I19" s="133"/>
      <c r="J19" s="133"/>
      <c r="K19" s="133"/>
      <c r="L19" s="133"/>
      <c r="M19" s="134"/>
      <c r="N19" s="134"/>
      <c r="O19" s="134"/>
      <c r="P19" s="133"/>
      <c r="Q19" s="133"/>
      <c r="R19" s="133"/>
      <c r="S19" s="133"/>
      <c r="T19" s="133"/>
      <c r="U19" s="133"/>
      <c r="V19" s="133"/>
      <c r="X19" s="132"/>
    </row>
    <row r="20" ht="14.25" customHeight="1">
      <c r="A20" s="104" t="s">
        <v>319</v>
      </c>
      <c r="B20" s="129"/>
      <c r="C20" s="130"/>
      <c r="D20" s="131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4"/>
      <c r="P20" s="134"/>
      <c r="Q20" s="134"/>
      <c r="R20" s="133"/>
      <c r="S20" s="133"/>
      <c r="T20" s="133"/>
      <c r="U20" s="133"/>
      <c r="V20" s="133"/>
      <c r="X20" s="132"/>
    </row>
    <row r="21" ht="14.25" customHeight="1">
      <c r="A21" s="104" t="s">
        <v>320</v>
      </c>
      <c r="B21" s="129"/>
      <c r="C21" s="130"/>
      <c r="D21" s="131"/>
      <c r="E21" s="133"/>
      <c r="F21" s="133"/>
      <c r="G21" s="133"/>
      <c r="H21" s="133"/>
      <c r="I21" s="133"/>
      <c r="J21" s="133"/>
      <c r="K21" s="133"/>
      <c r="L21" s="133"/>
      <c r="M21" s="133"/>
      <c r="N21" s="134"/>
      <c r="O21" s="134"/>
      <c r="P21" s="133"/>
      <c r="Q21" s="133"/>
      <c r="R21" s="133"/>
      <c r="S21" s="133"/>
      <c r="T21" s="133"/>
      <c r="U21" s="133"/>
      <c r="V21" s="133"/>
      <c r="X21" s="132"/>
    </row>
    <row r="22" ht="14.25" customHeight="1">
      <c r="A22" s="104" t="s">
        <v>321</v>
      </c>
      <c r="B22" s="129"/>
      <c r="C22" s="130"/>
      <c r="D22" s="131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3"/>
      <c r="S22" s="133"/>
      <c r="T22" s="133"/>
      <c r="U22" s="133"/>
      <c r="V22" s="133"/>
      <c r="X22" s="132"/>
    </row>
    <row r="23" ht="14.25" customHeight="1">
      <c r="A23" s="104" t="s">
        <v>322</v>
      </c>
      <c r="B23" s="129"/>
      <c r="C23" s="130"/>
      <c r="D23" s="131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2"/>
      <c r="S23" s="132"/>
      <c r="T23" s="133"/>
      <c r="U23" s="133"/>
      <c r="V23" s="133"/>
      <c r="X23" s="132"/>
    </row>
    <row r="24" ht="14.25" customHeight="1">
      <c r="C24" s="66"/>
      <c r="D24" s="135"/>
    </row>
    <row r="25" ht="14.25" customHeight="1">
      <c r="A25" s="92" t="s">
        <v>323</v>
      </c>
      <c r="B25" s="92"/>
      <c r="C25" s="136"/>
      <c r="D25" s="137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</row>
    <row r="26" ht="14.25" customHeight="1">
      <c r="A26" s="94" t="s">
        <v>324</v>
      </c>
      <c r="B26" s="129"/>
      <c r="C26" s="130"/>
      <c r="D26" s="131"/>
      <c r="E26" s="133"/>
      <c r="F26" s="133"/>
      <c r="G26" s="133"/>
      <c r="H26" s="138"/>
      <c r="I26" s="138"/>
      <c r="J26" s="138"/>
      <c r="K26" s="138"/>
      <c r="L26" s="138"/>
      <c r="M26" s="138"/>
      <c r="N26" s="138"/>
      <c r="O26" s="138"/>
      <c r="P26" s="133"/>
      <c r="Q26" s="133"/>
      <c r="R26" s="133"/>
      <c r="S26" s="133"/>
      <c r="T26" s="133"/>
      <c r="U26" s="133"/>
      <c r="V26" s="133"/>
      <c r="X26" s="132"/>
    </row>
    <row r="27" ht="14.25" customHeight="1">
      <c r="A27" s="94" t="s">
        <v>325</v>
      </c>
      <c r="B27" s="129"/>
      <c r="C27" s="130"/>
      <c r="D27" s="131"/>
      <c r="E27" s="133"/>
      <c r="F27" s="133"/>
      <c r="G27" s="133"/>
      <c r="H27" s="138"/>
      <c r="I27" s="138"/>
      <c r="J27" s="138"/>
      <c r="K27" s="138"/>
      <c r="L27" s="138"/>
      <c r="M27" s="138"/>
      <c r="N27" s="138"/>
      <c r="O27" s="138"/>
      <c r="P27" s="133"/>
      <c r="Q27" s="133"/>
      <c r="R27" s="133"/>
      <c r="S27" s="133"/>
      <c r="T27" s="133"/>
      <c r="U27" s="133"/>
      <c r="V27" s="133"/>
      <c r="X27" s="132"/>
    </row>
    <row r="28" ht="14.25" customHeight="1">
      <c r="A28" s="94" t="s">
        <v>326</v>
      </c>
      <c r="B28" s="129"/>
      <c r="C28" s="130"/>
      <c r="D28" s="131"/>
      <c r="E28" s="133"/>
      <c r="F28" s="133"/>
      <c r="G28" s="133"/>
      <c r="H28" s="133"/>
      <c r="I28" s="133"/>
      <c r="J28" s="138"/>
      <c r="K28" s="138"/>
      <c r="L28" s="138"/>
      <c r="M28" s="138"/>
      <c r="N28" s="138"/>
      <c r="O28" s="138"/>
      <c r="P28" s="138"/>
      <c r="Q28" s="138"/>
      <c r="R28" s="133"/>
      <c r="S28" s="133"/>
      <c r="T28" s="133"/>
      <c r="U28" s="133"/>
      <c r="V28" s="133"/>
      <c r="X28" s="132"/>
    </row>
    <row r="29" ht="14.25" customHeight="1">
      <c r="A29" s="94" t="s">
        <v>327</v>
      </c>
      <c r="B29" s="129"/>
      <c r="C29" s="130"/>
      <c r="D29" s="131"/>
      <c r="E29" s="133"/>
      <c r="F29" s="133"/>
      <c r="G29" s="133"/>
      <c r="H29" s="133"/>
      <c r="I29" s="133"/>
      <c r="J29" s="138"/>
      <c r="K29" s="138"/>
      <c r="L29" s="138"/>
      <c r="M29" s="138"/>
      <c r="N29" s="138"/>
      <c r="O29" s="138"/>
      <c r="P29" s="138"/>
      <c r="Q29" s="138"/>
      <c r="R29" s="133"/>
      <c r="S29" s="133"/>
      <c r="T29" s="133"/>
      <c r="U29" s="133"/>
      <c r="V29" s="133"/>
      <c r="X29" s="132"/>
    </row>
    <row r="30" ht="14.25" customHeight="1">
      <c r="A30" s="94" t="s">
        <v>328</v>
      </c>
      <c r="B30" s="129"/>
      <c r="C30" s="130"/>
      <c r="D30" s="131"/>
      <c r="E30" s="133"/>
      <c r="F30" s="133"/>
      <c r="G30" s="133"/>
      <c r="H30" s="133"/>
      <c r="I30" s="133"/>
      <c r="J30" s="133"/>
      <c r="K30" s="133"/>
      <c r="L30" s="138"/>
      <c r="M30" s="138"/>
      <c r="N30" s="138"/>
      <c r="O30" s="138"/>
      <c r="P30" s="138"/>
      <c r="Q30" s="138"/>
      <c r="R30" s="138"/>
      <c r="S30" s="138"/>
      <c r="T30" s="133"/>
      <c r="U30" s="133"/>
      <c r="V30" s="133"/>
      <c r="X30" s="132"/>
    </row>
    <row r="31" ht="14.25" customHeight="1">
      <c r="A31" s="94" t="s">
        <v>329</v>
      </c>
      <c r="B31" s="129"/>
      <c r="C31" s="130"/>
      <c r="D31" s="131"/>
      <c r="E31" s="133"/>
      <c r="F31" s="133"/>
      <c r="G31" s="133"/>
      <c r="H31" s="133"/>
      <c r="I31" s="133"/>
      <c r="J31" s="133"/>
      <c r="K31" s="133"/>
      <c r="L31" s="138"/>
      <c r="M31" s="138"/>
      <c r="N31" s="138"/>
      <c r="O31" s="138"/>
      <c r="P31" s="138"/>
      <c r="Q31" s="138"/>
      <c r="R31" s="138"/>
      <c r="S31" s="138"/>
      <c r="T31" s="133"/>
      <c r="U31" s="133"/>
      <c r="V31" s="133"/>
      <c r="X31" s="132"/>
    </row>
    <row r="32" ht="14.25" customHeight="1">
      <c r="A32" s="94" t="s">
        <v>330</v>
      </c>
      <c r="B32" s="129"/>
      <c r="C32" s="130"/>
      <c r="D32" s="131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2"/>
      <c r="U32" s="133"/>
      <c r="V32" s="133"/>
      <c r="X32" s="132"/>
    </row>
    <row r="33" ht="14.25" customHeight="1">
      <c r="A33" s="94"/>
      <c r="B33" s="129"/>
      <c r="C33" s="130"/>
      <c r="D33" s="131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X33" s="132"/>
    </row>
    <row r="34" ht="14.25" customHeight="1">
      <c r="A34" s="92" t="s">
        <v>331</v>
      </c>
      <c r="B34" s="92"/>
      <c r="C34" s="136"/>
      <c r="D34" s="137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</row>
    <row r="35" ht="14.25" customHeight="1">
      <c r="A35" s="94" t="s">
        <v>332</v>
      </c>
      <c r="B35" s="129"/>
      <c r="C35" s="130"/>
      <c r="D35" s="131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3"/>
      <c r="V35" s="133"/>
      <c r="X35" s="132"/>
    </row>
    <row r="36" ht="14.25" customHeight="1">
      <c r="A36" s="94" t="s">
        <v>333</v>
      </c>
      <c r="B36" s="129"/>
      <c r="C36" s="130"/>
      <c r="D36" s="131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X36" s="132"/>
    </row>
    <row r="37" ht="14.25" customHeight="1">
      <c r="A37" s="94"/>
      <c r="B37" s="129"/>
      <c r="C37" s="130"/>
      <c r="D37" s="131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X37" s="133"/>
    </row>
    <row r="38" ht="14.25" customHeight="1">
      <c r="A38" s="94" t="s">
        <v>334</v>
      </c>
      <c r="B38" s="139" t="str">
        <f>RenoDuration</f>
        <v/>
      </c>
      <c r="C38" s="130"/>
      <c r="D38" s="131"/>
      <c r="E38" s="133">
        <f t="shared" ref="E38:V38" si="1">SUM(E8:E23,E26:E32,E35:E36)*$B38</f>
        <v>0</v>
      </c>
      <c r="F38" s="133">
        <f t="shared" si="1"/>
        <v>0</v>
      </c>
      <c r="G38" s="133">
        <f t="shared" si="1"/>
        <v>0</v>
      </c>
      <c r="H38" s="133">
        <f t="shared" si="1"/>
        <v>0</v>
      </c>
      <c r="I38" s="133">
        <f t="shared" si="1"/>
        <v>0</v>
      </c>
      <c r="J38" s="133">
        <f t="shared" si="1"/>
        <v>0</v>
      </c>
      <c r="K38" s="133">
        <f t="shared" si="1"/>
        <v>0</v>
      </c>
      <c r="L38" s="133">
        <f t="shared" si="1"/>
        <v>0</v>
      </c>
      <c r="M38" s="133">
        <f t="shared" si="1"/>
        <v>0</v>
      </c>
      <c r="N38" s="133">
        <f t="shared" si="1"/>
        <v>0</v>
      </c>
      <c r="O38" s="133">
        <f t="shared" si="1"/>
        <v>0</v>
      </c>
      <c r="P38" s="133">
        <f t="shared" si="1"/>
        <v>0</v>
      </c>
      <c r="Q38" s="133">
        <f t="shared" si="1"/>
        <v>0</v>
      </c>
      <c r="R38" s="133">
        <f t="shared" si="1"/>
        <v>0</v>
      </c>
      <c r="S38" s="133">
        <f t="shared" si="1"/>
        <v>0</v>
      </c>
      <c r="T38" s="133">
        <f t="shared" si="1"/>
        <v>0</v>
      </c>
      <c r="U38" s="133">
        <f t="shared" si="1"/>
        <v>0</v>
      </c>
      <c r="V38" s="133">
        <f t="shared" si="1"/>
        <v>0</v>
      </c>
    </row>
    <row r="39" ht="14.25" customHeight="1">
      <c r="A39" s="140" t="s">
        <v>335</v>
      </c>
      <c r="B39" s="141">
        <f>SUM(E39:V39)</f>
        <v>0</v>
      </c>
      <c r="C39" s="140"/>
      <c r="D39" s="140"/>
      <c r="E39" s="141">
        <f t="shared" ref="E39:V39" si="2">SUM(E8:E23,E26:E38)</f>
        <v>0</v>
      </c>
      <c r="F39" s="141">
        <f t="shared" si="2"/>
        <v>0</v>
      </c>
      <c r="G39" s="141">
        <f t="shared" si="2"/>
        <v>0</v>
      </c>
      <c r="H39" s="141">
        <f t="shared" si="2"/>
        <v>0</v>
      </c>
      <c r="I39" s="141">
        <f t="shared" si="2"/>
        <v>0</v>
      </c>
      <c r="J39" s="141">
        <f t="shared" si="2"/>
        <v>0</v>
      </c>
      <c r="K39" s="141">
        <f t="shared" si="2"/>
        <v>0</v>
      </c>
      <c r="L39" s="141">
        <f t="shared" si="2"/>
        <v>0</v>
      </c>
      <c r="M39" s="141">
        <f t="shared" si="2"/>
        <v>0</v>
      </c>
      <c r="N39" s="141">
        <f t="shared" si="2"/>
        <v>0</v>
      </c>
      <c r="O39" s="141">
        <f t="shared" si="2"/>
        <v>0</v>
      </c>
      <c r="P39" s="141">
        <f t="shared" si="2"/>
        <v>0</v>
      </c>
      <c r="Q39" s="141">
        <f t="shared" si="2"/>
        <v>0</v>
      </c>
      <c r="R39" s="141">
        <f t="shared" si="2"/>
        <v>0</v>
      </c>
      <c r="S39" s="141">
        <f t="shared" si="2"/>
        <v>0</v>
      </c>
      <c r="T39" s="141">
        <f t="shared" si="2"/>
        <v>0</v>
      </c>
      <c r="U39" s="141">
        <f t="shared" si="2"/>
        <v>0</v>
      </c>
      <c r="V39" s="141">
        <f t="shared" si="2"/>
        <v>0</v>
      </c>
      <c r="X39" s="132"/>
    </row>
    <row r="40" ht="14.25" customHeight="1"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</row>
    <row r="41" ht="14.25" customHeight="1"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</row>
    <row r="42" ht="14.25" customHeight="1">
      <c r="A42" s="92" t="s">
        <v>336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</row>
    <row r="43" ht="14.25" customHeight="1">
      <c r="A43" s="126" t="s">
        <v>337</v>
      </c>
    </row>
    <row r="44" ht="14.25" customHeight="1">
      <c r="A44" s="126" t="s">
        <v>338</v>
      </c>
    </row>
    <row r="45" ht="14.25" customHeight="1">
      <c r="A45" s="126" t="s">
        <v>339</v>
      </c>
    </row>
    <row r="46" ht="14.25" customHeight="1">
      <c r="A46" s="126" t="s">
        <v>340</v>
      </c>
    </row>
    <row r="47" ht="14.25" customHeight="1">
      <c r="A47" s="126" t="s">
        <v>341</v>
      </c>
    </row>
    <row r="48" ht="14.25" customHeight="1">
      <c r="A48" s="126" t="s">
        <v>342</v>
      </c>
    </row>
    <row r="49" ht="14.25" customHeight="1">
      <c r="A49" s="126" t="s">
        <v>343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43:V43"/>
    <mergeCell ref="A44:V44"/>
    <mergeCell ref="A45:V45"/>
    <mergeCell ref="A46:V46"/>
    <mergeCell ref="A47:V47"/>
    <mergeCell ref="A48:V48"/>
    <mergeCell ref="A49:V4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43.57"/>
    <col customWidth="1" min="2" max="2" width="14.57"/>
    <col customWidth="1" min="3" max="3" width="9.14"/>
    <col customWidth="1" min="4" max="64" width="12.43"/>
    <col customWidth="1" min="65" max="65" width="8.71"/>
  </cols>
  <sheetData>
    <row r="1" ht="14.25" customHeight="1">
      <c r="A1" s="110" t="s">
        <v>344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</row>
    <row r="2" ht="14.25" customHeight="1">
      <c r="A2" s="142" t="s">
        <v>345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</row>
    <row r="3" ht="14.25" customHeight="1">
      <c r="A3" s="143" t="s">
        <v>254</v>
      </c>
      <c r="B3" s="143"/>
      <c r="C3" s="143"/>
      <c r="D3" s="144">
        <f>'Property Cash Flow'!L3</f>
        <v>0</v>
      </c>
      <c r="E3" s="144">
        <f>'Property Cash Flow'!M3</f>
        <v>1</v>
      </c>
      <c r="F3" s="144">
        <f>'Property Cash Flow'!N3</f>
        <v>1</v>
      </c>
      <c r="G3" s="144">
        <f>'Property Cash Flow'!O3</f>
        <v>1</v>
      </c>
      <c r="H3" s="144">
        <f>'Property Cash Flow'!P3</f>
        <v>1</v>
      </c>
      <c r="I3" s="144">
        <f>'Property Cash Flow'!Q3</f>
        <v>1</v>
      </c>
      <c r="J3" s="144">
        <f>'Property Cash Flow'!R3</f>
        <v>1</v>
      </c>
      <c r="K3" s="144">
        <f>'Property Cash Flow'!S3</f>
        <v>1</v>
      </c>
      <c r="L3" s="144">
        <f>'Property Cash Flow'!T3</f>
        <v>1</v>
      </c>
      <c r="M3" s="144">
        <f>'Property Cash Flow'!U3</f>
        <v>1</v>
      </c>
      <c r="N3" s="144">
        <f>'Property Cash Flow'!V3</f>
        <v>1</v>
      </c>
      <c r="O3" s="144">
        <f>'Property Cash Flow'!W3</f>
        <v>1</v>
      </c>
      <c r="P3" s="144">
        <f>'Property Cash Flow'!X3</f>
        <v>1</v>
      </c>
      <c r="Q3" s="144">
        <f>'Property Cash Flow'!Y3</f>
        <v>2</v>
      </c>
      <c r="R3" s="144">
        <f>'Property Cash Flow'!Z3</f>
        <v>2</v>
      </c>
      <c r="S3" s="144">
        <f>'Property Cash Flow'!AA3</f>
        <v>2</v>
      </c>
      <c r="T3" s="144">
        <f>'Property Cash Flow'!AB3</f>
        <v>2</v>
      </c>
      <c r="U3" s="144">
        <f>'Property Cash Flow'!AC3</f>
        <v>2</v>
      </c>
      <c r="V3" s="144">
        <f>'Property Cash Flow'!AD3</f>
        <v>2</v>
      </c>
      <c r="W3" s="144">
        <f>'Property Cash Flow'!AE3</f>
        <v>2</v>
      </c>
      <c r="X3" s="144">
        <f>'Property Cash Flow'!AF3</f>
        <v>2</v>
      </c>
      <c r="Y3" s="144">
        <f>'Property Cash Flow'!AG3</f>
        <v>2</v>
      </c>
      <c r="Z3" s="144">
        <f>'Property Cash Flow'!AH3</f>
        <v>2</v>
      </c>
      <c r="AA3" s="144">
        <f>'Property Cash Flow'!AI3</f>
        <v>2</v>
      </c>
      <c r="AB3" s="144">
        <f>'Property Cash Flow'!AJ3</f>
        <v>2</v>
      </c>
      <c r="AC3" s="144">
        <f>'Property Cash Flow'!AK3</f>
        <v>3</v>
      </c>
      <c r="AD3" s="144">
        <f>'Property Cash Flow'!AL3</f>
        <v>3</v>
      </c>
      <c r="AE3" s="144">
        <f>'Property Cash Flow'!AM3</f>
        <v>3</v>
      </c>
      <c r="AF3" s="144">
        <f>'Property Cash Flow'!AN3</f>
        <v>3</v>
      </c>
      <c r="AG3" s="144">
        <f>'Property Cash Flow'!AO3</f>
        <v>3</v>
      </c>
      <c r="AH3" s="144">
        <f>'Property Cash Flow'!AP3</f>
        <v>3</v>
      </c>
      <c r="AI3" s="144">
        <f>'Property Cash Flow'!AQ3</f>
        <v>3</v>
      </c>
      <c r="AJ3" s="144">
        <f>'Property Cash Flow'!AR3</f>
        <v>3</v>
      </c>
      <c r="AK3" s="144">
        <f>'Property Cash Flow'!AS3</f>
        <v>3</v>
      </c>
      <c r="AL3" s="144">
        <f>'Property Cash Flow'!AT3</f>
        <v>3</v>
      </c>
      <c r="AM3" s="144">
        <f>'Property Cash Flow'!AU3</f>
        <v>3</v>
      </c>
      <c r="AN3" s="144">
        <f>'Property Cash Flow'!AV3</f>
        <v>3</v>
      </c>
      <c r="AO3" s="144">
        <f>'Property Cash Flow'!AW3</f>
        <v>4</v>
      </c>
      <c r="AP3" s="144">
        <f>'Property Cash Flow'!AX3</f>
        <v>4</v>
      </c>
      <c r="AQ3" s="144">
        <f>'Property Cash Flow'!AY3</f>
        <v>4</v>
      </c>
      <c r="AR3" s="144">
        <f>'Property Cash Flow'!AZ3</f>
        <v>4</v>
      </c>
      <c r="AS3" s="144">
        <f>'Property Cash Flow'!BA3</f>
        <v>4</v>
      </c>
      <c r="AT3" s="144">
        <f>'Property Cash Flow'!BB3</f>
        <v>4</v>
      </c>
      <c r="AU3" s="144">
        <f>'Property Cash Flow'!BC3</f>
        <v>4</v>
      </c>
      <c r="AV3" s="144">
        <f>'Property Cash Flow'!BD3</f>
        <v>4</v>
      </c>
      <c r="AW3" s="144">
        <f>'Property Cash Flow'!BE3</f>
        <v>4</v>
      </c>
      <c r="AX3" s="144">
        <f>'Property Cash Flow'!BF3</f>
        <v>4</v>
      </c>
      <c r="AY3" s="144">
        <f>'Property Cash Flow'!BG3</f>
        <v>4</v>
      </c>
      <c r="AZ3" s="144">
        <f>'Property Cash Flow'!BH3</f>
        <v>4</v>
      </c>
      <c r="BA3" s="144">
        <f>'Property Cash Flow'!BI3</f>
        <v>5</v>
      </c>
      <c r="BB3" s="144">
        <f>'Property Cash Flow'!BJ3</f>
        <v>5</v>
      </c>
      <c r="BC3" s="144">
        <f>'Property Cash Flow'!BK3</f>
        <v>5</v>
      </c>
      <c r="BD3" s="144">
        <f>'Property Cash Flow'!BL3</f>
        <v>5</v>
      </c>
      <c r="BE3" s="144">
        <f>'Property Cash Flow'!BM3</f>
        <v>5</v>
      </c>
      <c r="BF3" s="144">
        <f>'Property Cash Flow'!BN3</f>
        <v>5</v>
      </c>
      <c r="BG3" s="144">
        <f>'Property Cash Flow'!BO3</f>
        <v>5</v>
      </c>
      <c r="BH3" s="144">
        <f>'Property Cash Flow'!BP3</f>
        <v>5</v>
      </c>
      <c r="BI3" s="144">
        <f>'Property Cash Flow'!BQ3</f>
        <v>5</v>
      </c>
      <c r="BJ3" s="144">
        <f>'Property Cash Flow'!BR3</f>
        <v>5</v>
      </c>
      <c r="BK3" s="144">
        <f>'Property Cash Flow'!BS3</f>
        <v>5</v>
      </c>
      <c r="BL3" s="144">
        <f>'Property Cash Flow'!BT3</f>
        <v>5</v>
      </c>
    </row>
    <row r="4" ht="14.25" customHeight="1">
      <c r="A4" s="143" t="s">
        <v>148</v>
      </c>
      <c r="B4" s="143"/>
      <c r="C4" s="143"/>
      <c r="D4" s="145">
        <f>'Property Cash Flow'!L4</f>
        <v>0</v>
      </c>
      <c r="E4" s="145">
        <f>'Property Cash Flow'!M4</f>
        <v>1</v>
      </c>
      <c r="F4" s="145">
        <f>'Property Cash Flow'!N4</f>
        <v>2</v>
      </c>
      <c r="G4" s="145">
        <f>'Property Cash Flow'!O4</f>
        <v>3</v>
      </c>
      <c r="H4" s="145">
        <f>'Property Cash Flow'!P4</f>
        <v>4</v>
      </c>
      <c r="I4" s="145">
        <f>'Property Cash Flow'!Q4</f>
        <v>5</v>
      </c>
      <c r="J4" s="145">
        <f>'Property Cash Flow'!R4</f>
        <v>6</v>
      </c>
      <c r="K4" s="145">
        <f>'Property Cash Flow'!S4</f>
        <v>7</v>
      </c>
      <c r="L4" s="145">
        <f>'Property Cash Flow'!T4</f>
        <v>8</v>
      </c>
      <c r="M4" s="145">
        <f>'Property Cash Flow'!U4</f>
        <v>9</v>
      </c>
      <c r="N4" s="145">
        <f>'Property Cash Flow'!V4</f>
        <v>10</v>
      </c>
      <c r="O4" s="145">
        <f>'Property Cash Flow'!W4</f>
        <v>11</v>
      </c>
      <c r="P4" s="145">
        <f>'Property Cash Flow'!X4</f>
        <v>12</v>
      </c>
      <c r="Q4" s="145">
        <f>'Property Cash Flow'!Y4</f>
        <v>13</v>
      </c>
      <c r="R4" s="145">
        <f>'Property Cash Flow'!Z4</f>
        <v>14</v>
      </c>
      <c r="S4" s="145">
        <f>'Property Cash Flow'!AA4</f>
        <v>15</v>
      </c>
      <c r="T4" s="145">
        <f>'Property Cash Flow'!AB4</f>
        <v>16</v>
      </c>
      <c r="U4" s="145">
        <f>'Property Cash Flow'!AC4</f>
        <v>17</v>
      </c>
      <c r="V4" s="145">
        <f>'Property Cash Flow'!AD4</f>
        <v>18</v>
      </c>
      <c r="W4" s="145">
        <f>'Property Cash Flow'!AE4</f>
        <v>19</v>
      </c>
      <c r="X4" s="145">
        <f>'Property Cash Flow'!AF4</f>
        <v>20</v>
      </c>
      <c r="Y4" s="145">
        <f>'Property Cash Flow'!AG4</f>
        <v>21</v>
      </c>
      <c r="Z4" s="145">
        <f>'Property Cash Flow'!AH4</f>
        <v>22</v>
      </c>
      <c r="AA4" s="145">
        <f>'Property Cash Flow'!AI4</f>
        <v>23</v>
      </c>
      <c r="AB4" s="145">
        <f>'Property Cash Flow'!AJ4</f>
        <v>24</v>
      </c>
      <c r="AC4" s="145">
        <f>'Property Cash Flow'!AK4</f>
        <v>25</v>
      </c>
      <c r="AD4" s="145">
        <f>'Property Cash Flow'!AL4</f>
        <v>26</v>
      </c>
      <c r="AE4" s="145">
        <f>'Property Cash Flow'!AM4</f>
        <v>27</v>
      </c>
      <c r="AF4" s="145">
        <f>'Property Cash Flow'!AN4</f>
        <v>28</v>
      </c>
      <c r="AG4" s="145">
        <f>'Property Cash Flow'!AO4</f>
        <v>29</v>
      </c>
      <c r="AH4" s="145">
        <f>'Property Cash Flow'!AP4</f>
        <v>30</v>
      </c>
      <c r="AI4" s="145">
        <f>'Property Cash Flow'!AQ4</f>
        <v>31</v>
      </c>
      <c r="AJ4" s="145">
        <f>'Property Cash Flow'!AR4</f>
        <v>32</v>
      </c>
      <c r="AK4" s="145">
        <f>'Property Cash Flow'!AS4</f>
        <v>33</v>
      </c>
      <c r="AL4" s="145">
        <f>'Property Cash Flow'!AT4</f>
        <v>34</v>
      </c>
      <c r="AM4" s="145">
        <f>'Property Cash Flow'!AU4</f>
        <v>35</v>
      </c>
      <c r="AN4" s="145">
        <f>'Property Cash Flow'!AV4</f>
        <v>36</v>
      </c>
      <c r="AO4" s="145">
        <f>'Property Cash Flow'!AW4</f>
        <v>37</v>
      </c>
      <c r="AP4" s="145">
        <f>'Property Cash Flow'!AX4</f>
        <v>38</v>
      </c>
      <c r="AQ4" s="145">
        <f>'Property Cash Flow'!AY4</f>
        <v>39</v>
      </c>
      <c r="AR4" s="145">
        <f>'Property Cash Flow'!AZ4</f>
        <v>40</v>
      </c>
      <c r="AS4" s="145">
        <f>'Property Cash Flow'!BA4</f>
        <v>41</v>
      </c>
      <c r="AT4" s="145">
        <f>'Property Cash Flow'!BB4</f>
        <v>42</v>
      </c>
      <c r="AU4" s="145">
        <f>'Property Cash Flow'!BC4</f>
        <v>43</v>
      </c>
      <c r="AV4" s="145">
        <f>'Property Cash Flow'!BD4</f>
        <v>44</v>
      </c>
      <c r="AW4" s="145">
        <f>'Property Cash Flow'!BE4</f>
        <v>45</v>
      </c>
      <c r="AX4" s="145">
        <f>'Property Cash Flow'!BF4</f>
        <v>46</v>
      </c>
      <c r="AY4" s="145">
        <f>'Property Cash Flow'!BG4</f>
        <v>47</v>
      </c>
      <c r="AZ4" s="145">
        <f>'Property Cash Flow'!BH4</f>
        <v>48</v>
      </c>
      <c r="BA4" s="145">
        <f>'Property Cash Flow'!BI4</f>
        <v>49</v>
      </c>
      <c r="BB4" s="145">
        <f>'Property Cash Flow'!BJ4</f>
        <v>50</v>
      </c>
      <c r="BC4" s="145">
        <f>'Property Cash Flow'!BK4</f>
        <v>51</v>
      </c>
      <c r="BD4" s="145">
        <f>'Property Cash Flow'!BL4</f>
        <v>52</v>
      </c>
      <c r="BE4" s="145">
        <f>'Property Cash Flow'!BM4</f>
        <v>53</v>
      </c>
      <c r="BF4" s="145">
        <f>'Property Cash Flow'!BN4</f>
        <v>54</v>
      </c>
      <c r="BG4" s="145">
        <f>'Property Cash Flow'!BO4</f>
        <v>55</v>
      </c>
      <c r="BH4" s="145">
        <f>'Property Cash Flow'!BP4</f>
        <v>56</v>
      </c>
      <c r="BI4" s="145">
        <f>'Property Cash Flow'!BQ4</f>
        <v>57</v>
      </c>
      <c r="BJ4" s="145">
        <f>'Property Cash Flow'!BR4</f>
        <v>58</v>
      </c>
      <c r="BK4" s="145">
        <f>'Property Cash Flow'!BS4</f>
        <v>59</v>
      </c>
      <c r="BL4" s="145">
        <f>'Property Cash Flow'!BT4</f>
        <v>60</v>
      </c>
    </row>
    <row r="5" ht="14.25" customHeight="1">
      <c r="A5" s="143" t="s">
        <v>149</v>
      </c>
      <c r="B5" s="143"/>
      <c r="C5" s="143"/>
      <c r="D5" s="146">
        <f>'Property Cash Flow'!L5</f>
        <v>1</v>
      </c>
      <c r="E5" s="146">
        <f>'Property Cash Flow'!M5</f>
        <v>32</v>
      </c>
      <c r="F5" s="146">
        <f>'Property Cash Flow'!N5</f>
        <v>60</v>
      </c>
      <c r="G5" s="146">
        <f>'Property Cash Flow'!O5</f>
        <v>91</v>
      </c>
      <c r="H5" s="146">
        <f>'Property Cash Flow'!P5</f>
        <v>121</v>
      </c>
      <c r="I5" s="146">
        <f>'Property Cash Flow'!Q5</f>
        <v>152</v>
      </c>
      <c r="J5" s="146">
        <f>'Property Cash Flow'!R5</f>
        <v>182</v>
      </c>
      <c r="K5" s="146">
        <f>'Property Cash Flow'!S5</f>
        <v>213</v>
      </c>
      <c r="L5" s="146">
        <f>'Property Cash Flow'!T5</f>
        <v>244</v>
      </c>
      <c r="M5" s="146">
        <f>'Property Cash Flow'!U5</f>
        <v>274</v>
      </c>
      <c r="N5" s="146">
        <f>'Property Cash Flow'!V5</f>
        <v>305</v>
      </c>
      <c r="O5" s="146">
        <f>'Property Cash Flow'!W5</f>
        <v>335</v>
      </c>
      <c r="P5" s="146">
        <f>'Property Cash Flow'!X5</f>
        <v>366</v>
      </c>
      <c r="Q5" s="146">
        <f>'Property Cash Flow'!Y5</f>
        <v>397</v>
      </c>
      <c r="R5" s="146">
        <f>'Property Cash Flow'!Z5</f>
        <v>425</v>
      </c>
      <c r="S5" s="146">
        <f>'Property Cash Flow'!AA5</f>
        <v>456</v>
      </c>
      <c r="T5" s="146">
        <f>'Property Cash Flow'!AB5</f>
        <v>486</v>
      </c>
      <c r="U5" s="146">
        <f>'Property Cash Flow'!AC5</f>
        <v>517</v>
      </c>
      <c r="V5" s="146">
        <f>'Property Cash Flow'!AD5</f>
        <v>547</v>
      </c>
      <c r="W5" s="146">
        <f>'Property Cash Flow'!AE5</f>
        <v>578</v>
      </c>
      <c r="X5" s="146">
        <f>'Property Cash Flow'!AF5</f>
        <v>609</v>
      </c>
      <c r="Y5" s="146">
        <f>'Property Cash Flow'!AG5</f>
        <v>639</v>
      </c>
      <c r="Z5" s="146">
        <f>'Property Cash Flow'!AH5</f>
        <v>670</v>
      </c>
      <c r="AA5" s="146">
        <f>'Property Cash Flow'!AI5</f>
        <v>700</v>
      </c>
      <c r="AB5" s="146">
        <f>'Property Cash Flow'!AJ5</f>
        <v>731</v>
      </c>
      <c r="AC5" s="146">
        <f>'Property Cash Flow'!AK5</f>
        <v>762</v>
      </c>
      <c r="AD5" s="146">
        <f>'Property Cash Flow'!AL5</f>
        <v>790</v>
      </c>
      <c r="AE5" s="146">
        <f>'Property Cash Flow'!AM5</f>
        <v>821</v>
      </c>
      <c r="AF5" s="146">
        <f>'Property Cash Flow'!AN5</f>
        <v>851</v>
      </c>
      <c r="AG5" s="146">
        <f>'Property Cash Flow'!AO5</f>
        <v>882</v>
      </c>
      <c r="AH5" s="146">
        <f>'Property Cash Flow'!AP5</f>
        <v>912</v>
      </c>
      <c r="AI5" s="146">
        <f>'Property Cash Flow'!AQ5</f>
        <v>943</v>
      </c>
      <c r="AJ5" s="146">
        <f>'Property Cash Flow'!AR5</f>
        <v>974</v>
      </c>
      <c r="AK5" s="146">
        <f>'Property Cash Flow'!AS5</f>
        <v>1004</v>
      </c>
      <c r="AL5" s="146">
        <f>'Property Cash Flow'!AT5</f>
        <v>1035</v>
      </c>
      <c r="AM5" s="146">
        <f>'Property Cash Flow'!AU5</f>
        <v>1065</v>
      </c>
      <c r="AN5" s="146">
        <f>'Property Cash Flow'!AV5</f>
        <v>1096</v>
      </c>
      <c r="AO5" s="146">
        <f>'Property Cash Flow'!AW5</f>
        <v>1127</v>
      </c>
      <c r="AP5" s="146">
        <f>'Property Cash Flow'!AX5</f>
        <v>1155</v>
      </c>
      <c r="AQ5" s="146">
        <f>'Property Cash Flow'!AY5</f>
        <v>1186</v>
      </c>
      <c r="AR5" s="146">
        <f>'Property Cash Flow'!AZ5</f>
        <v>1216</v>
      </c>
      <c r="AS5" s="146">
        <f>'Property Cash Flow'!BA5</f>
        <v>1247</v>
      </c>
      <c r="AT5" s="146">
        <f>'Property Cash Flow'!BB5</f>
        <v>1277</v>
      </c>
      <c r="AU5" s="146">
        <f>'Property Cash Flow'!BC5</f>
        <v>1308</v>
      </c>
      <c r="AV5" s="146">
        <f>'Property Cash Flow'!BD5</f>
        <v>1339</v>
      </c>
      <c r="AW5" s="146">
        <f>'Property Cash Flow'!BE5</f>
        <v>1369</v>
      </c>
      <c r="AX5" s="146">
        <f>'Property Cash Flow'!BF5</f>
        <v>1400</v>
      </c>
      <c r="AY5" s="146">
        <f>'Property Cash Flow'!BG5</f>
        <v>1430</v>
      </c>
      <c r="AZ5" s="146">
        <f>'Property Cash Flow'!BH5</f>
        <v>1461</v>
      </c>
      <c r="BA5" s="146">
        <f>'Property Cash Flow'!BI5</f>
        <v>1492</v>
      </c>
      <c r="BB5" s="146">
        <f>'Property Cash Flow'!BJ5</f>
        <v>1521</v>
      </c>
      <c r="BC5" s="146">
        <f>'Property Cash Flow'!BK5</f>
        <v>1552</v>
      </c>
      <c r="BD5" s="146">
        <f>'Property Cash Flow'!BL5</f>
        <v>1582</v>
      </c>
      <c r="BE5" s="146">
        <f>'Property Cash Flow'!BM5</f>
        <v>1613</v>
      </c>
      <c r="BF5" s="146">
        <f>'Property Cash Flow'!BN5</f>
        <v>1643</v>
      </c>
      <c r="BG5" s="146">
        <f>'Property Cash Flow'!BO5</f>
        <v>1674</v>
      </c>
      <c r="BH5" s="146">
        <f>'Property Cash Flow'!BP5</f>
        <v>1705</v>
      </c>
      <c r="BI5" s="146">
        <f>'Property Cash Flow'!BQ5</f>
        <v>1735</v>
      </c>
      <c r="BJ5" s="146">
        <f>'Property Cash Flow'!BR5</f>
        <v>1766</v>
      </c>
      <c r="BK5" s="146">
        <f>'Property Cash Flow'!BS5</f>
        <v>1796</v>
      </c>
      <c r="BL5" s="146">
        <f>'Property Cash Flow'!BT5</f>
        <v>1827</v>
      </c>
    </row>
    <row r="6" ht="14.2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</row>
    <row r="7" ht="14.25" customHeight="1">
      <c r="A7" s="147" t="s">
        <v>346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</row>
    <row r="8" ht="14.25" customHeight="1">
      <c r="A8" s="104" t="s">
        <v>347</v>
      </c>
      <c r="B8" s="104"/>
      <c r="C8" s="104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</row>
    <row r="9" ht="14.25" customHeight="1">
      <c r="A9" s="104" t="s">
        <v>348</v>
      </c>
      <c r="B9" s="104"/>
      <c r="C9" s="104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</row>
    <row r="10" ht="14.25" customHeight="1">
      <c r="A10" s="104" t="s">
        <v>349</v>
      </c>
      <c r="B10" s="104"/>
      <c r="C10" s="104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</row>
    <row r="11" ht="14.25" customHeight="1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ht="14.25" customHeight="1">
      <c r="A12" s="147" t="s">
        <v>350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</row>
    <row r="13" ht="14.25" customHeight="1">
      <c r="A13" s="104" t="s">
        <v>351</v>
      </c>
      <c r="B13" s="104"/>
      <c r="C13" s="104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</row>
    <row r="14" ht="14.25" customHeight="1">
      <c r="A14" s="104" t="s">
        <v>352</v>
      </c>
      <c r="B14" s="104"/>
      <c r="C14" s="104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</row>
    <row r="15" ht="14.25" customHeight="1">
      <c r="A15" s="104" t="s">
        <v>353</v>
      </c>
      <c r="B15" s="104"/>
      <c r="C15" s="104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</row>
    <row r="16" ht="14.25" customHeight="1">
      <c r="A16" s="104" t="s">
        <v>354</v>
      </c>
      <c r="B16" s="104"/>
      <c r="C16" s="104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</row>
    <row r="17" ht="14.25" customHeight="1">
      <c r="A17" s="104" t="s">
        <v>355</v>
      </c>
      <c r="B17" s="104"/>
      <c r="C17" s="104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</row>
    <row r="18" ht="14.25" customHeight="1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</row>
    <row r="19" ht="14.25" customHeight="1">
      <c r="A19" s="147" t="s">
        <v>356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</row>
    <row r="20" ht="14.25" customHeight="1">
      <c r="A20" s="104" t="s">
        <v>357</v>
      </c>
      <c r="B20" s="104"/>
      <c r="C20" s="104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</row>
    <row r="21" ht="14.25" customHeight="1">
      <c r="A21" s="104" t="s">
        <v>358</v>
      </c>
      <c r="B21" s="104"/>
      <c r="C21" s="104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</row>
    <row r="22" ht="14.25" customHeight="1">
      <c r="A22" s="104" t="s">
        <v>359</v>
      </c>
      <c r="B22" s="104"/>
      <c r="C22" s="104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</row>
    <row r="23" ht="14.25" customHeight="1">
      <c r="A23" s="94" t="s">
        <v>360</v>
      </c>
      <c r="B23" s="94"/>
      <c r="C23" s="94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</row>
    <row r="24" ht="14.25" customHeight="1">
      <c r="A24" s="104" t="s">
        <v>361</v>
      </c>
      <c r="B24" s="104"/>
      <c r="C24" s="104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</row>
    <row r="25" ht="14.25" customHeight="1">
      <c r="A25" s="104" t="s">
        <v>362</v>
      </c>
      <c r="B25" s="104"/>
      <c r="C25" s="104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</row>
    <row r="26" ht="14.25" customHeight="1">
      <c r="A26" s="104" t="s">
        <v>363</v>
      </c>
      <c r="B26" s="104"/>
      <c r="C26" s="104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</row>
    <row r="27" ht="14.25" customHeight="1">
      <c r="A27" s="94" t="s">
        <v>364</v>
      </c>
      <c r="B27" s="94"/>
      <c r="C27" s="94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</row>
    <row r="28" ht="14.25" customHeight="1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</row>
    <row r="29" ht="14.25" customHeight="1">
      <c r="A29" s="147" t="s">
        <v>365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</row>
    <row r="30" ht="14.25" customHeight="1">
      <c r="A30" s="104" t="s">
        <v>357</v>
      </c>
      <c r="B30" s="104"/>
      <c r="C30" s="104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</row>
    <row r="31" ht="14.25" customHeight="1">
      <c r="A31" s="104" t="s">
        <v>358</v>
      </c>
      <c r="B31" s="104"/>
      <c r="C31" s="104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</row>
    <row r="32" ht="14.25" customHeight="1">
      <c r="A32" s="104" t="s">
        <v>359</v>
      </c>
      <c r="B32" s="104"/>
      <c r="C32" s="104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</row>
    <row r="33" ht="14.25" customHeight="1">
      <c r="A33" s="94" t="s">
        <v>360</v>
      </c>
      <c r="B33" s="94"/>
      <c r="C33" s="94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50"/>
      <c r="BI33" s="150"/>
      <c r="BJ33" s="150"/>
      <c r="BK33" s="150"/>
      <c r="BL33" s="150"/>
    </row>
    <row r="34" ht="14.25" customHeight="1">
      <c r="A34" s="104" t="s">
        <v>361</v>
      </c>
      <c r="B34" s="104"/>
      <c r="C34" s="104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</row>
    <row r="35" ht="14.25" customHeight="1">
      <c r="A35" s="104" t="s">
        <v>362</v>
      </c>
      <c r="B35" s="104"/>
      <c r="C35" s="104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</row>
    <row r="36" ht="14.25" customHeight="1">
      <c r="A36" s="104" t="s">
        <v>363</v>
      </c>
      <c r="B36" s="104"/>
      <c r="C36" s="104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</row>
    <row r="37" ht="14.25" customHeight="1">
      <c r="A37" s="94" t="s">
        <v>364</v>
      </c>
      <c r="B37" s="94"/>
      <c r="C37" s="94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0"/>
      <c r="BE37" s="150"/>
      <c r="BF37" s="150"/>
      <c r="BG37" s="150"/>
      <c r="BH37" s="150"/>
      <c r="BI37" s="150"/>
      <c r="BJ37" s="150"/>
      <c r="BK37" s="150"/>
      <c r="BL37" s="150"/>
    </row>
    <row r="38" ht="14.25" customHeight="1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</row>
    <row r="39" ht="14.25" customHeight="1">
      <c r="A39" s="147" t="s">
        <v>366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</row>
    <row r="40" ht="14.25" customHeight="1">
      <c r="A40" s="104" t="s">
        <v>367</v>
      </c>
      <c r="B40" s="104"/>
      <c r="C40" s="104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</row>
    <row r="41" ht="14.25" customHeight="1">
      <c r="A41" s="142" t="s">
        <v>368</v>
      </c>
      <c r="B41" s="142"/>
      <c r="C41" s="142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</row>
    <row r="42" ht="14.25" customHeight="1">
      <c r="A42" s="104" t="s">
        <v>369</v>
      </c>
      <c r="B42" s="104"/>
      <c r="C42" s="104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</row>
    <row r="43" ht="14.25" customHeight="1">
      <c r="A43" s="142" t="s">
        <v>370</v>
      </c>
      <c r="B43" s="142"/>
      <c r="C43" s="142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</row>
    <row r="44" ht="14.25" customHeight="1">
      <c r="A44" s="104" t="s">
        <v>371</v>
      </c>
      <c r="B44" s="104"/>
      <c r="C44" s="104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</row>
    <row r="45" ht="14.25" customHeight="1">
      <c r="A45" s="142" t="s">
        <v>372</v>
      </c>
      <c r="B45" s="142"/>
      <c r="C45" s="142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</row>
    <row r="46" ht="14.25" customHeight="1">
      <c r="A46" s="104" t="s">
        <v>373</v>
      </c>
      <c r="B46" s="104"/>
      <c r="C46" s="104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</row>
    <row r="47" ht="14.25" customHeight="1">
      <c r="A47" s="142" t="s">
        <v>374</v>
      </c>
      <c r="B47" s="142"/>
      <c r="C47" s="142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</row>
    <row r="48" ht="14.25" customHeight="1">
      <c r="A48" s="142" t="s">
        <v>375</v>
      </c>
      <c r="B48" s="142"/>
      <c r="C48" s="142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</row>
    <row r="49" ht="14.25" customHeight="1">
      <c r="A49" s="142" t="s">
        <v>376</v>
      </c>
      <c r="B49" s="142"/>
      <c r="C49" s="142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/>
      <c r="BF49" s="151"/>
      <c r="BG49" s="151"/>
      <c r="BH49" s="151"/>
      <c r="BI49" s="151"/>
      <c r="BJ49" s="151"/>
      <c r="BK49" s="151"/>
      <c r="BL49" s="151"/>
    </row>
    <row r="50" ht="14.25" customHeight="1">
      <c r="A50" s="104" t="s">
        <v>377</v>
      </c>
      <c r="B50" s="104"/>
      <c r="C50" s="104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</row>
    <row r="51" ht="14.25" customHeight="1">
      <c r="A51" s="104" t="s">
        <v>378</v>
      </c>
      <c r="B51" s="104"/>
      <c r="C51" s="104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</row>
    <row r="52" ht="14.25" customHeight="1">
      <c r="A52" s="104" t="s">
        <v>379</v>
      </c>
      <c r="B52" s="104"/>
      <c r="C52" s="104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</row>
    <row r="53" ht="14.25" customHeight="1">
      <c r="A53" s="104" t="s">
        <v>380</v>
      </c>
      <c r="B53" s="104"/>
      <c r="C53" s="104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</row>
    <row r="54" ht="14.25" customHeight="1">
      <c r="A54" s="142" t="s">
        <v>381</v>
      </c>
      <c r="B54" s="142"/>
      <c r="C54" s="142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</row>
    <row r="55" ht="14.25" customHeight="1">
      <c r="A55" s="104" t="s">
        <v>382</v>
      </c>
      <c r="B55" s="104"/>
      <c r="C55" s="104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</row>
    <row r="56" ht="14.25" customHeight="1">
      <c r="A56" s="104" t="s">
        <v>383</v>
      </c>
      <c r="B56" s="104"/>
      <c r="C56" s="104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</row>
    <row r="57" ht="14.25" customHeight="1">
      <c r="A57" s="104" t="s">
        <v>384</v>
      </c>
      <c r="B57" s="104"/>
      <c r="C57" s="104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</row>
    <row r="58" ht="14.25" customHeight="1">
      <c r="A58" s="104" t="s">
        <v>385</v>
      </c>
      <c r="B58" s="104"/>
      <c r="C58" s="104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</row>
    <row r="59" ht="14.25" customHeight="1">
      <c r="A59" s="142" t="s">
        <v>386</v>
      </c>
      <c r="B59" s="142"/>
      <c r="C59" s="142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151"/>
      <c r="AY59" s="151"/>
      <c r="AZ59" s="151"/>
      <c r="BA59" s="151"/>
      <c r="BB59" s="151"/>
      <c r="BC59" s="151"/>
      <c r="BD59" s="151"/>
      <c r="BE59" s="151"/>
      <c r="BF59" s="151"/>
      <c r="BG59" s="151"/>
      <c r="BH59" s="151"/>
      <c r="BI59" s="151"/>
      <c r="BJ59" s="151"/>
      <c r="BK59" s="151"/>
      <c r="BL59" s="151"/>
    </row>
    <row r="60" ht="14.25" customHeight="1">
      <c r="A60" s="142" t="s">
        <v>387</v>
      </c>
      <c r="B60" s="142"/>
      <c r="C60" s="142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  <c r="BH60" s="151"/>
      <c r="BI60" s="151"/>
      <c r="BJ60" s="151"/>
      <c r="BK60" s="151"/>
      <c r="BL60" s="151"/>
      <c r="BM60" s="152"/>
    </row>
    <row r="61" ht="14.25" customHeight="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</row>
    <row r="62" ht="14.25" customHeight="1">
      <c r="A62" s="147" t="s">
        <v>388</v>
      </c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  <c r="BI62" s="147"/>
      <c r="BJ62" s="147"/>
      <c r="BK62" s="147"/>
      <c r="BL62" s="147"/>
    </row>
    <row r="63" ht="14.25" customHeight="1">
      <c r="A63" s="94" t="s">
        <v>389</v>
      </c>
      <c r="B63" s="94"/>
      <c r="C63" s="94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0"/>
      <c r="AN63" s="150"/>
      <c r="AO63" s="150"/>
      <c r="AP63" s="150"/>
      <c r="AQ63" s="150"/>
      <c r="AR63" s="150"/>
      <c r="AS63" s="150"/>
      <c r="AT63" s="150"/>
      <c r="AU63" s="150"/>
      <c r="AV63" s="150"/>
      <c r="AW63" s="150"/>
      <c r="AX63" s="150"/>
      <c r="AY63" s="150"/>
      <c r="AZ63" s="150"/>
      <c r="BA63" s="150"/>
      <c r="BB63" s="150"/>
      <c r="BC63" s="150"/>
      <c r="BD63" s="150"/>
      <c r="BE63" s="150"/>
      <c r="BF63" s="150"/>
      <c r="BG63" s="150"/>
      <c r="BH63" s="150"/>
      <c r="BI63" s="150"/>
      <c r="BJ63" s="150"/>
      <c r="BK63" s="150"/>
      <c r="BL63" s="150"/>
    </row>
    <row r="64" ht="14.25" customHeight="1">
      <c r="A64" s="94" t="s">
        <v>390</v>
      </c>
      <c r="B64" s="94"/>
      <c r="C64" s="94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0"/>
      <c r="BC64" s="150"/>
      <c r="BD64" s="150"/>
      <c r="BE64" s="150"/>
      <c r="BF64" s="150"/>
      <c r="BG64" s="150"/>
      <c r="BH64" s="150"/>
      <c r="BI64" s="150"/>
      <c r="BJ64" s="150"/>
      <c r="BK64" s="150"/>
      <c r="BL64" s="150"/>
    </row>
    <row r="65" ht="14.25" customHeight="1">
      <c r="A65" s="94" t="s">
        <v>391</v>
      </c>
      <c r="B65" s="94"/>
      <c r="C65" s="94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/>
      <c r="AR65" s="150"/>
      <c r="AS65" s="150"/>
      <c r="AT65" s="150"/>
      <c r="AU65" s="150"/>
      <c r="AV65" s="150"/>
      <c r="AW65" s="150"/>
      <c r="AX65" s="150"/>
      <c r="AY65" s="150"/>
      <c r="AZ65" s="150"/>
      <c r="BA65" s="150"/>
      <c r="BB65" s="150"/>
      <c r="BC65" s="150"/>
      <c r="BD65" s="150"/>
      <c r="BE65" s="150"/>
      <c r="BF65" s="150"/>
      <c r="BG65" s="150"/>
      <c r="BH65" s="150"/>
      <c r="BI65" s="150"/>
      <c r="BJ65" s="150"/>
      <c r="BK65" s="150"/>
      <c r="BL65" s="150"/>
    </row>
    <row r="66" ht="14.25" customHeight="1">
      <c r="A66" s="94" t="s">
        <v>392</v>
      </c>
      <c r="B66" s="94"/>
      <c r="C66" s="94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0"/>
      <c r="AX66" s="150"/>
      <c r="AY66" s="150"/>
      <c r="AZ66" s="150"/>
      <c r="BA66" s="150"/>
      <c r="BB66" s="150"/>
      <c r="BC66" s="150"/>
      <c r="BD66" s="150"/>
      <c r="BE66" s="150"/>
      <c r="BF66" s="150"/>
      <c r="BG66" s="150"/>
      <c r="BH66" s="150"/>
      <c r="BI66" s="150"/>
      <c r="BJ66" s="150"/>
      <c r="BK66" s="150"/>
      <c r="BL66" s="150"/>
    </row>
    <row r="67" ht="14.25" customHeight="1">
      <c r="A67" s="94" t="s">
        <v>393</v>
      </c>
      <c r="B67" s="94"/>
      <c r="C67" s="94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0"/>
      <c r="AK67" s="150"/>
      <c r="AL67" s="150"/>
      <c r="AM67" s="150"/>
      <c r="AN67" s="150"/>
      <c r="AO67" s="150"/>
      <c r="AP67" s="150"/>
      <c r="AQ67" s="150"/>
      <c r="AR67" s="150"/>
      <c r="AS67" s="150"/>
      <c r="AT67" s="150"/>
      <c r="AU67" s="150"/>
      <c r="AV67" s="150"/>
      <c r="AW67" s="150"/>
      <c r="AX67" s="150"/>
      <c r="AY67" s="150"/>
      <c r="AZ67" s="150"/>
      <c r="BA67" s="150"/>
      <c r="BB67" s="150"/>
      <c r="BC67" s="150"/>
      <c r="BD67" s="150"/>
      <c r="BE67" s="150"/>
      <c r="BF67" s="150"/>
      <c r="BG67" s="150"/>
      <c r="BH67" s="150"/>
      <c r="BI67" s="150"/>
      <c r="BJ67" s="150"/>
      <c r="BK67" s="150"/>
      <c r="BL67" s="150"/>
    </row>
    <row r="68" ht="14.25" customHeight="1">
      <c r="A68" s="142" t="s">
        <v>394</v>
      </c>
      <c r="B68" s="142"/>
      <c r="C68" s="142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1"/>
      <c r="BG68" s="151"/>
      <c r="BH68" s="151"/>
      <c r="BI68" s="151"/>
      <c r="BJ68" s="151"/>
      <c r="BK68" s="151"/>
      <c r="BL68" s="151"/>
    </row>
    <row r="69" ht="14.25" customHeight="1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</row>
    <row r="70" ht="14.25" customHeight="1">
      <c r="A70" s="147" t="s">
        <v>395</v>
      </c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  <c r="BI70" s="147"/>
      <c r="BJ70" s="147"/>
      <c r="BK70" s="147"/>
      <c r="BL70" s="147"/>
    </row>
    <row r="71" ht="14.25" customHeight="1">
      <c r="A71" s="104" t="s">
        <v>222</v>
      </c>
      <c r="B71" s="153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</row>
    <row r="72" ht="14.25" customHeight="1">
      <c r="A72" s="104" t="s">
        <v>221</v>
      </c>
      <c r="B72" s="153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</row>
    <row r="73" ht="14.25" customHeight="1">
      <c r="A73" s="104" t="s">
        <v>396</v>
      </c>
      <c r="B73" s="153"/>
      <c r="C73" s="15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</row>
    <row r="74" ht="14.25" customHeight="1">
      <c r="A74" s="104" t="s">
        <v>224</v>
      </c>
      <c r="B74" s="155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</row>
    <row r="75" ht="14.25" customHeight="1">
      <c r="A75" s="104" t="s">
        <v>223</v>
      </c>
      <c r="B75" s="155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</row>
    <row r="76" ht="14.25" customHeight="1">
      <c r="A76" s="104" t="s">
        <v>397</v>
      </c>
      <c r="B76" s="155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</row>
    <row r="77" ht="14.25" customHeight="1">
      <c r="A77" s="104" t="s">
        <v>398</v>
      </c>
      <c r="B77" s="151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</row>
    <row r="78" ht="14.25" customHeight="1">
      <c r="A78" s="104" t="s">
        <v>399</v>
      </c>
      <c r="B78" s="151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</row>
    <row r="79" ht="14.25" customHeight="1">
      <c r="A79" s="104" t="s">
        <v>400</v>
      </c>
      <c r="B79" s="151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</row>
    <row r="80" ht="14.25" customHeight="1">
      <c r="A80" s="104" t="s">
        <v>401</v>
      </c>
      <c r="B80" s="151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</row>
    <row r="81" ht="14.25" customHeight="1">
      <c r="A81" s="104" t="s">
        <v>402</v>
      </c>
      <c r="B81" s="151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</row>
    <row r="82" ht="14.25" customHeight="1">
      <c r="A82" s="104" t="s">
        <v>403</v>
      </c>
      <c r="B82" s="151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</row>
    <row r="83" ht="14.25" customHeight="1">
      <c r="A83" s="104" t="s">
        <v>404</v>
      </c>
      <c r="B83" s="153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</row>
    <row r="84" ht="14.25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04"/>
      <c r="BK84" s="104"/>
      <c r="BL84" s="104"/>
    </row>
    <row r="85" ht="14.25" customHeight="1">
      <c r="A85" s="147" t="s">
        <v>405</v>
      </c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  <c r="AW85" s="147"/>
      <c r="AX85" s="147"/>
      <c r="AY85" s="147"/>
      <c r="AZ85" s="147"/>
      <c r="BA85" s="147"/>
      <c r="BB85" s="147"/>
      <c r="BC85" s="147"/>
      <c r="BD85" s="147"/>
      <c r="BE85" s="147"/>
      <c r="BF85" s="147"/>
      <c r="BG85" s="147"/>
      <c r="BH85" s="147"/>
      <c r="BI85" s="147"/>
      <c r="BJ85" s="147"/>
      <c r="BK85" s="147"/>
      <c r="BL85" s="147"/>
    </row>
    <row r="86" ht="14.25" customHeight="1">
      <c r="A86" s="104" t="s">
        <v>406</v>
      </c>
      <c r="B86" s="156"/>
      <c r="C86" s="15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</row>
    <row r="87" ht="14.25" customHeight="1">
      <c r="A87" s="104" t="s">
        <v>407</v>
      </c>
      <c r="B87" s="156"/>
      <c r="C87" s="15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</row>
    <row r="88" ht="14.25" customHeight="1">
      <c r="A88" s="104" t="s">
        <v>408</v>
      </c>
      <c r="B88" s="156"/>
      <c r="C88" s="15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</row>
    <row r="89" ht="14.25" customHeight="1">
      <c r="A89" s="104" t="s">
        <v>409</v>
      </c>
      <c r="B89" s="156"/>
      <c r="C89" s="15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</row>
    <row r="90" ht="14.25" customHeight="1">
      <c r="A90" s="104" t="s">
        <v>410</v>
      </c>
      <c r="B90" s="157"/>
      <c r="C90" s="15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</row>
    <row r="91" ht="14.25" customHeight="1">
      <c r="A91" s="104" t="s">
        <v>411</v>
      </c>
      <c r="B91" s="104"/>
      <c r="C91" s="15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/>
  </sheetViews>
  <sheetFormatPr customHeight="1" defaultColWidth="14.43" defaultRowHeight="15.0" outlineLevelCol="1" outlineLevelRow="1"/>
  <cols>
    <col customWidth="1" min="1" max="1" width="37.71"/>
    <col customWidth="1" min="2" max="2" width="36.86"/>
    <col customWidth="1" min="3" max="3" width="27.29" outlineLevel="1"/>
    <col customWidth="1" min="4" max="6" width="31.86"/>
    <col customWidth="1" min="7" max="7" width="10.43"/>
    <col customWidth="1" min="8" max="8" width="19.86"/>
    <col customWidth="1" min="9" max="26" width="8.71"/>
  </cols>
  <sheetData>
    <row r="1" ht="14.25" customHeight="1">
      <c r="A1" s="158" t="s">
        <v>412</v>
      </c>
      <c r="B1" s="158"/>
      <c r="C1" s="158"/>
    </row>
    <row r="2" ht="14.25" customHeight="1">
      <c r="A2" s="158"/>
      <c r="B2" s="159">
        <v>2.0</v>
      </c>
      <c r="C2" s="158"/>
      <c r="D2" s="160">
        <v>1.0</v>
      </c>
      <c r="E2" s="160">
        <v>2.0</v>
      </c>
      <c r="F2" s="160">
        <v>3.0</v>
      </c>
    </row>
    <row r="3" ht="14.25" customHeight="1">
      <c r="A3" s="158"/>
      <c r="B3" s="161" t="s">
        <v>413</v>
      </c>
      <c r="C3" s="158"/>
      <c r="D3" s="162" t="s">
        <v>414</v>
      </c>
      <c r="E3" s="160"/>
      <c r="F3" s="160"/>
    </row>
    <row r="4" ht="14.25" customHeight="1">
      <c r="A4" s="163" t="s">
        <v>210</v>
      </c>
      <c r="B4" s="164"/>
      <c r="C4" s="165"/>
      <c r="D4" s="166"/>
      <c r="E4" s="164"/>
      <c r="F4" s="164"/>
    </row>
    <row r="5" ht="14.25" customHeight="1">
      <c r="A5" s="167" t="s">
        <v>202</v>
      </c>
      <c r="B5" s="168"/>
      <c r="C5" s="169"/>
      <c r="D5" s="168"/>
      <c r="E5" s="170"/>
      <c r="F5" s="170"/>
    </row>
    <row r="6" ht="14.25" customHeight="1">
      <c r="A6" s="171" t="s">
        <v>415</v>
      </c>
      <c r="B6" s="172"/>
      <c r="C6" s="169"/>
      <c r="D6" s="172"/>
      <c r="E6" s="173"/>
      <c r="F6" s="173"/>
    </row>
    <row r="7" ht="14.25" customHeight="1">
      <c r="A7" s="174" t="s">
        <v>416</v>
      </c>
      <c r="B7" s="175"/>
      <c r="C7" s="169"/>
      <c r="D7" s="175"/>
      <c r="E7" s="176"/>
      <c r="F7" s="176"/>
    </row>
    <row r="8" ht="14.25" customHeight="1">
      <c r="A8" s="171" t="s">
        <v>417</v>
      </c>
      <c r="B8" s="172"/>
      <c r="C8" s="169"/>
      <c r="D8" s="172"/>
      <c r="E8" s="173"/>
      <c r="F8" s="173"/>
    </row>
    <row r="9" ht="14.25" customHeight="1">
      <c r="A9" s="174" t="s">
        <v>418</v>
      </c>
      <c r="B9" s="175"/>
      <c r="C9" s="169"/>
      <c r="D9" s="175"/>
      <c r="E9" s="176"/>
      <c r="F9" s="176"/>
    </row>
    <row r="10" ht="14.25" customHeight="1">
      <c r="A10" s="171" t="s">
        <v>419</v>
      </c>
      <c r="B10" s="172"/>
      <c r="C10" s="169"/>
      <c r="D10" s="172"/>
      <c r="E10" s="173"/>
      <c r="F10" s="173"/>
    </row>
    <row r="11" ht="14.25" customHeight="1">
      <c r="A11" s="174" t="s">
        <v>420</v>
      </c>
      <c r="B11" s="175"/>
      <c r="C11" s="169"/>
      <c r="D11" s="175"/>
      <c r="E11" s="176"/>
      <c r="F11" s="176"/>
    </row>
    <row r="12" ht="14.25" customHeight="1">
      <c r="A12" s="171" t="s">
        <v>421</v>
      </c>
      <c r="B12" s="177"/>
      <c r="C12" s="169"/>
      <c r="D12" s="177"/>
      <c r="E12" s="178"/>
      <c r="F12" s="178"/>
    </row>
    <row r="13" ht="14.25" customHeight="1">
      <c r="A13" s="174" t="s">
        <v>422</v>
      </c>
      <c r="B13" s="175"/>
      <c r="C13" s="169"/>
      <c r="D13" s="175"/>
      <c r="E13" s="176"/>
      <c r="F13" s="176"/>
    </row>
    <row r="14" ht="14.25" customHeight="1">
      <c r="A14" s="171" t="s">
        <v>423</v>
      </c>
      <c r="B14" s="179"/>
      <c r="C14" s="169"/>
      <c r="D14" s="179"/>
      <c r="E14" s="179"/>
      <c r="F14" s="179"/>
    </row>
    <row r="15" ht="14.25" customHeight="1">
      <c r="A15" s="174" t="s">
        <v>424</v>
      </c>
      <c r="B15" s="175"/>
      <c r="C15" s="169"/>
      <c r="D15" s="175"/>
      <c r="E15" s="176"/>
      <c r="F15" s="176"/>
    </row>
    <row r="16" ht="14.25" customHeight="1">
      <c r="A16" s="171" t="s">
        <v>425</v>
      </c>
      <c r="B16" s="180"/>
      <c r="C16" s="169"/>
      <c r="D16" s="180"/>
      <c r="E16" s="180"/>
      <c r="F16" s="180"/>
    </row>
    <row r="17" ht="14.25" customHeight="1">
      <c r="A17" s="174" t="s">
        <v>210</v>
      </c>
      <c r="B17" s="181"/>
      <c r="C17" s="169"/>
      <c r="D17" s="181"/>
      <c r="E17" s="181"/>
      <c r="F17" s="181"/>
    </row>
    <row r="18" ht="14.25" customHeight="1">
      <c r="A18" s="171" t="s">
        <v>426</v>
      </c>
      <c r="B18" s="172"/>
      <c r="C18" s="169"/>
      <c r="D18" s="172"/>
      <c r="E18" s="173"/>
      <c r="F18" s="173"/>
    </row>
    <row r="19" ht="14.25" customHeight="1">
      <c r="A19" s="174" t="s">
        <v>427</v>
      </c>
      <c r="B19" s="175"/>
      <c r="C19" s="169"/>
      <c r="D19" s="175"/>
      <c r="E19" s="176"/>
      <c r="F19" s="176"/>
    </row>
    <row r="20" ht="14.25" customHeight="1">
      <c r="A20" s="171" t="s">
        <v>292</v>
      </c>
      <c r="B20" s="172"/>
      <c r="C20" s="169"/>
      <c r="D20" s="172"/>
      <c r="E20" s="173"/>
      <c r="F20" s="173"/>
    </row>
    <row r="21" ht="14.25" customHeight="1">
      <c r="A21" s="174" t="s">
        <v>428</v>
      </c>
      <c r="B21" s="175"/>
      <c r="C21" s="169"/>
      <c r="D21" s="175"/>
      <c r="E21" s="176"/>
      <c r="F21" s="176"/>
    </row>
    <row r="22" ht="14.25" customHeight="1">
      <c r="A22" s="171" t="s">
        <v>429</v>
      </c>
      <c r="B22" s="172"/>
      <c r="C22" s="169"/>
      <c r="D22" s="172"/>
      <c r="E22" s="172"/>
      <c r="F22" s="172"/>
    </row>
    <row r="23" ht="14.25" customHeight="1"/>
    <row r="24" ht="14.25" customHeight="1"/>
    <row r="25" ht="14.25" customHeight="1">
      <c r="A25" s="16" t="s">
        <v>430</v>
      </c>
    </row>
    <row r="26" ht="14.25" customHeight="1">
      <c r="A26" s="5" t="s">
        <v>431</v>
      </c>
      <c r="B26" s="116"/>
      <c r="D26" s="116"/>
      <c r="E26" s="116"/>
      <c r="F26" s="116"/>
    </row>
    <row r="27" ht="14.25" customHeight="1">
      <c r="A27" s="5" t="s">
        <v>432</v>
      </c>
      <c r="B27" s="116"/>
      <c r="D27" s="116"/>
      <c r="E27" s="116"/>
      <c r="F27" s="116"/>
    </row>
    <row r="28" ht="14.25" customHeight="1">
      <c r="A28" s="5" t="s">
        <v>433</v>
      </c>
      <c r="B28" s="116"/>
      <c r="D28" s="116"/>
      <c r="E28" s="116"/>
      <c r="F28" s="116"/>
    </row>
    <row r="29" ht="14.25" customHeight="1"/>
    <row r="30" ht="14.25" customHeight="1"/>
    <row r="31" ht="14.25" customHeight="1"/>
    <row r="32" ht="14.25" customHeight="1">
      <c r="A32" s="16" t="s">
        <v>434</v>
      </c>
    </row>
    <row r="33" ht="14.25" customHeight="1">
      <c r="A33" s="163"/>
      <c r="B33" s="164" t="s">
        <v>435</v>
      </c>
      <c r="C33" s="165"/>
      <c r="D33" s="166" t="str">
        <f t="shared" ref="D33:F33" si="1">D4</f>
        <v/>
      </c>
      <c r="E33" s="164" t="str">
        <f t="shared" si="1"/>
        <v/>
      </c>
      <c r="F33" s="164" t="str">
        <f t="shared" si="1"/>
        <v/>
      </c>
      <c r="H33" s="164" t="s">
        <v>436</v>
      </c>
    </row>
    <row r="34" ht="14.25" hidden="1" customHeight="1" outlineLevel="1">
      <c r="C34" s="50"/>
      <c r="D34" s="50">
        <f t="shared" ref="D34:F34" si="2">D2</f>
        <v>1</v>
      </c>
      <c r="E34" s="50">
        <f t="shared" si="2"/>
        <v>2</v>
      </c>
      <c r="F34" s="50">
        <f t="shared" si="2"/>
        <v>3</v>
      </c>
      <c r="H34" s="50"/>
    </row>
    <row r="35" ht="14.25" customHeight="1" collapsed="1">
      <c r="A35" s="5" t="s">
        <v>437</v>
      </c>
      <c r="B35" s="182"/>
      <c r="C35" s="183"/>
      <c r="D35" s="182"/>
      <c r="E35" s="182"/>
      <c r="F35" s="182"/>
      <c r="H35" s="182"/>
    </row>
    <row r="36" ht="14.25" customHeight="1">
      <c r="A36" s="5" t="s">
        <v>438</v>
      </c>
      <c r="B36" s="184"/>
      <c r="C36" s="185"/>
      <c r="D36" s="184"/>
      <c r="E36" s="184"/>
      <c r="F36" s="184"/>
      <c r="H36" s="182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">
      <formula1>$D$2:$F$2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/>
  </sheetViews>
  <sheetFormatPr customHeight="1" defaultColWidth="14.43" defaultRowHeight="15.0"/>
  <cols>
    <col customWidth="1" min="1" max="1" width="38.14"/>
    <col customWidth="1" min="2" max="2" width="23.57"/>
    <col customWidth="1" min="3" max="3" width="36.43"/>
    <col customWidth="1" min="4" max="4" width="8.71"/>
    <col customWidth="1" min="5" max="5" width="10.71"/>
    <col customWidth="1" min="6" max="26" width="8.71"/>
  </cols>
  <sheetData>
    <row r="1" ht="14.25" customHeight="1">
      <c r="A1" s="58" t="s">
        <v>439</v>
      </c>
    </row>
    <row r="2" ht="14.25" customHeight="1"/>
    <row r="3" ht="14.25" customHeight="1">
      <c r="A3" s="3" t="s">
        <v>440</v>
      </c>
      <c r="B3" s="4"/>
      <c r="C3" s="4"/>
    </row>
    <row r="4" ht="14.25" customHeight="1">
      <c r="A4" s="5" t="s">
        <v>441</v>
      </c>
      <c r="B4" s="186"/>
      <c r="C4" s="7"/>
    </row>
    <row r="5" ht="14.25" customHeight="1">
      <c r="A5" s="5" t="s">
        <v>442</v>
      </c>
      <c r="B5" s="44"/>
      <c r="C5" s="7"/>
      <c r="E5" s="102"/>
    </row>
    <row r="6" ht="14.25" customHeight="1">
      <c r="A6" s="5" t="s">
        <v>15</v>
      </c>
      <c r="B6" s="123"/>
    </row>
    <row r="7" ht="14.25" customHeight="1">
      <c r="A7" s="16" t="s">
        <v>443</v>
      </c>
      <c r="B7" s="17"/>
    </row>
    <row r="8" ht="14.25" customHeight="1">
      <c r="A8" s="5" t="s">
        <v>444</v>
      </c>
      <c r="B8" s="100"/>
    </row>
    <row r="9" ht="14.25" customHeight="1">
      <c r="A9" s="5" t="s">
        <v>445</v>
      </c>
      <c r="B9" s="44"/>
    </row>
    <row r="10" ht="14.25" customHeight="1">
      <c r="A10" s="16" t="s">
        <v>446</v>
      </c>
      <c r="B10" s="78"/>
    </row>
    <row r="11" ht="14.25" customHeight="1"/>
    <row r="12" ht="14.25" customHeight="1">
      <c r="A12" s="3" t="s">
        <v>447</v>
      </c>
      <c r="B12" s="4"/>
      <c r="C12" s="4"/>
    </row>
    <row r="13" ht="14.25" customHeight="1">
      <c r="A13" s="5" t="s">
        <v>448</v>
      </c>
      <c r="B13" s="44"/>
    </row>
    <row r="14" ht="14.25" customHeight="1">
      <c r="A14" s="5" t="s">
        <v>449</v>
      </c>
      <c r="B14" s="44"/>
    </row>
    <row r="15" ht="14.25" customHeight="1">
      <c r="A15" s="5" t="s">
        <v>450</v>
      </c>
      <c r="B15" s="44"/>
      <c r="C15" s="7"/>
    </row>
    <row r="16" ht="14.25" customHeight="1">
      <c r="A16" s="5" t="s">
        <v>451</v>
      </c>
      <c r="B16" s="44"/>
    </row>
    <row r="17" ht="14.25" customHeight="1">
      <c r="A17" s="16" t="s">
        <v>452</v>
      </c>
      <c r="B17" s="17"/>
    </row>
    <row r="18" ht="14.25" customHeight="1">
      <c r="A18" s="16" t="s">
        <v>453</v>
      </c>
      <c r="B18" s="187"/>
    </row>
    <row r="19" ht="14.25" customHeight="1">
      <c r="A19" s="16"/>
      <c r="B19" s="187"/>
    </row>
    <row r="20" ht="14.25" customHeight="1"/>
    <row r="21" ht="14.25" customHeight="1">
      <c r="A21" s="188" t="s">
        <v>405</v>
      </c>
      <c r="B21" s="189"/>
      <c r="C21" s="189"/>
    </row>
    <row r="22" ht="14.25" customHeight="1">
      <c r="A22" s="5" t="s">
        <v>454</v>
      </c>
      <c r="B22" s="88"/>
      <c r="C22" s="190"/>
    </row>
    <row r="23" ht="14.25" customHeight="1">
      <c r="A23" s="5" t="s">
        <v>455</v>
      </c>
      <c r="B23" s="44"/>
      <c r="C23" s="190"/>
    </row>
    <row r="24" ht="14.25" customHeight="1">
      <c r="A24" s="5" t="s">
        <v>456</v>
      </c>
      <c r="B24" s="44"/>
      <c r="C24" s="190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14.0"/>
    <col customWidth="1" min="4" max="4" width="6.0"/>
    <col customWidth="1" min="5" max="5" width="10.0"/>
    <col customWidth="1" min="6" max="6" width="12.0"/>
    <col customWidth="1" min="7" max="7" width="14.0"/>
    <col customWidth="1" min="8" max="8" width="10.0"/>
    <col customWidth="1" min="9" max="10" width="8.71"/>
    <col customWidth="1" min="11" max="11" width="14.0"/>
    <col customWidth="1" min="12" max="12" width="45.0"/>
    <col customWidth="1" min="13" max="26" width="8.71"/>
  </cols>
  <sheetData>
    <row r="1" ht="14.25" customHeight="1">
      <c r="A1" s="127" t="s">
        <v>84</v>
      </c>
      <c r="B1" s="127" t="s">
        <v>169</v>
      </c>
      <c r="C1" s="127" t="s">
        <v>170</v>
      </c>
      <c r="D1" s="127" t="s">
        <v>457</v>
      </c>
      <c r="E1" s="127" t="s">
        <v>88</v>
      </c>
      <c r="F1" s="127" t="s">
        <v>458</v>
      </c>
      <c r="G1" s="127" t="s">
        <v>459</v>
      </c>
      <c r="H1" s="127" t="s">
        <v>460</v>
      </c>
      <c r="I1" s="127" t="s">
        <v>461</v>
      </c>
      <c r="J1" s="127" t="s">
        <v>462</v>
      </c>
      <c r="K1" s="127" t="s">
        <v>463</v>
      </c>
      <c r="L1" s="127" t="s">
        <v>464</v>
      </c>
      <c r="M1" s="127" t="s">
        <v>465</v>
      </c>
    </row>
    <row r="2" ht="14.25" customHeight="1">
      <c r="A2" s="104">
        <v>1.0</v>
      </c>
      <c r="B2" s="104"/>
      <c r="C2" s="104"/>
      <c r="D2" s="104"/>
      <c r="E2" s="106"/>
      <c r="F2" s="191"/>
      <c r="G2" s="192"/>
      <c r="H2" s="193"/>
      <c r="I2" s="194"/>
      <c r="J2" s="194"/>
      <c r="K2" s="104"/>
      <c r="L2" s="195"/>
      <c r="M2" s="104"/>
    </row>
    <row r="3" ht="14.25" customHeight="1">
      <c r="A3" s="104">
        <v>2.0</v>
      </c>
      <c r="B3" s="104"/>
      <c r="C3" s="104"/>
      <c r="D3" s="104"/>
      <c r="E3" s="106"/>
      <c r="F3" s="191"/>
      <c r="G3" s="192"/>
      <c r="H3" s="193"/>
      <c r="I3" s="194"/>
      <c r="J3" s="194"/>
      <c r="K3" s="104"/>
      <c r="L3" s="195"/>
      <c r="M3" s="104"/>
    </row>
    <row r="4" ht="14.25" customHeight="1">
      <c r="A4" s="104">
        <v>3.0</v>
      </c>
      <c r="B4" s="104"/>
      <c r="C4" s="104"/>
      <c r="D4" s="104"/>
      <c r="E4" s="106"/>
      <c r="F4" s="191"/>
      <c r="G4" s="192"/>
      <c r="H4" s="193"/>
      <c r="I4" s="194"/>
      <c r="J4" s="194"/>
      <c r="K4" s="104"/>
      <c r="L4" s="195"/>
      <c r="M4" s="104"/>
    </row>
    <row r="5" ht="14.25" customHeight="1">
      <c r="A5" s="104">
        <v>4.0</v>
      </c>
      <c r="B5" s="104"/>
      <c r="C5" s="104"/>
      <c r="D5" s="104"/>
      <c r="E5" s="106"/>
      <c r="F5" s="191"/>
      <c r="G5" s="192"/>
      <c r="H5" s="193"/>
      <c r="I5" s="194"/>
      <c r="J5" s="194"/>
      <c r="K5" s="104"/>
      <c r="L5" s="195"/>
      <c r="M5" s="104"/>
    </row>
    <row r="6" ht="14.25" customHeight="1">
      <c r="A6" s="104">
        <v>5.0</v>
      </c>
      <c r="B6" s="104"/>
      <c r="C6" s="104"/>
      <c r="D6" s="104"/>
      <c r="E6" s="106"/>
      <c r="F6" s="191"/>
      <c r="G6" s="192"/>
      <c r="H6" s="193"/>
      <c r="I6" s="194"/>
      <c r="J6" s="194"/>
      <c r="K6" s="104"/>
      <c r="L6" s="195"/>
      <c r="M6" s="104"/>
    </row>
    <row r="7" ht="14.25" customHeight="1">
      <c r="A7" s="104">
        <v>6.0</v>
      </c>
      <c r="B7" s="104"/>
      <c r="C7" s="104"/>
      <c r="D7" s="104"/>
      <c r="E7" s="106"/>
      <c r="F7" s="191"/>
      <c r="G7" s="192"/>
      <c r="H7" s="193"/>
      <c r="I7" s="194"/>
      <c r="J7" s="194"/>
      <c r="K7" s="104"/>
      <c r="L7" s="195"/>
      <c r="M7" s="104"/>
    </row>
    <row r="8" ht="14.25" customHeight="1">
      <c r="A8" s="104">
        <v>7.0</v>
      </c>
      <c r="B8" s="104"/>
      <c r="C8" s="104"/>
      <c r="D8" s="104"/>
      <c r="E8" s="106"/>
      <c r="F8" s="191"/>
      <c r="G8" s="192"/>
      <c r="H8" s="193"/>
      <c r="I8" s="194"/>
      <c r="J8" s="194"/>
      <c r="K8" s="104"/>
      <c r="L8" s="195"/>
      <c r="M8" s="104"/>
    </row>
    <row r="9" ht="14.25" customHeight="1">
      <c r="A9" s="104">
        <v>8.0</v>
      </c>
      <c r="B9" s="104"/>
      <c r="C9" s="104"/>
      <c r="D9" s="104"/>
      <c r="E9" s="106"/>
      <c r="F9" s="191"/>
      <c r="G9" s="192"/>
      <c r="H9" s="193"/>
      <c r="I9" s="194"/>
      <c r="J9" s="194"/>
      <c r="K9" s="104"/>
      <c r="L9" s="195"/>
      <c r="M9" s="104"/>
    </row>
    <row r="10" ht="14.25" customHeight="1">
      <c r="A10" s="104">
        <v>9.0</v>
      </c>
      <c r="B10" s="104"/>
      <c r="C10" s="104"/>
      <c r="D10" s="104"/>
      <c r="E10" s="106"/>
      <c r="F10" s="191"/>
      <c r="G10" s="192"/>
      <c r="H10" s="193"/>
      <c r="I10" s="194"/>
      <c r="J10" s="194"/>
      <c r="K10" s="104"/>
      <c r="L10" s="195"/>
      <c r="M10" s="104"/>
    </row>
    <row r="11" ht="14.25" customHeight="1">
      <c r="A11" s="104">
        <v>10.0</v>
      </c>
      <c r="B11" s="104"/>
      <c r="C11" s="104"/>
      <c r="D11" s="104"/>
      <c r="E11" s="106"/>
      <c r="F11" s="191"/>
      <c r="G11" s="192"/>
      <c r="H11" s="193"/>
      <c r="I11" s="194"/>
      <c r="J11" s="194"/>
      <c r="K11" s="104"/>
      <c r="L11" s="195"/>
      <c r="M11" s="104"/>
    </row>
    <row r="12" ht="14.25" customHeight="1">
      <c r="A12" s="104">
        <v>11.0</v>
      </c>
      <c r="B12" s="104"/>
      <c r="C12" s="104"/>
      <c r="D12" s="104"/>
      <c r="E12" s="106"/>
      <c r="F12" s="191"/>
      <c r="G12" s="192"/>
      <c r="H12" s="193"/>
      <c r="I12" s="194"/>
      <c r="J12" s="194"/>
      <c r="K12" s="104"/>
      <c r="L12" s="195"/>
      <c r="M12" s="104"/>
    </row>
    <row r="13" ht="14.25" customHeight="1">
      <c r="A13" s="104">
        <v>12.0</v>
      </c>
      <c r="B13" s="104"/>
      <c r="C13" s="104"/>
      <c r="D13" s="104"/>
      <c r="E13" s="106"/>
      <c r="F13" s="191"/>
      <c r="G13" s="192"/>
      <c r="H13" s="193"/>
      <c r="I13" s="194"/>
      <c r="J13" s="194"/>
      <c r="K13" s="104"/>
      <c r="L13" s="195"/>
      <c r="M13" s="104"/>
    </row>
    <row r="14" ht="14.25" customHeight="1">
      <c r="A14" s="104">
        <v>13.0</v>
      </c>
      <c r="B14" s="104"/>
      <c r="C14" s="104"/>
      <c r="D14" s="104"/>
      <c r="E14" s="106"/>
      <c r="F14" s="191"/>
      <c r="G14" s="192"/>
      <c r="H14" s="193"/>
      <c r="I14" s="196"/>
      <c r="J14" s="194"/>
      <c r="K14" s="104"/>
      <c r="L14" s="195"/>
      <c r="M14" s="104"/>
    </row>
    <row r="15" ht="14.25" customHeight="1">
      <c r="A15" s="104">
        <v>14.0</v>
      </c>
      <c r="B15" s="104"/>
      <c r="C15" s="104"/>
      <c r="D15" s="104"/>
      <c r="E15" s="106"/>
      <c r="F15" s="191"/>
      <c r="G15" s="192"/>
      <c r="H15" s="193"/>
      <c r="I15" s="196"/>
      <c r="J15" s="194"/>
      <c r="K15" s="104"/>
      <c r="L15" s="195"/>
      <c r="M15" s="104"/>
    </row>
    <row r="16" ht="14.25" customHeight="1">
      <c r="A16" s="104">
        <v>15.0</v>
      </c>
      <c r="B16" s="104"/>
      <c r="C16" s="104"/>
      <c r="D16" s="104"/>
      <c r="E16" s="106"/>
      <c r="F16" s="191"/>
      <c r="G16" s="192"/>
      <c r="H16" s="193"/>
      <c r="I16" s="194"/>
      <c r="J16" s="194"/>
      <c r="K16" s="104"/>
      <c r="L16" s="195"/>
      <c r="M16" s="104"/>
    </row>
    <row r="17" ht="14.25" customHeight="1">
      <c r="A17" s="104">
        <v>16.0</v>
      </c>
      <c r="B17" s="104"/>
      <c r="C17" s="104"/>
      <c r="D17" s="104"/>
      <c r="E17" s="106"/>
      <c r="F17" s="191"/>
      <c r="G17" s="192"/>
      <c r="H17" s="193"/>
      <c r="I17" s="194"/>
      <c r="J17" s="194"/>
      <c r="K17" s="104"/>
      <c r="L17" s="195"/>
      <c r="M17" s="104"/>
    </row>
    <row r="18" ht="14.25" customHeight="1">
      <c r="A18" s="104">
        <v>17.0</v>
      </c>
      <c r="B18" s="104"/>
      <c r="C18" s="104"/>
      <c r="D18" s="104"/>
      <c r="E18" s="106"/>
      <c r="F18" s="191"/>
      <c r="G18" s="192"/>
      <c r="H18" s="193"/>
      <c r="I18" s="194"/>
      <c r="J18" s="194"/>
      <c r="K18" s="104"/>
      <c r="L18" s="195"/>
      <c r="M18" s="104"/>
    </row>
    <row r="19" ht="14.25" customHeight="1">
      <c r="A19" s="104">
        <v>18.0</v>
      </c>
      <c r="B19" s="104"/>
      <c r="C19" s="104"/>
      <c r="D19" s="104"/>
      <c r="E19" s="106"/>
      <c r="F19" s="191"/>
      <c r="G19" s="192"/>
      <c r="H19" s="193"/>
      <c r="I19" s="196"/>
      <c r="J19" s="196"/>
      <c r="K19" s="104"/>
      <c r="L19" s="195"/>
      <c r="M19" s="104"/>
    </row>
    <row r="20" ht="14.25" customHeight="1">
      <c r="A20" s="104">
        <v>19.0</v>
      </c>
      <c r="B20" s="104"/>
      <c r="C20" s="104"/>
      <c r="D20" s="104"/>
      <c r="E20" s="106"/>
      <c r="F20" s="191"/>
      <c r="G20" s="196"/>
      <c r="H20" s="196"/>
      <c r="I20" s="196"/>
      <c r="J20" s="194"/>
      <c r="K20" s="104"/>
      <c r="L20" s="195"/>
      <c r="M20" s="104"/>
    </row>
    <row r="21" ht="14.25" customHeight="1">
      <c r="A21" s="104">
        <v>20.0</v>
      </c>
      <c r="B21" s="104"/>
      <c r="C21" s="104"/>
      <c r="D21" s="104"/>
      <c r="E21" s="106"/>
      <c r="F21" s="191"/>
      <c r="G21" s="192"/>
      <c r="H21" s="193"/>
      <c r="I21" s="196"/>
      <c r="J21" s="194"/>
      <c r="K21" s="104"/>
      <c r="L21" s="195"/>
      <c r="M21" s="104"/>
    </row>
    <row r="22" ht="14.25" customHeight="1">
      <c r="A22" s="104">
        <v>21.0</v>
      </c>
      <c r="B22" s="104"/>
      <c r="C22" s="104"/>
      <c r="D22" s="104"/>
      <c r="E22" s="106"/>
      <c r="F22" s="191"/>
      <c r="G22" s="192"/>
      <c r="H22" s="193"/>
      <c r="I22" s="196"/>
      <c r="J22" s="196"/>
      <c r="K22" s="104"/>
      <c r="L22" s="195"/>
      <c r="M22" s="104"/>
    </row>
    <row r="23" ht="14.25" customHeight="1">
      <c r="A23" s="104">
        <v>22.0</v>
      </c>
      <c r="B23" s="104"/>
      <c r="C23" s="104"/>
      <c r="D23" s="104"/>
      <c r="E23" s="106"/>
      <c r="F23" s="191"/>
      <c r="G23" s="192"/>
      <c r="H23" s="193"/>
      <c r="I23" s="194"/>
      <c r="J23" s="194"/>
      <c r="K23" s="104"/>
      <c r="L23" s="195"/>
      <c r="M23" s="104"/>
    </row>
    <row r="24" ht="14.25" customHeight="1">
      <c r="A24" s="104">
        <v>23.0</v>
      </c>
      <c r="B24" s="104"/>
      <c r="C24" s="104"/>
      <c r="D24" s="104"/>
      <c r="E24" s="106"/>
      <c r="F24" s="191"/>
      <c r="G24" s="192"/>
      <c r="H24" s="193"/>
      <c r="I24" s="194"/>
      <c r="J24" s="194"/>
      <c r="K24" s="104"/>
      <c r="L24" s="195"/>
      <c r="M24" s="104"/>
    </row>
    <row r="25" ht="14.25" customHeight="1">
      <c r="A25" s="104">
        <v>24.0</v>
      </c>
      <c r="B25" s="104"/>
      <c r="C25" s="104"/>
      <c r="D25" s="104"/>
      <c r="E25" s="106"/>
      <c r="F25" s="191"/>
      <c r="G25" s="192"/>
      <c r="H25" s="193"/>
      <c r="I25" s="194"/>
      <c r="J25" s="194"/>
      <c r="K25" s="104"/>
      <c r="L25" s="195"/>
      <c r="M25" s="104"/>
    </row>
    <row r="26" ht="14.25" customHeight="1">
      <c r="A26" s="104">
        <v>25.0</v>
      </c>
      <c r="B26" s="104"/>
      <c r="C26" s="104"/>
      <c r="D26" s="104"/>
      <c r="E26" s="106"/>
      <c r="F26" s="191"/>
      <c r="G26" s="192"/>
      <c r="H26" s="193"/>
      <c r="I26" s="194"/>
      <c r="J26" s="194"/>
      <c r="K26" s="104"/>
      <c r="L26" s="195"/>
      <c r="M26" s="104"/>
    </row>
    <row r="27" ht="14.25" customHeight="1">
      <c r="A27" s="197" t="s">
        <v>466</v>
      </c>
      <c r="B27" s="198"/>
      <c r="C27" s="198"/>
      <c r="D27" s="198"/>
      <c r="E27" s="199"/>
      <c r="F27" s="198"/>
      <c r="G27" s="200"/>
      <c r="H27" s="201"/>
      <c r="I27" s="202"/>
      <c r="J27" s="202"/>
      <c r="K27" s="198"/>
      <c r="L27" s="203"/>
      <c r="M27" s="204"/>
    </row>
    <row r="28" ht="14.25" customHeight="1">
      <c r="A28" s="197" t="s">
        <v>467</v>
      </c>
      <c r="B28" s="198"/>
      <c r="C28" s="198"/>
      <c r="D28" s="198"/>
      <c r="E28" s="199"/>
      <c r="F28" s="198"/>
      <c r="G28" s="200"/>
      <c r="H28" s="201"/>
      <c r="I28" s="202"/>
      <c r="J28" s="202"/>
      <c r="K28" s="198"/>
      <c r="L28" s="203"/>
      <c r="M28" s="204"/>
    </row>
    <row r="29" ht="14.25" customHeight="1">
      <c r="A29" s="205" t="s">
        <v>468</v>
      </c>
      <c r="B29" s="206"/>
      <c r="C29" s="206"/>
      <c r="D29" s="206"/>
      <c r="E29" s="207"/>
      <c r="F29" s="206"/>
      <c r="G29" s="208"/>
      <c r="H29" s="209"/>
      <c r="I29" s="210"/>
      <c r="J29" s="211"/>
      <c r="K29" s="206"/>
      <c r="L29" s="212"/>
      <c r="M29" s="213"/>
    </row>
    <row r="30" ht="14.25" customHeight="1">
      <c r="A30" s="214" t="s">
        <v>469</v>
      </c>
      <c r="B30" s="215"/>
      <c r="C30" s="215"/>
      <c r="D30" s="215"/>
      <c r="E30" s="216"/>
      <c r="F30" s="215"/>
      <c r="G30" s="217"/>
      <c r="H30" s="218"/>
      <c r="I30" s="219"/>
      <c r="J30" s="219"/>
      <c r="K30" s="215"/>
      <c r="L30" s="220"/>
      <c r="M30" s="221"/>
    </row>
    <row r="31" ht="14.25" customHeight="1"/>
    <row r="32" ht="14.25" customHeight="1"/>
    <row r="33" ht="14.25" customHeight="1">
      <c r="B33" s="94" t="s">
        <v>470</v>
      </c>
    </row>
    <row r="34" ht="14.25" customHeight="1">
      <c r="B34" s="104" t="s">
        <v>471</v>
      </c>
    </row>
    <row r="35" ht="14.25" customHeight="1">
      <c r="B35" s="222" t="s">
        <v>472</v>
      </c>
      <c r="D35" s="5" t="s">
        <v>473</v>
      </c>
    </row>
    <row r="36" ht="14.25" customHeight="1">
      <c r="B36" s="223" t="s">
        <v>474</v>
      </c>
      <c r="D36" s="5" t="s">
        <v>475</v>
      </c>
    </row>
    <row r="37" ht="14.25" customHeight="1">
      <c r="B37" s="224" t="s">
        <v>476</v>
      </c>
      <c r="D37" s="5" t="s">
        <v>477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2:M30">
    <cfRule type="expression" dxfId="0" priority="1">
      <formula>$M2=4</formula>
    </cfRule>
  </conditionalFormatting>
  <conditionalFormatting sqref="A2:M30">
    <cfRule type="expression" dxfId="1" priority="2">
      <formula>$M2=3</formula>
    </cfRule>
  </conditionalFormatting>
  <conditionalFormatting sqref="A2:M30">
    <cfRule type="expression" dxfId="2" priority="3">
      <formula>$M2=2</formula>
    </cfRule>
  </conditionalFormatting>
  <dataValidations>
    <dataValidation type="list" allowBlank="1" showErrorMessage="1" sqref="M2:M26">
      <formula1>"1,2,3,4"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13.0"/>
    <col customWidth="1" min="4" max="4" width="22.0"/>
    <col customWidth="1" min="5" max="5" width="8.0"/>
    <col customWidth="1" min="6" max="6" width="11.0"/>
    <col customWidth="1" min="7" max="7" width="8.0"/>
    <col customWidth="1" min="8" max="8" width="12.0"/>
    <col customWidth="1" min="9" max="10" width="8.71"/>
    <col customWidth="1" min="11" max="11" width="10.0"/>
    <col customWidth="1" min="12" max="12" width="45.0"/>
    <col customWidth="1" min="13" max="26" width="8.71"/>
  </cols>
  <sheetData>
    <row r="1" ht="25.5" customHeight="1">
      <c r="A1" s="127" t="s">
        <v>84</v>
      </c>
      <c r="B1" s="127" t="s">
        <v>169</v>
      </c>
      <c r="C1" s="127" t="s">
        <v>170</v>
      </c>
      <c r="D1" s="127" t="s">
        <v>85</v>
      </c>
      <c r="E1" s="127" t="s">
        <v>88</v>
      </c>
      <c r="F1" s="127" t="s">
        <v>478</v>
      </c>
      <c r="G1" s="127" t="s">
        <v>479</v>
      </c>
      <c r="H1" s="127" t="s">
        <v>480</v>
      </c>
      <c r="I1" s="127" t="s">
        <v>481</v>
      </c>
      <c r="J1" s="127" t="s">
        <v>138</v>
      </c>
      <c r="K1" s="127" t="s">
        <v>482</v>
      </c>
      <c r="L1" s="127" t="s">
        <v>464</v>
      </c>
      <c r="M1" s="127" t="s">
        <v>465</v>
      </c>
    </row>
    <row r="2" ht="14.25" customHeight="1">
      <c r="A2" s="222">
        <v>1.0</v>
      </c>
      <c r="B2" s="222"/>
      <c r="C2" s="222"/>
      <c r="D2" s="222"/>
      <c r="E2" s="225"/>
      <c r="F2" s="222"/>
      <c r="G2" s="222"/>
      <c r="H2" s="226"/>
      <c r="I2" s="227"/>
      <c r="J2" s="225"/>
      <c r="K2" s="225"/>
      <c r="L2" s="228"/>
      <c r="M2" s="104"/>
      <c r="Q2" s="102"/>
    </row>
    <row r="3" ht="14.25" customHeight="1">
      <c r="A3" s="104">
        <v>2.0</v>
      </c>
      <c r="B3" s="104"/>
      <c r="C3" s="104"/>
      <c r="D3" s="104"/>
      <c r="E3" s="106"/>
      <c r="F3" s="104"/>
      <c r="G3" s="104"/>
      <c r="H3" s="229"/>
      <c r="I3" s="230"/>
      <c r="J3" s="106"/>
      <c r="K3" s="106"/>
      <c r="L3" s="126"/>
      <c r="M3" s="104"/>
      <c r="Q3" s="102"/>
    </row>
    <row r="4" ht="14.25" customHeight="1">
      <c r="A4" s="104">
        <v>3.0</v>
      </c>
      <c r="B4" s="104"/>
      <c r="C4" s="104"/>
      <c r="D4" s="104"/>
      <c r="E4" s="106"/>
      <c r="F4" s="104"/>
      <c r="G4" s="104"/>
      <c r="H4" s="229"/>
      <c r="I4" s="230"/>
      <c r="J4" s="106"/>
      <c r="K4" s="106"/>
      <c r="L4" s="126"/>
      <c r="M4" s="104"/>
      <c r="Q4" s="102"/>
    </row>
    <row r="5" ht="14.25" customHeight="1">
      <c r="A5" s="104">
        <v>4.0</v>
      </c>
      <c r="B5" s="104"/>
      <c r="C5" s="104"/>
      <c r="D5" s="104"/>
      <c r="E5" s="106"/>
      <c r="F5" s="104"/>
      <c r="G5" s="104"/>
      <c r="H5" s="229"/>
      <c r="I5" s="230"/>
      <c r="J5" s="106"/>
      <c r="K5" s="106"/>
      <c r="L5" s="126"/>
      <c r="M5" s="104"/>
      <c r="Q5" s="102"/>
    </row>
    <row r="6" ht="14.25" customHeight="1">
      <c r="A6" s="104">
        <v>5.0</v>
      </c>
      <c r="B6" s="104"/>
      <c r="C6" s="104"/>
      <c r="D6" s="104"/>
      <c r="E6" s="106"/>
      <c r="F6" s="104"/>
      <c r="G6" s="104"/>
      <c r="H6" s="229"/>
      <c r="I6" s="230"/>
      <c r="J6" s="106"/>
      <c r="K6" s="106"/>
      <c r="L6" s="126"/>
      <c r="M6" s="104"/>
      <c r="Q6" s="102"/>
    </row>
    <row r="7" ht="14.25" customHeight="1">
      <c r="A7" s="104">
        <v>6.0</v>
      </c>
      <c r="B7" s="104"/>
      <c r="C7" s="104"/>
      <c r="D7" s="104"/>
      <c r="E7" s="106"/>
      <c r="F7" s="104"/>
      <c r="G7" s="104"/>
      <c r="H7" s="229"/>
      <c r="I7" s="230"/>
      <c r="J7" s="106"/>
      <c r="K7" s="106"/>
      <c r="L7" s="126"/>
      <c r="M7" s="104"/>
      <c r="Q7" s="102"/>
    </row>
    <row r="8" ht="14.25" customHeight="1">
      <c r="A8" s="104">
        <v>7.0</v>
      </c>
      <c r="B8" s="104"/>
      <c r="C8" s="104"/>
      <c r="D8" s="104"/>
      <c r="E8" s="106"/>
      <c r="F8" s="104"/>
      <c r="G8" s="104"/>
      <c r="H8" s="229"/>
      <c r="I8" s="230"/>
      <c r="J8" s="106"/>
      <c r="K8" s="106"/>
      <c r="L8" s="126"/>
      <c r="M8" s="104"/>
      <c r="Q8" s="102"/>
    </row>
    <row r="9" ht="14.25" customHeight="1">
      <c r="A9" s="104">
        <v>8.0</v>
      </c>
      <c r="B9" s="104"/>
      <c r="C9" s="104"/>
      <c r="D9" s="104"/>
      <c r="E9" s="106"/>
      <c r="F9" s="104"/>
      <c r="G9" s="104"/>
      <c r="H9" s="229"/>
      <c r="I9" s="230"/>
      <c r="J9" s="106"/>
      <c r="K9" s="106"/>
      <c r="L9" s="126"/>
      <c r="M9" s="104"/>
      <c r="Q9" s="102"/>
    </row>
    <row r="10" ht="14.25" customHeight="1">
      <c r="A10" s="104">
        <v>9.0</v>
      </c>
      <c r="B10" s="104"/>
      <c r="C10" s="104"/>
      <c r="D10" s="104"/>
      <c r="E10" s="106"/>
      <c r="F10" s="104"/>
      <c r="G10" s="104"/>
      <c r="H10" s="229"/>
      <c r="I10" s="230"/>
      <c r="J10" s="106"/>
      <c r="K10" s="106"/>
      <c r="L10" s="126"/>
      <c r="M10" s="104"/>
      <c r="Q10" s="102"/>
    </row>
    <row r="11" ht="14.25" customHeight="1">
      <c r="A11" s="104">
        <v>10.0</v>
      </c>
      <c r="B11" s="104"/>
      <c r="C11" s="104"/>
      <c r="D11" s="104"/>
      <c r="E11" s="106"/>
      <c r="F11" s="104"/>
      <c r="G11" s="104"/>
      <c r="H11" s="229"/>
      <c r="I11" s="230"/>
      <c r="J11" s="106"/>
      <c r="K11" s="106"/>
      <c r="L11" s="126"/>
      <c r="M11" s="104"/>
      <c r="Q11" s="102"/>
    </row>
    <row r="12" ht="14.25" customHeight="1">
      <c r="A12" s="104">
        <v>11.0</v>
      </c>
      <c r="B12" s="104"/>
      <c r="C12" s="104"/>
      <c r="D12" s="104"/>
      <c r="E12" s="106"/>
      <c r="F12" s="104"/>
      <c r="G12" s="104"/>
      <c r="H12" s="229"/>
      <c r="I12" s="230"/>
      <c r="J12" s="106"/>
      <c r="K12" s="106"/>
      <c r="L12" s="126"/>
      <c r="M12" s="104"/>
      <c r="Q12" s="102"/>
    </row>
    <row r="13" ht="14.25" customHeight="1">
      <c r="A13" s="104">
        <v>12.0</v>
      </c>
      <c r="B13" s="104"/>
      <c r="C13" s="104"/>
      <c r="D13" s="104"/>
      <c r="E13" s="106"/>
      <c r="F13" s="104"/>
      <c r="G13" s="104"/>
      <c r="H13" s="229"/>
      <c r="I13" s="230"/>
      <c r="J13" s="106"/>
      <c r="K13" s="106"/>
      <c r="L13" s="126"/>
      <c r="M13" s="104"/>
      <c r="Q13" s="102"/>
    </row>
    <row r="14" ht="14.25" customHeight="1">
      <c r="A14" s="104">
        <v>13.0</v>
      </c>
      <c r="B14" s="104"/>
      <c r="C14" s="104"/>
      <c r="D14" s="104"/>
      <c r="E14" s="106"/>
      <c r="F14" s="104"/>
      <c r="G14" s="104"/>
      <c r="H14" s="229"/>
      <c r="I14" s="230"/>
      <c r="J14" s="106"/>
      <c r="K14" s="106"/>
      <c r="L14" s="126"/>
      <c r="M14" s="104"/>
      <c r="Q14" s="102"/>
    </row>
    <row r="15" ht="14.25" customHeight="1">
      <c r="A15" s="104">
        <v>14.0</v>
      </c>
      <c r="B15" s="104"/>
      <c r="C15" s="104"/>
      <c r="D15" s="104"/>
      <c r="E15" s="106"/>
      <c r="F15" s="104"/>
      <c r="G15" s="104"/>
      <c r="H15" s="229"/>
      <c r="I15" s="230"/>
      <c r="J15" s="106"/>
      <c r="K15" s="106"/>
      <c r="L15" s="126"/>
      <c r="M15" s="104"/>
      <c r="Q15" s="102"/>
    </row>
    <row r="16" ht="14.25" customHeight="1">
      <c r="A16" s="104">
        <v>15.0</v>
      </c>
      <c r="B16" s="104"/>
      <c r="C16" s="104"/>
      <c r="D16" s="104"/>
      <c r="E16" s="106"/>
      <c r="F16" s="104"/>
      <c r="G16" s="104"/>
      <c r="H16" s="229"/>
      <c r="I16" s="230"/>
      <c r="J16" s="106"/>
      <c r="K16" s="106"/>
      <c r="L16" s="126"/>
      <c r="M16" s="104"/>
      <c r="Q16" s="102"/>
    </row>
    <row r="17" ht="14.25" customHeight="1">
      <c r="A17" s="104">
        <v>16.0</v>
      </c>
      <c r="B17" s="104"/>
      <c r="C17" s="104"/>
      <c r="D17" s="104"/>
      <c r="E17" s="106"/>
      <c r="F17" s="104"/>
      <c r="G17" s="104"/>
      <c r="H17" s="229"/>
      <c r="I17" s="230"/>
      <c r="J17" s="106"/>
      <c r="K17" s="106"/>
      <c r="L17" s="126"/>
      <c r="M17" s="104"/>
      <c r="Q17" s="102"/>
    </row>
    <row r="18" ht="14.25" customHeight="1">
      <c r="A18" s="104">
        <v>17.0</v>
      </c>
      <c r="B18" s="104"/>
      <c r="C18" s="104"/>
      <c r="D18" s="104"/>
      <c r="E18" s="106"/>
      <c r="F18" s="104"/>
      <c r="G18" s="104"/>
      <c r="H18" s="229"/>
      <c r="I18" s="230"/>
      <c r="J18" s="106"/>
      <c r="K18" s="106"/>
      <c r="L18" s="126"/>
      <c r="M18" s="104"/>
      <c r="Q18" s="102"/>
    </row>
    <row r="19" ht="14.25" customHeight="1">
      <c r="A19" s="104">
        <v>18.0</v>
      </c>
      <c r="B19" s="104"/>
      <c r="C19" s="104"/>
      <c r="D19" s="104"/>
      <c r="E19" s="106"/>
      <c r="F19" s="104"/>
      <c r="G19" s="104"/>
      <c r="H19" s="229"/>
      <c r="I19" s="230"/>
      <c r="J19" s="106"/>
      <c r="K19" s="106"/>
      <c r="L19" s="126"/>
      <c r="M19" s="104"/>
      <c r="Q19" s="102"/>
    </row>
    <row r="20" ht="14.25" customHeight="1">
      <c r="A20" s="104">
        <v>19.0</v>
      </c>
      <c r="B20" s="104"/>
      <c r="C20" s="104"/>
      <c r="D20" s="104"/>
      <c r="E20" s="106"/>
      <c r="F20" s="104"/>
      <c r="G20" s="104"/>
      <c r="H20" s="229"/>
      <c r="I20" s="230"/>
      <c r="J20" s="106"/>
      <c r="K20" s="106"/>
      <c r="L20" s="126"/>
      <c r="M20" s="104"/>
      <c r="Q20" s="102"/>
    </row>
    <row r="21" ht="14.25" customHeight="1">
      <c r="A21" s="104">
        <v>20.0</v>
      </c>
      <c r="B21" s="104"/>
      <c r="C21" s="104"/>
      <c r="D21" s="104"/>
      <c r="E21" s="106"/>
      <c r="F21" s="104"/>
      <c r="G21" s="104"/>
      <c r="H21" s="229"/>
      <c r="I21" s="230"/>
      <c r="J21" s="106"/>
      <c r="K21" s="106"/>
      <c r="L21" s="126"/>
      <c r="M21" s="104"/>
      <c r="Q21" s="102"/>
    </row>
    <row r="22" ht="14.25" customHeight="1">
      <c r="A22" s="104">
        <v>21.0</v>
      </c>
      <c r="B22" s="104"/>
      <c r="C22" s="104"/>
      <c r="D22" s="104"/>
      <c r="E22" s="106"/>
      <c r="F22" s="104"/>
      <c r="G22" s="104"/>
      <c r="H22" s="229"/>
      <c r="I22" s="230"/>
      <c r="J22" s="106"/>
      <c r="K22" s="106"/>
      <c r="L22" s="126"/>
      <c r="M22" s="104"/>
      <c r="Q22" s="102"/>
    </row>
    <row r="23" ht="14.25" customHeight="1">
      <c r="A23" s="104">
        <v>22.0</v>
      </c>
      <c r="B23" s="104"/>
      <c r="C23" s="104"/>
      <c r="D23" s="104"/>
      <c r="E23" s="106"/>
      <c r="F23" s="104"/>
      <c r="G23" s="104"/>
      <c r="H23" s="229"/>
      <c r="I23" s="230"/>
      <c r="J23" s="106"/>
      <c r="K23" s="106"/>
      <c r="L23" s="126"/>
      <c r="M23" s="104"/>
      <c r="Q23" s="102"/>
    </row>
    <row r="24" ht="14.25" customHeight="1">
      <c r="A24" s="104">
        <v>23.0</v>
      </c>
      <c r="B24" s="104"/>
      <c r="C24" s="104"/>
      <c r="D24" s="104"/>
      <c r="E24" s="106"/>
      <c r="F24" s="104"/>
      <c r="G24" s="104"/>
      <c r="H24" s="229"/>
      <c r="I24" s="230"/>
      <c r="J24" s="106"/>
      <c r="K24" s="106"/>
      <c r="L24" s="126"/>
      <c r="M24" s="104"/>
      <c r="Q24" s="102"/>
    </row>
    <row r="25" ht="14.25" customHeight="1">
      <c r="A25" s="104">
        <v>24.0</v>
      </c>
      <c r="B25" s="104"/>
      <c r="C25" s="104"/>
      <c r="D25" s="104"/>
      <c r="E25" s="106"/>
      <c r="F25" s="104"/>
      <c r="G25" s="104"/>
      <c r="H25" s="229"/>
      <c r="I25" s="230"/>
      <c r="J25" s="106"/>
      <c r="K25" s="106"/>
      <c r="L25" s="126"/>
      <c r="M25" s="104"/>
      <c r="Q25" s="102"/>
    </row>
    <row r="26" ht="14.25" customHeight="1">
      <c r="A26" s="104">
        <v>25.0</v>
      </c>
      <c r="B26" s="104"/>
      <c r="C26" s="104"/>
      <c r="D26" s="104"/>
      <c r="E26" s="106"/>
      <c r="F26" s="104"/>
      <c r="G26" s="104"/>
      <c r="H26" s="229"/>
      <c r="I26" s="230"/>
      <c r="J26" s="106"/>
      <c r="K26" s="106"/>
      <c r="L26" s="126"/>
      <c r="M26" s="104"/>
      <c r="Q26" s="102"/>
    </row>
    <row r="27" ht="14.25" customHeight="1">
      <c r="A27" s="104">
        <v>26.0</v>
      </c>
      <c r="B27" s="104"/>
      <c r="C27" s="104"/>
      <c r="D27" s="104"/>
      <c r="E27" s="106"/>
      <c r="F27" s="104"/>
      <c r="G27" s="104"/>
      <c r="H27" s="229"/>
      <c r="I27" s="230"/>
      <c r="J27" s="106"/>
      <c r="K27" s="106"/>
      <c r="L27" s="126"/>
      <c r="M27" s="104"/>
      <c r="Q27" s="102"/>
    </row>
    <row r="28" ht="14.25" customHeight="1">
      <c r="A28" s="223">
        <v>27.0</v>
      </c>
      <c r="B28" s="223"/>
      <c r="C28" s="223"/>
      <c r="D28" s="223"/>
      <c r="E28" s="231"/>
      <c r="F28" s="223"/>
      <c r="G28" s="223"/>
      <c r="H28" s="232"/>
      <c r="I28" s="233"/>
      <c r="J28" s="231"/>
      <c r="K28" s="231"/>
      <c r="L28" s="234"/>
      <c r="M28" s="104"/>
      <c r="Q28" s="102"/>
    </row>
    <row r="29" ht="14.25" customHeight="1">
      <c r="A29" s="223">
        <v>28.0</v>
      </c>
      <c r="B29" s="223"/>
      <c r="C29" s="223"/>
      <c r="D29" s="223"/>
      <c r="E29" s="231"/>
      <c r="F29" s="223"/>
      <c r="G29" s="223"/>
      <c r="H29" s="232"/>
      <c r="I29" s="233"/>
      <c r="J29" s="231"/>
      <c r="K29" s="231"/>
      <c r="L29" s="234"/>
      <c r="M29" s="104"/>
      <c r="Q29" s="102"/>
    </row>
    <row r="30" ht="14.25" customHeight="1">
      <c r="A30" s="223">
        <v>29.0</v>
      </c>
      <c r="B30" s="223"/>
      <c r="C30" s="223"/>
      <c r="D30" s="223"/>
      <c r="E30" s="231"/>
      <c r="F30" s="223"/>
      <c r="G30" s="223"/>
      <c r="H30" s="232"/>
      <c r="I30" s="233"/>
      <c r="J30" s="231"/>
      <c r="K30" s="231"/>
      <c r="L30" s="234"/>
      <c r="M30" s="104"/>
      <c r="Q30" s="102"/>
    </row>
    <row r="31" ht="14.25" customHeight="1">
      <c r="A31" s="223">
        <v>30.0</v>
      </c>
      <c r="B31" s="223"/>
      <c r="C31" s="223"/>
      <c r="D31" s="223"/>
      <c r="E31" s="231"/>
      <c r="F31" s="223"/>
      <c r="G31" s="223"/>
      <c r="H31" s="232"/>
      <c r="I31" s="233"/>
      <c r="J31" s="231"/>
      <c r="K31" s="231"/>
      <c r="L31" s="234"/>
      <c r="M31" s="104"/>
      <c r="Q31" s="102"/>
    </row>
    <row r="32" ht="14.25" customHeight="1">
      <c r="A32" s="223">
        <v>31.0</v>
      </c>
      <c r="B32" s="223"/>
      <c r="C32" s="223"/>
      <c r="D32" s="223"/>
      <c r="E32" s="231"/>
      <c r="F32" s="223"/>
      <c r="G32" s="223"/>
      <c r="H32" s="232"/>
      <c r="I32" s="233"/>
      <c r="J32" s="231"/>
      <c r="K32" s="231"/>
      <c r="L32" s="234"/>
      <c r="M32" s="104"/>
      <c r="Q32" s="102"/>
    </row>
    <row r="33" ht="14.25" customHeight="1">
      <c r="A33" s="223">
        <v>32.0</v>
      </c>
      <c r="B33" s="223"/>
      <c r="C33" s="223"/>
      <c r="D33" s="223"/>
      <c r="E33" s="231"/>
      <c r="F33" s="223"/>
      <c r="G33" s="223"/>
      <c r="H33" s="232"/>
      <c r="I33" s="233"/>
      <c r="J33" s="231"/>
      <c r="K33" s="231"/>
      <c r="L33" s="234"/>
      <c r="M33" s="104"/>
      <c r="Q33" s="102"/>
    </row>
    <row r="34" ht="14.25" customHeight="1">
      <c r="A34" s="223">
        <v>33.0</v>
      </c>
      <c r="B34" s="223"/>
      <c r="C34" s="223"/>
      <c r="D34" s="223"/>
      <c r="E34" s="231"/>
      <c r="F34" s="223"/>
      <c r="G34" s="223"/>
      <c r="H34" s="232"/>
      <c r="I34" s="233"/>
      <c r="J34" s="231"/>
      <c r="K34" s="231"/>
      <c r="L34" s="234"/>
      <c r="M34" s="104"/>
      <c r="Q34" s="102"/>
    </row>
    <row r="35" ht="14.25" customHeight="1">
      <c r="A35" s="223">
        <v>34.0</v>
      </c>
      <c r="B35" s="223"/>
      <c r="C35" s="223"/>
      <c r="D35" s="223"/>
      <c r="E35" s="231"/>
      <c r="F35" s="223"/>
      <c r="G35" s="223"/>
      <c r="H35" s="232"/>
      <c r="I35" s="233"/>
      <c r="J35" s="231"/>
      <c r="K35" s="231"/>
      <c r="L35" s="234"/>
      <c r="M35" s="104"/>
      <c r="Q35" s="102"/>
    </row>
    <row r="36" ht="14.25" customHeight="1">
      <c r="A36" s="235">
        <v>35.0</v>
      </c>
      <c r="B36" s="235"/>
      <c r="C36" s="235"/>
      <c r="D36" s="235"/>
      <c r="E36" s="236"/>
      <c r="F36" s="235"/>
      <c r="G36" s="235"/>
      <c r="H36" s="237"/>
      <c r="I36" s="238"/>
      <c r="J36" s="236"/>
      <c r="K36" s="236"/>
      <c r="L36" s="239"/>
      <c r="M36" s="104"/>
      <c r="Q36" s="102"/>
    </row>
    <row r="37" ht="14.25" customHeight="1">
      <c r="A37" s="235">
        <v>36.0</v>
      </c>
      <c r="B37" s="235"/>
      <c r="C37" s="235"/>
      <c r="D37" s="235"/>
      <c r="E37" s="236"/>
      <c r="F37" s="235"/>
      <c r="G37" s="235"/>
      <c r="H37" s="237"/>
      <c r="I37" s="238"/>
      <c r="J37" s="236"/>
      <c r="K37" s="236"/>
      <c r="L37" s="239"/>
      <c r="M37" s="104"/>
      <c r="Q37" s="102"/>
    </row>
    <row r="38" ht="14.25" customHeight="1">
      <c r="A38" s="235">
        <v>37.0</v>
      </c>
      <c r="B38" s="235"/>
      <c r="C38" s="235"/>
      <c r="D38" s="235"/>
      <c r="E38" s="236"/>
      <c r="F38" s="235"/>
      <c r="G38" s="240"/>
      <c r="H38" s="241"/>
      <c r="I38" s="238"/>
      <c r="J38" s="242"/>
      <c r="K38" s="242"/>
      <c r="L38" s="239"/>
      <c r="M38" s="104"/>
      <c r="Q38" s="102"/>
    </row>
    <row r="39" ht="14.25" customHeight="1">
      <c r="A39" s="235">
        <v>38.0</v>
      </c>
      <c r="B39" s="235"/>
      <c r="C39" s="235"/>
      <c r="D39" s="235"/>
      <c r="E39" s="236"/>
      <c r="F39" s="235"/>
      <c r="G39" s="240"/>
      <c r="H39" s="241"/>
      <c r="I39" s="238"/>
      <c r="J39" s="242"/>
      <c r="K39" s="242"/>
      <c r="L39" s="239"/>
      <c r="M39" s="104"/>
      <c r="Q39" s="102"/>
    </row>
    <row r="40" ht="14.25" customHeight="1">
      <c r="A40" s="235">
        <v>39.0</v>
      </c>
      <c r="B40" s="235"/>
      <c r="C40" s="235"/>
      <c r="D40" s="235"/>
      <c r="E40" s="236"/>
      <c r="F40" s="235"/>
      <c r="G40" s="240"/>
      <c r="H40" s="241"/>
      <c r="I40" s="238"/>
      <c r="J40" s="242"/>
      <c r="K40" s="242"/>
      <c r="L40" s="239"/>
      <c r="M40" s="104"/>
      <c r="Q40" s="102"/>
    </row>
    <row r="41" ht="14.25" customHeight="1">
      <c r="A41" s="235">
        <v>40.0</v>
      </c>
      <c r="B41" s="235"/>
      <c r="C41" s="235"/>
      <c r="D41" s="235"/>
      <c r="E41" s="236"/>
      <c r="F41" s="235"/>
      <c r="G41" s="240"/>
      <c r="H41" s="241"/>
      <c r="I41" s="238"/>
      <c r="J41" s="242"/>
      <c r="K41" s="242"/>
      <c r="L41" s="239"/>
      <c r="M41" s="104"/>
      <c r="Q41" s="102"/>
    </row>
    <row r="42" ht="14.25" customHeight="1">
      <c r="A42" s="224">
        <v>41.0</v>
      </c>
      <c r="B42" s="224"/>
      <c r="C42" s="224"/>
      <c r="D42" s="224"/>
      <c r="E42" s="243"/>
      <c r="F42" s="224"/>
      <c r="G42" s="244"/>
      <c r="H42" s="245"/>
      <c r="I42" s="246"/>
      <c r="J42" s="247"/>
      <c r="K42" s="247"/>
      <c r="L42" s="248"/>
      <c r="M42" s="104"/>
      <c r="Q42" s="102"/>
    </row>
    <row r="43" ht="14.25" customHeight="1">
      <c r="A43" s="224">
        <v>42.0</v>
      </c>
      <c r="B43" s="224"/>
      <c r="C43" s="224"/>
      <c r="D43" s="224"/>
      <c r="E43" s="243"/>
      <c r="F43" s="224"/>
      <c r="G43" s="244"/>
      <c r="H43" s="245"/>
      <c r="I43" s="246"/>
      <c r="J43" s="247"/>
      <c r="K43" s="247"/>
      <c r="L43" s="248"/>
      <c r="M43" s="104"/>
      <c r="Q43" s="102"/>
    </row>
    <row r="44" ht="14.25" customHeight="1">
      <c r="A44" s="224">
        <v>43.0</v>
      </c>
      <c r="B44" s="224"/>
      <c r="C44" s="224"/>
      <c r="D44" s="224"/>
      <c r="E44" s="243"/>
      <c r="F44" s="224"/>
      <c r="G44" s="244"/>
      <c r="H44" s="245"/>
      <c r="I44" s="246"/>
      <c r="J44" s="247"/>
      <c r="K44" s="247"/>
      <c r="L44" s="248"/>
      <c r="M44" s="104"/>
      <c r="Q44" s="102"/>
    </row>
    <row r="45" ht="14.25" customHeight="1">
      <c r="A45" s="224">
        <v>44.0</v>
      </c>
      <c r="B45" s="224"/>
      <c r="C45" s="224"/>
      <c r="D45" s="224"/>
      <c r="E45" s="243"/>
      <c r="F45" s="224"/>
      <c r="G45" s="244"/>
      <c r="H45" s="245"/>
      <c r="I45" s="246"/>
      <c r="J45" s="247"/>
      <c r="K45" s="247"/>
      <c r="L45" s="248"/>
      <c r="M45" s="104"/>
      <c r="Q45" s="102"/>
    </row>
    <row r="46" ht="14.25" customHeight="1">
      <c r="A46" s="224">
        <v>45.0</v>
      </c>
      <c r="B46" s="224"/>
      <c r="C46" s="224"/>
      <c r="D46" s="224"/>
      <c r="E46" s="243"/>
      <c r="F46" s="224"/>
      <c r="G46" s="244"/>
      <c r="H46" s="245"/>
      <c r="I46" s="246"/>
      <c r="J46" s="247"/>
      <c r="K46" s="247"/>
      <c r="L46" s="248"/>
      <c r="M46" s="104"/>
      <c r="Q46" s="102"/>
    </row>
    <row r="47" ht="14.25" customHeight="1">
      <c r="A47" s="249">
        <v>46.0</v>
      </c>
      <c r="B47" s="249"/>
      <c r="C47" s="249"/>
      <c r="D47" s="249"/>
      <c r="E47" s="250"/>
      <c r="F47" s="249"/>
      <c r="G47" s="251"/>
      <c r="H47" s="251"/>
      <c r="I47" s="252"/>
      <c r="J47" s="251"/>
      <c r="K47" s="251"/>
      <c r="L47" s="253"/>
      <c r="M47" s="104"/>
      <c r="Q47" s="102"/>
    </row>
    <row r="48" ht="14.25" customHeight="1">
      <c r="A48" s="249">
        <v>47.0</v>
      </c>
      <c r="B48" s="249"/>
      <c r="C48" s="249"/>
      <c r="D48" s="249"/>
      <c r="E48" s="250"/>
      <c r="F48" s="249"/>
      <c r="G48" s="251"/>
      <c r="H48" s="254"/>
      <c r="I48" s="252"/>
      <c r="J48" s="255"/>
      <c r="K48" s="255"/>
      <c r="L48" s="253"/>
      <c r="M48" s="104"/>
      <c r="Q48" s="102"/>
    </row>
    <row r="49" ht="14.25" customHeight="1">
      <c r="A49" s="249">
        <v>48.0</v>
      </c>
      <c r="B49" s="249"/>
      <c r="C49" s="249"/>
      <c r="D49" s="249"/>
      <c r="E49" s="250"/>
      <c r="F49" s="249"/>
      <c r="G49" s="251"/>
      <c r="H49" s="251"/>
      <c r="I49" s="252"/>
      <c r="J49" s="251"/>
      <c r="K49" s="251"/>
      <c r="L49" s="253"/>
      <c r="M49" s="104"/>
      <c r="Q49" s="102"/>
    </row>
    <row r="50" ht="14.25" customHeight="1">
      <c r="A50" s="249">
        <v>49.0</v>
      </c>
      <c r="B50" s="249"/>
      <c r="C50" s="249"/>
      <c r="D50" s="249"/>
      <c r="E50" s="250"/>
      <c r="F50" s="249"/>
      <c r="G50" s="251"/>
      <c r="H50" s="254"/>
      <c r="I50" s="252"/>
      <c r="J50" s="251"/>
      <c r="K50" s="255"/>
      <c r="L50" s="253"/>
      <c r="M50" s="104"/>
      <c r="Q50" s="102"/>
    </row>
    <row r="51" ht="14.25" customHeight="1">
      <c r="A51" s="249">
        <v>50.0</v>
      </c>
      <c r="B51" s="249"/>
      <c r="C51" s="249"/>
      <c r="D51" s="249"/>
      <c r="E51" s="250"/>
      <c r="F51" s="249"/>
      <c r="G51" s="251"/>
      <c r="H51" s="251"/>
      <c r="I51" s="252"/>
      <c r="J51" s="255"/>
      <c r="K51" s="251"/>
      <c r="L51" s="253"/>
      <c r="M51" s="104"/>
      <c r="Q51" s="102"/>
    </row>
    <row r="52" ht="14.25" customHeight="1">
      <c r="A52" s="197" t="s">
        <v>466</v>
      </c>
      <c r="B52" s="198"/>
      <c r="C52" s="198"/>
      <c r="D52" s="198"/>
      <c r="E52" s="199"/>
      <c r="F52" s="198"/>
      <c r="G52" s="199"/>
      <c r="H52" s="201"/>
      <c r="I52" s="202"/>
      <c r="J52" s="256"/>
      <c r="K52" s="256"/>
      <c r="L52" s="203"/>
      <c r="M52" s="204"/>
    </row>
    <row r="53" ht="14.25" customHeight="1">
      <c r="A53" s="214" t="s">
        <v>483</v>
      </c>
      <c r="B53" s="215"/>
      <c r="C53" s="215"/>
      <c r="D53" s="215"/>
      <c r="E53" s="216"/>
      <c r="F53" s="215"/>
      <c r="G53" s="216"/>
      <c r="H53" s="218"/>
      <c r="I53" s="219"/>
      <c r="J53" s="257"/>
      <c r="K53" s="215"/>
      <c r="L53" s="220"/>
      <c r="M53" s="221"/>
    </row>
    <row r="54" ht="14.25" customHeight="1"/>
    <row r="55" ht="14.25" customHeight="1">
      <c r="B55" s="222" t="s">
        <v>484</v>
      </c>
      <c r="D55" s="5" t="s">
        <v>473</v>
      </c>
    </row>
    <row r="56" ht="14.25" customHeight="1">
      <c r="B56" s="104" t="s">
        <v>485</v>
      </c>
    </row>
    <row r="57" ht="14.25" customHeight="1">
      <c r="B57" s="223" t="s">
        <v>486</v>
      </c>
      <c r="D57" s="5" t="s">
        <v>475</v>
      </c>
    </row>
    <row r="58" ht="14.25" customHeight="1">
      <c r="B58" s="235" t="s">
        <v>487</v>
      </c>
      <c r="D58" s="5" t="s">
        <v>488</v>
      </c>
    </row>
    <row r="59" ht="14.25" customHeight="1">
      <c r="B59" s="224" t="s">
        <v>489</v>
      </c>
      <c r="D59" s="5" t="s">
        <v>477</v>
      </c>
    </row>
    <row r="60" ht="14.25" customHeight="1">
      <c r="B60" s="249" t="s">
        <v>490</v>
      </c>
      <c r="D60" s="5" t="s">
        <v>491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2:M51">
    <cfRule type="expression" dxfId="2" priority="1">
      <formula>$M2=1</formula>
    </cfRule>
  </conditionalFormatting>
  <conditionalFormatting sqref="A2:M53">
    <cfRule type="expression" dxfId="3" priority="2">
      <formula>$M2=6</formula>
    </cfRule>
  </conditionalFormatting>
  <conditionalFormatting sqref="A2:M53">
    <cfRule type="expression" dxfId="0" priority="3">
      <formula>$M2=5</formula>
    </cfRule>
  </conditionalFormatting>
  <conditionalFormatting sqref="A2:M53">
    <cfRule type="expression" dxfId="4" priority="4">
      <formula>$M2=4</formula>
    </cfRule>
  </conditionalFormatting>
  <conditionalFormatting sqref="A2:M53">
    <cfRule type="expression" dxfId="1" priority="5">
      <formula>$M2=3</formula>
    </cfRule>
  </conditionalFormatting>
  <dataValidations>
    <dataValidation type="list" allowBlank="1" showErrorMessage="1" sqref="M2:M51">
      <formula1>"1,2,3,4,5,6"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8.0"/>
    <col customWidth="1" min="2" max="14" width="11.0"/>
    <col customWidth="1" min="15" max="26" width="8.71"/>
  </cols>
  <sheetData>
    <row r="1" ht="24.0" customHeight="1">
      <c r="A1" s="127" t="s">
        <v>492</v>
      </c>
      <c r="B1" s="127" t="s">
        <v>493</v>
      </c>
      <c r="C1" s="127" t="s">
        <v>494</v>
      </c>
      <c r="D1" s="127" t="s">
        <v>495</v>
      </c>
      <c r="E1" s="127" t="s">
        <v>496</v>
      </c>
      <c r="F1" s="127" t="s">
        <v>497</v>
      </c>
      <c r="G1" s="127" t="s">
        <v>498</v>
      </c>
      <c r="H1" s="127" t="s">
        <v>499</v>
      </c>
      <c r="I1" s="127" t="s">
        <v>500</v>
      </c>
      <c r="J1" s="127" t="s">
        <v>501</v>
      </c>
      <c r="K1" s="127" t="s">
        <v>502</v>
      </c>
      <c r="L1" s="127" t="s">
        <v>503</v>
      </c>
      <c r="M1" s="127" t="s">
        <v>504</v>
      </c>
      <c r="N1" s="127" t="s">
        <v>132</v>
      </c>
    </row>
    <row r="2" ht="14.25" customHeight="1">
      <c r="A2" s="92" t="s">
        <v>505</v>
      </c>
    </row>
    <row r="3" ht="14.25" customHeight="1">
      <c r="A3" s="104" t="s">
        <v>506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ht="14.25" customHeight="1">
      <c r="A4" s="104" t="s">
        <v>507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</row>
    <row r="5" ht="14.25" customHeight="1">
      <c r="A5" s="104" t="s">
        <v>43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</row>
    <row r="6" ht="14.25" customHeight="1">
      <c r="A6" s="104" t="s">
        <v>508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</row>
    <row r="7" ht="14.25" customHeight="1">
      <c r="A7" s="104" t="s">
        <v>45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</row>
    <row r="8" ht="14.25" customHeight="1">
      <c r="A8" s="104" t="s">
        <v>509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</row>
    <row r="9" ht="14.25" customHeight="1"/>
    <row r="10" ht="14.25" customHeight="1">
      <c r="A10" s="94" t="s">
        <v>510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258"/>
    </row>
    <row r="11" ht="14.25" customHeight="1"/>
    <row r="12" ht="14.25" customHeight="1">
      <c r="A12" s="92" t="s">
        <v>511</v>
      </c>
    </row>
    <row r="13" ht="14.25" customHeight="1">
      <c r="A13" s="104" t="s">
        <v>26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</row>
    <row r="14" ht="14.25" customHeight="1">
      <c r="A14" s="104" t="s">
        <v>27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</row>
    <row r="15" ht="14.25" customHeight="1">
      <c r="A15" s="104" t="s">
        <v>28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</row>
    <row r="16" ht="14.25" customHeight="1">
      <c r="A16" s="104" t="s">
        <v>29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</row>
    <row r="17" ht="14.25" customHeight="1">
      <c r="A17" s="104" t="s">
        <v>512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</row>
    <row r="18" ht="14.25" customHeight="1">
      <c r="A18" s="104" t="s">
        <v>513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</row>
    <row r="19" ht="14.25" customHeight="1">
      <c r="A19" s="104" t="s">
        <v>32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</row>
    <row r="20" ht="14.25" customHeight="1">
      <c r="A20" s="104" t="s">
        <v>514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</row>
    <row r="21" ht="14.25" customHeight="1">
      <c r="A21" s="104" t="s">
        <v>515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</row>
    <row r="22" ht="14.25" customHeight="1">
      <c r="A22" s="104" t="s">
        <v>516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</row>
    <row r="23" ht="14.25" customHeight="1">
      <c r="A23" s="104" t="s">
        <v>517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</row>
    <row r="24" ht="14.25" customHeight="1">
      <c r="A24" s="104" t="s">
        <v>518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</row>
    <row r="25" ht="14.25" customHeight="1"/>
    <row r="26" ht="14.25" customHeight="1">
      <c r="A26" s="94" t="s">
        <v>519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258"/>
    </row>
    <row r="27" ht="14.25" customHeight="1"/>
    <row r="28" ht="14.25" customHeight="1">
      <c r="A28" s="94" t="s">
        <v>520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258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8.0"/>
    <col customWidth="1" min="3" max="3" width="12.0"/>
    <col customWidth="1" min="4" max="5" width="11.0"/>
    <col customWidth="1" min="6" max="7" width="10.0"/>
    <col customWidth="1" min="8" max="8" width="35.0"/>
    <col customWidth="1" min="9" max="26" width="8.71"/>
  </cols>
  <sheetData>
    <row r="1" ht="8.25" customHeight="1">
      <c r="A1" s="127" t="s">
        <v>521</v>
      </c>
      <c r="B1" s="127" t="s">
        <v>522</v>
      </c>
      <c r="C1" s="127" t="s">
        <v>523</v>
      </c>
      <c r="D1" s="127" t="s">
        <v>524</v>
      </c>
      <c r="E1" s="127" t="s">
        <v>94</v>
      </c>
      <c r="F1" s="127" t="s">
        <v>525</v>
      </c>
      <c r="G1" s="127" t="s">
        <v>96</v>
      </c>
      <c r="H1" s="127" t="s">
        <v>464</v>
      </c>
    </row>
    <row r="2" ht="14.25" customHeight="1">
      <c r="A2" s="104"/>
      <c r="B2" s="104"/>
      <c r="C2" s="129"/>
      <c r="D2" s="104"/>
      <c r="E2" s="104"/>
      <c r="F2" s="104"/>
      <c r="G2" s="104"/>
      <c r="H2" s="126"/>
    </row>
    <row r="3" ht="14.25" customHeight="1">
      <c r="A3" s="222"/>
      <c r="B3" s="222"/>
      <c r="C3" s="259"/>
      <c r="D3" s="222"/>
      <c r="E3" s="222"/>
      <c r="F3" s="222"/>
      <c r="G3" s="222"/>
      <c r="H3" s="228"/>
    </row>
    <row r="4" ht="14.25" customHeight="1">
      <c r="A4" s="104"/>
      <c r="B4" s="104"/>
      <c r="C4" s="104"/>
      <c r="D4" s="104"/>
      <c r="E4" s="104"/>
      <c r="F4" s="104"/>
      <c r="G4" s="104"/>
      <c r="H4" s="126"/>
    </row>
    <row r="5" ht="14.25" customHeight="1">
      <c r="A5" s="104"/>
      <c r="B5" s="104"/>
      <c r="C5" s="129"/>
      <c r="D5" s="104"/>
      <c r="E5" s="104"/>
      <c r="F5" s="104"/>
      <c r="G5" s="104"/>
      <c r="H5" s="126"/>
    </row>
    <row r="6" ht="14.25" customHeight="1">
      <c r="A6" s="104"/>
      <c r="B6" s="104"/>
      <c r="C6" s="129"/>
      <c r="D6" s="104"/>
      <c r="E6" s="104"/>
      <c r="F6" s="104"/>
      <c r="G6" s="104"/>
      <c r="H6" s="126"/>
    </row>
    <row r="7" ht="14.25" customHeight="1">
      <c r="A7" s="104"/>
      <c r="B7" s="104"/>
      <c r="C7" s="129"/>
      <c r="D7" s="104"/>
      <c r="E7" s="104"/>
      <c r="F7" s="104"/>
      <c r="G7" s="104"/>
      <c r="H7" s="126"/>
    </row>
    <row r="8" ht="14.25" customHeight="1">
      <c r="A8" s="104"/>
      <c r="B8" s="104"/>
      <c r="C8" s="129"/>
      <c r="D8" s="104"/>
      <c r="E8" s="104"/>
      <c r="F8" s="104"/>
      <c r="G8" s="104"/>
      <c r="H8" s="126"/>
    </row>
    <row r="9" ht="14.25" customHeight="1">
      <c r="A9" s="104"/>
      <c r="B9" s="104"/>
      <c r="C9" s="129"/>
      <c r="D9" s="104"/>
      <c r="E9" s="104"/>
      <c r="F9" s="104"/>
      <c r="G9" s="104"/>
      <c r="H9" s="126"/>
    </row>
    <row r="10" ht="14.25" customHeight="1">
      <c r="A10" s="104"/>
      <c r="B10" s="104"/>
      <c r="C10" s="129"/>
      <c r="D10" s="104"/>
      <c r="E10" s="104"/>
      <c r="F10" s="104"/>
      <c r="G10" s="104"/>
      <c r="H10" s="12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52.14"/>
    <col customWidth="1" min="3" max="3" width="35.0"/>
    <col customWidth="1" min="4" max="26" width="8.71"/>
  </cols>
  <sheetData>
    <row r="1" ht="14.25" customHeight="1">
      <c r="A1" s="91" t="s">
        <v>526</v>
      </c>
    </row>
    <row r="2" ht="14.25" customHeight="1">
      <c r="A2" s="260" t="s">
        <v>527</v>
      </c>
    </row>
    <row r="3" ht="14.25" customHeight="1">
      <c r="A3" s="126" t="s">
        <v>528</v>
      </c>
    </row>
    <row r="4" ht="14.25" customHeight="1"/>
    <row r="5" ht="14.25" customHeight="1">
      <c r="A5" s="92" t="s">
        <v>529</v>
      </c>
      <c r="B5" s="93"/>
      <c r="C5" s="93"/>
    </row>
    <row r="6" ht="14.25" customHeight="1">
      <c r="A6" s="94" t="s">
        <v>530</v>
      </c>
      <c r="B6" s="104"/>
    </row>
    <row r="7" ht="14.25" customHeight="1">
      <c r="A7" s="94" t="s">
        <v>531</v>
      </c>
      <c r="B7" s="104"/>
      <c r="C7" s="126"/>
    </row>
    <row r="8" ht="14.25" customHeight="1">
      <c r="A8" s="94" t="s">
        <v>532</v>
      </c>
      <c r="B8" s="104"/>
      <c r="C8" s="126"/>
    </row>
    <row r="9" ht="14.25" customHeight="1"/>
    <row r="10" ht="14.25" customHeight="1">
      <c r="A10" s="92" t="s">
        <v>533</v>
      </c>
      <c r="B10" s="93"/>
      <c r="C10" s="93"/>
    </row>
    <row r="11" ht="14.25" customHeight="1">
      <c r="A11" s="94" t="s">
        <v>534</v>
      </c>
      <c r="B11" s="104"/>
      <c r="C11" s="126"/>
    </row>
    <row r="12" ht="14.25" customHeight="1">
      <c r="A12" s="94" t="s">
        <v>535</v>
      </c>
      <c r="B12" s="104"/>
      <c r="C12" s="126"/>
    </row>
    <row r="13" ht="14.25" customHeight="1">
      <c r="A13" s="94" t="s">
        <v>536</v>
      </c>
      <c r="B13" s="104"/>
      <c r="C13" s="126"/>
    </row>
    <row r="14" ht="14.25" customHeight="1">
      <c r="A14" s="94" t="s">
        <v>537</v>
      </c>
      <c r="B14" s="104"/>
      <c r="C14" s="126"/>
    </row>
    <row r="15" ht="14.25" customHeight="1">
      <c r="A15" s="94" t="s">
        <v>538</v>
      </c>
      <c r="B15" s="104"/>
    </row>
    <row r="16" ht="14.25" customHeight="1">
      <c r="A16" s="94" t="s">
        <v>539</v>
      </c>
      <c r="B16" s="104"/>
      <c r="C16" s="126"/>
    </row>
    <row r="17" ht="14.25" customHeight="1"/>
    <row r="18" ht="14.25" customHeight="1">
      <c r="A18" s="92" t="s">
        <v>540</v>
      </c>
      <c r="B18" s="93"/>
      <c r="C18" s="93"/>
    </row>
    <row r="19" ht="14.25" customHeight="1">
      <c r="A19" s="94" t="s">
        <v>541</v>
      </c>
      <c r="B19" s="104"/>
      <c r="C19" s="126"/>
    </row>
    <row r="20" ht="14.25" customHeight="1">
      <c r="A20" s="94" t="s">
        <v>542</v>
      </c>
      <c r="B20" s="104"/>
      <c r="C20" s="126"/>
    </row>
    <row r="21" ht="14.25" customHeight="1">
      <c r="A21" s="94" t="s">
        <v>543</v>
      </c>
      <c r="B21" s="104"/>
      <c r="C21" s="126"/>
    </row>
    <row r="22" ht="14.25" customHeight="1">
      <c r="A22" s="94" t="s">
        <v>544</v>
      </c>
      <c r="B22" s="104"/>
      <c r="C22" s="126"/>
    </row>
    <row r="23" ht="14.25" customHeight="1">
      <c r="A23" s="94" t="s">
        <v>545</v>
      </c>
      <c r="B23" s="104"/>
      <c r="C23" s="126"/>
    </row>
    <row r="24" ht="14.25" customHeight="1">
      <c r="A24" s="94" t="s">
        <v>546</v>
      </c>
      <c r="B24" s="104"/>
    </row>
    <row r="25" ht="14.25" customHeight="1"/>
    <row r="26" ht="14.25" customHeight="1">
      <c r="A26" s="92" t="s">
        <v>547</v>
      </c>
      <c r="B26" s="93"/>
      <c r="C26" s="93"/>
    </row>
    <row r="27" ht="14.25" customHeight="1">
      <c r="A27" s="94" t="s">
        <v>548</v>
      </c>
      <c r="B27" s="104"/>
      <c r="C27" s="126"/>
    </row>
    <row r="28" ht="14.25" customHeight="1">
      <c r="A28" s="94" t="s">
        <v>549</v>
      </c>
      <c r="B28" s="104"/>
      <c r="C28" s="126"/>
    </row>
    <row r="29" ht="14.25" customHeight="1">
      <c r="A29" s="94" t="s">
        <v>550</v>
      </c>
      <c r="B29" s="104"/>
      <c r="C29" s="126"/>
    </row>
    <row r="30" ht="14.25" customHeight="1">
      <c r="A30" s="94" t="s">
        <v>551</v>
      </c>
      <c r="B30" s="104"/>
      <c r="C30" s="126"/>
    </row>
    <row r="31" ht="14.25" customHeight="1"/>
    <row r="32" ht="14.25" customHeight="1">
      <c r="A32" s="92" t="s">
        <v>552</v>
      </c>
      <c r="B32" s="93"/>
      <c r="C32" s="93"/>
    </row>
    <row r="33" ht="14.25" customHeight="1">
      <c r="A33" s="94" t="s">
        <v>553</v>
      </c>
      <c r="B33" s="104"/>
      <c r="C33" s="126"/>
    </row>
    <row r="34" ht="14.25" customHeight="1">
      <c r="A34" s="94" t="s">
        <v>554</v>
      </c>
      <c r="B34" s="104"/>
      <c r="C34" s="126"/>
    </row>
    <row r="35" ht="14.25" customHeight="1">
      <c r="A35" s="94" t="s">
        <v>555</v>
      </c>
      <c r="B35" s="104"/>
      <c r="C35" s="126"/>
    </row>
    <row r="36" ht="14.25" customHeight="1">
      <c r="A36" s="94" t="s">
        <v>556</v>
      </c>
      <c r="B36" s="104"/>
      <c r="C36" s="126"/>
    </row>
    <row r="37" ht="14.25" customHeight="1">
      <c r="A37" s="94" t="s">
        <v>557</v>
      </c>
      <c r="B37" s="104"/>
      <c r="C37" s="126"/>
    </row>
    <row r="38" ht="14.25" customHeight="1"/>
    <row r="39" ht="14.25" customHeight="1">
      <c r="A39" s="92" t="s">
        <v>558</v>
      </c>
      <c r="B39" s="93"/>
      <c r="C39" s="93"/>
    </row>
    <row r="40" ht="14.25" customHeight="1">
      <c r="A40" s="94" t="s">
        <v>559</v>
      </c>
      <c r="B40" s="104"/>
    </row>
    <row r="41" ht="14.25" customHeight="1">
      <c r="A41" s="94" t="s">
        <v>560</v>
      </c>
      <c r="B41" s="104"/>
      <c r="C41" s="126"/>
    </row>
    <row r="42" ht="14.25" customHeight="1">
      <c r="A42" s="94" t="s">
        <v>561</v>
      </c>
      <c r="B42" s="104"/>
    </row>
    <row r="43" ht="14.25" customHeight="1">
      <c r="A43" s="94" t="s">
        <v>562</v>
      </c>
      <c r="B43" s="104"/>
      <c r="C43" s="126"/>
    </row>
    <row r="44" ht="14.25" customHeight="1"/>
    <row r="45" ht="14.25" customHeight="1">
      <c r="A45" s="92" t="s">
        <v>563</v>
      </c>
      <c r="B45" s="93"/>
      <c r="C45" s="93"/>
    </row>
    <row r="46" ht="14.25" customHeight="1">
      <c r="A46" s="94" t="s">
        <v>564</v>
      </c>
      <c r="B46" s="104"/>
      <c r="C46" s="126"/>
    </row>
    <row r="47" ht="14.25" customHeight="1">
      <c r="A47" s="94" t="s">
        <v>565</v>
      </c>
      <c r="B47" s="104"/>
      <c r="C47" s="126"/>
    </row>
    <row r="48" ht="14.25" customHeight="1">
      <c r="A48" s="94" t="s">
        <v>566</v>
      </c>
      <c r="B48" s="104"/>
      <c r="C48" s="126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5:C5"/>
    <mergeCell ref="A10:C10"/>
    <mergeCell ref="A18:C18"/>
    <mergeCell ref="A26:C26"/>
    <mergeCell ref="A32:C32"/>
    <mergeCell ref="A39:C39"/>
    <mergeCell ref="A45:C4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2026-06-05T18:41:35Z</dcterms:created>
</cp:coreProperties>
</file>