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2" documentId="11_956F3C72465B8933CD6388A73DCD042AC228CBDC" xr6:coauthVersionLast="47" xr6:coauthVersionMax="47" xr10:uidLastSave="{F0931D0F-CA8E-423D-9E14-6FD50BFF9AB2}"/>
  <bookViews>
    <workbookView xWindow="57480" yWindow="-120" windowWidth="29040" windowHeight="15720" xr2:uid="{00000000-000D-0000-FFFF-FFFF00000000}"/>
  </bookViews>
  <sheets>
    <sheet name="Rent 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19" i="1" s="1"/>
  <c r="E15" i="1"/>
  <c r="G14" i="1"/>
  <c r="G13" i="1"/>
  <c r="G12" i="1"/>
  <c r="G11" i="1"/>
  <c r="G10" i="1"/>
  <c r="G9" i="1"/>
  <c r="G8" i="1"/>
  <c r="G7" i="1"/>
  <c r="G6" i="1"/>
  <c r="G5" i="1"/>
  <c r="G4" i="1"/>
  <c r="G15" i="1" s="1"/>
  <c r="G3" i="1"/>
  <c r="G2" i="1"/>
</calcChain>
</file>

<file path=xl/sharedStrings.xml><?xml version="1.0" encoding="utf-8"?>
<sst xmlns="http://schemas.openxmlformats.org/spreadsheetml/2006/main" count="67" uniqueCount="56">
  <si>
    <t>#</t>
  </si>
  <si>
    <t>Tenant</t>
  </si>
  <si>
    <t>Suite</t>
  </si>
  <si>
    <t>Floor</t>
  </si>
  <si>
    <t>SF</t>
  </si>
  <si>
    <t>Rent $/SF</t>
  </si>
  <si>
    <t>Annual Rent</t>
  </si>
  <si>
    <t>Esc %</t>
  </si>
  <si>
    <t>Start</t>
  </si>
  <si>
    <t>Expiry</t>
  </si>
  <si>
    <t>Renewal</t>
  </si>
  <si>
    <t>Ballantyne Tech Partners</t>
  </si>
  <si>
    <t>1/1/2019</t>
  </si>
  <si>
    <t>12/31/2025</t>
  </si>
  <si>
    <t>1x5yr</t>
  </si>
  <si>
    <t>Carolina Financial Group</t>
  </si>
  <si>
    <t>7/1/2020</t>
  </si>
  <si>
    <t>6/30/2026</t>
  </si>
  <si>
    <t>None</t>
  </si>
  <si>
    <t>Piedmont Law Associates</t>
  </si>
  <si>
    <t>3/1/2021</t>
  </si>
  <si>
    <t>2/28/2027</t>
  </si>
  <si>
    <t>1x3yr</t>
  </si>
  <si>
    <t>Southline Insurance</t>
  </si>
  <si>
    <t>9/1/2019</t>
  </si>
  <si>
    <t>8/31/2025</t>
  </si>
  <si>
    <t>Crestwood Design Group</t>
  </si>
  <si>
    <t>1/1/2022</t>
  </si>
  <si>
    <t>12/31/2027</t>
  </si>
  <si>
    <t>Metro Analytics Inc</t>
  </si>
  <si>
    <t>6/1/2021</t>
  </si>
  <si>
    <t>5/31/2027</t>
  </si>
  <si>
    <t>Beacon HR Consulting</t>
  </si>
  <si>
    <t>11/1/2020</t>
  </si>
  <si>
    <t>10/31/2026</t>
  </si>
  <si>
    <t>Heritage Wealth Mgmt</t>
  </si>
  <si>
    <t>4/1/2022</t>
  </si>
  <si>
    <t>3/31/2028</t>
  </si>
  <si>
    <t>Oakhill Partners CPA</t>
  </si>
  <si>
    <t>8/1/2021</t>
  </si>
  <si>
    <t>7/31/2027</t>
  </si>
  <si>
    <t>Clearwater Marketing</t>
  </si>
  <si>
    <t>2/1/2023</t>
  </si>
  <si>
    <t>1/31/2029</t>
  </si>
  <si>
    <t>Sterling Advisory Group</t>
  </si>
  <si>
    <t>5/1/2022</t>
  </si>
  <si>
    <t>4/30/2028</t>
  </si>
  <si>
    <t>Lumen Data Solutions</t>
  </si>
  <si>
    <t>10/1/2023</t>
  </si>
  <si>
    <t>9/30/2029</t>
  </si>
  <si>
    <t>VACANT</t>
  </si>
  <si>
    <t/>
  </si>
  <si>
    <t>TOTAL</t>
  </si>
  <si>
    <t>Leased SF:</t>
  </si>
  <si>
    <t>Vacant SF:</t>
  </si>
  <si>
    <t>Occupancy: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</si>
</sst>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H15" sqref="H15"/>
    </sheetView>
  </sheetViews>
  <sheetFormatPr defaultRowHeight="14.75" x14ac:dyDescent="0.75"/>
  <cols>
    <col min="1" max="1" width="4" customWidth="1"/>
    <col min="2" max="2" width="24" customWidth="1"/>
    <col min="3" max="3" width="8" customWidth="1"/>
    <col min="4" max="4" width="6" customWidth="1"/>
    <col min="6" max="6" width="10" customWidth="1"/>
    <col min="7" max="7" width="13" customWidth="1"/>
    <col min="8" max="8" width="8" customWidth="1"/>
    <col min="9" max="10" width="11" customWidth="1"/>
    <col min="11" max="11" width="10" customWidth="1"/>
  </cols>
  <sheetData>
    <row r="1" spans="1:11" ht="8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75">
      <c r="A2" s="2">
        <v>1</v>
      </c>
      <c r="B2" s="2" t="s">
        <v>11</v>
      </c>
      <c r="C2" s="2">
        <v>100</v>
      </c>
      <c r="D2" s="2">
        <v>1</v>
      </c>
      <c r="E2" s="3">
        <v>21600</v>
      </c>
      <c r="F2" s="4">
        <v>25</v>
      </c>
      <c r="G2" s="5">
        <f t="shared" ref="G2:G14" si="0">E2*F2</f>
        <v>540000</v>
      </c>
      <c r="H2" s="6">
        <v>2.5000000000000001E-2</v>
      </c>
      <c r="I2" s="2" t="s">
        <v>12</v>
      </c>
      <c r="J2" s="2" t="s">
        <v>13</v>
      </c>
      <c r="K2" s="2" t="s">
        <v>14</v>
      </c>
    </row>
    <row r="3" spans="1:11" x14ac:dyDescent="0.75">
      <c r="A3" s="2">
        <v>2</v>
      </c>
      <c r="B3" s="2" t="s">
        <v>15</v>
      </c>
      <c r="C3" s="2">
        <v>110</v>
      </c>
      <c r="D3" s="2">
        <v>1</v>
      </c>
      <c r="E3" s="3">
        <v>14400</v>
      </c>
      <c r="F3" s="4">
        <v>24</v>
      </c>
      <c r="G3" s="5">
        <f t="shared" si="0"/>
        <v>345600</v>
      </c>
      <c r="H3" s="6">
        <v>0.02</v>
      </c>
      <c r="I3" s="2" t="s">
        <v>16</v>
      </c>
      <c r="J3" s="2" t="s">
        <v>17</v>
      </c>
      <c r="K3" s="2" t="s">
        <v>18</v>
      </c>
    </row>
    <row r="4" spans="1:11" x14ac:dyDescent="0.75">
      <c r="A4" s="2">
        <v>3</v>
      </c>
      <c r="B4" s="2" t="s">
        <v>19</v>
      </c>
      <c r="C4" s="2">
        <v>200</v>
      </c>
      <c r="D4" s="2">
        <v>2</v>
      </c>
      <c r="E4" s="3">
        <v>12000</v>
      </c>
      <c r="F4" s="4">
        <v>24.5</v>
      </c>
      <c r="G4" s="5">
        <f t="shared" si="0"/>
        <v>294000</v>
      </c>
      <c r="H4" s="6">
        <v>2.5000000000000001E-2</v>
      </c>
      <c r="I4" s="2" t="s">
        <v>20</v>
      </c>
      <c r="J4" s="2" t="s">
        <v>21</v>
      </c>
      <c r="K4" s="2" t="s">
        <v>22</v>
      </c>
    </row>
    <row r="5" spans="1:11" x14ac:dyDescent="0.75">
      <c r="A5" s="2">
        <v>4</v>
      </c>
      <c r="B5" s="2" t="s">
        <v>23</v>
      </c>
      <c r="C5" s="2">
        <v>210</v>
      </c>
      <c r="D5" s="2">
        <v>2</v>
      </c>
      <c r="E5" s="3">
        <v>10800</v>
      </c>
      <c r="F5" s="4">
        <v>23.5</v>
      </c>
      <c r="G5" s="5">
        <f t="shared" si="0"/>
        <v>253800</v>
      </c>
      <c r="H5" s="6">
        <v>0.02</v>
      </c>
      <c r="I5" s="2" t="s">
        <v>24</v>
      </c>
      <c r="J5" s="2" t="s">
        <v>25</v>
      </c>
      <c r="K5" s="2" t="s">
        <v>14</v>
      </c>
    </row>
    <row r="6" spans="1:11" x14ac:dyDescent="0.75">
      <c r="A6" s="2">
        <v>5</v>
      </c>
      <c r="B6" s="2" t="s">
        <v>26</v>
      </c>
      <c r="C6" s="2">
        <v>220</v>
      </c>
      <c r="D6" s="2">
        <v>2</v>
      </c>
      <c r="E6" s="3">
        <v>9000</v>
      </c>
      <c r="F6" s="4">
        <v>24</v>
      </c>
      <c r="G6" s="5">
        <f t="shared" si="0"/>
        <v>216000</v>
      </c>
      <c r="H6" s="6">
        <v>2.5000000000000001E-2</v>
      </c>
      <c r="I6" s="2" t="s">
        <v>27</v>
      </c>
      <c r="J6" s="2" t="s">
        <v>28</v>
      </c>
      <c r="K6" s="2" t="s">
        <v>18</v>
      </c>
    </row>
    <row r="7" spans="1:11" x14ac:dyDescent="0.75">
      <c r="A7" s="2">
        <v>6</v>
      </c>
      <c r="B7" s="2" t="s">
        <v>29</v>
      </c>
      <c r="C7" s="2">
        <v>300</v>
      </c>
      <c r="D7" s="2">
        <v>3</v>
      </c>
      <c r="E7" s="3">
        <v>8400</v>
      </c>
      <c r="F7" s="4">
        <v>25.5</v>
      </c>
      <c r="G7" s="5">
        <f t="shared" si="0"/>
        <v>214200</v>
      </c>
      <c r="H7" s="6">
        <v>0.03</v>
      </c>
      <c r="I7" s="2" t="s">
        <v>30</v>
      </c>
      <c r="J7" s="2" t="s">
        <v>31</v>
      </c>
      <c r="K7" s="2" t="s">
        <v>18</v>
      </c>
    </row>
    <row r="8" spans="1:11" x14ac:dyDescent="0.75">
      <c r="A8" s="2">
        <v>7</v>
      </c>
      <c r="B8" s="2" t="s">
        <v>32</v>
      </c>
      <c r="C8" s="2">
        <v>310</v>
      </c>
      <c r="D8" s="2">
        <v>3</v>
      </c>
      <c r="E8" s="3">
        <v>7200</v>
      </c>
      <c r="F8" s="4">
        <v>24</v>
      </c>
      <c r="G8" s="5">
        <f t="shared" si="0"/>
        <v>172800</v>
      </c>
      <c r="H8" s="6">
        <v>0.02</v>
      </c>
      <c r="I8" s="2" t="s">
        <v>33</v>
      </c>
      <c r="J8" s="2" t="s">
        <v>34</v>
      </c>
      <c r="K8" s="2" t="s">
        <v>22</v>
      </c>
    </row>
    <row r="9" spans="1:11" x14ac:dyDescent="0.75">
      <c r="A9" s="2">
        <v>8</v>
      </c>
      <c r="B9" s="2" t="s">
        <v>35</v>
      </c>
      <c r="C9" s="2">
        <v>320</v>
      </c>
      <c r="D9" s="2">
        <v>3</v>
      </c>
      <c r="E9" s="3">
        <v>6000</v>
      </c>
      <c r="F9" s="4">
        <v>23</v>
      </c>
      <c r="G9" s="5">
        <f t="shared" si="0"/>
        <v>138000</v>
      </c>
      <c r="H9" s="6">
        <v>0.02</v>
      </c>
      <c r="I9" s="2" t="s">
        <v>36</v>
      </c>
      <c r="J9" s="2" t="s">
        <v>37</v>
      </c>
      <c r="K9" s="2" t="s">
        <v>18</v>
      </c>
    </row>
    <row r="10" spans="1:11" x14ac:dyDescent="0.75">
      <c r="A10" s="2">
        <v>9</v>
      </c>
      <c r="B10" s="2" t="s">
        <v>38</v>
      </c>
      <c r="C10" s="2">
        <v>400</v>
      </c>
      <c r="D10" s="2">
        <v>4</v>
      </c>
      <c r="E10" s="3">
        <v>6600</v>
      </c>
      <c r="F10" s="4">
        <v>25</v>
      </c>
      <c r="G10" s="5">
        <f t="shared" si="0"/>
        <v>165000</v>
      </c>
      <c r="H10" s="6">
        <v>2.5000000000000001E-2</v>
      </c>
      <c r="I10" s="2" t="s">
        <v>39</v>
      </c>
      <c r="J10" s="2" t="s">
        <v>40</v>
      </c>
      <c r="K10" s="2" t="s">
        <v>18</v>
      </c>
    </row>
    <row r="11" spans="1:11" x14ac:dyDescent="0.75">
      <c r="A11" s="2">
        <v>10</v>
      </c>
      <c r="B11" s="2" t="s">
        <v>41</v>
      </c>
      <c r="C11" s="2">
        <v>410</v>
      </c>
      <c r="D11" s="2">
        <v>4</v>
      </c>
      <c r="E11" s="3">
        <v>5400</v>
      </c>
      <c r="F11" s="4">
        <v>24.5</v>
      </c>
      <c r="G11" s="5">
        <f t="shared" si="0"/>
        <v>132300</v>
      </c>
      <c r="H11" s="6">
        <v>2.5000000000000001E-2</v>
      </c>
      <c r="I11" s="2" t="s">
        <v>42</v>
      </c>
      <c r="J11" s="2" t="s">
        <v>43</v>
      </c>
      <c r="K11" s="2" t="s">
        <v>18</v>
      </c>
    </row>
    <row r="12" spans="1:11" x14ac:dyDescent="0.75">
      <c r="A12" s="2">
        <v>11</v>
      </c>
      <c r="B12" s="2" t="s">
        <v>44</v>
      </c>
      <c r="C12" s="2">
        <v>420</v>
      </c>
      <c r="D12" s="2">
        <v>4</v>
      </c>
      <c r="E12" s="3">
        <v>4200</v>
      </c>
      <c r="F12" s="4">
        <v>23.5</v>
      </c>
      <c r="G12" s="5">
        <f t="shared" si="0"/>
        <v>98700</v>
      </c>
      <c r="H12" s="6">
        <v>0.02</v>
      </c>
      <c r="I12" s="2" t="s">
        <v>45</v>
      </c>
      <c r="J12" s="2" t="s">
        <v>46</v>
      </c>
      <c r="K12" s="2" t="s">
        <v>18</v>
      </c>
    </row>
    <row r="13" spans="1:11" x14ac:dyDescent="0.75">
      <c r="A13" s="2">
        <v>12</v>
      </c>
      <c r="B13" s="2" t="s">
        <v>47</v>
      </c>
      <c r="C13" s="2">
        <v>430</v>
      </c>
      <c r="D13" s="2">
        <v>4</v>
      </c>
      <c r="E13" s="3">
        <v>7200</v>
      </c>
      <c r="F13" s="4">
        <v>25</v>
      </c>
      <c r="G13" s="5">
        <f t="shared" si="0"/>
        <v>180000</v>
      </c>
      <c r="H13" s="6">
        <v>0.03</v>
      </c>
      <c r="I13" s="2" t="s">
        <v>48</v>
      </c>
      <c r="J13" s="2" t="s">
        <v>49</v>
      </c>
      <c r="K13" s="2" t="s">
        <v>18</v>
      </c>
    </row>
    <row r="14" spans="1:11" x14ac:dyDescent="0.75">
      <c r="A14" s="2">
        <v>13</v>
      </c>
      <c r="B14" s="2" t="s">
        <v>50</v>
      </c>
      <c r="C14" s="2">
        <v>330</v>
      </c>
      <c r="D14" s="2">
        <v>3</v>
      </c>
      <c r="E14" s="3">
        <v>7200</v>
      </c>
      <c r="F14" s="4">
        <v>0</v>
      </c>
      <c r="G14" s="5">
        <f t="shared" si="0"/>
        <v>0</v>
      </c>
      <c r="H14" s="6">
        <v>0</v>
      </c>
      <c r="I14" s="2" t="s">
        <v>51</v>
      </c>
      <c r="J14" s="2" t="s">
        <v>51</v>
      </c>
      <c r="K14" s="2" t="s">
        <v>51</v>
      </c>
    </row>
    <row r="15" spans="1:11" x14ac:dyDescent="0.75">
      <c r="B15" s="7" t="s">
        <v>52</v>
      </c>
      <c r="E15" s="3">
        <f>SUM(E2:E14)</f>
        <v>120000</v>
      </c>
      <c r="G15" s="5">
        <f>SUM(G2:G14)</f>
        <v>2750400</v>
      </c>
    </row>
    <row r="17" spans="2:5" x14ac:dyDescent="0.75">
      <c r="B17" s="7" t="s">
        <v>53</v>
      </c>
      <c r="E17" s="3">
        <f>SUMIF(B2:B14,"&lt;&gt;VACANT",E2:E14)</f>
        <v>112800</v>
      </c>
    </row>
    <row r="18" spans="2:5" x14ac:dyDescent="0.75">
      <c r="B18" s="7" t="s">
        <v>54</v>
      </c>
      <c r="E18" s="3">
        <f>SUMIF(B2:B14,"VACANT",E2:E14)</f>
        <v>7200</v>
      </c>
    </row>
    <row r="19" spans="2:5" x14ac:dyDescent="0.75">
      <c r="B19" s="7" t="s">
        <v>55</v>
      </c>
      <c r="E19" s="6">
        <f>E17/E15</f>
        <v>0.94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2026-06-08T22:09:32Z</dcterms:created>
  <dcterms:modified xsi:type="dcterms:W3CDTF">2026-06-09T14:02:59Z</dcterms:modified>
  <cp:category/>
</cp:coreProperties>
</file>